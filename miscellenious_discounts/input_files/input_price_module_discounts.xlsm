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-105" yWindow="-105" windowWidth="15480" windowHeight="11640" tabRatio="715" firstSheet="2" activeTab="3"/>
  </bookViews>
  <sheets>
    <sheet name="AM Template" sheetId="79" state="hidden" r:id="rId1"/>
    <sheet name="GIA Parameters" sheetId="2" state="hidden" r:id="rId2"/>
    <sheet name="Field Validations" sheetId="3" r:id="rId3"/>
    <sheet name="Grading Sheet" sheetId="44" r:id="rId4"/>
    <sheet name="DME Grading Sheet" sheetId="75" state="hidden" r:id="rId5"/>
    <sheet name="Parameters" sheetId="4" r:id="rId6"/>
    <sheet name="Central" sheetId="5" r:id="rId7"/>
    <sheet name="Parameters Fancy" sheetId="73" r:id="rId8"/>
    <sheet name="1.01-1.09" sheetId="7" r:id="rId9"/>
    <sheet name="1.50-1.69" sheetId="8" r:id="rId10"/>
    <sheet name="2.01-2.09" sheetId="9" r:id="rId11"/>
    <sheet name="Parameters Dossiers" sheetId="10" state="hidden" r:id="rId12"/>
    <sheet name="Prices Below 30Pts" sheetId="12" state="hidden" r:id="rId13"/>
    <sheet name="PriceSheet -1Ct Uncertified" sheetId="13" state="hidden" r:id="rId14"/>
    <sheet name="Mixing Groups -1Ct Uncertified" sheetId="14" state="hidden" r:id="rId15"/>
    <sheet name="3.01-3.09" sheetId="49" r:id="rId16"/>
    <sheet name="4.01-4.09" sheetId="50" r:id="rId17"/>
    <sheet name="5.01-5.09" sheetId="51" r:id="rId18"/>
    <sheet name="Fancy Shapes" sheetId="72" r:id="rId19"/>
    <sheet name="Size Premiums" sheetId="6" r:id="rId20"/>
    <sheet name="Diameter Premiums" sheetId="76" r:id="rId21"/>
    <sheet name="Depth" sheetId="80" r:id="rId22"/>
    <sheet name="KtoS Premiums" sheetId="77" r:id="rId23"/>
    <sheet name="Discounts N Colors" sheetId="71" r:id="rId24"/>
    <sheet name="+1Ct SI3- Loose" sheetId="17" state="hidden" r:id="rId25"/>
    <sheet name="RapNet" sheetId="23" r:id="rId26"/>
    <sheet name="0.30-0.34" sheetId="24" r:id="rId27"/>
    <sheet name="0.35-0.39" sheetId="25" r:id="rId28"/>
    <sheet name="0.40-0.44" sheetId="26" r:id="rId29"/>
    <sheet name="0.45-0.49" sheetId="27" r:id="rId30"/>
    <sheet name="0.50-0.59" sheetId="28" r:id="rId31"/>
    <sheet name="0.60-0.69" sheetId="29" r:id="rId32"/>
    <sheet name="0.70-0.74" sheetId="30" r:id="rId33"/>
    <sheet name="0.75-0.79" sheetId="31" r:id="rId34"/>
    <sheet name="0.80-0.89" sheetId="32" r:id="rId35"/>
    <sheet name="0.90-0.94" sheetId="33" r:id="rId36"/>
    <sheet name="0.95-0.99" sheetId="34" r:id="rId37"/>
    <sheet name="Black" sheetId="35" r:id="rId38"/>
    <sheet name="BGM" sheetId="36" r:id="rId39"/>
    <sheet name="Cut &amp; MFG Rules" sheetId="70" r:id="rId40"/>
    <sheet name="Cut" sheetId="37" r:id="rId41"/>
    <sheet name="Inclusion Grading" sheetId="38" state="hidden" r:id="rId42"/>
    <sheet name="Finishing" sheetId="39" r:id="rId43"/>
    <sheet name="Internal Grading" sheetId="40" r:id="rId44"/>
    <sheet name="Graining" sheetId="41" r:id="rId45"/>
    <sheet name="Extras" sheetId="42" r:id="rId46"/>
    <sheet name="Certificate Costs" sheetId="84" r:id="rId47"/>
    <sheet name="Polish-Symmetry" sheetId="85" r:id="rId48"/>
  </sheets>
  <functionGroups builtInGroupCount="17"/>
  <definedNames>
    <definedName name="_xlnm._FilterDatabase" localSheetId="4" hidden="1">'DME Grading Sheet'!#REF!</definedName>
    <definedName name="_xlnm._FilterDatabase" localSheetId="18" hidden="1">'Fancy Shapes'!$B$4:$B$254</definedName>
    <definedName name="_xlnm._FilterDatabase" localSheetId="3" hidden="1">'Grading Sheet'!#REF!</definedName>
    <definedName name="_xlnm._FilterDatabase" localSheetId="13" hidden="1">'PriceSheet -1Ct Uncertified'!$A$3:$G$411</definedName>
    <definedName name="_xlnm._FilterDatabase" localSheetId="25" hidden="1">RapNet!$A$1:$G$3389</definedName>
    <definedName name="INDEX">TODAY()</definedName>
    <definedName name="_xlnm.Print_Area" localSheetId="14">'Mixing Groups -1Ct Uncertified'!$B$2:$R$15</definedName>
    <definedName name="RapClarity">RapNet!$D$1:$D$3389</definedName>
    <definedName name="RapColor">RapNet!$C$1:$C$3389</definedName>
    <definedName name="RapPrice">RapNet!$G$1:$G$3389</definedName>
    <definedName name="RapShape">RapNet!$B$1:$B$3389</definedName>
    <definedName name="RapSizeFrom">RapNet!$E$1:$E$3389</definedName>
    <definedName name="RapSizeTo">RapNet!$F$1:$F$3389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44" l="1"/>
  <c r="J38" i="73"/>
  <c r="J35" i="73"/>
  <c r="J34" i="73"/>
  <c r="J33" i="73"/>
  <c r="H33" i="73"/>
  <c r="E33" i="73"/>
  <c r="F33" i="73" s="1"/>
  <c r="A10" i="41"/>
  <c r="BM3" i="44" a="1"/>
  <c r="BM3" i="44" l="1"/>
  <c r="AB5" i="35" l="1"/>
  <c r="AC5" i="35"/>
  <c r="AD5" i="35"/>
  <c r="AE5" i="35"/>
  <c r="AF5" i="35"/>
  <c r="AG5" i="35"/>
  <c r="AH5" i="35"/>
  <c r="AI5" i="35"/>
  <c r="AJ5" i="35"/>
  <c r="AB6" i="35"/>
  <c r="AC6" i="35"/>
  <c r="AD6" i="35"/>
  <c r="AE6" i="35"/>
  <c r="AF6" i="35"/>
  <c r="AG6" i="35"/>
  <c r="AH6" i="35"/>
  <c r="AI6" i="35"/>
  <c r="AJ6" i="35"/>
  <c r="AB10" i="35"/>
  <c r="AC10" i="35"/>
  <c r="AD10" i="35"/>
  <c r="AE10" i="35"/>
  <c r="AF10" i="35"/>
  <c r="AG10" i="35"/>
  <c r="AH10" i="35"/>
  <c r="AI10" i="35"/>
  <c r="AJ10" i="35"/>
  <c r="AB11" i="35"/>
  <c r="AC11" i="35"/>
  <c r="AD11" i="35"/>
  <c r="AE11" i="35"/>
  <c r="AF11" i="35"/>
  <c r="AG11" i="35"/>
  <c r="AH11" i="35"/>
  <c r="AI11" i="35"/>
  <c r="AJ11" i="35"/>
  <c r="AB19" i="35"/>
  <c r="AC19" i="35"/>
  <c r="AD19" i="35"/>
  <c r="AE19" i="35"/>
  <c r="AF19" i="35"/>
  <c r="AG19" i="35"/>
  <c r="AH19" i="35"/>
  <c r="AI19" i="35"/>
  <c r="AJ19" i="35"/>
  <c r="AB20" i="35"/>
  <c r="AC20" i="35"/>
  <c r="AD20" i="35"/>
  <c r="AE20" i="35"/>
  <c r="AF20" i="35"/>
  <c r="AG20" i="35"/>
  <c r="AH20" i="35"/>
  <c r="AI20" i="35"/>
  <c r="AJ20" i="35"/>
  <c r="AB24" i="35"/>
  <c r="AC24" i="35"/>
  <c r="AD24" i="35"/>
  <c r="AE24" i="35"/>
  <c r="AF24" i="35"/>
  <c r="AG24" i="35"/>
  <c r="AH24" i="35"/>
  <c r="AI24" i="35"/>
  <c r="AJ24" i="35"/>
  <c r="AB25" i="35"/>
  <c r="AC25" i="35"/>
  <c r="AD25" i="35"/>
  <c r="AE25" i="35"/>
  <c r="AF25" i="35"/>
  <c r="AG25" i="35"/>
  <c r="AH25" i="35"/>
  <c r="AI25" i="35"/>
  <c r="AJ25" i="35"/>
  <c r="AZ14" i="35" l="1"/>
  <c r="AJ13" i="40"/>
  <c r="AI13" i="40"/>
  <c r="AH13" i="40"/>
  <c r="AG13" i="40"/>
  <c r="AF13" i="40"/>
  <c r="AE13" i="40"/>
  <c r="AD13" i="40"/>
  <c r="AC13" i="40"/>
  <c r="AB13" i="40"/>
  <c r="AJ12" i="40"/>
  <c r="AI12" i="40"/>
  <c r="AH12" i="40"/>
  <c r="AG12" i="40"/>
  <c r="AF12" i="40"/>
  <c r="AE12" i="40"/>
  <c r="AD12" i="40"/>
  <c r="AC12" i="40"/>
  <c r="AB12" i="40"/>
  <c r="AJ11" i="40"/>
  <c r="AI11" i="40"/>
  <c r="AH11" i="40"/>
  <c r="AG11" i="40"/>
  <c r="AF11" i="40"/>
  <c r="AE11" i="40"/>
  <c r="AD11" i="40"/>
  <c r="AC11" i="40"/>
  <c r="AB11" i="40"/>
  <c r="AJ10" i="40"/>
  <c r="AI10" i="40"/>
  <c r="AH10" i="40"/>
  <c r="AG10" i="40"/>
  <c r="AF10" i="40"/>
  <c r="AE10" i="40"/>
  <c r="AD10" i="40"/>
  <c r="AC10" i="40"/>
  <c r="AB10" i="40"/>
  <c r="AJ9" i="40"/>
  <c r="AI9" i="40"/>
  <c r="AH9" i="40"/>
  <c r="AG9" i="40"/>
  <c r="AF9" i="40"/>
  <c r="AE9" i="40"/>
  <c r="AD9" i="40"/>
  <c r="AC9" i="40"/>
  <c r="AB9" i="40"/>
  <c r="AJ8" i="40"/>
  <c r="AI8" i="40"/>
  <c r="AH8" i="40"/>
  <c r="AG8" i="40"/>
  <c r="AF8" i="40"/>
  <c r="AE8" i="40"/>
  <c r="AD8" i="40"/>
  <c r="AC8" i="40"/>
  <c r="AB8" i="40"/>
  <c r="AJ7" i="40"/>
  <c r="AI7" i="40"/>
  <c r="AH7" i="40"/>
  <c r="AG7" i="40"/>
  <c r="AF7" i="40"/>
  <c r="AE7" i="40"/>
  <c r="AD7" i="40"/>
  <c r="AC7" i="40"/>
  <c r="AB7" i="40"/>
  <c r="AJ6" i="40"/>
  <c r="AI6" i="40"/>
  <c r="AH6" i="40"/>
  <c r="AG6" i="40"/>
  <c r="AF6" i="40"/>
  <c r="AE6" i="40"/>
  <c r="AD6" i="40"/>
  <c r="AC6" i="40"/>
  <c r="AB6" i="40"/>
  <c r="AJ5" i="40"/>
  <c r="AI5" i="40"/>
  <c r="AH5" i="40"/>
  <c r="AG5" i="40"/>
  <c r="AF5" i="40"/>
  <c r="AE5" i="40"/>
  <c r="AD5" i="40"/>
  <c r="AC5" i="40"/>
  <c r="AB5" i="40"/>
  <c r="AJ4" i="40"/>
  <c r="AI4" i="40"/>
  <c r="AH4" i="40"/>
  <c r="AG4" i="40"/>
  <c r="AF4" i="40"/>
  <c r="AE4" i="40"/>
  <c r="AD4" i="40"/>
  <c r="AC4" i="40"/>
  <c r="AB4" i="40"/>
  <c r="D87" i="6"/>
  <c r="D88" i="6" s="1"/>
  <c r="D89" i="6" s="1"/>
  <c r="D90" i="6" s="1"/>
  <c r="D91" i="6" s="1"/>
  <c r="D83" i="6"/>
  <c r="D82" i="6"/>
  <c r="D81" i="6"/>
  <c r="D79" i="6"/>
  <c r="D78" i="6"/>
  <c r="D77" i="6"/>
  <c r="L64" i="6"/>
  <c r="L65" i="6" s="1"/>
  <c r="L66" i="6" s="1"/>
  <c r="L67" i="6" s="1"/>
  <c r="L68" i="6" s="1"/>
  <c r="K64" i="6"/>
  <c r="K65" i="6" s="1"/>
  <c r="K66" i="6" s="1"/>
  <c r="K67" i="6" s="1"/>
  <c r="K68" i="6" s="1"/>
  <c r="J64" i="6"/>
  <c r="J65" i="6" s="1"/>
  <c r="J66" i="6" s="1"/>
  <c r="J67" i="6" s="1"/>
  <c r="J68" i="6" s="1"/>
  <c r="I64" i="6"/>
  <c r="I65" i="6" s="1"/>
  <c r="I66" i="6" s="1"/>
  <c r="I67" i="6" s="1"/>
  <c r="I68" i="6" s="1"/>
  <c r="H64" i="6"/>
  <c r="H65" i="6" s="1"/>
  <c r="H66" i="6" s="1"/>
  <c r="H67" i="6" s="1"/>
  <c r="H68" i="6" s="1"/>
  <c r="G64" i="6"/>
  <c r="G65" i="6" s="1"/>
  <c r="G66" i="6" s="1"/>
  <c r="G67" i="6" s="1"/>
  <c r="G68" i="6" s="1"/>
  <c r="F64" i="6"/>
  <c r="F65" i="6" s="1"/>
  <c r="F66" i="6" s="1"/>
  <c r="F67" i="6" s="1"/>
  <c r="F68" i="6" s="1"/>
  <c r="E64" i="6"/>
  <c r="E65" i="6" s="1"/>
  <c r="E66" i="6" s="1"/>
  <c r="E67" i="6" s="1"/>
  <c r="E68" i="6" s="1"/>
  <c r="D64" i="6"/>
  <c r="D65" i="6" s="1"/>
  <c r="D66" i="6" s="1"/>
  <c r="D67" i="6" s="1"/>
  <c r="D68" i="6" s="1"/>
  <c r="L58" i="6"/>
  <c r="L59" i="6" s="1"/>
  <c r="L60" i="6" s="1"/>
  <c r="K58" i="6"/>
  <c r="K59" i="6" s="1"/>
  <c r="K60" i="6" s="1"/>
  <c r="J58" i="6"/>
  <c r="J59" i="6" s="1"/>
  <c r="J60" i="6" s="1"/>
  <c r="I58" i="6"/>
  <c r="I59" i="6" s="1"/>
  <c r="I60" i="6" s="1"/>
  <c r="H58" i="6"/>
  <c r="H59" i="6" s="1"/>
  <c r="H60" i="6" s="1"/>
  <c r="G58" i="6"/>
  <c r="G59" i="6" s="1"/>
  <c r="G60" i="6" s="1"/>
  <c r="F58" i="6"/>
  <c r="F59" i="6" s="1"/>
  <c r="F60" i="6" s="1"/>
  <c r="E58" i="6"/>
  <c r="E59" i="6" s="1"/>
  <c r="E60" i="6" s="1"/>
  <c r="D58" i="6"/>
  <c r="D59" i="6" s="1"/>
  <c r="D60" i="6" s="1"/>
  <c r="L54" i="6"/>
  <c r="L55" i="6" s="1"/>
  <c r="L56" i="6" s="1"/>
  <c r="K54" i="6"/>
  <c r="K55" i="6" s="1"/>
  <c r="K56" i="6" s="1"/>
  <c r="J54" i="6"/>
  <c r="J55" i="6" s="1"/>
  <c r="J56" i="6" s="1"/>
  <c r="I54" i="6"/>
  <c r="I55" i="6" s="1"/>
  <c r="I56" i="6" s="1"/>
  <c r="H54" i="6"/>
  <c r="H55" i="6" s="1"/>
  <c r="H56" i="6" s="1"/>
  <c r="G54" i="6"/>
  <c r="G55" i="6" s="1"/>
  <c r="G56" i="6" s="1"/>
  <c r="F54" i="6"/>
  <c r="F55" i="6" s="1"/>
  <c r="F56" i="6" s="1"/>
  <c r="E54" i="6"/>
  <c r="E55" i="6" s="1"/>
  <c r="E56" i="6" s="1"/>
  <c r="D54" i="6"/>
  <c r="D55" i="6" s="1"/>
  <c r="D56" i="6" s="1"/>
  <c r="CL3" i="44" a="1"/>
  <c r="CL3" i="44" l="1"/>
  <c r="K24" i="84"/>
  <c r="K23" i="84"/>
  <c r="K22" i="84"/>
  <c r="K21" i="84"/>
  <c r="K20" i="84"/>
  <c r="K19" i="84"/>
  <c r="K18" i="84"/>
  <c r="K17" i="84"/>
  <c r="K16" i="84"/>
  <c r="K15" i="84"/>
  <c r="K14" i="84"/>
  <c r="K13" i="84"/>
  <c r="K12" i="84"/>
  <c r="K11" i="84"/>
  <c r="K10" i="84"/>
  <c r="K9" i="84"/>
  <c r="K8" i="84"/>
  <c r="K7" i="84"/>
  <c r="K6" i="84"/>
  <c r="K5" i="84"/>
  <c r="O25" i="84"/>
  <c r="G25" i="84"/>
  <c r="O24" i="84"/>
  <c r="S24" i="84"/>
  <c r="G24" i="84"/>
  <c r="O23" i="84"/>
  <c r="S23" i="84"/>
  <c r="G23" i="84"/>
  <c r="O22" i="84"/>
  <c r="S22" i="84"/>
  <c r="G22" i="84"/>
  <c r="O21" i="84"/>
  <c r="S21" i="84"/>
  <c r="G21" i="84"/>
  <c r="O20" i="84"/>
  <c r="S20" i="84"/>
  <c r="G20" i="84"/>
  <c r="O19" i="84"/>
  <c r="S19" i="84"/>
  <c r="G19" i="84"/>
  <c r="O18" i="84"/>
  <c r="S18" i="84"/>
  <c r="G18" i="84"/>
  <c r="O17" i="84"/>
  <c r="S17" i="84"/>
  <c r="G17" i="84"/>
  <c r="O16" i="84"/>
  <c r="S16" i="84"/>
  <c r="G16" i="84"/>
  <c r="O15" i="84"/>
  <c r="S15" i="84"/>
  <c r="G15" i="84"/>
  <c r="O14" i="84"/>
  <c r="S14" i="84"/>
  <c r="G14" i="84"/>
  <c r="O13" i="84"/>
  <c r="S13" i="84"/>
  <c r="G13" i="84"/>
  <c r="O12" i="84"/>
  <c r="S12" i="84"/>
  <c r="G12" i="84"/>
  <c r="O11" i="84"/>
  <c r="S11" i="84"/>
  <c r="G11" i="84"/>
  <c r="O10" i="84"/>
  <c r="S10" i="84"/>
  <c r="G10" i="84"/>
  <c r="O9" i="84"/>
  <c r="S9" i="84"/>
  <c r="G9" i="84"/>
  <c r="O8" i="84"/>
  <c r="S8" i="84"/>
  <c r="G8" i="84"/>
  <c r="O7" i="84"/>
  <c r="S7" i="84"/>
  <c r="G7" i="84"/>
  <c r="O6" i="84"/>
  <c r="S6" i="84"/>
  <c r="G6" i="84"/>
  <c r="O5" i="84"/>
  <c r="S5" i="84"/>
  <c r="G5" i="84"/>
  <c r="AL24" i="39" l="1"/>
  <c r="AM24" i="39" s="1"/>
  <c r="AL22" i="39"/>
  <c r="AM22" i="39" s="1"/>
  <c r="AL21" i="39"/>
  <c r="AM21" i="39" s="1"/>
  <c r="AL19" i="39"/>
  <c r="AM19" i="39" s="1"/>
  <c r="AL17" i="39"/>
  <c r="AM17" i="39" s="1"/>
  <c r="AL16" i="39"/>
  <c r="AM16" i="39" s="1"/>
  <c r="AL14" i="39"/>
  <c r="AM14" i="39" s="1"/>
  <c r="AL12" i="39"/>
  <c r="AM12" i="39" s="1"/>
  <c r="AL11" i="39"/>
  <c r="AM11" i="39" s="1"/>
  <c r="AL28" i="39"/>
  <c r="AM28" i="39" s="1"/>
  <c r="AL29" i="39"/>
  <c r="AM29" i="39" s="1"/>
  <c r="AL30" i="39"/>
  <c r="AM30" i="39" s="1"/>
  <c r="AL27" i="39"/>
  <c r="AM27" i="39" s="1"/>
  <c r="AI28" i="39"/>
  <c r="AJ28" i="39" s="1"/>
  <c r="AI29" i="39"/>
  <c r="AJ29" i="39" s="1"/>
  <c r="AI30" i="39"/>
  <c r="AJ30" i="39" s="1"/>
  <c r="AI27" i="39"/>
  <c r="AJ27" i="39" s="1"/>
  <c r="AF28" i="39"/>
  <c r="AG28" i="39" s="1"/>
  <c r="AF29" i="39"/>
  <c r="AG29" i="39" s="1"/>
  <c r="AF30" i="39"/>
  <c r="AG30" i="39" s="1"/>
  <c r="AF27" i="39"/>
  <c r="AG27" i="39" s="1"/>
  <c r="AI24" i="39"/>
  <c r="AJ24" i="39" s="1"/>
  <c r="AI22" i="39"/>
  <c r="AJ22" i="39" s="1"/>
  <c r="AI21" i="39"/>
  <c r="AJ21" i="39" s="1"/>
  <c r="AI19" i="39"/>
  <c r="AJ19" i="39" s="1"/>
  <c r="AI17" i="39"/>
  <c r="AJ17" i="39" s="1"/>
  <c r="AI16" i="39"/>
  <c r="AJ16" i="39" s="1"/>
  <c r="AI14" i="39"/>
  <c r="AJ14" i="39" s="1"/>
  <c r="AI12" i="39"/>
  <c r="AJ12" i="39" s="1"/>
  <c r="AI11" i="39"/>
  <c r="AJ11" i="39" s="1"/>
  <c r="AF24" i="39"/>
  <c r="AG24" i="39" s="1"/>
  <c r="AF22" i="39"/>
  <c r="AG22" i="39" s="1"/>
  <c r="AF21" i="39"/>
  <c r="AG21" i="39" s="1"/>
  <c r="AF19" i="39"/>
  <c r="AG19" i="39" s="1"/>
  <c r="AF17" i="39"/>
  <c r="AG17" i="39" s="1"/>
  <c r="AF16" i="39"/>
  <c r="AG16" i="39" s="1"/>
  <c r="AF12" i="39"/>
  <c r="AG12" i="39" s="1"/>
  <c r="AF14" i="39"/>
  <c r="AG14" i="39" s="1"/>
  <c r="AF11" i="39"/>
  <c r="AG11" i="39" s="1"/>
  <c r="AO15" i="6"/>
  <c r="AO16" i="6"/>
  <c r="AO13" i="6"/>
  <c r="AO12" i="6"/>
  <c r="AO11" i="6"/>
  <c r="AO10" i="6"/>
  <c r="AO8" i="6"/>
  <c r="AO7" i="6"/>
  <c r="AO6" i="6"/>
  <c r="AO9" i="6"/>
  <c r="AO5" i="6"/>
  <c r="BI3" i="44"/>
  <c r="A5" i="42" l="1"/>
  <c r="A12" i="41" l="1"/>
  <c r="T8" i="73" l="1"/>
  <c r="U7" i="73"/>
  <c r="V7" i="73" s="1"/>
  <c r="T44" i="73"/>
  <c r="T45" i="73" s="1"/>
  <c r="T46" i="73" s="1"/>
  <c r="U43" i="73"/>
  <c r="V43" i="73" s="1"/>
  <c r="V44" i="73" s="1"/>
  <c r="V45" i="73" s="1"/>
  <c r="V46" i="73" s="1"/>
  <c r="Y36" i="73"/>
  <c r="Z35" i="73"/>
  <c r="Z36" i="73" s="1"/>
  <c r="Y32" i="73"/>
  <c r="Y33" i="73" s="1"/>
  <c r="Y34" i="73" s="1"/>
  <c r="Z31" i="73"/>
  <c r="Z32" i="73" s="1"/>
  <c r="Z33" i="73" s="1"/>
  <c r="Z34" i="73" s="1"/>
  <c r="W38" i="73"/>
  <c r="W39" i="73" s="1"/>
  <c r="W40" i="73" s="1"/>
  <c r="X37" i="73"/>
  <c r="X38" i="73" s="1"/>
  <c r="X39" i="73" s="1"/>
  <c r="X40" i="73" s="1"/>
  <c r="W36" i="73"/>
  <c r="X35" i="73"/>
  <c r="X36" i="73" s="1"/>
  <c r="W31" i="73"/>
  <c r="X31" i="73" s="1"/>
  <c r="X32" i="73" s="1"/>
  <c r="X33" i="73" s="1"/>
  <c r="X34" i="73" s="1"/>
  <c r="T38" i="73"/>
  <c r="T39" i="73" s="1"/>
  <c r="U37" i="73"/>
  <c r="V37" i="73" s="1"/>
  <c r="U35" i="73"/>
  <c r="V35" i="73" s="1"/>
  <c r="T36" i="73"/>
  <c r="U36" i="73" s="1"/>
  <c r="V36" i="73" s="1"/>
  <c r="T32" i="73"/>
  <c r="T33" i="73" s="1"/>
  <c r="T34" i="73" s="1"/>
  <c r="U31" i="73"/>
  <c r="V31" i="73" s="1"/>
  <c r="V32" i="73" s="1"/>
  <c r="V33" i="73" s="1"/>
  <c r="V34" i="73" s="1"/>
  <c r="T20" i="73"/>
  <c r="T21" i="73" s="1"/>
  <c r="T22" i="73" s="1"/>
  <c r="U19" i="73"/>
  <c r="U20" i="73" s="1"/>
  <c r="U21" i="73" s="1"/>
  <c r="U22" i="73" s="1"/>
  <c r="B451" i="79"/>
  <c r="B450" i="79"/>
  <c r="B449" i="79"/>
  <c r="B448" i="79"/>
  <c r="B447" i="79"/>
  <c r="B446" i="79"/>
  <c r="B445" i="79"/>
  <c r="B444" i="79"/>
  <c r="B443" i="79"/>
  <c r="B442" i="79"/>
  <c r="B441" i="79"/>
  <c r="B440" i="79"/>
  <c r="B439" i="79"/>
  <c r="B438" i="79"/>
  <c r="B437" i="79"/>
  <c r="B436" i="79"/>
  <c r="B435" i="79"/>
  <c r="B434" i="79"/>
  <c r="B433" i="79"/>
  <c r="B432" i="79"/>
  <c r="B431" i="79"/>
  <c r="B430" i="79"/>
  <c r="B429" i="79"/>
  <c r="B428" i="79"/>
  <c r="B427" i="79"/>
  <c r="B426" i="79"/>
  <c r="B425" i="79"/>
  <c r="B424" i="79"/>
  <c r="B423" i="79"/>
  <c r="B422" i="79"/>
  <c r="B421" i="79"/>
  <c r="B420" i="79"/>
  <c r="B419" i="79"/>
  <c r="B418" i="79"/>
  <c r="B417" i="79"/>
  <c r="B416" i="79"/>
  <c r="B415" i="79"/>
  <c r="B414" i="79"/>
  <c r="B413" i="79"/>
  <c r="B412" i="79"/>
  <c r="B411" i="79"/>
  <c r="B410" i="79"/>
  <c r="B409" i="79"/>
  <c r="B408" i="79"/>
  <c r="B407" i="79"/>
  <c r="B406" i="79"/>
  <c r="B405" i="79"/>
  <c r="B404" i="79"/>
  <c r="B403" i="79"/>
  <c r="B402" i="79"/>
  <c r="B401" i="79"/>
  <c r="B400" i="79"/>
  <c r="B399" i="79"/>
  <c r="B398" i="79"/>
  <c r="B397" i="79"/>
  <c r="B396" i="79"/>
  <c r="B395" i="79"/>
  <c r="B394" i="79"/>
  <c r="B393" i="79"/>
  <c r="B392" i="79"/>
  <c r="B391" i="79"/>
  <c r="B390" i="79"/>
  <c r="B389" i="79"/>
  <c r="B388" i="79"/>
  <c r="B387" i="79"/>
  <c r="B386" i="79"/>
  <c r="B385" i="79"/>
  <c r="B384" i="79"/>
  <c r="B383" i="79"/>
  <c r="B382" i="79"/>
  <c r="B381" i="79"/>
  <c r="B380" i="79"/>
  <c r="B379" i="79"/>
  <c r="B378" i="79"/>
  <c r="B377" i="79"/>
  <c r="B376" i="79"/>
  <c r="B375" i="79"/>
  <c r="B374" i="79"/>
  <c r="B373" i="79"/>
  <c r="B372" i="79"/>
  <c r="B371" i="79"/>
  <c r="B370" i="79"/>
  <c r="B369" i="79"/>
  <c r="B368" i="79"/>
  <c r="B367" i="79"/>
  <c r="B366" i="79"/>
  <c r="B365" i="79"/>
  <c r="B364" i="79"/>
  <c r="B363" i="79"/>
  <c r="B362" i="79"/>
  <c r="B361" i="79"/>
  <c r="B360" i="79"/>
  <c r="B359" i="79"/>
  <c r="B358" i="79"/>
  <c r="B357" i="79"/>
  <c r="B356" i="79"/>
  <c r="B355" i="79"/>
  <c r="B354" i="79"/>
  <c r="B353" i="79"/>
  <c r="B352" i="79"/>
  <c r="B351" i="79"/>
  <c r="B350" i="79"/>
  <c r="B349" i="79"/>
  <c r="B348" i="79"/>
  <c r="B347" i="79"/>
  <c r="B346" i="79"/>
  <c r="B345" i="79"/>
  <c r="B344" i="79"/>
  <c r="B343" i="79"/>
  <c r="B342" i="79"/>
  <c r="B341" i="79"/>
  <c r="B340" i="79"/>
  <c r="B339" i="79"/>
  <c r="B338" i="79"/>
  <c r="B337" i="79"/>
  <c r="B336" i="79"/>
  <c r="B335" i="79"/>
  <c r="B334" i="79"/>
  <c r="B333" i="79"/>
  <c r="B332" i="79"/>
  <c r="B331" i="79"/>
  <c r="B330" i="79"/>
  <c r="B329" i="79"/>
  <c r="B328" i="79"/>
  <c r="B327" i="79"/>
  <c r="B326" i="79"/>
  <c r="B325" i="79"/>
  <c r="B324" i="79"/>
  <c r="B323" i="79"/>
  <c r="B322" i="79"/>
  <c r="B321" i="79"/>
  <c r="B320" i="79"/>
  <c r="B319" i="79"/>
  <c r="B318" i="79"/>
  <c r="B317" i="79"/>
  <c r="B316" i="79"/>
  <c r="B315" i="79"/>
  <c r="B314" i="79"/>
  <c r="B313" i="79"/>
  <c r="B312" i="79"/>
  <c r="B311" i="79"/>
  <c r="B310" i="79"/>
  <c r="B309" i="79"/>
  <c r="B308" i="79"/>
  <c r="B307" i="79"/>
  <c r="B306" i="79"/>
  <c r="B305" i="79"/>
  <c r="B304" i="79"/>
  <c r="B303" i="79"/>
  <c r="B302" i="79"/>
  <c r="B301" i="79"/>
  <c r="B300" i="79"/>
  <c r="B299" i="79"/>
  <c r="B298" i="79"/>
  <c r="B297" i="79"/>
  <c r="B296" i="79"/>
  <c r="B295" i="79"/>
  <c r="B294" i="79"/>
  <c r="B293" i="79"/>
  <c r="B292" i="79"/>
  <c r="B291" i="79"/>
  <c r="B290" i="79"/>
  <c r="B289" i="79"/>
  <c r="B288" i="79"/>
  <c r="B287" i="79"/>
  <c r="B286" i="79"/>
  <c r="B285" i="79"/>
  <c r="B284" i="79"/>
  <c r="B283" i="79"/>
  <c r="B282" i="79"/>
  <c r="B281" i="79"/>
  <c r="B280" i="79"/>
  <c r="B279" i="79"/>
  <c r="B278" i="79"/>
  <c r="B277" i="79"/>
  <c r="B276" i="79"/>
  <c r="B275" i="79"/>
  <c r="B274" i="79"/>
  <c r="B273" i="79"/>
  <c r="B272" i="79"/>
  <c r="B271" i="79"/>
  <c r="B270" i="79"/>
  <c r="B269" i="79"/>
  <c r="B268" i="79"/>
  <c r="B267" i="79"/>
  <c r="B266" i="79"/>
  <c r="B265" i="79"/>
  <c r="B264" i="79"/>
  <c r="B263" i="79"/>
  <c r="B262" i="79"/>
  <c r="B261" i="79"/>
  <c r="B260" i="79"/>
  <c r="B259" i="79"/>
  <c r="B258" i="79"/>
  <c r="B257" i="79"/>
  <c r="B256" i="79"/>
  <c r="B255" i="79"/>
  <c r="B254" i="79"/>
  <c r="B253" i="79"/>
  <c r="B252" i="79"/>
  <c r="B251" i="79"/>
  <c r="B250" i="79"/>
  <c r="B249" i="79"/>
  <c r="B248" i="79"/>
  <c r="B247" i="79"/>
  <c r="B246" i="79"/>
  <c r="B245" i="79"/>
  <c r="B244" i="79"/>
  <c r="B243" i="79"/>
  <c r="B242" i="79"/>
  <c r="B241" i="79"/>
  <c r="B240" i="79"/>
  <c r="B239" i="79"/>
  <c r="B238" i="79"/>
  <c r="B237" i="79"/>
  <c r="B236" i="79"/>
  <c r="B235" i="79"/>
  <c r="B234" i="79"/>
  <c r="B233" i="79"/>
  <c r="B232" i="79"/>
  <c r="B231" i="79"/>
  <c r="B230" i="79"/>
  <c r="B229" i="79"/>
  <c r="B228" i="79"/>
  <c r="B227" i="79"/>
  <c r="B226" i="79"/>
  <c r="B225" i="79"/>
  <c r="B224" i="79"/>
  <c r="B223" i="79"/>
  <c r="B222" i="79"/>
  <c r="B221" i="79"/>
  <c r="B220" i="79"/>
  <c r="B219" i="79"/>
  <c r="B218" i="79"/>
  <c r="B217" i="79"/>
  <c r="B216" i="79"/>
  <c r="B215" i="79"/>
  <c r="B214" i="79"/>
  <c r="B213" i="79"/>
  <c r="B212" i="79"/>
  <c r="B211" i="79"/>
  <c r="B210" i="79"/>
  <c r="B209" i="79"/>
  <c r="B208" i="79"/>
  <c r="B207" i="79"/>
  <c r="B206" i="79"/>
  <c r="B205" i="79"/>
  <c r="B204" i="79"/>
  <c r="B203" i="79"/>
  <c r="B202" i="79"/>
  <c r="B201" i="79"/>
  <c r="B200" i="79"/>
  <c r="B199" i="79"/>
  <c r="B198" i="79"/>
  <c r="B197" i="79"/>
  <c r="B196" i="79"/>
  <c r="B195" i="79"/>
  <c r="B194" i="79"/>
  <c r="B193" i="79"/>
  <c r="B192" i="79"/>
  <c r="B191" i="79"/>
  <c r="B190" i="79"/>
  <c r="B189" i="79"/>
  <c r="B188" i="79"/>
  <c r="B187" i="79"/>
  <c r="B186" i="79"/>
  <c r="B185" i="79"/>
  <c r="B184" i="79"/>
  <c r="B183" i="79"/>
  <c r="B182" i="79"/>
  <c r="B181" i="79"/>
  <c r="B180" i="79"/>
  <c r="B179" i="79"/>
  <c r="B178" i="79"/>
  <c r="B177" i="79"/>
  <c r="B176" i="79"/>
  <c r="B175" i="79"/>
  <c r="B174" i="79"/>
  <c r="B173" i="79"/>
  <c r="B172" i="79"/>
  <c r="B171" i="79"/>
  <c r="B170" i="79"/>
  <c r="B169" i="79"/>
  <c r="B168" i="79"/>
  <c r="B167" i="79"/>
  <c r="B166" i="79"/>
  <c r="B165" i="79"/>
  <c r="B164" i="79"/>
  <c r="B163" i="79"/>
  <c r="B162" i="79"/>
  <c r="B161" i="79"/>
  <c r="B160" i="79"/>
  <c r="B159" i="79"/>
  <c r="B158" i="79"/>
  <c r="B157" i="79"/>
  <c r="B156" i="79"/>
  <c r="B155" i="79"/>
  <c r="B154" i="79"/>
  <c r="B153" i="79"/>
  <c r="B152" i="79"/>
  <c r="B151" i="79"/>
  <c r="B150" i="79"/>
  <c r="B149" i="79"/>
  <c r="B148" i="79"/>
  <c r="B147" i="79"/>
  <c r="B146" i="79"/>
  <c r="B145" i="79"/>
  <c r="B144" i="79"/>
  <c r="B143" i="79"/>
  <c r="B142" i="79"/>
  <c r="B141" i="79"/>
  <c r="B140" i="79"/>
  <c r="B139" i="79"/>
  <c r="B138" i="79"/>
  <c r="B137" i="79"/>
  <c r="B136" i="79"/>
  <c r="B135" i="79"/>
  <c r="B134" i="79"/>
  <c r="B133" i="79"/>
  <c r="B132" i="79"/>
  <c r="B131" i="79"/>
  <c r="B130" i="79"/>
  <c r="B129" i="79"/>
  <c r="B128" i="79"/>
  <c r="B127" i="79"/>
  <c r="B126" i="79"/>
  <c r="B125" i="79"/>
  <c r="B124" i="79"/>
  <c r="B123" i="79"/>
  <c r="B122" i="79"/>
  <c r="B121" i="79"/>
  <c r="B120" i="79"/>
  <c r="B119" i="79"/>
  <c r="B118" i="79"/>
  <c r="B117" i="79"/>
  <c r="B116" i="79"/>
  <c r="B115" i="79"/>
  <c r="B114" i="79"/>
  <c r="B113" i="79"/>
  <c r="B112" i="79"/>
  <c r="B111" i="79"/>
  <c r="B110" i="79"/>
  <c r="B109" i="79"/>
  <c r="B108" i="79"/>
  <c r="B107" i="79"/>
  <c r="B106" i="79"/>
  <c r="B105" i="79"/>
  <c r="B104" i="79"/>
  <c r="B103" i="79"/>
  <c r="B102" i="79"/>
  <c r="B101" i="79"/>
  <c r="B100" i="79"/>
  <c r="B99" i="79"/>
  <c r="B98" i="79"/>
  <c r="B97" i="79"/>
  <c r="B96" i="79"/>
  <c r="B95" i="79"/>
  <c r="B94" i="79"/>
  <c r="B93" i="79"/>
  <c r="B92" i="79"/>
  <c r="B91" i="79"/>
  <c r="B90" i="79"/>
  <c r="B89" i="79"/>
  <c r="B88" i="79"/>
  <c r="B87" i="79"/>
  <c r="B86" i="79"/>
  <c r="B85" i="79"/>
  <c r="B84" i="79"/>
  <c r="B83" i="79"/>
  <c r="B82" i="79"/>
  <c r="B81" i="79"/>
  <c r="B80" i="79"/>
  <c r="B79" i="79"/>
  <c r="B78" i="79"/>
  <c r="B77" i="79"/>
  <c r="B76" i="79"/>
  <c r="B75" i="79"/>
  <c r="B74" i="79"/>
  <c r="B73" i="79"/>
  <c r="B72" i="79"/>
  <c r="B71" i="79"/>
  <c r="B70" i="79"/>
  <c r="B69" i="79"/>
  <c r="B68" i="79"/>
  <c r="B67" i="79"/>
  <c r="B66" i="79"/>
  <c r="B65" i="79"/>
  <c r="B64" i="79"/>
  <c r="B63" i="79"/>
  <c r="B62" i="79"/>
  <c r="B61" i="79"/>
  <c r="B60" i="79"/>
  <c r="B59" i="79"/>
  <c r="B58" i="79"/>
  <c r="B57" i="79"/>
  <c r="B56" i="79"/>
  <c r="B55" i="79"/>
  <c r="B54" i="79"/>
  <c r="B53" i="79"/>
  <c r="B52" i="79"/>
  <c r="B51" i="79"/>
  <c r="B50" i="79"/>
  <c r="B49" i="79"/>
  <c r="B48" i="79"/>
  <c r="B47" i="79"/>
  <c r="B46" i="79"/>
  <c r="B45" i="79"/>
  <c r="B44" i="79"/>
  <c r="B43" i="79"/>
  <c r="B42" i="79"/>
  <c r="B41" i="79"/>
  <c r="B40" i="79"/>
  <c r="B39" i="79"/>
  <c r="B38" i="79"/>
  <c r="B37" i="79"/>
  <c r="B36" i="79"/>
  <c r="B35" i="79"/>
  <c r="B34" i="79"/>
  <c r="B33" i="79"/>
  <c r="B32" i="79"/>
  <c r="B31" i="79"/>
  <c r="B30" i="79"/>
  <c r="B29" i="79"/>
  <c r="B28" i="79"/>
  <c r="B27" i="79"/>
  <c r="B26" i="79"/>
  <c r="B25" i="79"/>
  <c r="B24" i="79"/>
  <c r="B23" i="79"/>
  <c r="B22" i="79"/>
  <c r="B21" i="79"/>
  <c r="B20" i="79"/>
  <c r="B19" i="79"/>
  <c r="B18" i="79"/>
  <c r="B17" i="79"/>
  <c r="B16" i="79"/>
  <c r="B15" i="79"/>
  <c r="B14" i="79"/>
  <c r="B13" i="79"/>
  <c r="B12" i="79"/>
  <c r="B11" i="79"/>
  <c r="B10" i="79"/>
  <c r="B9" i="79"/>
  <c r="B8" i="79"/>
  <c r="B7" i="79"/>
  <c r="B6" i="79"/>
  <c r="B5" i="79"/>
  <c r="B4" i="79"/>
  <c r="B3" i="79"/>
  <c r="B2" i="79"/>
  <c r="U38" i="73" l="1"/>
  <c r="V38" i="73" s="1"/>
  <c r="W32" i="73"/>
  <c r="W33" i="73" s="1"/>
  <c r="W34" i="73" s="1"/>
  <c r="T40" i="73"/>
  <c r="U40" i="73" s="1"/>
  <c r="V40" i="73" s="1"/>
  <c r="U39" i="73"/>
  <c r="V39" i="73" s="1"/>
  <c r="U44" i="73"/>
  <c r="U45" i="73" s="1"/>
  <c r="U46" i="73" s="1"/>
  <c r="U32" i="73"/>
  <c r="U33" i="73" s="1"/>
  <c r="U34" i="73" s="1"/>
  <c r="V19" i="73"/>
  <c r="V20" i="73" s="1"/>
  <c r="V21" i="73" s="1"/>
  <c r="V22" i="73" s="1"/>
  <c r="D48" i="73" l="1"/>
  <c r="E48" i="73"/>
  <c r="F48" i="73"/>
  <c r="G48" i="73"/>
  <c r="H48" i="73"/>
  <c r="I48" i="73"/>
  <c r="J48" i="73"/>
  <c r="D49" i="73"/>
  <c r="E49" i="73"/>
  <c r="F49" i="73"/>
  <c r="G49" i="73"/>
  <c r="H49" i="73"/>
  <c r="I49" i="73"/>
  <c r="J49" i="73"/>
  <c r="D50" i="73"/>
  <c r="E50" i="73"/>
  <c r="F50" i="73"/>
  <c r="G50" i="73"/>
  <c r="I50" i="73"/>
  <c r="J50" i="73"/>
  <c r="D51" i="73"/>
  <c r="E51" i="73"/>
  <c r="F51" i="73"/>
  <c r="G51" i="73"/>
  <c r="I51" i="73"/>
  <c r="J51" i="73"/>
  <c r="D52" i="73"/>
  <c r="E52" i="73"/>
  <c r="F52" i="73"/>
  <c r="G52" i="73"/>
  <c r="H52" i="73"/>
  <c r="I52" i="73"/>
  <c r="J52" i="73"/>
  <c r="D53" i="73"/>
  <c r="E53" i="73"/>
  <c r="F53" i="73"/>
  <c r="G53" i="73"/>
  <c r="H53" i="73"/>
  <c r="I53" i="73"/>
  <c r="J53" i="73"/>
  <c r="D54" i="73"/>
  <c r="E54" i="73"/>
  <c r="F54" i="73"/>
  <c r="G54" i="73"/>
  <c r="H54" i="73"/>
  <c r="I54" i="73"/>
  <c r="J54" i="73"/>
  <c r="E47" i="73"/>
  <c r="F47" i="73"/>
  <c r="G47" i="73"/>
  <c r="H47" i="73"/>
  <c r="I47" i="73"/>
  <c r="J47" i="73"/>
  <c r="D47" i="73"/>
  <c r="D20" i="73"/>
  <c r="E20" i="73"/>
  <c r="F20" i="73"/>
  <c r="G20" i="73"/>
  <c r="H20" i="73"/>
  <c r="I20" i="73"/>
  <c r="J20" i="73"/>
  <c r="D21" i="73"/>
  <c r="E21" i="73"/>
  <c r="F21" i="73"/>
  <c r="G21" i="73"/>
  <c r="H21" i="73"/>
  <c r="I21" i="73"/>
  <c r="J21" i="73"/>
  <c r="D22" i="73"/>
  <c r="E22" i="73"/>
  <c r="F22" i="73"/>
  <c r="G22" i="73"/>
  <c r="I22" i="73"/>
  <c r="J22" i="73"/>
  <c r="D23" i="73"/>
  <c r="E23" i="73"/>
  <c r="F23" i="73"/>
  <c r="G23" i="73"/>
  <c r="I23" i="73"/>
  <c r="J23" i="73"/>
  <c r="D24" i="73"/>
  <c r="E24" i="73"/>
  <c r="F24" i="73"/>
  <c r="G24" i="73"/>
  <c r="H24" i="73"/>
  <c r="I24" i="73"/>
  <c r="J24" i="73"/>
  <c r="D25" i="73"/>
  <c r="E25" i="73"/>
  <c r="F25" i="73"/>
  <c r="G25" i="73"/>
  <c r="H25" i="73"/>
  <c r="I25" i="73"/>
  <c r="J25" i="73"/>
  <c r="D26" i="73"/>
  <c r="E26" i="73"/>
  <c r="F26" i="73"/>
  <c r="G26" i="73"/>
  <c r="H26" i="73"/>
  <c r="I26" i="73"/>
  <c r="J26" i="73"/>
  <c r="E19" i="73"/>
  <c r="F19" i="73"/>
  <c r="G19" i="73"/>
  <c r="H19" i="73"/>
  <c r="I19" i="73"/>
  <c r="J19" i="73"/>
  <c r="D19" i="73"/>
  <c r="R23" i="4"/>
  <c r="H9" i="73" l="1"/>
  <c r="H8" i="73"/>
  <c r="H22" i="73" l="1"/>
  <c r="H50" i="73"/>
  <c r="H51" i="73"/>
  <c r="H23" i="73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" i="4"/>
  <c r="BG43" i="25" l="1"/>
  <c r="BF43" i="25"/>
  <c r="BE43" i="25"/>
  <c r="BD43" i="25"/>
  <c r="BC43" i="25"/>
  <c r="BB43" i="25"/>
  <c r="BA43" i="25"/>
  <c r="AZ43" i="25"/>
  <c r="AY43" i="25"/>
  <c r="AX43" i="25"/>
  <c r="BG42" i="25"/>
  <c r="BF42" i="25"/>
  <c r="BE42" i="25"/>
  <c r="BD42" i="25"/>
  <c r="BC42" i="25"/>
  <c r="BB42" i="25"/>
  <c r="BA42" i="25"/>
  <c r="AZ42" i="25"/>
  <c r="AY42" i="25"/>
  <c r="AX42" i="25"/>
  <c r="BG41" i="25"/>
  <c r="BF41" i="25"/>
  <c r="BE41" i="25"/>
  <c r="BD41" i="25"/>
  <c r="BC41" i="25"/>
  <c r="BB41" i="25"/>
  <c r="BA41" i="25"/>
  <c r="AZ41" i="25"/>
  <c r="AY41" i="25"/>
  <c r="AX41" i="25"/>
  <c r="BG40" i="25"/>
  <c r="BF40" i="25"/>
  <c r="BE40" i="25"/>
  <c r="BD40" i="25"/>
  <c r="BC40" i="25"/>
  <c r="BB40" i="25"/>
  <c r="BA40" i="25"/>
  <c r="AZ40" i="25"/>
  <c r="AY40" i="25"/>
  <c r="AX40" i="25"/>
  <c r="BG39" i="25"/>
  <c r="BF39" i="25"/>
  <c r="BE39" i="25"/>
  <c r="BD39" i="25"/>
  <c r="BC39" i="25"/>
  <c r="BB39" i="25"/>
  <c r="BA39" i="25"/>
  <c r="AZ39" i="25"/>
  <c r="AY39" i="25"/>
  <c r="AX39" i="25"/>
  <c r="BG38" i="25"/>
  <c r="BF38" i="25"/>
  <c r="BE38" i="25"/>
  <c r="BD38" i="25"/>
  <c r="BC38" i="25"/>
  <c r="BB38" i="25"/>
  <c r="BA38" i="25"/>
  <c r="AZ38" i="25"/>
  <c r="AY38" i="25"/>
  <c r="AX38" i="25"/>
  <c r="BG37" i="25"/>
  <c r="BF37" i="25"/>
  <c r="BE37" i="25"/>
  <c r="BD37" i="25"/>
  <c r="BC37" i="25"/>
  <c r="BB37" i="25"/>
  <c r="BA37" i="25"/>
  <c r="AZ37" i="25"/>
  <c r="AY37" i="25"/>
  <c r="AX37" i="25"/>
  <c r="BG32" i="25"/>
  <c r="BF32" i="25"/>
  <c r="BE32" i="25"/>
  <c r="BD32" i="25"/>
  <c r="BC32" i="25"/>
  <c r="BB32" i="25"/>
  <c r="BA32" i="25"/>
  <c r="AZ32" i="25"/>
  <c r="AY32" i="25"/>
  <c r="AX32" i="25"/>
  <c r="BG31" i="25"/>
  <c r="BF31" i="25"/>
  <c r="BE31" i="25"/>
  <c r="BD31" i="25"/>
  <c r="BC31" i="25"/>
  <c r="BB31" i="25"/>
  <c r="BA31" i="25"/>
  <c r="AZ31" i="25"/>
  <c r="AY31" i="25"/>
  <c r="AX31" i="25"/>
  <c r="BG30" i="25"/>
  <c r="BF30" i="25"/>
  <c r="BE30" i="25"/>
  <c r="BD30" i="25"/>
  <c r="BC30" i="25"/>
  <c r="BB30" i="25"/>
  <c r="BA30" i="25"/>
  <c r="AZ30" i="25"/>
  <c r="AY30" i="25"/>
  <c r="AX30" i="25"/>
  <c r="BG29" i="25"/>
  <c r="BF29" i="25"/>
  <c r="BE29" i="25"/>
  <c r="BD29" i="25"/>
  <c r="BC29" i="25"/>
  <c r="BB29" i="25"/>
  <c r="BA29" i="25"/>
  <c r="AZ29" i="25"/>
  <c r="AY29" i="25"/>
  <c r="AX29" i="25"/>
  <c r="BG28" i="25"/>
  <c r="BF28" i="25"/>
  <c r="BE28" i="25"/>
  <c r="BD28" i="25"/>
  <c r="BC28" i="25"/>
  <c r="BB28" i="25"/>
  <c r="BA28" i="25"/>
  <c r="AZ28" i="25"/>
  <c r="AY28" i="25"/>
  <c r="AX28" i="25"/>
  <c r="BG27" i="25"/>
  <c r="BF27" i="25"/>
  <c r="BE27" i="25"/>
  <c r="BD27" i="25"/>
  <c r="BC27" i="25"/>
  <c r="BB27" i="25"/>
  <c r="BA27" i="25"/>
  <c r="AZ27" i="25"/>
  <c r="AY27" i="25"/>
  <c r="AX27" i="25"/>
  <c r="BG26" i="25"/>
  <c r="BF26" i="25"/>
  <c r="BE26" i="25"/>
  <c r="BD26" i="25"/>
  <c r="BC26" i="25"/>
  <c r="BB26" i="25"/>
  <c r="BA26" i="25"/>
  <c r="AZ26" i="25"/>
  <c r="AY26" i="25"/>
  <c r="AX26" i="25"/>
  <c r="BG21" i="25"/>
  <c r="BF21" i="25"/>
  <c r="BE21" i="25"/>
  <c r="BD21" i="25"/>
  <c r="BC21" i="25"/>
  <c r="BB21" i="25"/>
  <c r="BA21" i="25"/>
  <c r="AZ21" i="25"/>
  <c r="AY21" i="25"/>
  <c r="AX21" i="25"/>
  <c r="BG20" i="25"/>
  <c r="BF20" i="25"/>
  <c r="BE20" i="25"/>
  <c r="BD20" i="25"/>
  <c r="BC20" i="25"/>
  <c r="BB20" i="25"/>
  <c r="BA20" i="25"/>
  <c r="AZ20" i="25"/>
  <c r="AY20" i="25"/>
  <c r="AX20" i="25"/>
  <c r="BG19" i="25"/>
  <c r="BF19" i="25"/>
  <c r="BE19" i="25"/>
  <c r="BD19" i="25"/>
  <c r="BC19" i="25"/>
  <c r="BB19" i="25"/>
  <c r="BA19" i="25"/>
  <c r="AZ19" i="25"/>
  <c r="AY19" i="25"/>
  <c r="AX19" i="25"/>
  <c r="BG18" i="25"/>
  <c r="BF18" i="25"/>
  <c r="BE18" i="25"/>
  <c r="BD18" i="25"/>
  <c r="BC18" i="25"/>
  <c r="BB18" i="25"/>
  <c r="BA18" i="25"/>
  <c r="AZ18" i="25"/>
  <c r="AY18" i="25"/>
  <c r="AX18" i="25"/>
  <c r="BG17" i="25"/>
  <c r="BF17" i="25"/>
  <c r="BE17" i="25"/>
  <c r="BD17" i="25"/>
  <c r="BC17" i="25"/>
  <c r="BB17" i="25"/>
  <c r="BA17" i="25"/>
  <c r="AZ17" i="25"/>
  <c r="AY17" i="25"/>
  <c r="AX17" i="25"/>
  <c r="BG16" i="25"/>
  <c r="BF16" i="25"/>
  <c r="BE16" i="25"/>
  <c r="BD16" i="25"/>
  <c r="BC16" i="25"/>
  <c r="BB16" i="25"/>
  <c r="BA16" i="25"/>
  <c r="AZ16" i="25"/>
  <c r="AY16" i="25"/>
  <c r="AX16" i="25"/>
  <c r="BG15" i="25"/>
  <c r="BF15" i="25"/>
  <c r="BE15" i="25"/>
  <c r="BD15" i="25"/>
  <c r="BC15" i="25"/>
  <c r="BB15" i="25"/>
  <c r="BA15" i="25"/>
  <c r="AZ15" i="25"/>
  <c r="AY15" i="25"/>
  <c r="AX15" i="25"/>
  <c r="BG10" i="25"/>
  <c r="BF10" i="25"/>
  <c r="BE10" i="25"/>
  <c r="BD10" i="25"/>
  <c r="BC10" i="25"/>
  <c r="BB10" i="25"/>
  <c r="BA10" i="25"/>
  <c r="AZ10" i="25"/>
  <c r="AY10" i="25"/>
  <c r="AX10" i="25"/>
  <c r="BG9" i="25"/>
  <c r="BF9" i="25"/>
  <c r="BE9" i="25"/>
  <c r="BD9" i="25"/>
  <c r="BC9" i="25"/>
  <c r="BB9" i="25"/>
  <c r="BA9" i="25"/>
  <c r="AZ9" i="25"/>
  <c r="AY9" i="25"/>
  <c r="AX9" i="25"/>
  <c r="BG8" i="25"/>
  <c r="BF8" i="25"/>
  <c r="BE8" i="25"/>
  <c r="BD8" i="25"/>
  <c r="BC8" i="25"/>
  <c r="BB8" i="25"/>
  <c r="BA8" i="25"/>
  <c r="AZ8" i="25"/>
  <c r="AY8" i="25"/>
  <c r="AX8" i="25"/>
  <c r="BG7" i="25"/>
  <c r="BF7" i="25"/>
  <c r="BE7" i="25"/>
  <c r="BD7" i="25"/>
  <c r="BC7" i="25"/>
  <c r="BB7" i="25"/>
  <c r="BA7" i="25"/>
  <c r="AZ7" i="25"/>
  <c r="AY7" i="25"/>
  <c r="AX7" i="25"/>
  <c r="BG6" i="25"/>
  <c r="BF6" i="25"/>
  <c r="BE6" i="25"/>
  <c r="BD6" i="25"/>
  <c r="BC6" i="25"/>
  <c r="BB6" i="25"/>
  <c r="BA6" i="25"/>
  <c r="AZ6" i="25"/>
  <c r="AY6" i="25"/>
  <c r="AX6" i="25"/>
  <c r="BG5" i="25"/>
  <c r="BF5" i="25"/>
  <c r="BE5" i="25"/>
  <c r="BD5" i="25"/>
  <c r="BC5" i="25"/>
  <c r="BB5" i="25"/>
  <c r="BA5" i="25"/>
  <c r="AZ5" i="25"/>
  <c r="AY5" i="25"/>
  <c r="AX5" i="25"/>
  <c r="BG4" i="25"/>
  <c r="BF4" i="25"/>
  <c r="BE4" i="25"/>
  <c r="BD4" i="25"/>
  <c r="BC4" i="25"/>
  <c r="BB4" i="25"/>
  <c r="BA4" i="25"/>
  <c r="AZ4" i="25"/>
  <c r="AY4" i="25"/>
  <c r="AX4" i="25"/>
  <c r="BG43" i="26"/>
  <c r="BF43" i="26"/>
  <c r="BE43" i="26"/>
  <c r="BD43" i="26"/>
  <c r="BC43" i="26"/>
  <c r="BB43" i="26"/>
  <c r="BA43" i="26"/>
  <c r="AZ43" i="26"/>
  <c r="AY43" i="26"/>
  <c r="AX43" i="26"/>
  <c r="BG42" i="26"/>
  <c r="BF42" i="26"/>
  <c r="BE42" i="26"/>
  <c r="BD42" i="26"/>
  <c r="BC42" i="26"/>
  <c r="BB42" i="26"/>
  <c r="BA42" i="26"/>
  <c r="AZ42" i="26"/>
  <c r="AY42" i="26"/>
  <c r="AX42" i="26"/>
  <c r="BG41" i="26"/>
  <c r="BF41" i="26"/>
  <c r="BE41" i="26"/>
  <c r="BD41" i="26"/>
  <c r="BC41" i="26"/>
  <c r="BB41" i="26"/>
  <c r="BA41" i="26"/>
  <c r="AZ41" i="26"/>
  <c r="AY41" i="26"/>
  <c r="AX41" i="26"/>
  <c r="BG40" i="26"/>
  <c r="BF40" i="26"/>
  <c r="BE40" i="26"/>
  <c r="BD40" i="26"/>
  <c r="BC40" i="26"/>
  <c r="BB40" i="26"/>
  <c r="BA40" i="26"/>
  <c r="AZ40" i="26"/>
  <c r="AY40" i="26"/>
  <c r="AX40" i="26"/>
  <c r="BG39" i="26"/>
  <c r="BF39" i="26"/>
  <c r="BE39" i="26"/>
  <c r="BD39" i="26"/>
  <c r="BC39" i="26"/>
  <c r="BB39" i="26"/>
  <c r="BA39" i="26"/>
  <c r="AZ39" i="26"/>
  <c r="AY39" i="26"/>
  <c r="AX39" i="26"/>
  <c r="BG38" i="26"/>
  <c r="BF38" i="26"/>
  <c r="BE38" i="26"/>
  <c r="BD38" i="26"/>
  <c r="BC38" i="26"/>
  <c r="BB38" i="26"/>
  <c r="BA38" i="26"/>
  <c r="AZ38" i="26"/>
  <c r="AY38" i="26"/>
  <c r="AX38" i="26"/>
  <c r="BG37" i="26"/>
  <c r="BF37" i="26"/>
  <c r="BE37" i="26"/>
  <c r="BD37" i="26"/>
  <c r="BC37" i="26"/>
  <c r="BB37" i="26"/>
  <c r="BA37" i="26"/>
  <c r="AZ37" i="26"/>
  <c r="AY37" i="26"/>
  <c r="AX37" i="26"/>
  <c r="BG32" i="26"/>
  <c r="BF32" i="26"/>
  <c r="BE32" i="26"/>
  <c r="BD32" i="26"/>
  <c r="BC32" i="26"/>
  <c r="BB32" i="26"/>
  <c r="BA32" i="26"/>
  <c r="AZ32" i="26"/>
  <c r="AY32" i="26"/>
  <c r="AX32" i="26"/>
  <c r="BG31" i="26"/>
  <c r="BF31" i="26"/>
  <c r="BE31" i="26"/>
  <c r="BD31" i="26"/>
  <c r="BC31" i="26"/>
  <c r="BB31" i="26"/>
  <c r="BA31" i="26"/>
  <c r="AZ31" i="26"/>
  <c r="AY31" i="26"/>
  <c r="AX31" i="26"/>
  <c r="BG30" i="26"/>
  <c r="BF30" i="26"/>
  <c r="BE30" i="26"/>
  <c r="BD30" i="26"/>
  <c r="BC30" i="26"/>
  <c r="BB30" i="26"/>
  <c r="BA30" i="26"/>
  <c r="AZ30" i="26"/>
  <c r="AY30" i="26"/>
  <c r="AX30" i="26"/>
  <c r="BG29" i="26"/>
  <c r="BF29" i="26"/>
  <c r="BE29" i="26"/>
  <c r="BD29" i="26"/>
  <c r="BC29" i="26"/>
  <c r="BB29" i="26"/>
  <c r="BA29" i="26"/>
  <c r="AZ29" i="26"/>
  <c r="AY29" i="26"/>
  <c r="AX29" i="26"/>
  <c r="BG28" i="26"/>
  <c r="BF28" i="26"/>
  <c r="BE28" i="26"/>
  <c r="BD28" i="26"/>
  <c r="BC28" i="26"/>
  <c r="BB28" i="26"/>
  <c r="BA28" i="26"/>
  <c r="AZ28" i="26"/>
  <c r="AY28" i="26"/>
  <c r="AX28" i="26"/>
  <c r="BG27" i="26"/>
  <c r="BF27" i="26"/>
  <c r="BE27" i="26"/>
  <c r="BD27" i="26"/>
  <c r="BC27" i="26"/>
  <c r="BB27" i="26"/>
  <c r="BA27" i="26"/>
  <c r="AZ27" i="26"/>
  <c r="AY27" i="26"/>
  <c r="AX27" i="26"/>
  <c r="BG26" i="26"/>
  <c r="BF26" i="26"/>
  <c r="BE26" i="26"/>
  <c r="BD26" i="26"/>
  <c r="BC26" i="26"/>
  <c r="BB26" i="26"/>
  <c r="BA26" i="26"/>
  <c r="AZ26" i="26"/>
  <c r="AY26" i="26"/>
  <c r="AX26" i="26"/>
  <c r="BG21" i="26"/>
  <c r="BF21" i="26"/>
  <c r="BE21" i="26"/>
  <c r="BD21" i="26"/>
  <c r="BC21" i="26"/>
  <c r="BB21" i="26"/>
  <c r="BA21" i="26"/>
  <c r="AZ21" i="26"/>
  <c r="AY21" i="26"/>
  <c r="AX21" i="26"/>
  <c r="BG20" i="26"/>
  <c r="BF20" i="26"/>
  <c r="BE20" i="26"/>
  <c r="BD20" i="26"/>
  <c r="BC20" i="26"/>
  <c r="BB20" i="26"/>
  <c r="BA20" i="26"/>
  <c r="AZ20" i="26"/>
  <c r="AY20" i="26"/>
  <c r="AX20" i="26"/>
  <c r="BG19" i="26"/>
  <c r="BF19" i="26"/>
  <c r="BE19" i="26"/>
  <c r="BD19" i="26"/>
  <c r="BC19" i="26"/>
  <c r="BB19" i="26"/>
  <c r="BA19" i="26"/>
  <c r="AZ19" i="26"/>
  <c r="AY19" i="26"/>
  <c r="AX19" i="26"/>
  <c r="BG18" i="26"/>
  <c r="BF18" i="26"/>
  <c r="BE18" i="26"/>
  <c r="BD18" i="26"/>
  <c r="BC18" i="26"/>
  <c r="BB18" i="26"/>
  <c r="BA18" i="26"/>
  <c r="AZ18" i="26"/>
  <c r="AY18" i="26"/>
  <c r="AX18" i="26"/>
  <c r="BG17" i="26"/>
  <c r="BF17" i="26"/>
  <c r="BE17" i="26"/>
  <c r="BD17" i="26"/>
  <c r="BC17" i="26"/>
  <c r="BB17" i="26"/>
  <c r="BA17" i="26"/>
  <c r="AZ17" i="26"/>
  <c r="AY17" i="26"/>
  <c r="AX17" i="26"/>
  <c r="BG16" i="26"/>
  <c r="BF16" i="26"/>
  <c r="BE16" i="26"/>
  <c r="BD16" i="26"/>
  <c r="BC16" i="26"/>
  <c r="BB16" i="26"/>
  <c r="BA16" i="26"/>
  <c r="AZ16" i="26"/>
  <c r="AY16" i="26"/>
  <c r="AX16" i="26"/>
  <c r="BG15" i="26"/>
  <c r="BF15" i="26"/>
  <c r="BE15" i="26"/>
  <c r="BD15" i="26"/>
  <c r="BC15" i="26"/>
  <c r="BB15" i="26"/>
  <c r="BA15" i="26"/>
  <c r="AZ15" i="26"/>
  <c r="AY15" i="26"/>
  <c r="AX15" i="26"/>
  <c r="BG10" i="26"/>
  <c r="BF10" i="26"/>
  <c r="BE10" i="26"/>
  <c r="BD10" i="26"/>
  <c r="BC10" i="26"/>
  <c r="BB10" i="26"/>
  <c r="BA10" i="26"/>
  <c r="AZ10" i="26"/>
  <c r="AY10" i="26"/>
  <c r="AX10" i="26"/>
  <c r="BG9" i="26"/>
  <c r="BF9" i="26"/>
  <c r="BE9" i="26"/>
  <c r="BD9" i="26"/>
  <c r="BC9" i="26"/>
  <c r="BB9" i="26"/>
  <c r="BA9" i="26"/>
  <c r="AZ9" i="26"/>
  <c r="AY9" i="26"/>
  <c r="AX9" i="26"/>
  <c r="BG8" i="26"/>
  <c r="BF8" i="26"/>
  <c r="BE8" i="26"/>
  <c r="BD8" i="26"/>
  <c r="BC8" i="26"/>
  <c r="BB8" i="26"/>
  <c r="BA8" i="26"/>
  <c r="AZ8" i="26"/>
  <c r="AY8" i="26"/>
  <c r="AX8" i="26"/>
  <c r="BG7" i="26"/>
  <c r="BF7" i="26"/>
  <c r="BE7" i="26"/>
  <c r="BD7" i="26"/>
  <c r="BC7" i="26"/>
  <c r="BB7" i="26"/>
  <c r="BA7" i="26"/>
  <c r="AZ7" i="26"/>
  <c r="AY7" i="26"/>
  <c r="AX7" i="26"/>
  <c r="BG6" i="26"/>
  <c r="BF6" i="26"/>
  <c r="BE6" i="26"/>
  <c r="BD6" i="26"/>
  <c r="BC6" i="26"/>
  <c r="BB6" i="26"/>
  <c r="BA6" i="26"/>
  <c r="AZ6" i="26"/>
  <c r="AY6" i="26"/>
  <c r="AX6" i="26"/>
  <c r="BG5" i="26"/>
  <c r="BF5" i="26"/>
  <c r="BE5" i="26"/>
  <c r="BD5" i="26"/>
  <c r="BC5" i="26"/>
  <c r="BB5" i="26"/>
  <c r="BA5" i="26"/>
  <c r="AZ5" i="26"/>
  <c r="AY5" i="26"/>
  <c r="AX5" i="26"/>
  <c r="BG4" i="26"/>
  <c r="BF4" i="26"/>
  <c r="BE4" i="26"/>
  <c r="BD4" i="26"/>
  <c r="BC4" i="26"/>
  <c r="BB4" i="26"/>
  <c r="BA4" i="26"/>
  <c r="AZ4" i="26"/>
  <c r="AY4" i="26"/>
  <c r="AX4" i="26"/>
  <c r="BG43" i="27"/>
  <c r="BF43" i="27"/>
  <c r="BE43" i="27"/>
  <c r="BD43" i="27"/>
  <c r="BC43" i="27"/>
  <c r="BB43" i="27"/>
  <c r="BA43" i="27"/>
  <c r="AZ43" i="27"/>
  <c r="AY43" i="27"/>
  <c r="AX43" i="27"/>
  <c r="BG42" i="27"/>
  <c r="BF42" i="27"/>
  <c r="BE42" i="27"/>
  <c r="BD42" i="27"/>
  <c r="BC42" i="27"/>
  <c r="BB42" i="27"/>
  <c r="BA42" i="27"/>
  <c r="AZ42" i="27"/>
  <c r="AY42" i="27"/>
  <c r="AX42" i="27"/>
  <c r="BG41" i="27"/>
  <c r="BF41" i="27"/>
  <c r="BE41" i="27"/>
  <c r="BD41" i="27"/>
  <c r="BC41" i="27"/>
  <c r="BB41" i="27"/>
  <c r="BA41" i="27"/>
  <c r="AZ41" i="27"/>
  <c r="AY41" i="27"/>
  <c r="AX41" i="27"/>
  <c r="BG40" i="27"/>
  <c r="BF40" i="27"/>
  <c r="BE40" i="27"/>
  <c r="BD40" i="27"/>
  <c r="BC40" i="27"/>
  <c r="BB40" i="27"/>
  <c r="BA40" i="27"/>
  <c r="AZ40" i="27"/>
  <c r="AY40" i="27"/>
  <c r="AX40" i="27"/>
  <c r="BG39" i="27"/>
  <c r="BF39" i="27"/>
  <c r="BE39" i="27"/>
  <c r="BD39" i="27"/>
  <c r="BC39" i="27"/>
  <c r="BB39" i="27"/>
  <c r="BA39" i="27"/>
  <c r="AZ39" i="27"/>
  <c r="AY39" i="27"/>
  <c r="AX39" i="27"/>
  <c r="BG38" i="27"/>
  <c r="BF38" i="27"/>
  <c r="BE38" i="27"/>
  <c r="BD38" i="27"/>
  <c r="BC38" i="27"/>
  <c r="BB38" i="27"/>
  <c r="BA38" i="27"/>
  <c r="AZ38" i="27"/>
  <c r="AY38" i="27"/>
  <c r="AX38" i="27"/>
  <c r="BG37" i="27"/>
  <c r="BF37" i="27"/>
  <c r="BE37" i="27"/>
  <c r="BD37" i="27"/>
  <c r="BC37" i="27"/>
  <c r="BB37" i="27"/>
  <c r="BA37" i="27"/>
  <c r="AZ37" i="27"/>
  <c r="AY37" i="27"/>
  <c r="AX37" i="27"/>
  <c r="BG32" i="27"/>
  <c r="BF32" i="27"/>
  <c r="BE32" i="27"/>
  <c r="BD32" i="27"/>
  <c r="BC32" i="27"/>
  <c r="BB32" i="27"/>
  <c r="BA32" i="27"/>
  <c r="AZ32" i="27"/>
  <c r="AY32" i="27"/>
  <c r="AX32" i="27"/>
  <c r="BG31" i="27"/>
  <c r="BF31" i="27"/>
  <c r="BE31" i="27"/>
  <c r="BD31" i="27"/>
  <c r="BC31" i="27"/>
  <c r="BB31" i="27"/>
  <c r="BA31" i="27"/>
  <c r="AZ31" i="27"/>
  <c r="AY31" i="27"/>
  <c r="AX31" i="27"/>
  <c r="BG30" i="27"/>
  <c r="BF30" i="27"/>
  <c r="BE30" i="27"/>
  <c r="BD30" i="27"/>
  <c r="BC30" i="27"/>
  <c r="BB30" i="27"/>
  <c r="BA30" i="27"/>
  <c r="AZ30" i="27"/>
  <c r="AY30" i="27"/>
  <c r="AX30" i="27"/>
  <c r="BG29" i="27"/>
  <c r="BF29" i="27"/>
  <c r="BE29" i="27"/>
  <c r="BD29" i="27"/>
  <c r="BC29" i="27"/>
  <c r="BB29" i="27"/>
  <c r="BA29" i="27"/>
  <c r="AZ29" i="27"/>
  <c r="AY29" i="27"/>
  <c r="AX29" i="27"/>
  <c r="BG28" i="27"/>
  <c r="BF28" i="27"/>
  <c r="BE28" i="27"/>
  <c r="BD28" i="27"/>
  <c r="BC28" i="27"/>
  <c r="BB28" i="27"/>
  <c r="BA28" i="27"/>
  <c r="AZ28" i="27"/>
  <c r="AY28" i="27"/>
  <c r="AX28" i="27"/>
  <c r="BG27" i="27"/>
  <c r="BF27" i="27"/>
  <c r="BE27" i="27"/>
  <c r="BD27" i="27"/>
  <c r="BC27" i="27"/>
  <c r="BB27" i="27"/>
  <c r="BA27" i="27"/>
  <c r="AZ27" i="27"/>
  <c r="AY27" i="27"/>
  <c r="AX27" i="27"/>
  <c r="BG26" i="27"/>
  <c r="BF26" i="27"/>
  <c r="BE26" i="27"/>
  <c r="BD26" i="27"/>
  <c r="BC26" i="27"/>
  <c r="BB26" i="27"/>
  <c r="BA26" i="27"/>
  <c r="AZ26" i="27"/>
  <c r="AY26" i="27"/>
  <c r="AX26" i="27"/>
  <c r="BG21" i="27"/>
  <c r="BF21" i="27"/>
  <c r="BE21" i="27"/>
  <c r="BD21" i="27"/>
  <c r="BC21" i="27"/>
  <c r="BB21" i="27"/>
  <c r="BA21" i="27"/>
  <c r="AZ21" i="27"/>
  <c r="AY21" i="27"/>
  <c r="AX21" i="27"/>
  <c r="BG20" i="27"/>
  <c r="BF20" i="27"/>
  <c r="BE20" i="27"/>
  <c r="BD20" i="27"/>
  <c r="BC20" i="27"/>
  <c r="BB20" i="27"/>
  <c r="BA20" i="27"/>
  <c r="AZ20" i="27"/>
  <c r="AY20" i="27"/>
  <c r="AX20" i="27"/>
  <c r="BG19" i="27"/>
  <c r="BF19" i="27"/>
  <c r="BE19" i="27"/>
  <c r="BD19" i="27"/>
  <c r="BC19" i="27"/>
  <c r="BB19" i="27"/>
  <c r="BA19" i="27"/>
  <c r="AZ19" i="27"/>
  <c r="AY19" i="27"/>
  <c r="AX19" i="27"/>
  <c r="BG18" i="27"/>
  <c r="BF18" i="27"/>
  <c r="BE18" i="27"/>
  <c r="BD18" i="27"/>
  <c r="BC18" i="27"/>
  <c r="BB18" i="27"/>
  <c r="BA18" i="27"/>
  <c r="AZ18" i="27"/>
  <c r="AY18" i="27"/>
  <c r="AX18" i="27"/>
  <c r="BG17" i="27"/>
  <c r="BF17" i="27"/>
  <c r="BE17" i="27"/>
  <c r="BD17" i="27"/>
  <c r="BC17" i="27"/>
  <c r="BB17" i="27"/>
  <c r="BA17" i="27"/>
  <c r="AZ17" i="27"/>
  <c r="AY17" i="27"/>
  <c r="AX17" i="27"/>
  <c r="BG16" i="27"/>
  <c r="BF16" i="27"/>
  <c r="BE16" i="27"/>
  <c r="BD16" i="27"/>
  <c r="BC16" i="27"/>
  <c r="BB16" i="27"/>
  <c r="BA16" i="27"/>
  <c r="AZ16" i="27"/>
  <c r="AY16" i="27"/>
  <c r="AX16" i="27"/>
  <c r="BG15" i="27"/>
  <c r="BF15" i="27"/>
  <c r="BE15" i="27"/>
  <c r="BD15" i="27"/>
  <c r="BC15" i="27"/>
  <c r="BB15" i="27"/>
  <c r="BA15" i="27"/>
  <c r="AZ15" i="27"/>
  <c r="AY15" i="27"/>
  <c r="AX15" i="27"/>
  <c r="BG10" i="27"/>
  <c r="BF10" i="27"/>
  <c r="BE10" i="27"/>
  <c r="BD10" i="27"/>
  <c r="BC10" i="27"/>
  <c r="BB10" i="27"/>
  <c r="BA10" i="27"/>
  <c r="AZ10" i="27"/>
  <c r="AY10" i="27"/>
  <c r="AX10" i="27"/>
  <c r="BG9" i="27"/>
  <c r="BF9" i="27"/>
  <c r="BE9" i="27"/>
  <c r="BD9" i="27"/>
  <c r="BC9" i="27"/>
  <c r="BB9" i="27"/>
  <c r="BA9" i="27"/>
  <c r="AZ9" i="27"/>
  <c r="AY9" i="27"/>
  <c r="AX9" i="27"/>
  <c r="BG8" i="27"/>
  <c r="BF8" i="27"/>
  <c r="BE8" i="27"/>
  <c r="BD8" i="27"/>
  <c r="BC8" i="27"/>
  <c r="BB8" i="27"/>
  <c r="BA8" i="27"/>
  <c r="AZ8" i="27"/>
  <c r="AY8" i="27"/>
  <c r="AX8" i="27"/>
  <c r="BG7" i="27"/>
  <c r="BF7" i="27"/>
  <c r="BE7" i="27"/>
  <c r="BD7" i="27"/>
  <c r="BC7" i="27"/>
  <c r="BB7" i="27"/>
  <c r="BA7" i="27"/>
  <c r="AZ7" i="27"/>
  <c r="AY7" i="27"/>
  <c r="AX7" i="27"/>
  <c r="BG6" i="27"/>
  <c r="BF6" i="27"/>
  <c r="BE6" i="27"/>
  <c r="BD6" i="27"/>
  <c r="BC6" i="27"/>
  <c r="BB6" i="27"/>
  <c r="BA6" i="27"/>
  <c r="AZ6" i="27"/>
  <c r="AY6" i="27"/>
  <c r="AX6" i="27"/>
  <c r="BG5" i="27"/>
  <c r="BF5" i="27"/>
  <c r="BE5" i="27"/>
  <c r="BD5" i="27"/>
  <c r="BC5" i="27"/>
  <c r="BB5" i="27"/>
  <c r="BA5" i="27"/>
  <c r="AZ5" i="27"/>
  <c r="AY5" i="27"/>
  <c r="AX5" i="27"/>
  <c r="BG4" i="27"/>
  <c r="BF4" i="27"/>
  <c r="BE4" i="27"/>
  <c r="BD4" i="27"/>
  <c r="BC4" i="27"/>
  <c r="BB4" i="27"/>
  <c r="BA4" i="27"/>
  <c r="AZ4" i="27"/>
  <c r="AY4" i="27"/>
  <c r="AX4" i="27"/>
  <c r="BG43" i="28"/>
  <c r="BF43" i="28"/>
  <c r="BE43" i="28"/>
  <c r="BD43" i="28"/>
  <c r="BC43" i="28"/>
  <c r="BB43" i="28"/>
  <c r="BA43" i="28"/>
  <c r="AZ43" i="28"/>
  <c r="AY43" i="28"/>
  <c r="AX43" i="28"/>
  <c r="BG42" i="28"/>
  <c r="BF42" i="28"/>
  <c r="BE42" i="28"/>
  <c r="BD42" i="28"/>
  <c r="BC42" i="28"/>
  <c r="BB42" i="28"/>
  <c r="BA42" i="28"/>
  <c r="AZ42" i="28"/>
  <c r="AY42" i="28"/>
  <c r="AX42" i="28"/>
  <c r="BG41" i="28"/>
  <c r="BF41" i="28"/>
  <c r="BE41" i="28"/>
  <c r="BD41" i="28"/>
  <c r="BC41" i="28"/>
  <c r="BB41" i="28"/>
  <c r="BA41" i="28"/>
  <c r="AZ41" i="28"/>
  <c r="AY41" i="28"/>
  <c r="AX41" i="28"/>
  <c r="BG40" i="28"/>
  <c r="BF40" i="28"/>
  <c r="BE40" i="28"/>
  <c r="BD40" i="28"/>
  <c r="BC40" i="28"/>
  <c r="BB40" i="28"/>
  <c r="BA40" i="28"/>
  <c r="AZ40" i="28"/>
  <c r="AY40" i="28"/>
  <c r="AX40" i="28"/>
  <c r="BG39" i="28"/>
  <c r="BF39" i="28"/>
  <c r="BE39" i="28"/>
  <c r="BD39" i="28"/>
  <c r="BC39" i="28"/>
  <c r="BB39" i="28"/>
  <c r="BA39" i="28"/>
  <c r="AZ39" i="28"/>
  <c r="AY39" i="28"/>
  <c r="AX39" i="28"/>
  <c r="BG38" i="28"/>
  <c r="BF38" i="28"/>
  <c r="BE38" i="28"/>
  <c r="BD38" i="28"/>
  <c r="BC38" i="28"/>
  <c r="BB38" i="28"/>
  <c r="BA38" i="28"/>
  <c r="AZ38" i="28"/>
  <c r="AY38" i="28"/>
  <c r="AX38" i="28"/>
  <c r="BG37" i="28"/>
  <c r="BF37" i="28"/>
  <c r="BE37" i="28"/>
  <c r="BD37" i="28"/>
  <c r="BC37" i="28"/>
  <c r="BB37" i="28"/>
  <c r="BA37" i="28"/>
  <c r="AZ37" i="28"/>
  <c r="AY37" i="28"/>
  <c r="AX37" i="28"/>
  <c r="BG32" i="28"/>
  <c r="BF32" i="28"/>
  <c r="BE32" i="28"/>
  <c r="BD32" i="28"/>
  <c r="BC32" i="28"/>
  <c r="BB32" i="28"/>
  <c r="BA32" i="28"/>
  <c r="AZ32" i="28"/>
  <c r="AY32" i="28"/>
  <c r="AX32" i="28"/>
  <c r="BG31" i="28"/>
  <c r="BF31" i="28"/>
  <c r="BE31" i="28"/>
  <c r="BD31" i="28"/>
  <c r="BC31" i="28"/>
  <c r="BB31" i="28"/>
  <c r="BA31" i="28"/>
  <c r="AZ31" i="28"/>
  <c r="AY31" i="28"/>
  <c r="AX31" i="28"/>
  <c r="BG30" i="28"/>
  <c r="BF30" i="28"/>
  <c r="BE30" i="28"/>
  <c r="BD30" i="28"/>
  <c r="BC30" i="28"/>
  <c r="BB30" i="28"/>
  <c r="BA30" i="28"/>
  <c r="AZ30" i="28"/>
  <c r="AY30" i="28"/>
  <c r="AX30" i="28"/>
  <c r="BG29" i="28"/>
  <c r="BF29" i="28"/>
  <c r="BE29" i="28"/>
  <c r="BD29" i="28"/>
  <c r="BC29" i="28"/>
  <c r="BB29" i="28"/>
  <c r="BA29" i="28"/>
  <c r="AZ29" i="28"/>
  <c r="AY29" i="28"/>
  <c r="AX29" i="28"/>
  <c r="BG28" i="28"/>
  <c r="BF28" i="28"/>
  <c r="BE28" i="28"/>
  <c r="BD28" i="28"/>
  <c r="BC28" i="28"/>
  <c r="BB28" i="28"/>
  <c r="BA28" i="28"/>
  <c r="AZ28" i="28"/>
  <c r="AY28" i="28"/>
  <c r="AX28" i="28"/>
  <c r="BG27" i="28"/>
  <c r="BF27" i="28"/>
  <c r="BE27" i="28"/>
  <c r="BD27" i="28"/>
  <c r="BC27" i="28"/>
  <c r="BB27" i="28"/>
  <c r="BA27" i="28"/>
  <c r="AZ27" i="28"/>
  <c r="AY27" i="28"/>
  <c r="AX27" i="28"/>
  <c r="BG26" i="28"/>
  <c r="BF26" i="28"/>
  <c r="BE26" i="28"/>
  <c r="BD26" i="28"/>
  <c r="BC26" i="28"/>
  <c r="BB26" i="28"/>
  <c r="BA26" i="28"/>
  <c r="AZ26" i="28"/>
  <c r="AY26" i="28"/>
  <c r="AX26" i="28"/>
  <c r="BG21" i="28"/>
  <c r="BF21" i="28"/>
  <c r="BE21" i="28"/>
  <c r="BD21" i="28"/>
  <c r="BC21" i="28"/>
  <c r="BB21" i="28"/>
  <c r="BA21" i="28"/>
  <c r="AZ21" i="28"/>
  <c r="AY21" i="28"/>
  <c r="AX21" i="28"/>
  <c r="BG20" i="28"/>
  <c r="BF20" i="28"/>
  <c r="BE20" i="28"/>
  <c r="BD20" i="28"/>
  <c r="BC20" i="28"/>
  <c r="BB20" i="28"/>
  <c r="BA20" i="28"/>
  <c r="AZ20" i="28"/>
  <c r="AY20" i="28"/>
  <c r="AX20" i="28"/>
  <c r="BG19" i="28"/>
  <c r="BF19" i="28"/>
  <c r="BE19" i="28"/>
  <c r="BD19" i="28"/>
  <c r="BC19" i="28"/>
  <c r="BB19" i="28"/>
  <c r="BA19" i="28"/>
  <c r="AZ19" i="28"/>
  <c r="AY19" i="28"/>
  <c r="AX19" i="28"/>
  <c r="BG18" i="28"/>
  <c r="BF18" i="28"/>
  <c r="BE18" i="28"/>
  <c r="BD18" i="28"/>
  <c r="BC18" i="28"/>
  <c r="BB18" i="28"/>
  <c r="BA18" i="28"/>
  <c r="AZ18" i="28"/>
  <c r="AY18" i="28"/>
  <c r="AX18" i="28"/>
  <c r="BG17" i="28"/>
  <c r="BF17" i="28"/>
  <c r="BE17" i="28"/>
  <c r="BD17" i="28"/>
  <c r="BC17" i="28"/>
  <c r="BB17" i="28"/>
  <c r="BA17" i="28"/>
  <c r="AZ17" i="28"/>
  <c r="AY17" i="28"/>
  <c r="AX17" i="28"/>
  <c r="BG16" i="28"/>
  <c r="BF16" i="28"/>
  <c r="BE16" i="28"/>
  <c r="BD16" i="28"/>
  <c r="BC16" i="28"/>
  <c r="BB16" i="28"/>
  <c r="BA16" i="28"/>
  <c r="AZ16" i="28"/>
  <c r="AY16" i="28"/>
  <c r="AX16" i="28"/>
  <c r="BG15" i="28"/>
  <c r="BF15" i="28"/>
  <c r="BE15" i="28"/>
  <c r="BD15" i="28"/>
  <c r="BC15" i="28"/>
  <c r="BB15" i="28"/>
  <c r="BA15" i="28"/>
  <c r="AZ15" i="28"/>
  <c r="AY15" i="28"/>
  <c r="AX15" i="28"/>
  <c r="BG10" i="28"/>
  <c r="BF10" i="28"/>
  <c r="BE10" i="28"/>
  <c r="BD10" i="28"/>
  <c r="BC10" i="28"/>
  <c r="BB10" i="28"/>
  <c r="BA10" i="28"/>
  <c r="AZ10" i="28"/>
  <c r="AY10" i="28"/>
  <c r="AX10" i="28"/>
  <c r="BG9" i="28"/>
  <c r="BF9" i="28"/>
  <c r="BE9" i="28"/>
  <c r="BD9" i="28"/>
  <c r="BC9" i="28"/>
  <c r="BB9" i="28"/>
  <c r="BA9" i="28"/>
  <c r="AZ9" i="28"/>
  <c r="AY9" i="28"/>
  <c r="AX9" i="28"/>
  <c r="BG8" i="28"/>
  <c r="BF8" i="28"/>
  <c r="BE8" i="28"/>
  <c r="BD8" i="28"/>
  <c r="BC8" i="28"/>
  <c r="BB8" i="28"/>
  <c r="BA8" i="28"/>
  <c r="AZ8" i="28"/>
  <c r="AY8" i="28"/>
  <c r="AX8" i="28"/>
  <c r="BG7" i="28"/>
  <c r="BF7" i="28"/>
  <c r="BE7" i="28"/>
  <c r="BD7" i="28"/>
  <c r="BC7" i="28"/>
  <c r="BB7" i="28"/>
  <c r="BA7" i="28"/>
  <c r="AZ7" i="28"/>
  <c r="AY7" i="28"/>
  <c r="AX7" i="28"/>
  <c r="BG6" i="28"/>
  <c r="BF6" i="28"/>
  <c r="BE6" i="28"/>
  <c r="BD6" i="28"/>
  <c r="BC6" i="28"/>
  <c r="BB6" i="28"/>
  <c r="BA6" i="28"/>
  <c r="AZ6" i="28"/>
  <c r="AY6" i="28"/>
  <c r="AX6" i="28"/>
  <c r="BG5" i="28"/>
  <c r="BF5" i="28"/>
  <c r="BE5" i="28"/>
  <c r="BD5" i="28"/>
  <c r="BC5" i="28"/>
  <c r="BB5" i="28"/>
  <c r="BA5" i="28"/>
  <c r="AZ5" i="28"/>
  <c r="AY5" i="28"/>
  <c r="AX5" i="28"/>
  <c r="BG4" i="28"/>
  <c r="BF4" i="28"/>
  <c r="BE4" i="28"/>
  <c r="BD4" i="28"/>
  <c r="BC4" i="28"/>
  <c r="BB4" i="28"/>
  <c r="BA4" i="28"/>
  <c r="AZ4" i="28"/>
  <c r="AY4" i="28"/>
  <c r="AX4" i="28"/>
  <c r="BG43" i="29"/>
  <c r="BF43" i="29"/>
  <c r="BE43" i="29"/>
  <c r="BD43" i="29"/>
  <c r="BC43" i="29"/>
  <c r="BB43" i="29"/>
  <c r="BA43" i="29"/>
  <c r="AZ43" i="29"/>
  <c r="AY43" i="29"/>
  <c r="AX43" i="29"/>
  <c r="BG42" i="29"/>
  <c r="BF42" i="29"/>
  <c r="BE42" i="29"/>
  <c r="BD42" i="29"/>
  <c r="BC42" i="29"/>
  <c r="BB42" i="29"/>
  <c r="BA42" i="29"/>
  <c r="AZ42" i="29"/>
  <c r="AY42" i="29"/>
  <c r="AX42" i="29"/>
  <c r="BG41" i="29"/>
  <c r="BF41" i="29"/>
  <c r="BE41" i="29"/>
  <c r="BD41" i="29"/>
  <c r="BC41" i="29"/>
  <c r="BB41" i="29"/>
  <c r="BA41" i="29"/>
  <c r="AZ41" i="29"/>
  <c r="AY41" i="29"/>
  <c r="AX41" i="29"/>
  <c r="BG40" i="29"/>
  <c r="BF40" i="29"/>
  <c r="BE40" i="29"/>
  <c r="BD40" i="29"/>
  <c r="BC40" i="29"/>
  <c r="BB40" i="29"/>
  <c r="BA40" i="29"/>
  <c r="AZ40" i="29"/>
  <c r="AY40" i="29"/>
  <c r="AX40" i="29"/>
  <c r="BG39" i="29"/>
  <c r="BF39" i="29"/>
  <c r="BE39" i="29"/>
  <c r="BD39" i="29"/>
  <c r="BC39" i="29"/>
  <c r="BB39" i="29"/>
  <c r="BA39" i="29"/>
  <c r="AZ39" i="29"/>
  <c r="AY39" i="29"/>
  <c r="AX39" i="29"/>
  <c r="BG38" i="29"/>
  <c r="BF38" i="29"/>
  <c r="BE38" i="29"/>
  <c r="BD38" i="29"/>
  <c r="BC38" i="29"/>
  <c r="BB38" i="29"/>
  <c r="BA38" i="29"/>
  <c r="AZ38" i="29"/>
  <c r="AY38" i="29"/>
  <c r="AX38" i="29"/>
  <c r="BG37" i="29"/>
  <c r="BF37" i="29"/>
  <c r="BE37" i="29"/>
  <c r="BD37" i="29"/>
  <c r="BC37" i="29"/>
  <c r="BB37" i="29"/>
  <c r="BA37" i="29"/>
  <c r="AZ37" i="29"/>
  <c r="AY37" i="29"/>
  <c r="AX37" i="29"/>
  <c r="BG32" i="29"/>
  <c r="BF32" i="29"/>
  <c r="BE32" i="29"/>
  <c r="BD32" i="29"/>
  <c r="BC32" i="29"/>
  <c r="BB32" i="29"/>
  <c r="BA32" i="29"/>
  <c r="AZ32" i="29"/>
  <c r="AY32" i="29"/>
  <c r="AX32" i="29"/>
  <c r="BG31" i="29"/>
  <c r="BF31" i="29"/>
  <c r="BE31" i="29"/>
  <c r="BD31" i="29"/>
  <c r="BC31" i="29"/>
  <c r="BB31" i="29"/>
  <c r="BA31" i="29"/>
  <c r="AZ31" i="29"/>
  <c r="AY31" i="29"/>
  <c r="AX31" i="29"/>
  <c r="BG30" i="29"/>
  <c r="BF30" i="29"/>
  <c r="BE30" i="29"/>
  <c r="BD30" i="29"/>
  <c r="BC30" i="29"/>
  <c r="BB30" i="29"/>
  <c r="BA30" i="29"/>
  <c r="AZ30" i="29"/>
  <c r="AY30" i="29"/>
  <c r="AX30" i="29"/>
  <c r="BG29" i="29"/>
  <c r="BF29" i="29"/>
  <c r="BE29" i="29"/>
  <c r="BD29" i="29"/>
  <c r="BC29" i="29"/>
  <c r="BB29" i="29"/>
  <c r="BA29" i="29"/>
  <c r="AZ29" i="29"/>
  <c r="AY29" i="29"/>
  <c r="AX29" i="29"/>
  <c r="BG28" i="29"/>
  <c r="BF28" i="29"/>
  <c r="BE28" i="29"/>
  <c r="BD28" i="29"/>
  <c r="BC28" i="29"/>
  <c r="BB28" i="29"/>
  <c r="BA28" i="29"/>
  <c r="AZ28" i="29"/>
  <c r="AY28" i="29"/>
  <c r="AX28" i="29"/>
  <c r="BG27" i="29"/>
  <c r="BF27" i="29"/>
  <c r="BE27" i="29"/>
  <c r="BD27" i="29"/>
  <c r="BC27" i="29"/>
  <c r="BB27" i="29"/>
  <c r="BA27" i="29"/>
  <c r="AZ27" i="29"/>
  <c r="AY27" i="29"/>
  <c r="AX27" i="29"/>
  <c r="BG26" i="29"/>
  <c r="BF26" i="29"/>
  <c r="BE26" i="29"/>
  <c r="BD26" i="29"/>
  <c r="BC26" i="29"/>
  <c r="BB26" i="29"/>
  <c r="BA26" i="29"/>
  <c r="AZ26" i="29"/>
  <c r="AY26" i="29"/>
  <c r="AX26" i="29"/>
  <c r="BG21" i="29"/>
  <c r="BF21" i="29"/>
  <c r="BE21" i="29"/>
  <c r="BD21" i="29"/>
  <c r="BC21" i="29"/>
  <c r="BB21" i="29"/>
  <c r="BA21" i="29"/>
  <c r="AZ21" i="29"/>
  <c r="AY21" i="29"/>
  <c r="AX21" i="29"/>
  <c r="BG20" i="29"/>
  <c r="BF20" i="29"/>
  <c r="BE20" i="29"/>
  <c r="BD20" i="29"/>
  <c r="BC20" i="29"/>
  <c r="BB20" i="29"/>
  <c r="BA20" i="29"/>
  <c r="AZ20" i="29"/>
  <c r="AY20" i="29"/>
  <c r="AX20" i="29"/>
  <c r="BG19" i="29"/>
  <c r="BF19" i="29"/>
  <c r="BE19" i="29"/>
  <c r="BD19" i="29"/>
  <c r="BC19" i="29"/>
  <c r="BB19" i="29"/>
  <c r="BA19" i="29"/>
  <c r="AZ19" i="29"/>
  <c r="AY19" i="29"/>
  <c r="AX19" i="29"/>
  <c r="BG18" i="29"/>
  <c r="BF18" i="29"/>
  <c r="BE18" i="29"/>
  <c r="BD18" i="29"/>
  <c r="BC18" i="29"/>
  <c r="BB18" i="29"/>
  <c r="BA18" i="29"/>
  <c r="AZ18" i="29"/>
  <c r="AY18" i="29"/>
  <c r="AX18" i="29"/>
  <c r="BG17" i="29"/>
  <c r="BF17" i="29"/>
  <c r="BE17" i="29"/>
  <c r="BD17" i="29"/>
  <c r="BC17" i="29"/>
  <c r="BB17" i="29"/>
  <c r="BA17" i="29"/>
  <c r="AZ17" i="29"/>
  <c r="AY17" i="29"/>
  <c r="AX17" i="29"/>
  <c r="BG16" i="29"/>
  <c r="BF16" i="29"/>
  <c r="BE16" i="29"/>
  <c r="BD16" i="29"/>
  <c r="BC16" i="29"/>
  <c r="BB16" i="29"/>
  <c r="BA16" i="29"/>
  <c r="AZ16" i="29"/>
  <c r="AY16" i="29"/>
  <c r="AX16" i="29"/>
  <c r="BG15" i="29"/>
  <c r="BF15" i="29"/>
  <c r="BE15" i="29"/>
  <c r="BD15" i="29"/>
  <c r="BC15" i="29"/>
  <c r="BB15" i="29"/>
  <c r="BA15" i="29"/>
  <c r="AZ15" i="29"/>
  <c r="AY15" i="29"/>
  <c r="AX15" i="29"/>
  <c r="BG10" i="29"/>
  <c r="BF10" i="29"/>
  <c r="BE10" i="29"/>
  <c r="BD10" i="29"/>
  <c r="BC10" i="29"/>
  <c r="BB10" i="29"/>
  <c r="BA10" i="29"/>
  <c r="AZ10" i="29"/>
  <c r="AY10" i="29"/>
  <c r="AX10" i="29"/>
  <c r="BG9" i="29"/>
  <c r="BF9" i="29"/>
  <c r="BE9" i="29"/>
  <c r="BD9" i="29"/>
  <c r="BC9" i="29"/>
  <c r="BB9" i="29"/>
  <c r="BA9" i="29"/>
  <c r="AZ9" i="29"/>
  <c r="AY9" i="29"/>
  <c r="AX9" i="29"/>
  <c r="BG8" i="29"/>
  <c r="BF8" i="29"/>
  <c r="BE8" i="29"/>
  <c r="BD8" i="29"/>
  <c r="BC8" i="29"/>
  <c r="BB8" i="29"/>
  <c r="BA8" i="29"/>
  <c r="AZ8" i="29"/>
  <c r="AY8" i="29"/>
  <c r="AX8" i="29"/>
  <c r="BG7" i="29"/>
  <c r="BF7" i="29"/>
  <c r="BE7" i="29"/>
  <c r="BD7" i="29"/>
  <c r="BC7" i="29"/>
  <c r="BB7" i="29"/>
  <c r="BA7" i="29"/>
  <c r="AZ7" i="29"/>
  <c r="AY7" i="29"/>
  <c r="AX7" i="29"/>
  <c r="BG6" i="29"/>
  <c r="BF6" i="29"/>
  <c r="BE6" i="29"/>
  <c r="BD6" i="29"/>
  <c r="BC6" i="29"/>
  <c r="BB6" i="29"/>
  <c r="BA6" i="29"/>
  <c r="AZ6" i="29"/>
  <c r="AY6" i="29"/>
  <c r="AX6" i="29"/>
  <c r="BG5" i="29"/>
  <c r="BF5" i="29"/>
  <c r="BE5" i="29"/>
  <c r="BD5" i="29"/>
  <c r="BC5" i="29"/>
  <c r="BB5" i="29"/>
  <c r="BA5" i="29"/>
  <c r="AZ5" i="29"/>
  <c r="AY5" i="29"/>
  <c r="AX5" i="29"/>
  <c r="BG4" i="29"/>
  <c r="BF4" i="29"/>
  <c r="BE4" i="29"/>
  <c r="BD4" i="29"/>
  <c r="BC4" i="29"/>
  <c r="BB4" i="29"/>
  <c r="BA4" i="29"/>
  <c r="AZ4" i="29"/>
  <c r="AY4" i="29"/>
  <c r="AX4" i="29"/>
  <c r="BG43" i="30"/>
  <c r="BF43" i="30"/>
  <c r="BE43" i="30"/>
  <c r="BD43" i="30"/>
  <c r="BC43" i="30"/>
  <c r="BB43" i="30"/>
  <c r="BA43" i="30"/>
  <c r="AZ43" i="30"/>
  <c r="AY43" i="30"/>
  <c r="AX43" i="30"/>
  <c r="BG42" i="30"/>
  <c r="BF42" i="30"/>
  <c r="BE42" i="30"/>
  <c r="BD42" i="30"/>
  <c r="BC42" i="30"/>
  <c r="BB42" i="30"/>
  <c r="BA42" i="30"/>
  <c r="AZ42" i="30"/>
  <c r="AY42" i="30"/>
  <c r="AX42" i="30"/>
  <c r="BG41" i="30"/>
  <c r="BF41" i="30"/>
  <c r="BE41" i="30"/>
  <c r="BD41" i="30"/>
  <c r="BC41" i="30"/>
  <c r="BB41" i="30"/>
  <c r="BA41" i="30"/>
  <c r="AZ41" i="30"/>
  <c r="AY41" i="30"/>
  <c r="AX41" i="30"/>
  <c r="BG40" i="30"/>
  <c r="BF40" i="30"/>
  <c r="BE40" i="30"/>
  <c r="BD40" i="30"/>
  <c r="BC40" i="30"/>
  <c r="BB40" i="30"/>
  <c r="BA40" i="30"/>
  <c r="AZ40" i="30"/>
  <c r="AY40" i="30"/>
  <c r="AX40" i="30"/>
  <c r="BG39" i="30"/>
  <c r="BF39" i="30"/>
  <c r="BE39" i="30"/>
  <c r="BD39" i="30"/>
  <c r="BC39" i="30"/>
  <c r="BB39" i="30"/>
  <c r="BA39" i="30"/>
  <c r="AZ39" i="30"/>
  <c r="AY39" i="30"/>
  <c r="AX39" i="30"/>
  <c r="BG38" i="30"/>
  <c r="BF38" i="30"/>
  <c r="BE38" i="30"/>
  <c r="BD38" i="30"/>
  <c r="BC38" i="30"/>
  <c r="BB38" i="30"/>
  <c r="BA38" i="30"/>
  <c r="AZ38" i="30"/>
  <c r="AY38" i="30"/>
  <c r="AX38" i="30"/>
  <c r="BG37" i="30"/>
  <c r="BF37" i="30"/>
  <c r="BE37" i="30"/>
  <c r="BD37" i="30"/>
  <c r="BC37" i="30"/>
  <c r="BB37" i="30"/>
  <c r="BA37" i="30"/>
  <c r="AZ37" i="30"/>
  <c r="AY37" i="30"/>
  <c r="AX37" i="30"/>
  <c r="BG32" i="30"/>
  <c r="BF32" i="30"/>
  <c r="BE32" i="30"/>
  <c r="BD32" i="30"/>
  <c r="BC32" i="30"/>
  <c r="BB32" i="30"/>
  <c r="BA32" i="30"/>
  <c r="AZ32" i="30"/>
  <c r="AY32" i="30"/>
  <c r="AX32" i="30"/>
  <c r="BG31" i="30"/>
  <c r="BF31" i="30"/>
  <c r="BE31" i="30"/>
  <c r="BD31" i="30"/>
  <c r="BC31" i="30"/>
  <c r="BB31" i="30"/>
  <c r="BA31" i="30"/>
  <c r="AZ31" i="30"/>
  <c r="AY31" i="30"/>
  <c r="AX31" i="30"/>
  <c r="BG30" i="30"/>
  <c r="BF30" i="30"/>
  <c r="BE30" i="30"/>
  <c r="BD30" i="30"/>
  <c r="BC30" i="30"/>
  <c r="BB30" i="30"/>
  <c r="BA30" i="30"/>
  <c r="AZ30" i="30"/>
  <c r="AY30" i="30"/>
  <c r="AX30" i="30"/>
  <c r="BG29" i="30"/>
  <c r="BF29" i="30"/>
  <c r="BE29" i="30"/>
  <c r="BD29" i="30"/>
  <c r="BC29" i="30"/>
  <c r="BB29" i="30"/>
  <c r="BA29" i="30"/>
  <c r="AZ29" i="30"/>
  <c r="AY29" i="30"/>
  <c r="AX29" i="30"/>
  <c r="BG28" i="30"/>
  <c r="BF28" i="30"/>
  <c r="BE28" i="30"/>
  <c r="BD28" i="30"/>
  <c r="BC28" i="30"/>
  <c r="BB28" i="30"/>
  <c r="BA28" i="30"/>
  <c r="AZ28" i="30"/>
  <c r="AY28" i="30"/>
  <c r="AX28" i="30"/>
  <c r="BG27" i="30"/>
  <c r="BF27" i="30"/>
  <c r="BE27" i="30"/>
  <c r="BD27" i="30"/>
  <c r="BC27" i="30"/>
  <c r="BB27" i="30"/>
  <c r="BA27" i="30"/>
  <c r="AZ27" i="30"/>
  <c r="AY27" i="30"/>
  <c r="AX27" i="30"/>
  <c r="BG26" i="30"/>
  <c r="BF26" i="30"/>
  <c r="BE26" i="30"/>
  <c r="BD26" i="30"/>
  <c r="BC26" i="30"/>
  <c r="BB26" i="30"/>
  <c r="BA26" i="30"/>
  <c r="AZ26" i="30"/>
  <c r="AY26" i="30"/>
  <c r="AX26" i="30"/>
  <c r="BG21" i="30"/>
  <c r="BF21" i="30"/>
  <c r="BE21" i="30"/>
  <c r="BD21" i="30"/>
  <c r="BC21" i="30"/>
  <c r="BB21" i="30"/>
  <c r="BA21" i="30"/>
  <c r="AZ21" i="30"/>
  <c r="AY21" i="30"/>
  <c r="AX21" i="30"/>
  <c r="BG20" i="30"/>
  <c r="BF20" i="30"/>
  <c r="BE20" i="30"/>
  <c r="BD20" i="30"/>
  <c r="BC20" i="30"/>
  <c r="BB20" i="30"/>
  <c r="BA20" i="30"/>
  <c r="AZ20" i="30"/>
  <c r="AY20" i="30"/>
  <c r="AX20" i="30"/>
  <c r="BG19" i="30"/>
  <c r="BF19" i="30"/>
  <c r="BE19" i="30"/>
  <c r="BD19" i="30"/>
  <c r="BC19" i="30"/>
  <c r="BB19" i="30"/>
  <c r="BA19" i="30"/>
  <c r="AZ19" i="30"/>
  <c r="AY19" i="30"/>
  <c r="AX19" i="30"/>
  <c r="BG18" i="30"/>
  <c r="BF18" i="30"/>
  <c r="BE18" i="30"/>
  <c r="BD18" i="30"/>
  <c r="BC18" i="30"/>
  <c r="BB18" i="30"/>
  <c r="BA18" i="30"/>
  <c r="AZ18" i="30"/>
  <c r="AY18" i="30"/>
  <c r="AX18" i="30"/>
  <c r="BG17" i="30"/>
  <c r="BF17" i="30"/>
  <c r="BE17" i="30"/>
  <c r="BD17" i="30"/>
  <c r="BC17" i="30"/>
  <c r="BB17" i="30"/>
  <c r="BA17" i="30"/>
  <c r="AZ17" i="30"/>
  <c r="AY17" i="30"/>
  <c r="AX17" i="30"/>
  <c r="BG16" i="30"/>
  <c r="BF16" i="30"/>
  <c r="BE16" i="30"/>
  <c r="BD16" i="30"/>
  <c r="BC16" i="30"/>
  <c r="BB16" i="30"/>
  <c r="BA16" i="30"/>
  <c r="AZ16" i="30"/>
  <c r="AY16" i="30"/>
  <c r="AX16" i="30"/>
  <c r="BG15" i="30"/>
  <c r="BF15" i="30"/>
  <c r="BE15" i="30"/>
  <c r="BD15" i="30"/>
  <c r="BC15" i="30"/>
  <c r="BB15" i="30"/>
  <c r="BA15" i="30"/>
  <c r="AZ15" i="30"/>
  <c r="AY15" i="30"/>
  <c r="AX15" i="30"/>
  <c r="BG10" i="30"/>
  <c r="BF10" i="30"/>
  <c r="BE10" i="30"/>
  <c r="BD10" i="30"/>
  <c r="BC10" i="30"/>
  <c r="BB10" i="30"/>
  <c r="BA10" i="30"/>
  <c r="AZ10" i="30"/>
  <c r="AY10" i="30"/>
  <c r="AX10" i="30"/>
  <c r="BG9" i="30"/>
  <c r="BF9" i="30"/>
  <c r="BE9" i="30"/>
  <c r="BD9" i="30"/>
  <c r="BC9" i="30"/>
  <c r="BB9" i="30"/>
  <c r="BA9" i="30"/>
  <c r="AZ9" i="30"/>
  <c r="AY9" i="30"/>
  <c r="AX9" i="30"/>
  <c r="BG8" i="30"/>
  <c r="BF8" i="30"/>
  <c r="BE8" i="30"/>
  <c r="BD8" i="30"/>
  <c r="BC8" i="30"/>
  <c r="BB8" i="30"/>
  <c r="BA8" i="30"/>
  <c r="AZ8" i="30"/>
  <c r="AY8" i="30"/>
  <c r="AX8" i="30"/>
  <c r="BG7" i="30"/>
  <c r="BF7" i="30"/>
  <c r="BE7" i="30"/>
  <c r="BD7" i="30"/>
  <c r="BC7" i="30"/>
  <c r="BB7" i="30"/>
  <c r="BA7" i="30"/>
  <c r="AZ7" i="30"/>
  <c r="AY7" i="30"/>
  <c r="AX7" i="30"/>
  <c r="BG6" i="30"/>
  <c r="BF6" i="30"/>
  <c r="BE6" i="30"/>
  <c r="BD6" i="30"/>
  <c r="BC6" i="30"/>
  <c r="BB6" i="30"/>
  <c r="BA6" i="30"/>
  <c r="AZ6" i="30"/>
  <c r="AY6" i="30"/>
  <c r="AX6" i="30"/>
  <c r="BG5" i="30"/>
  <c r="BF5" i="30"/>
  <c r="BE5" i="30"/>
  <c r="BD5" i="30"/>
  <c r="BC5" i="30"/>
  <c r="BB5" i="30"/>
  <c r="BA5" i="30"/>
  <c r="AZ5" i="30"/>
  <c r="AY5" i="30"/>
  <c r="AX5" i="30"/>
  <c r="BG4" i="30"/>
  <c r="BF4" i="30"/>
  <c r="BE4" i="30"/>
  <c r="BD4" i="30"/>
  <c r="BC4" i="30"/>
  <c r="BB4" i="30"/>
  <c r="BA4" i="30"/>
  <c r="AZ4" i="30"/>
  <c r="AY4" i="30"/>
  <c r="AX4" i="30"/>
  <c r="BG43" i="31"/>
  <c r="BF43" i="31"/>
  <c r="BE43" i="31"/>
  <c r="BD43" i="31"/>
  <c r="BC43" i="31"/>
  <c r="BB43" i="31"/>
  <c r="BA43" i="31"/>
  <c r="AZ43" i="31"/>
  <c r="AY43" i="31"/>
  <c r="AX43" i="31"/>
  <c r="BG42" i="31"/>
  <c r="BF42" i="31"/>
  <c r="BE42" i="31"/>
  <c r="BD42" i="31"/>
  <c r="BC42" i="31"/>
  <c r="BB42" i="31"/>
  <c r="BA42" i="31"/>
  <c r="AZ42" i="31"/>
  <c r="AY42" i="31"/>
  <c r="AX42" i="31"/>
  <c r="BG41" i="31"/>
  <c r="BF41" i="31"/>
  <c r="BE41" i="31"/>
  <c r="BD41" i="31"/>
  <c r="BC41" i="31"/>
  <c r="BB41" i="31"/>
  <c r="BA41" i="31"/>
  <c r="AZ41" i="31"/>
  <c r="AY41" i="31"/>
  <c r="AX41" i="31"/>
  <c r="BG40" i="31"/>
  <c r="BF40" i="31"/>
  <c r="BE40" i="31"/>
  <c r="BD40" i="31"/>
  <c r="BC40" i="31"/>
  <c r="BB40" i="31"/>
  <c r="BA40" i="31"/>
  <c r="AZ40" i="31"/>
  <c r="AY40" i="31"/>
  <c r="AX40" i="31"/>
  <c r="BG39" i="31"/>
  <c r="BF39" i="31"/>
  <c r="BE39" i="31"/>
  <c r="BD39" i="31"/>
  <c r="BC39" i="31"/>
  <c r="BB39" i="31"/>
  <c r="BA39" i="31"/>
  <c r="AZ39" i="31"/>
  <c r="AY39" i="31"/>
  <c r="AX39" i="31"/>
  <c r="BG38" i="31"/>
  <c r="BF38" i="31"/>
  <c r="BE38" i="31"/>
  <c r="BD38" i="31"/>
  <c r="BC38" i="31"/>
  <c r="BB38" i="31"/>
  <c r="BA38" i="31"/>
  <c r="AZ38" i="31"/>
  <c r="AY38" i="31"/>
  <c r="AX38" i="31"/>
  <c r="BG37" i="31"/>
  <c r="BF37" i="31"/>
  <c r="BE37" i="31"/>
  <c r="BD37" i="31"/>
  <c r="BC37" i="31"/>
  <c r="BB37" i="31"/>
  <c r="BA37" i="31"/>
  <c r="AZ37" i="31"/>
  <c r="AY37" i="31"/>
  <c r="AX37" i="31"/>
  <c r="BG32" i="31"/>
  <c r="BF32" i="31"/>
  <c r="BE32" i="31"/>
  <c r="BD32" i="31"/>
  <c r="BC32" i="31"/>
  <c r="BB32" i="31"/>
  <c r="BA32" i="31"/>
  <c r="AZ32" i="31"/>
  <c r="AY32" i="31"/>
  <c r="AX32" i="31"/>
  <c r="BG31" i="31"/>
  <c r="BF31" i="31"/>
  <c r="BE31" i="31"/>
  <c r="BD31" i="31"/>
  <c r="BC31" i="31"/>
  <c r="BB31" i="31"/>
  <c r="BA31" i="31"/>
  <c r="AZ31" i="31"/>
  <c r="AY31" i="31"/>
  <c r="AX31" i="31"/>
  <c r="BG30" i="31"/>
  <c r="BF30" i="31"/>
  <c r="BE30" i="31"/>
  <c r="BD30" i="31"/>
  <c r="BC30" i="31"/>
  <c r="BB30" i="31"/>
  <c r="BA30" i="31"/>
  <c r="AZ30" i="31"/>
  <c r="AY30" i="31"/>
  <c r="AX30" i="31"/>
  <c r="BG29" i="31"/>
  <c r="BF29" i="31"/>
  <c r="BE29" i="31"/>
  <c r="BD29" i="31"/>
  <c r="BC29" i="31"/>
  <c r="BB29" i="31"/>
  <c r="BA29" i="31"/>
  <c r="AZ29" i="31"/>
  <c r="AY29" i="31"/>
  <c r="AX29" i="31"/>
  <c r="BG28" i="31"/>
  <c r="BF28" i="31"/>
  <c r="BE28" i="31"/>
  <c r="BD28" i="31"/>
  <c r="BC28" i="31"/>
  <c r="BB28" i="31"/>
  <c r="BA28" i="31"/>
  <c r="AZ28" i="31"/>
  <c r="AY28" i="31"/>
  <c r="AX28" i="31"/>
  <c r="BG27" i="31"/>
  <c r="BF27" i="31"/>
  <c r="BE27" i="31"/>
  <c r="BD27" i="31"/>
  <c r="BC27" i="31"/>
  <c r="BB27" i="31"/>
  <c r="BA27" i="31"/>
  <c r="AZ27" i="31"/>
  <c r="AY27" i="31"/>
  <c r="AX27" i="31"/>
  <c r="BG26" i="31"/>
  <c r="BF26" i="31"/>
  <c r="BE26" i="31"/>
  <c r="BD26" i="31"/>
  <c r="BC26" i="31"/>
  <c r="BB26" i="31"/>
  <c r="BA26" i="31"/>
  <c r="AZ26" i="31"/>
  <c r="AY26" i="31"/>
  <c r="AX26" i="31"/>
  <c r="BG21" i="31"/>
  <c r="BF21" i="31"/>
  <c r="BE21" i="31"/>
  <c r="BD21" i="31"/>
  <c r="BC21" i="31"/>
  <c r="BB21" i="31"/>
  <c r="BA21" i="31"/>
  <c r="AZ21" i="31"/>
  <c r="AY21" i="31"/>
  <c r="AX21" i="31"/>
  <c r="BG20" i="31"/>
  <c r="BF20" i="31"/>
  <c r="BE20" i="31"/>
  <c r="BD20" i="31"/>
  <c r="BC20" i="31"/>
  <c r="BB20" i="31"/>
  <c r="BA20" i="31"/>
  <c r="AZ20" i="31"/>
  <c r="AY20" i="31"/>
  <c r="AX20" i="31"/>
  <c r="BG19" i="31"/>
  <c r="BF19" i="31"/>
  <c r="BE19" i="31"/>
  <c r="BD19" i="31"/>
  <c r="BC19" i="31"/>
  <c r="BB19" i="31"/>
  <c r="BA19" i="31"/>
  <c r="AZ19" i="31"/>
  <c r="AY19" i="31"/>
  <c r="AX19" i="31"/>
  <c r="BG18" i="31"/>
  <c r="BF18" i="31"/>
  <c r="BE18" i="31"/>
  <c r="BD18" i="31"/>
  <c r="BC18" i="31"/>
  <c r="BB18" i="31"/>
  <c r="BA18" i="31"/>
  <c r="AZ18" i="31"/>
  <c r="AY18" i="31"/>
  <c r="AX18" i="31"/>
  <c r="BG17" i="31"/>
  <c r="BF17" i="31"/>
  <c r="BE17" i="31"/>
  <c r="BD17" i="31"/>
  <c r="BC17" i="31"/>
  <c r="BB17" i="31"/>
  <c r="BA17" i="31"/>
  <c r="AZ17" i="31"/>
  <c r="AY17" i="31"/>
  <c r="AX17" i="31"/>
  <c r="BG16" i="31"/>
  <c r="BF16" i="31"/>
  <c r="BE16" i="31"/>
  <c r="BD16" i="31"/>
  <c r="BC16" i="31"/>
  <c r="BB16" i="31"/>
  <c r="BA16" i="31"/>
  <c r="AZ16" i="31"/>
  <c r="AY16" i="31"/>
  <c r="AX16" i="31"/>
  <c r="BG15" i="31"/>
  <c r="BF15" i="31"/>
  <c r="BE15" i="31"/>
  <c r="BD15" i="31"/>
  <c r="BC15" i="31"/>
  <c r="BB15" i="31"/>
  <c r="BA15" i="31"/>
  <c r="AZ15" i="31"/>
  <c r="AY15" i="31"/>
  <c r="AX15" i="31"/>
  <c r="BG10" i="31"/>
  <c r="BF10" i="31"/>
  <c r="BE10" i="31"/>
  <c r="BD10" i="31"/>
  <c r="BC10" i="31"/>
  <c r="BB10" i="31"/>
  <c r="BA10" i="31"/>
  <c r="AZ10" i="31"/>
  <c r="AY10" i="31"/>
  <c r="AX10" i="31"/>
  <c r="BG9" i="31"/>
  <c r="BF9" i="31"/>
  <c r="BE9" i="31"/>
  <c r="BD9" i="31"/>
  <c r="BC9" i="31"/>
  <c r="BB9" i="31"/>
  <c r="BA9" i="31"/>
  <c r="AZ9" i="31"/>
  <c r="AY9" i="31"/>
  <c r="AX9" i="31"/>
  <c r="BG8" i="31"/>
  <c r="BF8" i="31"/>
  <c r="BE8" i="31"/>
  <c r="BD8" i="31"/>
  <c r="BC8" i="31"/>
  <c r="BB8" i="31"/>
  <c r="BA8" i="31"/>
  <c r="AZ8" i="31"/>
  <c r="AY8" i="31"/>
  <c r="AX8" i="31"/>
  <c r="BG7" i="31"/>
  <c r="BF7" i="31"/>
  <c r="BE7" i="31"/>
  <c r="BD7" i="31"/>
  <c r="BC7" i="31"/>
  <c r="BB7" i="31"/>
  <c r="BA7" i="31"/>
  <c r="AZ7" i="31"/>
  <c r="AY7" i="31"/>
  <c r="AX7" i="31"/>
  <c r="BG6" i="31"/>
  <c r="BF6" i="31"/>
  <c r="BE6" i="31"/>
  <c r="BD6" i="31"/>
  <c r="BC6" i="31"/>
  <c r="BB6" i="31"/>
  <c r="BA6" i="31"/>
  <c r="AZ6" i="31"/>
  <c r="AY6" i="31"/>
  <c r="AX6" i="31"/>
  <c r="BG5" i="31"/>
  <c r="BF5" i="31"/>
  <c r="BE5" i="31"/>
  <c r="BD5" i="31"/>
  <c r="BC5" i="31"/>
  <c r="BB5" i="31"/>
  <c r="BA5" i="31"/>
  <c r="AZ5" i="31"/>
  <c r="AY5" i="31"/>
  <c r="AX5" i="31"/>
  <c r="BG4" i="31"/>
  <c r="BF4" i="31"/>
  <c r="BE4" i="31"/>
  <c r="BD4" i="31"/>
  <c r="BC4" i="31"/>
  <c r="BB4" i="31"/>
  <c r="BA4" i="31"/>
  <c r="AZ4" i="31"/>
  <c r="AY4" i="31"/>
  <c r="AX4" i="31"/>
  <c r="BG43" i="32"/>
  <c r="BF43" i="32"/>
  <c r="BE43" i="32"/>
  <c r="BD43" i="32"/>
  <c r="BC43" i="32"/>
  <c r="BB43" i="32"/>
  <c r="BA43" i="32"/>
  <c r="AZ43" i="32"/>
  <c r="AY43" i="32"/>
  <c r="AX43" i="32"/>
  <c r="BG42" i="32"/>
  <c r="BF42" i="32"/>
  <c r="BE42" i="32"/>
  <c r="BD42" i="32"/>
  <c r="BC42" i="32"/>
  <c r="BB42" i="32"/>
  <c r="BA42" i="32"/>
  <c r="AZ42" i="32"/>
  <c r="AY42" i="32"/>
  <c r="AX42" i="32"/>
  <c r="BG41" i="32"/>
  <c r="BF41" i="32"/>
  <c r="BE41" i="32"/>
  <c r="BD41" i="32"/>
  <c r="BC41" i="32"/>
  <c r="BB41" i="32"/>
  <c r="BA41" i="32"/>
  <c r="AZ41" i="32"/>
  <c r="AY41" i="32"/>
  <c r="AX41" i="32"/>
  <c r="BG40" i="32"/>
  <c r="BF40" i="32"/>
  <c r="BE40" i="32"/>
  <c r="BD40" i="32"/>
  <c r="BC40" i="32"/>
  <c r="BB40" i="32"/>
  <c r="BA40" i="32"/>
  <c r="AZ40" i="32"/>
  <c r="AY40" i="32"/>
  <c r="AX40" i="32"/>
  <c r="BG39" i="32"/>
  <c r="BF39" i="32"/>
  <c r="BE39" i="32"/>
  <c r="BD39" i="32"/>
  <c r="BC39" i="32"/>
  <c r="BB39" i="32"/>
  <c r="BA39" i="32"/>
  <c r="AZ39" i="32"/>
  <c r="AY39" i="32"/>
  <c r="AX39" i="32"/>
  <c r="BG38" i="32"/>
  <c r="BF38" i="32"/>
  <c r="BE38" i="32"/>
  <c r="BD38" i="32"/>
  <c r="BC38" i="32"/>
  <c r="BB38" i="32"/>
  <c r="BA38" i="32"/>
  <c r="AZ38" i="32"/>
  <c r="AY38" i="32"/>
  <c r="AX38" i="32"/>
  <c r="BG37" i="32"/>
  <c r="BF37" i="32"/>
  <c r="BE37" i="32"/>
  <c r="BD37" i="32"/>
  <c r="BC37" i="32"/>
  <c r="BB37" i="32"/>
  <c r="BA37" i="32"/>
  <c r="AZ37" i="32"/>
  <c r="AY37" i="32"/>
  <c r="AX37" i="32"/>
  <c r="BG32" i="32"/>
  <c r="BF32" i="32"/>
  <c r="BE32" i="32"/>
  <c r="BD32" i="32"/>
  <c r="BC32" i="32"/>
  <c r="BB32" i="32"/>
  <c r="BA32" i="32"/>
  <c r="AZ32" i="32"/>
  <c r="AY32" i="32"/>
  <c r="AX32" i="32"/>
  <c r="BG31" i="32"/>
  <c r="BF31" i="32"/>
  <c r="BE31" i="32"/>
  <c r="BD31" i="32"/>
  <c r="BC31" i="32"/>
  <c r="BB31" i="32"/>
  <c r="BA31" i="32"/>
  <c r="AZ31" i="32"/>
  <c r="AY31" i="32"/>
  <c r="AX31" i="32"/>
  <c r="BG30" i="32"/>
  <c r="BF30" i="32"/>
  <c r="BE30" i="32"/>
  <c r="BD30" i="32"/>
  <c r="BC30" i="32"/>
  <c r="BB30" i="32"/>
  <c r="BA30" i="32"/>
  <c r="AZ30" i="32"/>
  <c r="AY30" i="32"/>
  <c r="AX30" i="32"/>
  <c r="BG29" i="32"/>
  <c r="BF29" i="32"/>
  <c r="BE29" i="32"/>
  <c r="BD29" i="32"/>
  <c r="BC29" i="32"/>
  <c r="BB29" i="32"/>
  <c r="BA29" i="32"/>
  <c r="AZ29" i="32"/>
  <c r="AY29" i="32"/>
  <c r="AX29" i="32"/>
  <c r="BG28" i="32"/>
  <c r="BF28" i="32"/>
  <c r="BE28" i="32"/>
  <c r="BD28" i="32"/>
  <c r="BC28" i="32"/>
  <c r="BB28" i="32"/>
  <c r="BA28" i="32"/>
  <c r="AZ28" i="32"/>
  <c r="AY28" i="32"/>
  <c r="AX28" i="32"/>
  <c r="BG27" i="32"/>
  <c r="BF27" i="32"/>
  <c r="BE27" i="32"/>
  <c r="BD27" i="32"/>
  <c r="BC27" i="32"/>
  <c r="BB27" i="32"/>
  <c r="BA27" i="32"/>
  <c r="AZ27" i="32"/>
  <c r="AY27" i="32"/>
  <c r="AX27" i="32"/>
  <c r="BG26" i="32"/>
  <c r="BF26" i="32"/>
  <c r="BE26" i="32"/>
  <c r="BD26" i="32"/>
  <c r="BC26" i="32"/>
  <c r="BB26" i="32"/>
  <c r="BA26" i="32"/>
  <c r="AZ26" i="32"/>
  <c r="AY26" i="32"/>
  <c r="AX26" i="32"/>
  <c r="BG21" i="32"/>
  <c r="BF21" i="32"/>
  <c r="BE21" i="32"/>
  <c r="BD21" i="32"/>
  <c r="BC21" i="32"/>
  <c r="BB21" i="32"/>
  <c r="BA21" i="32"/>
  <c r="AZ21" i="32"/>
  <c r="AY21" i="32"/>
  <c r="AX21" i="32"/>
  <c r="BG20" i="32"/>
  <c r="BF20" i="32"/>
  <c r="BE20" i="32"/>
  <c r="BD20" i="32"/>
  <c r="BC20" i="32"/>
  <c r="BB20" i="32"/>
  <c r="BA20" i="32"/>
  <c r="AZ20" i="32"/>
  <c r="AY20" i="32"/>
  <c r="AX20" i="32"/>
  <c r="BG19" i="32"/>
  <c r="BF19" i="32"/>
  <c r="BE19" i="32"/>
  <c r="BD19" i="32"/>
  <c r="BC19" i="32"/>
  <c r="BB19" i="32"/>
  <c r="BA19" i="32"/>
  <c r="AZ19" i="32"/>
  <c r="AY19" i="32"/>
  <c r="AX19" i="32"/>
  <c r="BG18" i="32"/>
  <c r="BF18" i="32"/>
  <c r="BE18" i="32"/>
  <c r="BD18" i="32"/>
  <c r="BC18" i="32"/>
  <c r="BB18" i="32"/>
  <c r="BA18" i="32"/>
  <c r="AZ18" i="32"/>
  <c r="AY18" i="32"/>
  <c r="AX18" i="32"/>
  <c r="BG17" i="32"/>
  <c r="BF17" i="32"/>
  <c r="BE17" i="32"/>
  <c r="BD17" i="32"/>
  <c r="BC17" i="32"/>
  <c r="BB17" i="32"/>
  <c r="BA17" i="32"/>
  <c r="AZ17" i="32"/>
  <c r="AY17" i="32"/>
  <c r="AX17" i="32"/>
  <c r="BG16" i="32"/>
  <c r="BF16" i="32"/>
  <c r="BE16" i="32"/>
  <c r="BD16" i="32"/>
  <c r="BC16" i="32"/>
  <c r="BB16" i="32"/>
  <c r="BA16" i="32"/>
  <c r="AZ16" i="32"/>
  <c r="AY16" i="32"/>
  <c r="AX16" i="32"/>
  <c r="BG15" i="32"/>
  <c r="BF15" i="32"/>
  <c r="BE15" i="32"/>
  <c r="BD15" i="32"/>
  <c r="BC15" i="32"/>
  <c r="BB15" i="32"/>
  <c r="BA15" i="32"/>
  <c r="AZ15" i="32"/>
  <c r="AY15" i="32"/>
  <c r="AX15" i="32"/>
  <c r="BG10" i="32"/>
  <c r="BF10" i="32"/>
  <c r="BE10" i="32"/>
  <c r="BD10" i="32"/>
  <c r="BC10" i="32"/>
  <c r="BB10" i="32"/>
  <c r="BA10" i="32"/>
  <c r="AZ10" i="32"/>
  <c r="AY10" i="32"/>
  <c r="AX10" i="32"/>
  <c r="BG9" i="32"/>
  <c r="BF9" i="32"/>
  <c r="BE9" i="32"/>
  <c r="BD9" i="32"/>
  <c r="BC9" i="32"/>
  <c r="BB9" i="32"/>
  <c r="BA9" i="32"/>
  <c r="AZ9" i="32"/>
  <c r="AY9" i="32"/>
  <c r="AX9" i="32"/>
  <c r="BG8" i="32"/>
  <c r="BF8" i="32"/>
  <c r="BE8" i="32"/>
  <c r="BD8" i="32"/>
  <c r="BC8" i="32"/>
  <c r="BB8" i="32"/>
  <c r="BA8" i="32"/>
  <c r="AZ8" i="32"/>
  <c r="AY8" i="32"/>
  <c r="AX8" i="32"/>
  <c r="BG7" i="32"/>
  <c r="BF7" i="32"/>
  <c r="BE7" i="32"/>
  <c r="BD7" i="32"/>
  <c r="BC7" i="32"/>
  <c r="BB7" i="32"/>
  <c r="BA7" i="32"/>
  <c r="AZ7" i="32"/>
  <c r="AY7" i="32"/>
  <c r="AX7" i="32"/>
  <c r="BG6" i="32"/>
  <c r="BF6" i="32"/>
  <c r="BE6" i="32"/>
  <c r="BD6" i="32"/>
  <c r="BC6" i="32"/>
  <c r="BB6" i="32"/>
  <c r="BA6" i="32"/>
  <c r="AZ6" i="32"/>
  <c r="AY6" i="32"/>
  <c r="AX6" i="32"/>
  <c r="BG5" i="32"/>
  <c r="BF5" i="32"/>
  <c r="BE5" i="32"/>
  <c r="BD5" i="32"/>
  <c r="BC5" i="32"/>
  <c r="BB5" i="32"/>
  <c r="BA5" i="32"/>
  <c r="AZ5" i="32"/>
  <c r="AY5" i="32"/>
  <c r="AX5" i="32"/>
  <c r="BG4" i="32"/>
  <c r="BF4" i="32"/>
  <c r="BE4" i="32"/>
  <c r="BD4" i="32"/>
  <c r="BC4" i="32"/>
  <c r="BB4" i="32"/>
  <c r="BA4" i="32"/>
  <c r="AZ4" i="32"/>
  <c r="AY4" i="32"/>
  <c r="AX4" i="32"/>
  <c r="BG43" i="33"/>
  <c r="BF43" i="33"/>
  <c r="BE43" i="33"/>
  <c r="BD43" i="33"/>
  <c r="BC43" i="33"/>
  <c r="BB43" i="33"/>
  <c r="BA43" i="33"/>
  <c r="AZ43" i="33"/>
  <c r="AY43" i="33"/>
  <c r="AX43" i="33"/>
  <c r="BG42" i="33"/>
  <c r="BF42" i="33"/>
  <c r="BE42" i="33"/>
  <c r="BD42" i="33"/>
  <c r="BC42" i="33"/>
  <c r="BB42" i="33"/>
  <c r="BA42" i="33"/>
  <c r="AZ42" i="33"/>
  <c r="AY42" i="33"/>
  <c r="AX42" i="33"/>
  <c r="BG41" i="33"/>
  <c r="BF41" i="33"/>
  <c r="BE41" i="33"/>
  <c r="BD41" i="33"/>
  <c r="BC41" i="33"/>
  <c r="BB41" i="33"/>
  <c r="BA41" i="33"/>
  <c r="AZ41" i="33"/>
  <c r="AY41" i="33"/>
  <c r="AX41" i="33"/>
  <c r="BG40" i="33"/>
  <c r="BF40" i="33"/>
  <c r="BE40" i="33"/>
  <c r="BD40" i="33"/>
  <c r="BC40" i="33"/>
  <c r="BB40" i="33"/>
  <c r="BA40" i="33"/>
  <c r="AZ40" i="33"/>
  <c r="AY40" i="33"/>
  <c r="AX40" i="33"/>
  <c r="BG39" i="33"/>
  <c r="BF39" i="33"/>
  <c r="BE39" i="33"/>
  <c r="BD39" i="33"/>
  <c r="BC39" i="33"/>
  <c r="BB39" i="33"/>
  <c r="BA39" i="33"/>
  <c r="AZ39" i="33"/>
  <c r="AY39" i="33"/>
  <c r="AX39" i="33"/>
  <c r="BG38" i="33"/>
  <c r="BF38" i="33"/>
  <c r="BE38" i="33"/>
  <c r="BD38" i="33"/>
  <c r="BC38" i="33"/>
  <c r="BB38" i="33"/>
  <c r="BA38" i="33"/>
  <c r="AZ38" i="33"/>
  <c r="AY38" i="33"/>
  <c r="AX38" i="33"/>
  <c r="BG37" i="33"/>
  <c r="BF37" i="33"/>
  <c r="BE37" i="33"/>
  <c r="BD37" i="33"/>
  <c r="BC37" i="33"/>
  <c r="BB37" i="33"/>
  <c r="BA37" i="33"/>
  <c r="AZ37" i="33"/>
  <c r="AY37" i="33"/>
  <c r="AX37" i="33"/>
  <c r="BG32" i="33"/>
  <c r="BF32" i="33"/>
  <c r="BE32" i="33"/>
  <c r="BD32" i="33"/>
  <c r="BC32" i="33"/>
  <c r="BB32" i="33"/>
  <c r="BA32" i="33"/>
  <c r="AZ32" i="33"/>
  <c r="AY32" i="33"/>
  <c r="AX32" i="33"/>
  <c r="BG31" i="33"/>
  <c r="BF31" i="33"/>
  <c r="BE31" i="33"/>
  <c r="BD31" i="33"/>
  <c r="BC31" i="33"/>
  <c r="BB31" i="33"/>
  <c r="BA31" i="33"/>
  <c r="AZ31" i="33"/>
  <c r="AY31" i="33"/>
  <c r="AX31" i="33"/>
  <c r="BG30" i="33"/>
  <c r="BF30" i="33"/>
  <c r="BE30" i="33"/>
  <c r="BD30" i="33"/>
  <c r="BC30" i="33"/>
  <c r="BB30" i="33"/>
  <c r="BA30" i="33"/>
  <c r="AZ30" i="33"/>
  <c r="AY30" i="33"/>
  <c r="AX30" i="33"/>
  <c r="BG29" i="33"/>
  <c r="BF29" i="33"/>
  <c r="BE29" i="33"/>
  <c r="BD29" i="33"/>
  <c r="BC29" i="33"/>
  <c r="BB29" i="33"/>
  <c r="BA29" i="33"/>
  <c r="AZ29" i="33"/>
  <c r="AY29" i="33"/>
  <c r="AX29" i="33"/>
  <c r="BG28" i="33"/>
  <c r="BF28" i="33"/>
  <c r="BE28" i="33"/>
  <c r="BD28" i="33"/>
  <c r="BC28" i="33"/>
  <c r="BB28" i="33"/>
  <c r="BA28" i="33"/>
  <c r="AZ28" i="33"/>
  <c r="AY28" i="33"/>
  <c r="AX28" i="33"/>
  <c r="BG27" i="33"/>
  <c r="BF27" i="33"/>
  <c r="BE27" i="33"/>
  <c r="BD27" i="33"/>
  <c r="BC27" i="33"/>
  <c r="BB27" i="33"/>
  <c r="BA27" i="33"/>
  <c r="AZ27" i="33"/>
  <c r="AY27" i="33"/>
  <c r="AX27" i="33"/>
  <c r="BG26" i="33"/>
  <c r="BF26" i="33"/>
  <c r="BE26" i="33"/>
  <c r="BD26" i="33"/>
  <c r="BC26" i="33"/>
  <c r="BB26" i="33"/>
  <c r="BA26" i="33"/>
  <c r="AZ26" i="33"/>
  <c r="AY26" i="33"/>
  <c r="AX26" i="33"/>
  <c r="BG21" i="33"/>
  <c r="BF21" i="33"/>
  <c r="BE21" i="33"/>
  <c r="BD21" i="33"/>
  <c r="BC21" i="33"/>
  <c r="BB21" i="33"/>
  <c r="BA21" i="33"/>
  <c r="AZ21" i="33"/>
  <c r="AY21" i="33"/>
  <c r="AX21" i="33"/>
  <c r="BG20" i="33"/>
  <c r="BF20" i="33"/>
  <c r="BE20" i="33"/>
  <c r="BD20" i="33"/>
  <c r="BC20" i="33"/>
  <c r="BB20" i="33"/>
  <c r="BA20" i="33"/>
  <c r="AZ20" i="33"/>
  <c r="AY20" i="33"/>
  <c r="AX20" i="33"/>
  <c r="BG19" i="33"/>
  <c r="BF19" i="33"/>
  <c r="BE19" i="33"/>
  <c r="BD19" i="33"/>
  <c r="BC19" i="33"/>
  <c r="BB19" i="33"/>
  <c r="BA19" i="33"/>
  <c r="AZ19" i="33"/>
  <c r="AY19" i="33"/>
  <c r="AX19" i="33"/>
  <c r="BG18" i="33"/>
  <c r="BF18" i="33"/>
  <c r="BE18" i="33"/>
  <c r="BD18" i="33"/>
  <c r="BC18" i="33"/>
  <c r="BB18" i="33"/>
  <c r="BA18" i="33"/>
  <c r="AZ18" i="33"/>
  <c r="AY18" i="33"/>
  <c r="AX18" i="33"/>
  <c r="BG17" i="33"/>
  <c r="BF17" i="33"/>
  <c r="BE17" i="33"/>
  <c r="BD17" i="33"/>
  <c r="BC17" i="33"/>
  <c r="BB17" i="33"/>
  <c r="BA17" i="33"/>
  <c r="AZ17" i="33"/>
  <c r="AY17" i="33"/>
  <c r="AX17" i="33"/>
  <c r="BG16" i="33"/>
  <c r="BF16" i="33"/>
  <c r="BE16" i="33"/>
  <c r="BD16" i="33"/>
  <c r="BC16" i="33"/>
  <c r="BB16" i="33"/>
  <c r="BA16" i="33"/>
  <c r="AZ16" i="33"/>
  <c r="AY16" i="33"/>
  <c r="AX16" i="33"/>
  <c r="BG15" i="33"/>
  <c r="BF15" i="33"/>
  <c r="BE15" i="33"/>
  <c r="BD15" i="33"/>
  <c r="BC15" i="33"/>
  <c r="BB15" i="33"/>
  <c r="BA15" i="33"/>
  <c r="AZ15" i="33"/>
  <c r="AY15" i="33"/>
  <c r="AX15" i="33"/>
  <c r="BG10" i="33"/>
  <c r="BF10" i="33"/>
  <c r="BE10" i="33"/>
  <c r="BD10" i="33"/>
  <c r="BC10" i="33"/>
  <c r="BB10" i="33"/>
  <c r="BA10" i="33"/>
  <c r="AZ10" i="33"/>
  <c r="AY10" i="33"/>
  <c r="AX10" i="33"/>
  <c r="BG9" i="33"/>
  <c r="BF9" i="33"/>
  <c r="BE9" i="33"/>
  <c r="BD9" i="33"/>
  <c r="BC9" i="33"/>
  <c r="BB9" i="33"/>
  <c r="BA9" i="33"/>
  <c r="AZ9" i="33"/>
  <c r="AY9" i="33"/>
  <c r="AX9" i="33"/>
  <c r="BG8" i="33"/>
  <c r="BF8" i="33"/>
  <c r="BE8" i="33"/>
  <c r="BD8" i="33"/>
  <c r="BC8" i="33"/>
  <c r="BB8" i="33"/>
  <c r="BA8" i="33"/>
  <c r="AZ8" i="33"/>
  <c r="AY8" i="33"/>
  <c r="AX8" i="33"/>
  <c r="BG7" i="33"/>
  <c r="BF7" i="33"/>
  <c r="BE7" i="33"/>
  <c r="BD7" i="33"/>
  <c r="BC7" i="33"/>
  <c r="BB7" i="33"/>
  <c r="BA7" i="33"/>
  <c r="AZ7" i="33"/>
  <c r="AY7" i="33"/>
  <c r="AX7" i="33"/>
  <c r="BG6" i="33"/>
  <c r="BF6" i="33"/>
  <c r="BE6" i="33"/>
  <c r="BD6" i="33"/>
  <c r="BC6" i="33"/>
  <c r="BB6" i="33"/>
  <c r="BA6" i="33"/>
  <c r="AZ6" i="33"/>
  <c r="AY6" i="33"/>
  <c r="AX6" i="33"/>
  <c r="BG5" i="33"/>
  <c r="BF5" i="33"/>
  <c r="BE5" i="33"/>
  <c r="BD5" i="33"/>
  <c r="BC5" i="33"/>
  <c r="BB5" i="33"/>
  <c r="BA5" i="33"/>
  <c r="AZ5" i="33"/>
  <c r="AY5" i="33"/>
  <c r="AX5" i="33"/>
  <c r="BG4" i="33"/>
  <c r="BF4" i="33"/>
  <c r="BE4" i="33"/>
  <c r="BD4" i="33"/>
  <c r="BC4" i="33"/>
  <c r="BB4" i="33"/>
  <c r="BA4" i="33"/>
  <c r="AZ4" i="33"/>
  <c r="AY4" i="33"/>
  <c r="AX4" i="33"/>
  <c r="BG43" i="34"/>
  <c r="BF43" i="34"/>
  <c r="BE43" i="34"/>
  <c r="BD43" i="34"/>
  <c r="BC43" i="34"/>
  <c r="BB43" i="34"/>
  <c r="BA43" i="34"/>
  <c r="AZ43" i="34"/>
  <c r="AY43" i="34"/>
  <c r="AX43" i="34"/>
  <c r="BG42" i="34"/>
  <c r="BF42" i="34"/>
  <c r="BE42" i="34"/>
  <c r="BD42" i="34"/>
  <c r="BC42" i="34"/>
  <c r="BB42" i="34"/>
  <c r="BA42" i="34"/>
  <c r="AZ42" i="34"/>
  <c r="AY42" i="34"/>
  <c r="AX42" i="34"/>
  <c r="BG41" i="34"/>
  <c r="BF41" i="34"/>
  <c r="BE41" i="34"/>
  <c r="BD41" i="34"/>
  <c r="BC41" i="34"/>
  <c r="BB41" i="34"/>
  <c r="BA41" i="34"/>
  <c r="AZ41" i="34"/>
  <c r="AY41" i="34"/>
  <c r="AX41" i="34"/>
  <c r="BG40" i="34"/>
  <c r="BF40" i="34"/>
  <c r="BE40" i="34"/>
  <c r="BD40" i="34"/>
  <c r="BC40" i="34"/>
  <c r="BB40" i="34"/>
  <c r="BA40" i="34"/>
  <c r="AZ40" i="34"/>
  <c r="AY40" i="34"/>
  <c r="AX40" i="34"/>
  <c r="BG39" i="34"/>
  <c r="BF39" i="34"/>
  <c r="BE39" i="34"/>
  <c r="BD39" i="34"/>
  <c r="BC39" i="34"/>
  <c r="BB39" i="34"/>
  <c r="BA39" i="34"/>
  <c r="AZ39" i="34"/>
  <c r="AY39" i="34"/>
  <c r="AX39" i="34"/>
  <c r="BG38" i="34"/>
  <c r="BF38" i="34"/>
  <c r="BE38" i="34"/>
  <c r="BD38" i="34"/>
  <c r="BC38" i="34"/>
  <c r="BB38" i="34"/>
  <c r="BA38" i="34"/>
  <c r="AZ38" i="34"/>
  <c r="AY38" i="34"/>
  <c r="AX38" i="34"/>
  <c r="BG37" i="34"/>
  <c r="BF37" i="34"/>
  <c r="BE37" i="34"/>
  <c r="BD37" i="34"/>
  <c r="BC37" i="34"/>
  <c r="BB37" i="34"/>
  <c r="BA37" i="34"/>
  <c r="AZ37" i="34"/>
  <c r="AY37" i="34"/>
  <c r="AX37" i="34"/>
  <c r="BG32" i="34"/>
  <c r="BF32" i="34"/>
  <c r="BE32" i="34"/>
  <c r="BD32" i="34"/>
  <c r="BC32" i="34"/>
  <c r="BB32" i="34"/>
  <c r="BA32" i="34"/>
  <c r="AZ32" i="34"/>
  <c r="AY32" i="34"/>
  <c r="AX32" i="34"/>
  <c r="BG31" i="34"/>
  <c r="BF31" i="34"/>
  <c r="BE31" i="34"/>
  <c r="BD31" i="34"/>
  <c r="BC31" i="34"/>
  <c r="BB31" i="34"/>
  <c r="BA31" i="34"/>
  <c r="AZ31" i="34"/>
  <c r="AY31" i="34"/>
  <c r="AX31" i="34"/>
  <c r="BG30" i="34"/>
  <c r="BF30" i="34"/>
  <c r="BE30" i="34"/>
  <c r="BD30" i="34"/>
  <c r="BC30" i="34"/>
  <c r="BB30" i="34"/>
  <c r="BA30" i="34"/>
  <c r="AZ30" i="34"/>
  <c r="AY30" i="34"/>
  <c r="AX30" i="34"/>
  <c r="BG29" i="34"/>
  <c r="BF29" i="34"/>
  <c r="BE29" i="34"/>
  <c r="BD29" i="34"/>
  <c r="BC29" i="34"/>
  <c r="BB29" i="34"/>
  <c r="BA29" i="34"/>
  <c r="AZ29" i="34"/>
  <c r="AY29" i="34"/>
  <c r="AX29" i="34"/>
  <c r="BG28" i="34"/>
  <c r="BF28" i="34"/>
  <c r="BE28" i="34"/>
  <c r="BD28" i="34"/>
  <c r="BC28" i="34"/>
  <c r="BB28" i="34"/>
  <c r="BA28" i="34"/>
  <c r="AZ28" i="34"/>
  <c r="AY28" i="34"/>
  <c r="AX28" i="34"/>
  <c r="BG27" i="34"/>
  <c r="BF27" i="34"/>
  <c r="BE27" i="34"/>
  <c r="BD27" i="34"/>
  <c r="BC27" i="34"/>
  <c r="BB27" i="34"/>
  <c r="BA27" i="34"/>
  <c r="AZ27" i="34"/>
  <c r="AY27" i="34"/>
  <c r="AX27" i="34"/>
  <c r="BG26" i="34"/>
  <c r="BF26" i="34"/>
  <c r="BE26" i="34"/>
  <c r="BD26" i="34"/>
  <c r="BC26" i="34"/>
  <c r="BB26" i="34"/>
  <c r="BA26" i="34"/>
  <c r="AZ26" i="34"/>
  <c r="AY26" i="34"/>
  <c r="AX26" i="34"/>
  <c r="BG21" i="34"/>
  <c r="BF21" i="34"/>
  <c r="BE21" i="34"/>
  <c r="BD21" i="34"/>
  <c r="BC21" i="34"/>
  <c r="BB21" i="34"/>
  <c r="BA21" i="34"/>
  <c r="AZ21" i="34"/>
  <c r="AY21" i="34"/>
  <c r="AX21" i="34"/>
  <c r="BG20" i="34"/>
  <c r="BF20" i="34"/>
  <c r="BE20" i="34"/>
  <c r="BD20" i="34"/>
  <c r="BC20" i="34"/>
  <c r="BB20" i="34"/>
  <c r="BA20" i="34"/>
  <c r="AZ20" i="34"/>
  <c r="AY20" i="34"/>
  <c r="AX20" i="34"/>
  <c r="BG19" i="34"/>
  <c r="BF19" i="34"/>
  <c r="BE19" i="34"/>
  <c r="BD19" i="34"/>
  <c r="BC19" i="34"/>
  <c r="BB19" i="34"/>
  <c r="BA19" i="34"/>
  <c r="AZ19" i="34"/>
  <c r="AY19" i="34"/>
  <c r="AX19" i="34"/>
  <c r="BG18" i="34"/>
  <c r="BF18" i="34"/>
  <c r="BE18" i="34"/>
  <c r="BD18" i="34"/>
  <c r="BC18" i="34"/>
  <c r="BB18" i="34"/>
  <c r="BA18" i="34"/>
  <c r="AZ18" i="34"/>
  <c r="AY18" i="34"/>
  <c r="AX18" i="34"/>
  <c r="BG17" i="34"/>
  <c r="BF17" i="34"/>
  <c r="BE17" i="34"/>
  <c r="BD17" i="34"/>
  <c r="BC17" i="34"/>
  <c r="BB17" i="34"/>
  <c r="BA17" i="34"/>
  <c r="AZ17" i="34"/>
  <c r="AY17" i="34"/>
  <c r="AX17" i="34"/>
  <c r="BG16" i="34"/>
  <c r="BF16" i="34"/>
  <c r="BE16" i="34"/>
  <c r="BD16" i="34"/>
  <c r="BC16" i="34"/>
  <c r="BB16" i="34"/>
  <c r="BA16" i="34"/>
  <c r="AZ16" i="34"/>
  <c r="AY16" i="34"/>
  <c r="AX16" i="34"/>
  <c r="BG15" i="34"/>
  <c r="BF15" i="34"/>
  <c r="BE15" i="34"/>
  <c r="BD15" i="34"/>
  <c r="BC15" i="34"/>
  <c r="BB15" i="34"/>
  <c r="BA15" i="34"/>
  <c r="AZ15" i="34"/>
  <c r="AY15" i="34"/>
  <c r="AX15" i="34"/>
  <c r="BG10" i="34"/>
  <c r="BF10" i="34"/>
  <c r="BE10" i="34"/>
  <c r="BD10" i="34"/>
  <c r="BC10" i="34"/>
  <c r="BB10" i="34"/>
  <c r="BA10" i="34"/>
  <c r="AZ10" i="34"/>
  <c r="AY10" i="34"/>
  <c r="AX10" i="34"/>
  <c r="BG9" i="34"/>
  <c r="BF9" i="34"/>
  <c r="BE9" i="34"/>
  <c r="BD9" i="34"/>
  <c r="BC9" i="34"/>
  <c r="BB9" i="34"/>
  <c r="BA9" i="34"/>
  <c r="AZ9" i="34"/>
  <c r="AY9" i="34"/>
  <c r="AX9" i="34"/>
  <c r="BG8" i="34"/>
  <c r="BF8" i="34"/>
  <c r="BE8" i="34"/>
  <c r="BD8" i="34"/>
  <c r="BC8" i="34"/>
  <c r="BB8" i="34"/>
  <c r="BA8" i="34"/>
  <c r="AZ8" i="34"/>
  <c r="AY8" i="34"/>
  <c r="AX8" i="34"/>
  <c r="BG7" i="34"/>
  <c r="BF7" i="34"/>
  <c r="BE7" i="34"/>
  <c r="BD7" i="34"/>
  <c r="BC7" i="34"/>
  <c r="BB7" i="34"/>
  <c r="BA7" i="34"/>
  <c r="AZ7" i="34"/>
  <c r="AY7" i="34"/>
  <c r="AX7" i="34"/>
  <c r="BG6" i="34"/>
  <c r="BF6" i="34"/>
  <c r="BE6" i="34"/>
  <c r="BD6" i="34"/>
  <c r="BC6" i="34"/>
  <c r="BB6" i="34"/>
  <c r="BA6" i="34"/>
  <c r="AZ6" i="34"/>
  <c r="AY6" i="34"/>
  <c r="AX6" i="34"/>
  <c r="BG5" i="34"/>
  <c r="BF5" i="34"/>
  <c r="BE5" i="34"/>
  <c r="BD5" i="34"/>
  <c r="BC5" i="34"/>
  <c r="BB5" i="34"/>
  <c r="BA5" i="34"/>
  <c r="AZ5" i="34"/>
  <c r="AY5" i="34"/>
  <c r="AX5" i="34"/>
  <c r="BG4" i="34"/>
  <c r="BF4" i="34"/>
  <c r="BE4" i="34"/>
  <c r="BD4" i="34"/>
  <c r="BC4" i="34"/>
  <c r="BB4" i="34"/>
  <c r="BA4" i="34"/>
  <c r="AZ4" i="34"/>
  <c r="AY4" i="34"/>
  <c r="AX4" i="34"/>
  <c r="BG43" i="24"/>
  <c r="BF43" i="24"/>
  <c r="BE43" i="24"/>
  <c r="BD43" i="24"/>
  <c r="BC43" i="24"/>
  <c r="BB43" i="24"/>
  <c r="BA43" i="24"/>
  <c r="AZ43" i="24"/>
  <c r="AY43" i="24"/>
  <c r="AX43" i="24"/>
  <c r="BG42" i="24"/>
  <c r="BF42" i="24"/>
  <c r="BE42" i="24"/>
  <c r="BD42" i="24"/>
  <c r="BC42" i="24"/>
  <c r="BB42" i="24"/>
  <c r="BA42" i="24"/>
  <c r="AZ42" i="24"/>
  <c r="AY42" i="24"/>
  <c r="AX42" i="24"/>
  <c r="BG41" i="24"/>
  <c r="BF41" i="24"/>
  <c r="BE41" i="24"/>
  <c r="BD41" i="24"/>
  <c r="BC41" i="24"/>
  <c r="BB41" i="24"/>
  <c r="BA41" i="24"/>
  <c r="AZ41" i="24"/>
  <c r="AY41" i="24"/>
  <c r="AX41" i="24"/>
  <c r="BG40" i="24"/>
  <c r="BF40" i="24"/>
  <c r="BE40" i="24"/>
  <c r="BD40" i="24"/>
  <c r="BC40" i="24"/>
  <c r="BB40" i="24"/>
  <c r="BA40" i="24"/>
  <c r="AZ40" i="24"/>
  <c r="AY40" i="24"/>
  <c r="AX40" i="24"/>
  <c r="BG39" i="24"/>
  <c r="BF39" i="24"/>
  <c r="BE39" i="24"/>
  <c r="BD39" i="24"/>
  <c r="BC39" i="24"/>
  <c r="BB39" i="24"/>
  <c r="BA39" i="24"/>
  <c r="AZ39" i="24"/>
  <c r="AY39" i="24"/>
  <c r="AX39" i="24"/>
  <c r="BG38" i="24"/>
  <c r="BF38" i="24"/>
  <c r="BE38" i="24"/>
  <c r="BD38" i="24"/>
  <c r="BC38" i="24"/>
  <c r="BB38" i="24"/>
  <c r="BA38" i="24"/>
  <c r="AZ38" i="24"/>
  <c r="AY38" i="24"/>
  <c r="AX38" i="24"/>
  <c r="BG37" i="24"/>
  <c r="BF37" i="24"/>
  <c r="BE37" i="24"/>
  <c r="BD37" i="24"/>
  <c r="BC37" i="24"/>
  <c r="BB37" i="24"/>
  <c r="BA37" i="24"/>
  <c r="AZ37" i="24"/>
  <c r="AY37" i="24"/>
  <c r="AX37" i="24"/>
  <c r="BG32" i="24"/>
  <c r="BF32" i="24"/>
  <c r="BE32" i="24"/>
  <c r="BD32" i="24"/>
  <c r="BC32" i="24"/>
  <c r="BB32" i="24"/>
  <c r="BA32" i="24"/>
  <c r="AZ32" i="24"/>
  <c r="AY32" i="24"/>
  <c r="AX32" i="24"/>
  <c r="BG31" i="24"/>
  <c r="BF31" i="24"/>
  <c r="BE31" i="24"/>
  <c r="BD31" i="24"/>
  <c r="BC31" i="24"/>
  <c r="BB31" i="24"/>
  <c r="BA31" i="24"/>
  <c r="AZ31" i="24"/>
  <c r="AY31" i="24"/>
  <c r="AX31" i="24"/>
  <c r="BG30" i="24"/>
  <c r="BF30" i="24"/>
  <c r="BE30" i="24"/>
  <c r="BD30" i="24"/>
  <c r="BC30" i="24"/>
  <c r="BB30" i="24"/>
  <c r="BA30" i="24"/>
  <c r="AZ30" i="24"/>
  <c r="AY30" i="24"/>
  <c r="AX30" i="24"/>
  <c r="BG29" i="24"/>
  <c r="BF29" i="24"/>
  <c r="BE29" i="24"/>
  <c r="BD29" i="24"/>
  <c r="BC29" i="24"/>
  <c r="BB29" i="24"/>
  <c r="BA29" i="24"/>
  <c r="AZ29" i="24"/>
  <c r="AY29" i="24"/>
  <c r="AX29" i="24"/>
  <c r="BG28" i="24"/>
  <c r="BF28" i="24"/>
  <c r="BE28" i="24"/>
  <c r="BD28" i="24"/>
  <c r="BC28" i="24"/>
  <c r="BB28" i="24"/>
  <c r="BA28" i="24"/>
  <c r="AZ28" i="24"/>
  <c r="AY28" i="24"/>
  <c r="AX28" i="24"/>
  <c r="BG27" i="24"/>
  <c r="BF27" i="24"/>
  <c r="BE27" i="24"/>
  <c r="BD27" i="24"/>
  <c r="BC27" i="24"/>
  <c r="BB27" i="24"/>
  <c r="BA27" i="24"/>
  <c r="AZ27" i="24"/>
  <c r="AY27" i="24"/>
  <c r="AX27" i="24"/>
  <c r="BG26" i="24"/>
  <c r="BF26" i="24"/>
  <c r="BE26" i="24"/>
  <c r="BD26" i="24"/>
  <c r="BC26" i="24"/>
  <c r="BB26" i="24"/>
  <c r="BA26" i="24"/>
  <c r="AZ26" i="24"/>
  <c r="AY26" i="24"/>
  <c r="AX26" i="24"/>
  <c r="BG21" i="24"/>
  <c r="BF21" i="24"/>
  <c r="BE21" i="24"/>
  <c r="BD21" i="24"/>
  <c r="BC21" i="24"/>
  <c r="BB21" i="24"/>
  <c r="BA21" i="24"/>
  <c r="AZ21" i="24"/>
  <c r="AY21" i="24"/>
  <c r="AX21" i="24"/>
  <c r="BG20" i="24"/>
  <c r="BF20" i="24"/>
  <c r="BE20" i="24"/>
  <c r="BD20" i="24"/>
  <c r="BC20" i="24"/>
  <c r="BB20" i="24"/>
  <c r="BA20" i="24"/>
  <c r="AZ20" i="24"/>
  <c r="AY20" i="24"/>
  <c r="AX20" i="24"/>
  <c r="BG19" i="24"/>
  <c r="BF19" i="24"/>
  <c r="BE19" i="24"/>
  <c r="BD19" i="24"/>
  <c r="BC19" i="24"/>
  <c r="BB19" i="24"/>
  <c r="BA19" i="24"/>
  <c r="AZ19" i="24"/>
  <c r="AY19" i="24"/>
  <c r="AX19" i="24"/>
  <c r="BG18" i="24"/>
  <c r="BF18" i="24"/>
  <c r="BE18" i="24"/>
  <c r="BD18" i="24"/>
  <c r="BC18" i="24"/>
  <c r="BB18" i="24"/>
  <c r="BA18" i="24"/>
  <c r="AZ18" i="24"/>
  <c r="AY18" i="24"/>
  <c r="AX18" i="24"/>
  <c r="BG17" i="24"/>
  <c r="BF17" i="24"/>
  <c r="BE17" i="24"/>
  <c r="BD17" i="24"/>
  <c r="BC17" i="24"/>
  <c r="BB17" i="24"/>
  <c r="BA17" i="24"/>
  <c r="AZ17" i="24"/>
  <c r="AY17" i="24"/>
  <c r="AX17" i="24"/>
  <c r="BG16" i="24"/>
  <c r="BF16" i="24"/>
  <c r="BE16" i="24"/>
  <c r="BD16" i="24"/>
  <c r="BC16" i="24"/>
  <c r="BB16" i="24"/>
  <c r="BA16" i="24"/>
  <c r="AZ16" i="24"/>
  <c r="AY16" i="24"/>
  <c r="AX16" i="24"/>
  <c r="BG15" i="24"/>
  <c r="BF15" i="24"/>
  <c r="BE15" i="24"/>
  <c r="BD15" i="24"/>
  <c r="BC15" i="24"/>
  <c r="BB15" i="24"/>
  <c r="BA15" i="24"/>
  <c r="AZ15" i="24"/>
  <c r="AY15" i="24"/>
  <c r="AX15" i="24"/>
  <c r="BG10" i="24"/>
  <c r="BF10" i="24"/>
  <c r="BE10" i="24"/>
  <c r="BD10" i="24"/>
  <c r="BC10" i="24"/>
  <c r="BB10" i="24"/>
  <c r="BA10" i="24"/>
  <c r="AZ10" i="24"/>
  <c r="AY10" i="24"/>
  <c r="AX10" i="24"/>
  <c r="BG9" i="24"/>
  <c r="BF9" i="24"/>
  <c r="BE9" i="24"/>
  <c r="BD9" i="24"/>
  <c r="BC9" i="24"/>
  <c r="BB9" i="24"/>
  <c r="BA9" i="24"/>
  <c r="AZ9" i="24"/>
  <c r="AY9" i="24"/>
  <c r="AX9" i="24"/>
  <c r="BG8" i="24"/>
  <c r="BF8" i="24"/>
  <c r="BE8" i="24"/>
  <c r="BD8" i="24"/>
  <c r="BC8" i="24"/>
  <c r="BB8" i="24"/>
  <c r="BA8" i="24"/>
  <c r="AZ8" i="24"/>
  <c r="AY8" i="24"/>
  <c r="AX8" i="24"/>
  <c r="BG7" i="24"/>
  <c r="BF7" i="24"/>
  <c r="BE7" i="24"/>
  <c r="BD7" i="24"/>
  <c r="BC7" i="24"/>
  <c r="BB7" i="24"/>
  <c r="BA7" i="24"/>
  <c r="AZ7" i="24"/>
  <c r="AY7" i="24"/>
  <c r="AX7" i="24"/>
  <c r="BG6" i="24"/>
  <c r="BF6" i="24"/>
  <c r="BE6" i="24"/>
  <c r="BD6" i="24"/>
  <c r="BC6" i="24"/>
  <c r="BB6" i="24"/>
  <c r="BA6" i="24"/>
  <c r="AZ6" i="24"/>
  <c r="AY6" i="24"/>
  <c r="AX6" i="24"/>
  <c r="BG5" i="24"/>
  <c r="BF5" i="24"/>
  <c r="BE5" i="24"/>
  <c r="BD5" i="24"/>
  <c r="BC5" i="24"/>
  <c r="BB5" i="24"/>
  <c r="BA5" i="24"/>
  <c r="AZ5" i="24"/>
  <c r="AY5" i="24"/>
  <c r="AX5" i="24"/>
  <c r="BG4" i="24"/>
  <c r="BF4" i="24"/>
  <c r="BE4" i="24"/>
  <c r="BD4" i="24"/>
  <c r="BC4" i="24"/>
  <c r="BB4" i="24"/>
  <c r="BA4" i="24"/>
  <c r="AZ4" i="24"/>
  <c r="AY4" i="24"/>
  <c r="AX4" i="24"/>
  <c r="AI3" i="10" l="1"/>
  <c r="AF3" i="10"/>
  <c r="AF4" i="10" l="1"/>
  <c r="AI4" i="10"/>
  <c r="AF5" i="10" l="1"/>
  <c r="V5" i="4" l="1"/>
  <c r="A9" i="42" l="1"/>
  <c r="A8" i="42"/>
  <c r="A7" i="42"/>
  <c r="A6" i="42"/>
  <c r="A4" i="42"/>
  <c r="A13" i="41"/>
  <c r="A11" i="41"/>
  <c r="A8" i="41"/>
  <c r="A7" i="41"/>
  <c r="A6" i="41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14" i="37"/>
  <c r="A13" i="37"/>
  <c r="A12" i="37"/>
  <c r="A11" i="37"/>
  <c r="A10" i="37"/>
  <c r="A9" i="37"/>
  <c r="A8" i="37"/>
  <c r="A7" i="37"/>
  <c r="A6" i="37"/>
  <c r="A5" i="37"/>
  <c r="A4" i="3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R3" i="14"/>
  <c r="R4" i="14" s="1"/>
  <c r="R5" i="14" s="1"/>
  <c r="R6" i="14" s="1"/>
  <c r="R7" i="14" s="1"/>
  <c r="R8" i="14" s="1"/>
  <c r="R9" i="14" s="1"/>
  <c r="R10" i="14" s="1"/>
  <c r="R11" i="14" s="1"/>
  <c r="R12" i="14" s="1"/>
  <c r="R13" i="14" s="1"/>
  <c r="Q3" i="14"/>
  <c r="Q4" i="14" s="1"/>
  <c r="Q5" i="14" s="1"/>
  <c r="Q6" i="14" s="1"/>
  <c r="Q7" i="14" s="1"/>
  <c r="Q8" i="14" s="1"/>
  <c r="Q9" i="14" s="1"/>
  <c r="Q10" i="14" s="1"/>
  <c r="Q11" i="14" s="1"/>
  <c r="Q12" i="14" s="1"/>
  <c r="Q13" i="14" s="1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H12" i="10"/>
  <c r="H11" i="10"/>
  <c r="H10" i="10"/>
  <c r="H9" i="10"/>
  <c r="H8" i="10"/>
  <c r="H7" i="10"/>
  <c r="H6" i="10"/>
  <c r="H5" i="10"/>
  <c r="T4" i="10"/>
  <c r="K4" i="10"/>
  <c r="K5" i="10" s="1"/>
  <c r="H4" i="10"/>
  <c r="W3" i="10"/>
  <c r="N3" i="10"/>
  <c r="H3" i="10"/>
  <c r="H2" i="10"/>
  <c r="V6" i="4"/>
  <c r="V4" i="4"/>
  <c r="V3" i="4"/>
  <c r="V2" i="4"/>
  <c r="BQ3" i="44"/>
  <c r="BF3" i="44"/>
  <c r="K6" i="10" l="1"/>
  <c r="N4" i="10"/>
  <c r="W4" i="10"/>
  <c r="T5" i="10"/>
  <c r="N5" i="10" l="1"/>
  <c r="T6" i="10"/>
  <c r="W5" i="10"/>
  <c r="W6" i="10" l="1"/>
  <c r="AQ3" i="44" a="1"/>
  <c r="AQ3" i="44" l="1"/>
  <c r="DD3" i="44" l="1"/>
  <c r="CX3" i="44"/>
  <c r="AR3" i="44"/>
  <c r="AO3" i="44" a="1"/>
  <c r="DE3" i="44" a="1"/>
  <c r="CU3" i="44" a="1"/>
  <c r="CP3" i="44" a="1"/>
  <c r="CY3" i="44"/>
  <c r="DE3" i="44" l="1"/>
  <c r="AO3" i="44"/>
  <c r="AP3" i="44" s="1"/>
  <c r="CP3" i="44"/>
  <c r="CU3" i="44"/>
  <c r="CO3" i="44" l="1" a="1"/>
  <c r="CO3" i="44" s="1"/>
  <c r="CS3" i="44" a="1"/>
  <c r="CS3" i="44" s="1"/>
  <c r="CV3" i="44"/>
  <c r="CR3" i="44" a="1"/>
  <c r="CR3" i="44" s="1"/>
  <c r="CM3" i="44" a="1"/>
  <c r="CQ3" i="44" a="1"/>
  <c r="CM3" i="44" l="1"/>
  <c r="CQ3" i="44"/>
  <c r="CN3" i="44" s="1"/>
  <c r="CW3" i="44" l="1"/>
  <c r="CT3" i="44"/>
  <c r="CZ3" i="44" s="1"/>
  <c r="DA3" i="44" s="1"/>
  <c r="DB3" i="44" l="1"/>
  <c r="DC3" i="44" s="1"/>
  <c r="DF3" i="44" s="1"/>
  <c r="DG3" i="44" s="1"/>
  <c r="DH3" i="4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<sst xmlns="http://schemas.openxmlformats.org/spreadsheetml/2006/main" count="29495" uniqueCount="1488">
  <si>
    <t>Girdle Conditions</t>
  </si>
  <si>
    <t>Girdle Thickness</t>
  </si>
  <si>
    <t>Culet</t>
  </si>
  <si>
    <t>Fluo</t>
  </si>
  <si>
    <t>Shapes</t>
  </si>
  <si>
    <t>Owner</t>
  </si>
  <si>
    <t>Stock A/c Code</t>
  </si>
  <si>
    <t>Sizes</t>
  </si>
  <si>
    <t>Size</t>
  </si>
  <si>
    <t>Code</t>
  </si>
  <si>
    <t>Girdle Valley</t>
  </si>
  <si>
    <t>Description</t>
  </si>
  <si>
    <t>Lab</t>
  </si>
  <si>
    <t>Shape</t>
  </si>
  <si>
    <t>From</t>
  </si>
  <si>
    <t>To</t>
  </si>
  <si>
    <t>SizeCode</t>
  </si>
  <si>
    <t>FAC</t>
  </si>
  <si>
    <t>Extremely Thin</t>
  </si>
  <si>
    <t>ETN</t>
  </si>
  <si>
    <t>NONE</t>
  </si>
  <si>
    <t>PTD</t>
  </si>
  <si>
    <t>NON</t>
  </si>
  <si>
    <t>RBC</t>
  </si>
  <si>
    <t>GIA</t>
  </si>
  <si>
    <t>Round</t>
  </si>
  <si>
    <t>GR099</t>
  </si>
  <si>
    <t>GIA -0.99</t>
  </si>
  <si>
    <t>PDS500</t>
  </si>
  <si>
    <t>DIACUT</t>
  </si>
  <si>
    <t>FACETED</t>
  </si>
  <si>
    <t>Very Thin</t>
  </si>
  <si>
    <t>VTN</t>
  </si>
  <si>
    <t>VERY SMALL</t>
  </si>
  <si>
    <t>VSM</t>
  </si>
  <si>
    <t>FAINT</t>
  </si>
  <si>
    <t>FNT</t>
  </si>
  <si>
    <t>EM</t>
  </si>
  <si>
    <t>GR299</t>
  </si>
  <si>
    <t>GIA 1.00-2.99</t>
  </si>
  <si>
    <t>PDS510</t>
  </si>
  <si>
    <t>TEEMANE</t>
  </si>
  <si>
    <t>POLISHED</t>
  </si>
  <si>
    <t>POL</t>
  </si>
  <si>
    <t>Thin</t>
  </si>
  <si>
    <t>THN</t>
  </si>
  <si>
    <t>SMALL</t>
  </si>
  <si>
    <t>SMA</t>
  </si>
  <si>
    <t>SLIGHT</t>
  </si>
  <si>
    <t>SLT</t>
  </si>
  <si>
    <t>SMB</t>
  </si>
  <si>
    <t>GR499</t>
  </si>
  <si>
    <t>GIA 3.00-4.99</t>
  </si>
  <si>
    <t>PDS520</t>
  </si>
  <si>
    <t>ANTWERP TRADING</t>
  </si>
  <si>
    <t>BRUTED</t>
  </si>
  <si>
    <t>BRU</t>
  </si>
  <si>
    <t>Medium</t>
  </si>
  <si>
    <t>MED</t>
  </si>
  <si>
    <t>MEDIUM</t>
  </si>
  <si>
    <t>MB</t>
  </si>
  <si>
    <t>GR500</t>
  </si>
  <si>
    <t>GIA 5.00+</t>
  </si>
  <si>
    <t>PDS521</t>
  </si>
  <si>
    <t>INDIA TRADING</t>
  </si>
  <si>
    <t>Slightly Thick</t>
  </si>
  <si>
    <t>STK</t>
  </si>
  <si>
    <t>SLIGHLY THICK</t>
  </si>
  <si>
    <t>STRONG</t>
  </si>
  <si>
    <t>STR</t>
  </si>
  <si>
    <t>PB</t>
  </si>
  <si>
    <t>Fancy</t>
  </si>
  <si>
    <t>GF099</t>
  </si>
  <si>
    <t>GIA -0.99 FANCY</t>
  </si>
  <si>
    <t>PDS522</t>
  </si>
  <si>
    <t>EXT TRADING</t>
  </si>
  <si>
    <t>Thick</t>
  </si>
  <si>
    <t>THK</t>
  </si>
  <si>
    <t>LARGE</t>
  </si>
  <si>
    <t>LRG</t>
  </si>
  <si>
    <t>VERY SLIGHT</t>
  </si>
  <si>
    <t>VSL</t>
  </si>
  <si>
    <t>OB</t>
  </si>
  <si>
    <t>GF299</t>
  </si>
  <si>
    <t>GIA 1.00-2.99 FANCY</t>
  </si>
  <si>
    <t>Very Thick</t>
  </si>
  <si>
    <t>VTK</t>
  </si>
  <si>
    <t>SLIGHTLY LARGE</t>
  </si>
  <si>
    <t>SLR</t>
  </si>
  <si>
    <t>VERY STRONG</t>
  </si>
  <si>
    <t>VST</t>
  </si>
  <si>
    <t>HB</t>
  </si>
  <si>
    <t>GF499</t>
  </si>
  <si>
    <t>GIA 3.00-4.99 FANCY</t>
  </si>
  <si>
    <t>Extremely Thick</t>
  </si>
  <si>
    <t>ETK</t>
  </si>
  <si>
    <t>VERY LARGE</t>
  </si>
  <si>
    <t>VLR</t>
  </si>
  <si>
    <t>CB</t>
  </si>
  <si>
    <t>GF500</t>
  </si>
  <si>
    <t>GIA 5.00+ FANCY</t>
  </si>
  <si>
    <t>EXTREMELY LARGE</t>
  </si>
  <si>
    <t>ELR</t>
  </si>
  <si>
    <t>SEM</t>
  </si>
  <si>
    <t>HRD</t>
  </si>
  <si>
    <t>HR099</t>
  </si>
  <si>
    <t>HRD -0.99</t>
  </si>
  <si>
    <t>CMB</t>
  </si>
  <si>
    <t>FCMB</t>
  </si>
  <si>
    <t>HR299</t>
  </si>
  <si>
    <t>HRD 1.00-2.99</t>
  </si>
  <si>
    <t>HR499</t>
  </si>
  <si>
    <t>HRD 3.00-4.99</t>
  </si>
  <si>
    <t>HR500</t>
  </si>
  <si>
    <t>HRD 5.00+</t>
  </si>
  <si>
    <t>HF099</t>
  </si>
  <si>
    <t>HRD -0.99 FANCY</t>
  </si>
  <si>
    <t>HF299</t>
  </si>
  <si>
    <t>HRD 1.00-2.99 FANCY</t>
  </si>
  <si>
    <t>HF499</t>
  </si>
  <si>
    <t>HRD 3.00-4.99 FANCY</t>
  </si>
  <si>
    <t>HF500</t>
  </si>
  <si>
    <t>HRD 5.00+ FANCY</t>
  </si>
  <si>
    <t>IGI</t>
  </si>
  <si>
    <t>IR099</t>
  </si>
  <si>
    <t>IGI -0.99</t>
  </si>
  <si>
    <t>IR299</t>
  </si>
  <si>
    <t>IGI 1.00-2.99</t>
  </si>
  <si>
    <t>IR499</t>
  </si>
  <si>
    <t>IGI 3.00-4.99</t>
  </si>
  <si>
    <t>IR500</t>
  </si>
  <si>
    <t>IGI 5.00+</t>
  </si>
  <si>
    <t>IF099</t>
  </si>
  <si>
    <t>IGI -0.99 FANCY</t>
  </si>
  <si>
    <t>IF299</t>
  </si>
  <si>
    <t>IGI 1.00-2.99 FANCY</t>
  </si>
  <si>
    <t>IF499</t>
  </si>
  <si>
    <t>IGI 3.00-4.99 FANCY</t>
  </si>
  <si>
    <t>IF500</t>
  </si>
  <si>
    <t>IGI 5.00+ FANCY</t>
  </si>
  <si>
    <t>AGS</t>
  </si>
  <si>
    <t>AR099</t>
  </si>
  <si>
    <t>AGS -0.99</t>
  </si>
  <si>
    <t>AR299</t>
  </si>
  <si>
    <t>AGS 1.00-2.99</t>
  </si>
  <si>
    <t>UNCERT</t>
  </si>
  <si>
    <t>UR099</t>
  </si>
  <si>
    <t>UNCERT -0.99</t>
  </si>
  <si>
    <t>UR299</t>
  </si>
  <si>
    <t>UNCERT 1.00-2.99</t>
  </si>
  <si>
    <t>UR499</t>
  </si>
  <si>
    <t>UNCERT 3.00-4.99</t>
  </si>
  <si>
    <t>UR500</t>
  </si>
  <si>
    <t>UNCERT 5.00+</t>
  </si>
  <si>
    <t>UF099</t>
  </si>
  <si>
    <t>UNCERT -0.99 FANCY</t>
  </si>
  <si>
    <t>UF299</t>
  </si>
  <si>
    <t>UNCERT 1.00-2.99 FANCY</t>
  </si>
  <si>
    <t>UF499</t>
  </si>
  <si>
    <t>UNCERT 3.00-4.99 FANCY</t>
  </si>
  <si>
    <t>SPCUT</t>
  </si>
  <si>
    <t>SPECIAL CUTS</t>
  </si>
  <si>
    <t>Inclusion</t>
  </si>
  <si>
    <t>Location</t>
  </si>
  <si>
    <t>Color</t>
  </si>
  <si>
    <t>Clarity</t>
  </si>
  <si>
    <t>FLUO</t>
  </si>
  <si>
    <t>Cut</t>
  </si>
  <si>
    <t>Cut Comment</t>
  </si>
  <si>
    <t>Natural</t>
  </si>
  <si>
    <t>Tinge</t>
  </si>
  <si>
    <t>Milky</t>
  </si>
  <si>
    <t>Black</t>
  </si>
  <si>
    <t>Intensity</t>
  </si>
  <si>
    <t>Eye Clean</t>
  </si>
  <si>
    <t>Open</t>
  </si>
  <si>
    <t>Open Location</t>
  </si>
  <si>
    <t>Internal Graining</t>
  </si>
  <si>
    <t>Surface Graining</t>
  </si>
  <si>
    <t>H&amp;A</t>
  </si>
  <si>
    <t>Table Clean</t>
  </si>
  <si>
    <t>Client</t>
  </si>
  <si>
    <t>Remark</t>
  </si>
  <si>
    <t>Others</t>
  </si>
  <si>
    <t>PP1</t>
  </si>
  <si>
    <t>Table</t>
  </si>
  <si>
    <t>D</t>
  </si>
  <si>
    <t>IF</t>
  </si>
  <si>
    <t>EX</t>
  </si>
  <si>
    <t>EX1</t>
  </si>
  <si>
    <t>Indented Natural</t>
  </si>
  <si>
    <t>Top</t>
  </si>
  <si>
    <t>B1</t>
  </si>
  <si>
    <t>M1</t>
  </si>
  <si>
    <t>GR1</t>
  </si>
  <si>
    <t>SGR1</t>
  </si>
  <si>
    <t>ROUND</t>
  </si>
  <si>
    <t>Extra Facet</t>
  </si>
  <si>
    <t>PP2</t>
  </si>
  <si>
    <t>Crown</t>
  </si>
  <si>
    <t>E+</t>
  </si>
  <si>
    <t>VVS1+</t>
  </si>
  <si>
    <t>VG</t>
  </si>
  <si>
    <t>EX2</t>
  </si>
  <si>
    <t>Girdle</t>
  </si>
  <si>
    <t>B2</t>
  </si>
  <si>
    <t>M2</t>
  </si>
  <si>
    <t>Small</t>
  </si>
  <si>
    <t>GR2</t>
  </si>
  <si>
    <t>SGR2</t>
  </si>
  <si>
    <t>CUSHION</t>
  </si>
  <si>
    <t>Cavity</t>
  </si>
  <si>
    <t>F1</t>
  </si>
  <si>
    <t>E</t>
  </si>
  <si>
    <t>VVS1</t>
  </si>
  <si>
    <t>G</t>
  </si>
  <si>
    <t>Bottom</t>
  </si>
  <si>
    <t>B3</t>
  </si>
  <si>
    <t>M3</t>
  </si>
  <si>
    <t>Pavilion</t>
  </si>
  <si>
    <t>No</t>
  </si>
  <si>
    <t>GR3</t>
  </si>
  <si>
    <t>None</t>
  </si>
  <si>
    <t>Yes</t>
  </si>
  <si>
    <t>Chip</t>
  </si>
  <si>
    <t>F2</t>
  </si>
  <si>
    <t>F+</t>
  </si>
  <si>
    <t>VVS2+</t>
  </si>
  <si>
    <t>VG1</t>
  </si>
  <si>
    <t>B4</t>
  </si>
  <si>
    <t>Big</t>
  </si>
  <si>
    <t>F3</t>
  </si>
  <si>
    <t>F</t>
  </si>
  <si>
    <t>VVS2</t>
  </si>
  <si>
    <t>VG2</t>
  </si>
  <si>
    <t>PEAR</t>
  </si>
  <si>
    <t>F4</t>
  </si>
  <si>
    <t>G+</t>
  </si>
  <si>
    <t>VS1+</t>
  </si>
  <si>
    <t>GD1</t>
  </si>
  <si>
    <t>OVAL</t>
  </si>
  <si>
    <t>TW1</t>
  </si>
  <si>
    <t>VS1</t>
  </si>
  <si>
    <t>GD2</t>
  </si>
  <si>
    <t>TW2</t>
  </si>
  <si>
    <t>H+</t>
  </si>
  <si>
    <t>VS2+</t>
  </si>
  <si>
    <t>Ideal</t>
  </si>
  <si>
    <t>TW3</t>
  </si>
  <si>
    <t>H</t>
  </si>
  <si>
    <t>VS2</t>
  </si>
  <si>
    <t>G1</t>
  </si>
  <si>
    <t>N1</t>
  </si>
  <si>
    <t>I+</t>
  </si>
  <si>
    <t>SI1+</t>
  </si>
  <si>
    <t>G2</t>
  </si>
  <si>
    <t>N2</t>
  </si>
  <si>
    <t>I</t>
  </si>
  <si>
    <t>SI1</t>
  </si>
  <si>
    <t>G3</t>
  </si>
  <si>
    <t>N3</t>
  </si>
  <si>
    <t>J+</t>
  </si>
  <si>
    <t>SI2+</t>
  </si>
  <si>
    <t>N4</t>
  </si>
  <si>
    <t>J</t>
  </si>
  <si>
    <t>SI2</t>
  </si>
  <si>
    <t>OC1</t>
  </si>
  <si>
    <t>C1</t>
  </si>
  <si>
    <t>K+</t>
  </si>
  <si>
    <t>SI3+</t>
  </si>
  <si>
    <t>OC2</t>
  </si>
  <si>
    <t>C2</t>
  </si>
  <si>
    <t>K</t>
  </si>
  <si>
    <t>SI3</t>
  </si>
  <si>
    <t>C3</t>
  </si>
  <si>
    <t>L+</t>
  </si>
  <si>
    <t>I1+</t>
  </si>
  <si>
    <t>CO1</t>
  </si>
  <si>
    <t>L</t>
  </si>
  <si>
    <t>I1</t>
  </si>
  <si>
    <t>CO2</t>
  </si>
  <si>
    <t>M+</t>
  </si>
  <si>
    <t>I2+</t>
  </si>
  <si>
    <t>CO3</t>
  </si>
  <si>
    <t>M</t>
  </si>
  <si>
    <t>I2</t>
  </si>
  <si>
    <t>CL1</t>
  </si>
  <si>
    <t>I3+</t>
  </si>
  <si>
    <t>CL2</t>
  </si>
  <si>
    <t>I3</t>
  </si>
  <si>
    <t>CL3</t>
  </si>
  <si>
    <t>I4+</t>
  </si>
  <si>
    <t>I4</t>
  </si>
  <si>
    <t>Rapnet Date</t>
  </si>
  <si>
    <t>Cert Cost</t>
  </si>
  <si>
    <t>Cost of Goods Sold</t>
  </si>
  <si>
    <t>Sizebreaks +1Ct SI3- Uncertified Rishi</t>
  </si>
  <si>
    <t>SizeBreaks +1Ct Certified I1+ Diarays</t>
  </si>
  <si>
    <t>Grading</t>
  </si>
  <si>
    <t>Maxima</t>
  </si>
  <si>
    <t>1.000-1.199</t>
  </si>
  <si>
    <t>Too Small</t>
  </si>
  <si>
    <t>Lower</t>
  </si>
  <si>
    <t>Range</t>
  </si>
  <si>
    <t>$/Ct</t>
  </si>
  <si>
    <t>1.01-1.09</t>
  </si>
  <si>
    <t>1.500-1.699</t>
  </si>
  <si>
    <t>1.50-1.69</t>
  </si>
  <si>
    <t>0.30-0.39</t>
  </si>
  <si>
    <t>1.700-1.999</t>
  </si>
  <si>
    <t>2.01-2.09</t>
  </si>
  <si>
    <t>2.000-2.199</t>
  </si>
  <si>
    <t>2.2Cts Up</t>
  </si>
  <si>
    <t>Graining</t>
  </si>
  <si>
    <t>1.50-1.99</t>
  </si>
  <si>
    <t>Section</t>
  </si>
  <si>
    <t>BASE PRICES</t>
  </si>
  <si>
    <t>3EX None</t>
  </si>
  <si>
    <t>EX None</t>
  </si>
  <si>
    <t>VG None</t>
  </si>
  <si>
    <t>Good None</t>
  </si>
  <si>
    <t>3EX Faint</t>
  </si>
  <si>
    <t>EX Faint</t>
  </si>
  <si>
    <t>VG Faint</t>
  </si>
  <si>
    <t>Good Faint</t>
  </si>
  <si>
    <t>3EX Medium</t>
  </si>
  <si>
    <t>EX Medium</t>
  </si>
  <si>
    <t>VG Medium</t>
  </si>
  <si>
    <t>Good Medium</t>
  </si>
  <si>
    <t>3EX Strong</t>
  </si>
  <si>
    <t>EX Strong</t>
  </si>
  <si>
    <t>VG Strong</t>
  </si>
  <si>
    <t>Good Strong</t>
  </si>
  <si>
    <t>3EX Very Strong</t>
  </si>
  <si>
    <t>EX Very Strong</t>
  </si>
  <si>
    <t>VG Very Strong</t>
  </si>
  <si>
    <t>Very Strong</t>
  </si>
  <si>
    <t>Column</t>
  </si>
  <si>
    <t>Row</t>
  </si>
  <si>
    <t>SizeBreak</t>
  </si>
  <si>
    <t>Offset</t>
  </si>
  <si>
    <t>Make</t>
  </si>
  <si>
    <t>3EX</t>
  </si>
  <si>
    <t>IDEAL</t>
  </si>
  <si>
    <t>Offsets</t>
  </si>
  <si>
    <t>CUT</t>
  </si>
  <si>
    <t>DESC</t>
  </si>
  <si>
    <t>SIZE</t>
  </si>
  <si>
    <t>REF</t>
  </si>
  <si>
    <t>DF VVS</t>
  </si>
  <si>
    <t>0.180-0.188</t>
  </si>
  <si>
    <t>TV20-011</t>
  </si>
  <si>
    <t>DF VS1</t>
  </si>
  <si>
    <t>TV20-012</t>
  </si>
  <si>
    <t>DF VS2</t>
  </si>
  <si>
    <t>TV20-013</t>
  </si>
  <si>
    <t>GH VVS</t>
  </si>
  <si>
    <t>TV20-031</t>
  </si>
  <si>
    <t>GH VS1</t>
  </si>
  <si>
    <t>TV20-032</t>
  </si>
  <si>
    <t>GH VS2</t>
  </si>
  <si>
    <t>TV20-033</t>
  </si>
  <si>
    <t>IJ VVS</t>
  </si>
  <si>
    <t>TV20-051</t>
  </si>
  <si>
    <t>IJ VS1</t>
  </si>
  <si>
    <t>TV20-052</t>
  </si>
  <si>
    <t>IJ VS2</t>
  </si>
  <si>
    <t>TV20-053</t>
  </si>
  <si>
    <t>DG SI1</t>
  </si>
  <si>
    <t>TV20-014</t>
  </si>
  <si>
    <t>DG SI2</t>
  </si>
  <si>
    <t>TV20-015</t>
  </si>
  <si>
    <t>DG SI3</t>
  </si>
  <si>
    <t>TV20-016</t>
  </si>
  <si>
    <t>HIJ SI1</t>
  </si>
  <si>
    <t>TV20-054</t>
  </si>
  <si>
    <t>HIJ SI2</t>
  </si>
  <si>
    <t>TV20-055</t>
  </si>
  <si>
    <t>HIJ SI3</t>
  </si>
  <si>
    <t>TV20-056</t>
  </si>
  <si>
    <t>KL VVS-VS1</t>
  </si>
  <si>
    <t>TV20-061</t>
  </si>
  <si>
    <t>MN VVS-VS1</t>
  </si>
  <si>
    <t>TV20-071</t>
  </si>
  <si>
    <t>O- IF-VS1</t>
  </si>
  <si>
    <t>TV20-081</t>
  </si>
  <si>
    <t>KL VS2-SI1</t>
  </si>
  <si>
    <t>TV20-062</t>
  </si>
  <si>
    <t>MN VS2-SI1</t>
  </si>
  <si>
    <t>TV20-072</t>
  </si>
  <si>
    <t>O- VS2-SI1</t>
  </si>
  <si>
    <t>TV20-082</t>
  </si>
  <si>
    <t>KL SI2-SI3</t>
  </si>
  <si>
    <t>TV20-063</t>
  </si>
  <si>
    <t>MN SI2-SI3</t>
  </si>
  <si>
    <t>TV20-073</t>
  </si>
  <si>
    <t>O- SI2-SI3</t>
  </si>
  <si>
    <t>TV20-083</t>
  </si>
  <si>
    <t>K- I1-I3</t>
  </si>
  <si>
    <t>TV20-074</t>
  </si>
  <si>
    <t>4A</t>
  </si>
  <si>
    <t>TU20-004A</t>
  </si>
  <si>
    <t>4B</t>
  </si>
  <si>
    <t>TU20-004B</t>
  </si>
  <si>
    <t>TU20-005</t>
  </si>
  <si>
    <t>TU20-006</t>
  </si>
  <si>
    <t>TU20-007</t>
  </si>
  <si>
    <t>TU20-008</t>
  </si>
  <si>
    <t>NATTS-1</t>
  </si>
  <si>
    <t>TV20-001N</t>
  </si>
  <si>
    <t>NATTS-2</t>
  </si>
  <si>
    <t>TV20-002N</t>
  </si>
  <si>
    <t>BROWN</t>
  </si>
  <si>
    <t>TVBR-001</t>
  </si>
  <si>
    <t>0.189-0.228</t>
  </si>
  <si>
    <t>0.229-0.238</t>
  </si>
  <si>
    <t>TV25-011</t>
  </si>
  <si>
    <t>TV25-012</t>
  </si>
  <si>
    <t>TV25-013</t>
  </si>
  <si>
    <t>TV25-031</t>
  </si>
  <si>
    <t>TV25-032</t>
  </si>
  <si>
    <t>TV25-033</t>
  </si>
  <si>
    <t>TV25-051</t>
  </si>
  <si>
    <t>TV25-052</t>
  </si>
  <si>
    <t>TV25-053</t>
  </si>
  <si>
    <t>TV25-014</t>
  </si>
  <si>
    <t>TV25-015</t>
  </si>
  <si>
    <t>TV25-016</t>
  </si>
  <si>
    <t>TV25-054</t>
  </si>
  <si>
    <t>TV25-055</t>
  </si>
  <si>
    <t>TV25-056</t>
  </si>
  <si>
    <t>TV25-061</t>
  </si>
  <si>
    <t>TV25-071</t>
  </si>
  <si>
    <t>TV25-081</t>
  </si>
  <si>
    <t>TV25-062</t>
  </si>
  <si>
    <t>TV25-072</t>
  </si>
  <si>
    <t>TV25-082</t>
  </si>
  <si>
    <t>TV25-063</t>
  </si>
  <si>
    <t>TV25-073</t>
  </si>
  <si>
    <t>TV25-083</t>
  </si>
  <si>
    <t>TV25-074</t>
  </si>
  <si>
    <t>TU25-004A</t>
  </si>
  <si>
    <t>TU25-004B</t>
  </si>
  <si>
    <t>TU25-005</t>
  </si>
  <si>
    <t>TU25-006</t>
  </si>
  <si>
    <t>TU25-007</t>
  </si>
  <si>
    <t>TU25-008</t>
  </si>
  <si>
    <t>TV25-001N</t>
  </si>
  <si>
    <t>TV25-002N</t>
  </si>
  <si>
    <t>0.239-0.298</t>
  </si>
  <si>
    <t>0.299-0.398</t>
  </si>
  <si>
    <t>TV30-011</t>
  </si>
  <si>
    <t>TV30-012</t>
  </si>
  <si>
    <t>TV30-013</t>
  </si>
  <si>
    <t>TV30-031</t>
  </si>
  <si>
    <t>TV30-032</t>
  </si>
  <si>
    <t>TV30-033</t>
  </si>
  <si>
    <t>TV30-051</t>
  </si>
  <si>
    <t>TV30-052</t>
  </si>
  <si>
    <t>TV30-053</t>
  </si>
  <si>
    <t>TV30-014</t>
  </si>
  <si>
    <t>TV30-015</t>
  </si>
  <si>
    <t>TV30-016</t>
  </si>
  <si>
    <t>TV30-054</t>
  </si>
  <si>
    <t>TV30-055</t>
  </si>
  <si>
    <t>TV30-056</t>
  </si>
  <si>
    <t>TV30-061</t>
  </si>
  <si>
    <t>TV30-071</t>
  </si>
  <si>
    <t>TV30-081</t>
  </si>
  <si>
    <t>TV30-062</t>
  </si>
  <si>
    <t>TV30-072</t>
  </si>
  <si>
    <t>TV30-082</t>
  </si>
  <si>
    <t>TV30-063</t>
  </si>
  <si>
    <t>TV30-073</t>
  </si>
  <si>
    <t>TV30-083</t>
  </si>
  <si>
    <t>TV30-074</t>
  </si>
  <si>
    <t>TU30-004A</t>
  </si>
  <si>
    <t>TU30-004B</t>
  </si>
  <si>
    <t>TU30-005</t>
  </si>
  <si>
    <t>TU30-006</t>
  </si>
  <si>
    <t>TU30-007</t>
  </si>
  <si>
    <t>TU30-008</t>
  </si>
  <si>
    <t>TV30-001N</t>
  </si>
  <si>
    <t>TV30-002N</t>
  </si>
  <si>
    <t>0.399-0.448</t>
  </si>
  <si>
    <t>TV40-011</t>
  </si>
  <si>
    <t>TV40-012</t>
  </si>
  <si>
    <t>TV40-013</t>
  </si>
  <si>
    <t>TV40-031</t>
  </si>
  <si>
    <t>TV40-032</t>
  </si>
  <si>
    <t>TV40-033</t>
  </si>
  <si>
    <t>TV40-051</t>
  </si>
  <si>
    <t>TV40-052</t>
  </si>
  <si>
    <t>TV40-053</t>
  </si>
  <si>
    <t>TV40-014</t>
  </si>
  <si>
    <t>TV40-015</t>
  </si>
  <si>
    <t>TV40-016</t>
  </si>
  <si>
    <t>TV40-054</t>
  </si>
  <si>
    <t>TV40-055</t>
  </si>
  <si>
    <t>TV40-056</t>
  </si>
  <si>
    <t>TV40-061</t>
  </si>
  <si>
    <t>TV40-071</t>
  </si>
  <si>
    <t>TV40-081</t>
  </si>
  <si>
    <t>TV40-062</t>
  </si>
  <si>
    <t>TV40-072</t>
  </si>
  <si>
    <t>TV40-082</t>
  </si>
  <si>
    <t>TV40-063</t>
  </si>
  <si>
    <t>TV40-073</t>
  </si>
  <si>
    <t>TV40-083</t>
  </si>
  <si>
    <t>TV40-074</t>
  </si>
  <si>
    <t>TU40-004A</t>
  </si>
  <si>
    <t>TU40-004B</t>
  </si>
  <si>
    <t>TU40-005</t>
  </si>
  <si>
    <t>TU40-006</t>
  </si>
  <si>
    <t>TU40-007</t>
  </si>
  <si>
    <t>TU40-008</t>
  </si>
  <si>
    <t>TV40-001N</t>
  </si>
  <si>
    <t>TV40-002N</t>
  </si>
  <si>
    <t>0.449-0.498</t>
  </si>
  <si>
    <t>TV45-011</t>
  </si>
  <si>
    <t>TV45-012</t>
  </si>
  <si>
    <t>TV45-013</t>
  </si>
  <si>
    <t>TV45-031</t>
  </si>
  <si>
    <t>TV45-032</t>
  </si>
  <si>
    <t>TV45-033</t>
  </si>
  <si>
    <t>TV45-051</t>
  </si>
  <si>
    <t>TV45-052</t>
  </si>
  <si>
    <t>TV45-053</t>
  </si>
  <si>
    <t>TV45-014</t>
  </si>
  <si>
    <t>TV45-015</t>
  </si>
  <si>
    <t>TV45-016</t>
  </si>
  <si>
    <t>TV45-054</t>
  </si>
  <si>
    <t>TV45-055</t>
  </si>
  <si>
    <t>TV45-056</t>
  </si>
  <si>
    <t>TV45-061</t>
  </si>
  <si>
    <t>TV45-071</t>
  </si>
  <si>
    <t>TV45-081</t>
  </si>
  <si>
    <t>TV45-062</t>
  </si>
  <si>
    <t>TV45-072</t>
  </si>
  <si>
    <t>TV45-082</t>
  </si>
  <si>
    <t>TV45-063</t>
  </si>
  <si>
    <t>TV45-073</t>
  </si>
  <si>
    <t>TV45-083</t>
  </si>
  <si>
    <t>TV45-074</t>
  </si>
  <si>
    <t>TU45-004A</t>
  </si>
  <si>
    <t>TU45-004B</t>
  </si>
  <si>
    <t>TU45-005</t>
  </si>
  <si>
    <t>TU45-006</t>
  </si>
  <si>
    <t>TU45-007</t>
  </si>
  <si>
    <t>TU45-008</t>
  </si>
  <si>
    <t>TV45-001N</t>
  </si>
  <si>
    <t>TV45-002N</t>
  </si>
  <si>
    <t>0.499-0.698</t>
  </si>
  <si>
    <t>TV50-011</t>
  </si>
  <si>
    <t>TV50-012</t>
  </si>
  <si>
    <t>TV50-013</t>
  </si>
  <si>
    <t>TV50-031</t>
  </si>
  <si>
    <t>TV50-032</t>
  </si>
  <si>
    <t>TV50-033</t>
  </si>
  <si>
    <t>TV50-051</t>
  </si>
  <si>
    <t>TV50-052</t>
  </si>
  <si>
    <t>TV50-053</t>
  </si>
  <si>
    <t>TV50-014</t>
  </si>
  <si>
    <t>TV50-015</t>
  </si>
  <si>
    <t>TV50-016</t>
  </si>
  <si>
    <t>TV50-054</t>
  </si>
  <si>
    <t>TV50-055</t>
  </si>
  <si>
    <t>TV50-056</t>
  </si>
  <si>
    <t>TV50-061</t>
  </si>
  <si>
    <t>TV50-071</t>
  </si>
  <si>
    <t>TV50-081</t>
  </si>
  <si>
    <t>TV50-062</t>
  </si>
  <si>
    <t>TV50-072</t>
  </si>
  <si>
    <t>TV50-082</t>
  </si>
  <si>
    <t>TV50-063</t>
  </si>
  <si>
    <t>TV50-073</t>
  </si>
  <si>
    <t>TV50-083</t>
  </si>
  <si>
    <t>TV50-074</t>
  </si>
  <si>
    <t>TU50-004A</t>
  </si>
  <si>
    <t>TU50-004B</t>
  </si>
  <si>
    <t>TU50-005</t>
  </si>
  <si>
    <t>TU50-006</t>
  </si>
  <si>
    <t>TU50-007</t>
  </si>
  <si>
    <t>TU50-008</t>
  </si>
  <si>
    <t>TV50-001N</t>
  </si>
  <si>
    <t>TV50-002N</t>
  </si>
  <si>
    <t>0.599-0.698</t>
  </si>
  <si>
    <t>TV60-011</t>
  </si>
  <si>
    <t>TV60-012</t>
  </si>
  <si>
    <t>TV60-013</t>
  </si>
  <si>
    <t>TV60-031</t>
  </si>
  <si>
    <t>TV60-032</t>
  </si>
  <si>
    <t>TV60-033</t>
  </si>
  <si>
    <t>TV60-051</t>
  </si>
  <si>
    <t>TV60-052</t>
  </si>
  <si>
    <t>TV60-053</t>
  </si>
  <si>
    <t>TV60-014</t>
  </si>
  <si>
    <t>TV60-015</t>
  </si>
  <si>
    <t>TV60-016</t>
  </si>
  <si>
    <t>TV60-054</t>
  </si>
  <si>
    <t>TV60-055</t>
  </si>
  <si>
    <t>TV60-056</t>
  </si>
  <si>
    <t>TV60-061</t>
  </si>
  <si>
    <t>TV60-071</t>
  </si>
  <si>
    <t>TV60-081</t>
  </si>
  <si>
    <t>TV60-062</t>
  </si>
  <si>
    <t>TV60-072</t>
  </si>
  <si>
    <t>TV60-082</t>
  </si>
  <si>
    <t>TV60-063</t>
  </si>
  <si>
    <t>TV60-073</t>
  </si>
  <si>
    <t>TV60-083</t>
  </si>
  <si>
    <t>TV60-074</t>
  </si>
  <si>
    <t>TU60-004A</t>
  </si>
  <si>
    <t>TU60-004B</t>
  </si>
  <si>
    <t>TU60-005</t>
  </si>
  <si>
    <t>TU60-006</t>
  </si>
  <si>
    <t>TU60-007</t>
  </si>
  <si>
    <t>TU60-008</t>
  </si>
  <si>
    <t>TV60-001N</t>
  </si>
  <si>
    <t>TV60-002N</t>
  </si>
  <si>
    <t>0.699-0.798</t>
  </si>
  <si>
    <t>TV70-011</t>
  </si>
  <si>
    <t>TV70-012</t>
  </si>
  <si>
    <t>TV70-013</t>
  </si>
  <si>
    <t>TV70-031</t>
  </si>
  <si>
    <t>TV70-032</t>
  </si>
  <si>
    <t>TV70-033</t>
  </si>
  <si>
    <t>TV70-051</t>
  </si>
  <si>
    <t>TV70-052</t>
  </si>
  <si>
    <t>TV70-053</t>
  </si>
  <si>
    <t>TV70-014</t>
  </si>
  <si>
    <t>TV70-015</t>
  </si>
  <si>
    <t>TV70-016</t>
  </si>
  <si>
    <t>TV70-054</t>
  </si>
  <si>
    <t>TV70-055</t>
  </si>
  <si>
    <t>TV70-056</t>
  </si>
  <si>
    <t>TV70-061</t>
  </si>
  <si>
    <t>TV70-071</t>
  </si>
  <si>
    <t>TV70-081</t>
  </si>
  <si>
    <t>TV70-062</t>
  </si>
  <si>
    <t>TV70-072</t>
  </si>
  <si>
    <t>TV70-082</t>
  </si>
  <si>
    <t>TV70-063</t>
  </si>
  <si>
    <t>TV70-073</t>
  </si>
  <si>
    <t>TV70-083</t>
  </si>
  <si>
    <t>TV70-074</t>
  </si>
  <si>
    <t>TU70-004A</t>
  </si>
  <si>
    <t>TU70-004B</t>
  </si>
  <si>
    <t>TU70-005</t>
  </si>
  <si>
    <t>TU70-006</t>
  </si>
  <si>
    <t>TU70-007</t>
  </si>
  <si>
    <t>TU70-008</t>
  </si>
  <si>
    <t>TV70-001N</t>
  </si>
  <si>
    <t>TV70-002N</t>
  </si>
  <si>
    <t>0.799-0.898</t>
  </si>
  <si>
    <t>TV80-011</t>
  </si>
  <si>
    <t>TV80-012</t>
  </si>
  <si>
    <t>TV80-013</t>
  </si>
  <si>
    <t>TV80-031</t>
  </si>
  <si>
    <t>TV80-032</t>
  </si>
  <si>
    <t>TV80-033</t>
  </si>
  <si>
    <t>TV80-051</t>
  </si>
  <si>
    <t>TV80-052</t>
  </si>
  <si>
    <t>TV80-053</t>
  </si>
  <si>
    <t>TV80-014</t>
  </si>
  <si>
    <t>TV80-015</t>
  </si>
  <si>
    <t>TV80-016</t>
  </si>
  <si>
    <t>TV80-054</t>
  </si>
  <si>
    <t>TV80-055</t>
  </si>
  <si>
    <t>TV80-056</t>
  </si>
  <si>
    <t>TV80-061</t>
  </si>
  <si>
    <t>TV80-071</t>
  </si>
  <si>
    <t>TV80-081</t>
  </si>
  <si>
    <t>TV80-062</t>
  </si>
  <si>
    <t>TV80-072</t>
  </si>
  <si>
    <t>TV80-082</t>
  </si>
  <si>
    <t>TV80-063</t>
  </si>
  <si>
    <t>TV80-073</t>
  </si>
  <si>
    <t>TV80-083</t>
  </si>
  <si>
    <t>TV80-074</t>
  </si>
  <si>
    <t>TU80-004A</t>
  </si>
  <si>
    <t>TU80-004B</t>
  </si>
  <si>
    <t>TU80-005</t>
  </si>
  <si>
    <t>TU80-006</t>
  </si>
  <si>
    <t>TU80-007</t>
  </si>
  <si>
    <t>TU80-008</t>
  </si>
  <si>
    <t>TV80-001N</t>
  </si>
  <si>
    <t>TV80-002N</t>
  </si>
  <si>
    <t>0.899-0.998</t>
  </si>
  <si>
    <t>TV90-011</t>
  </si>
  <si>
    <t>TV90-012</t>
  </si>
  <si>
    <t>TV90-013</t>
  </si>
  <si>
    <t>TV90-031</t>
  </si>
  <si>
    <t>TV90-032</t>
  </si>
  <si>
    <t>TV90-033</t>
  </si>
  <si>
    <t>TV90-051</t>
  </si>
  <si>
    <t>TV90-052</t>
  </si>
  <si>
    <t>TV90-053</t>
  </si>
  <si>
    <t>TV90-014</t>
  </si>
  <si>
    <t>TV90-015</t>
  </si>
  <si>
    <t>TV90-016</t>
  </si>
  <si>
    <t>TV90-054</t>
  </si>
  <si>
    <t>TV90-055</t>
  </si>
  <si>
    <t>TV90-056</t>
  </si>
  <si>
    <t>TV90-061</t>
  </si>
  <si>
    <t>TV90-071</t>
  </si>
  <si>
    <t>TV90-081</t>
  </si>
  <si>
    <t>TV90-062</t>
  </si>
  <si>
    <t>TV90-072</t>
  </si>
  <si>
    <t>TV90-082</t>
  </si>
  <si>
    <t>TV90-063</t>
  </si>
  <si>
    <t>TV90-073</t>
  </si>
  <si>
    <t>TV90-083</t>
  </si>
  <si>
    <t>TV90-074</t>
  </si>
  <si>
    <t>TU90-004A</t>
  </si>
  <si>
    <t>TU90-004B</t>
  </si>
  <si>
    <t>TU90-005</t>
  </si>
  <si>
    <t>TU90-006</t>
  </si>
  <si>
    <t>TU90-007</t>
  </si>
  <si>
    <t>TU90-008</t>
  </si>
  <si>
    <t>TV90-001N</t>
  </si>
  <si>
    <t>TV90-002N</t>
  </si>
  <si>
    <t>5</t>
  </si>
  <si>
    <t>6</t>
  </si>
  <si>
    <t>7</t>
  </si>
  <si>
    <t>8</t>
  </si>
  <si>
    <t>DF/VVS</t>
  </si>
  <si>
    <t>DF/VS1</t>
  </si>
  <si>
    <t>DF/VS2</t>
  </si>
  <si>
    <t>DG/SI1</t>
  </si>
  <si>
    <t>DG/SI2</t>
  </si>
  <si>
    <t>DG/SI3</t>
  </si>
  <si>
    <t>GH/VVS</t>
  </si>
  <si>
    <t>GH/VS1</t>
  </si>
  <si>
    <t>GH/VS2</t>
  </si>
  <si>
    <t>HIJ/SI1</t>
  </si>
  <si>
    <t>HIJ/SI2</t>
  </si>
  <si>
    <t>HIJ/SI3</t>
  </si>
  <si>
    <t>IJ/VVS</t>
  </si>
  <si>
    <t>IJ/VS1</t>
  </si>
  <si>
    <t>IJ/VS2</t>
  </si>
  <si>
    <t>KL/VVS-VS1</t>
  </si>
  <si>
    <t>KL/VS2-SI1</t>
  </si>
  <si>
    <t>KL/SI2-SI3</t>
  </si>
  <si>
    <t>K-/I1-I3</t>
  </si>
  <si>
    <t>MN/VVS-VS1</t>
  </si>
  <si>
    <t>MN/VS2-SI1</t>
  </si>
  <si>
    <t>MN/SI2-SI3</t>
  </si>
  <si>
    <t>N</t>
  </si>
  <si>
    <t>O</t>
  </si>
  <si>
    <t>O-/IF-VS1</t>
  </si>
  <si>
    <t>O-/VS2-SI1</t>
  </si>
  <si>
    <t>O-/SI2-SI3</t>
  </si>
  <si>
    <t>Equivalent</t>
  </si>
  <si>
    <t>Sequence</t>
  </si>
  <si>
    <t>-0.08</t>
  </si>
  <si>
    <t>0.999-1.248</t>
  </si>
  <si>
    <t>1.249-1.498</t>
  </si>
  <si>
    <t>N5</t>
  </si>
  <si>
    <t>N6</t>
  </si>
  <si>
    <t>N7</t>
  </si>
  <si>
    <t>N+</t>
  </si>
  <si>
    <t>N8</t>
  </si>
  <si>
    <t>CAPE</t>
  </si>
  <si>
    <t>Good</t>
  </si>
  <si>
    <t>1.200-1.499</t>
  </si>
  <si>
    <t>Date</t>
  </si>
  <si>
    <t>SizeFrom</t>
  </si>
  <si>
    <t>SizeTo</t>
  </si>
  <si>
    <t>Price</t>
  </si>
  <si>
    <t>BR</t>
  </si>
  <si>
    <t>PS</t>
  </si>
  <si>
    <t>NEW PRICELIST 0.30-0.34</t>
  </si>
  <si>
    <t>XXX - NONE</t>
  </si>
  <si>
    <t>XXX - FAINT</t>
  </si>
  <si>
    <t>XXX - MED</t>
  </si>
  <si>
    <t>XXX - STRONG</t>
  </si>
  <si>
    <t>XXX - VERY STRONG</t>
  </si>
  <si>
    <t>X - NONE</t>
  </si>
  <si>
    <t>X - FAINT</t>
  </si>
  <si>
    <t>X - MED</t>
  </si>
  <si>
    <t>X - STRONG</t>
  </si>
  <si>
    <t>X - VERY STRONG</t>
  </si>
  <si>
    <t>VG - NONE</t>
  </si>
  <si>
    <t>VG - FAINT</t>
  </si>
  <si>
    <t>VG - MED</t>
  </si>
  <si>
    <t>VG - STRONG</t>
  </si>
  <si>
    <t>VG - VERY STRONG</t>
  </si>
  <si>
    <t>GD - NONE</t>
  </si>
  <si>
    <t>GD - FAINT</t>
  </si>
  <si>
    <t>GD - MED</t>
  </si>
  <si>
    <t>GD - STRONG</t>
  </si>
  <si>
    <t>GD - VERY STRONG</t>
  </si>
  <si>
    <t>NEW PRICELIST 0.35-0.39</t>
  </si>
  <si>
    <t>NEW PRICELIST 0.40-0.44</t>
  </si>
  <si>
    <t>NEW PRICELIST 0.45-0.49</t>
  </si>
  <si>
    <t>NEW PRICELIST 0.50-0.59</t>
  </si>
  <si>
    <t>NEW PRICELIST 0.60-0.69</t>
  </si>
  <si>
    <t>NEW PRICELIST 0.70-0.74</t>
  </si>
  <si>
    <t>NEW PRICELIST 0.75-0.79</t>
  </si>
  <si>
    <t>NEW PRICELIST 0.80-0.89</t>
  </si>
  <si>
    <t>NEW PRICELIST 0.90-0.94</t>
  </si>
  <si>
    <t>NEW PRICELIST 0.95-0.99</t>
  </si>
  <si>
    <t>N/A</t>
  </si>
  <si>
    <t>Brown</t>
  </si>
  <si>
    <t>Green</t>
  </si>
  <si>
    <t>Grey</t>
  </si>
  <si>
    <t>Fancy Shape</t>
  </si>
  <si>
    <t>Applicable only on</t>
  </si>
  <si>
    <t>Upgrade</t>
  </si>
  <si>
    <t>0.5 Color</t>
  </si>
  <si>
    <t>1 Color</t>
  </si>
  <si>
    <t>1.5 Color</t>
  </si>
  <si>
    <t>2 Color</t>
  </si>
  <si>
    <t>2.5 Color</t>
  </si>
  <si>
    <t>0.5 Clarity</t>
  </si>
  <si>
    <t>1 Clarity</t>
  </si>
  <si>
    <t>1.5 Clarity</t>
  </si>
  <si>
    <t>2 Clarity</t>
  </si>
  <si>
    <t>2.5 Clarity</t>
  </si>
  <si>
    <t>Downgrade</t>
  </si>
  <si>
    <t>Internal</t>
  </si>
  <si>
    <t>Surface</t>
  </si>
  <si>
    <t>Parcel Data</t>
  </si>
  <si>
    <t>PCS</t>
  </si>
  <si>
    <t>Lot-Serie</t>
  </si>
  <si>
    <t xml:space="preserve">Shape </t>
  </si>
  <si>
    <t xml:space="preserve">Weight </t>
  </si>
  <si>
    <t xml:space="preserve">Color </t>
  </si>
  <si>
    <t xml:space="preserve">Clarity </t>
  </si>
  <si>
    <t xml:space="preserve">Cut </t>
  </si>
  <si>
    <t xml:space="preserve">Polish </t>
  </si>
  <si>
    <t xml:space="preserve">Symmetry </t>
  </si>
  <si>
    <t xml:space="preserve">Fluo </t>
  </si>
  <si>
    <t>Certified</t>
  </si>
  <si>
    <t>RAP</t>
  </si>
  <si>
    <t>Basic Discount</t>
  </si>
  <si>
    <t>FMP</t>
  </si>
  <si>
    <t>T$</t>
  </si>
  <si>
    <t xml:space="preserve">Location </t>
  </si>
  <si>
    <t>Cut Comments</t>
  </si>
  <si>
    <t>Location Natural</t>
  </si>
  <si>
    <t>Others Location</t>
  </si>
  <si>
    <t>Open Disc</t>
  </si>
  <si>
    <t>Column1</t>
  </si>
  <si>
    <t xml:space="preserve">Location   </t>
  </si>
  <si>
    <t>Black Disc</t>
  </si>
  <si>
    <t>Clean Disc</t>
  </si>
  <si>
    <t xml:space="preserve">AM </t>
  </si>
  <si>
    <t xml:space="preserve">PCR </t>
  </si>
  <si>
    <t xml:space="preserve">LT </t>
  </si>
  <si>
    <t xml:space="preserve">HOH </t>
  </si>
  <si>
    <t xml:space="preserve">PAS8 </t>
  </si>
  <si>
    <t xml:space="preserve">INFI </t>
  </si>
  <si>
    <t xml:space="preserve">VCA </t>
  </si>
  <si>
    <t>TAS</t>
  </si>
  <si>
    <t>A1</t>
  </si>
  <si>
    <t>HC5</t>
  </si>
  <si>
    <t>CSC</t>
  </si>
  <si>
    <t>LKI</t>
  </si>
  <si>
    <t>Y</t>
  </si>
  <si>
    <t>DY</t>
  </si>
  <si>
    <t>SK</t>
  </si>
  <si>
    <t>TSL</t>
  </si>
  <si>
    <t>MKM</t>
  </si>
  <si>
    <t>PP</t>
  </si>
  <si>
    <t xml:space="preserve">Client </t>
  </si>
  <si>
    <t xml:space="preserve">Remark </t>
  </si>
  <si>
    <t>CERTCT</t>
  </si>
  <si>
    <t>SHAPE</t>
  </si>
  <si>
    <t>COLOR</t>
  </si>
  <si>
    <t>CLARITY</t>
  </si>
  <si>
    <t>CERTDT</t>
  </si>
  <si>
    <t>LENGTH</t>
  </si>
  <si>
    <t>WIDTH</t>
  </si>
  <si>
    <t>DEPTH</t>
  </si>
  <si>
    <t>RATIO</t>
  </si>
  <si>
    <t>CrA°</t>
  </si>
  <si>
    <t>CrH</t>
  </si>
  <si>
    <t>PvA°</t>
  </si>
  <si>
    <t>PvD</t>
  </si>
  <si>
    <t>TD</t>
  </si>
  <si>
    <t>TA</t>
  </si>
  <si>
    <t>STARS</t>
  </si>
  <si>
    <t>HALFS</t>
  </si>
  <si>
    <t>GIRDLE</t>
  </si>
  <si>
    <t>GIRDLE FROM</t>
  </si>
  <si>
    <t>GIRDLE TO</t>
  </si>
  <si>
    <t>CULET</t>
  </si>
  <si>
    <t>GIRDLE CONDITION</t>
  </si>
  <si>
    <t>POLISH</t>
  </si>
  <si>
    <t>SYMMETRY</t>
  </si>
  <si>
    <t>REPORT COMMENTS</t>
  </si>
  <si>
    <t>KEY TO SYMBOLS</t>
  </si>
  <si>
    <t>PDF AVAILABLE</t>
  </si>
  <si>
    <t>REPORT TYPE</t>
  </si>
  <si>
    <t>INSCRIPTION</t>
  </si>
  <si>
    <t>SOURCE</t>
  </si>
  <si>
    <t xml:space="preserve">RAP  </t>
  </si>
  <si>
    <t xml:space="preserve">FMP  </t>
  </si>
  <si>
    <t xml:space="preserve">T$  </t>
  </si>
  <si>
    <t xml:space="preserve">RAP   </t>
  </si>
  <si>
    <t xml:space="preserve">FMP </t>
  </si>
  <si>
    <t xml:space="preserve">T$    </t>
  </si>
  <si>
    <t>Orders</t>
  </si>
  <si>
    <t>BGM</t>
  </si>
  <si>
    <t>Fancies</t>
  </si>
  <si>
    <t>Dossiers</t>
  </si>
  <si>
    <t>+1Cts</t>
  </si>
  <si>
    <t>EX-Cut</t>
  </si>
  <si>
    <t>VG-Cut</t>
  </si>
  <si>
    <t>G-Cut</t>
  </si>
  <si>
    <t>3Cts</t>
  </si>
  <si>
    <t>4Ct</t>
  </si>
  <si>
    <t>5Ct</t>
  </si>
  <si>
    <t>6Ct</t>
  </si>
  <si>
    <t>Polish/Sym</t>
  </si>
  <si>
    <t>+1Cts Fancy</t>
  </si>
  <si>
    <t>ID</t>
  </si>
  <si>
    <t>PRINCESS</t>
  </si>
  <si>
    <t>Rounds</t>
  </si>
  <si>
    <t>Ideal, Excellent Polish/Symmetry</t>
  </si>
  <si>
    <t>VG Polish/Symmetry</t>
  </si>
  <si>
    <t>Ex-Cut</t>
  </si>
  <si>
    <t>Basic Prices below 30Pts GIA 3EX NON-FNT</t>
  </si>
  <si>
    <t>Discount Parameters</t>
  </si>
  <si>
    <t>0.18-0.19</t>
  </si>
  <si>
    <t>Cut/Pol/Sym</t>
  </si>
  <si>
    <t>0.18-0.19/D</t>
  </si>
  <si>
    <t>EX/EX/EX</t>
  </si>
  <si>
    <t>0.18-0.19/E</t>
  </si>
  <si>
    <t>EX/EX/VG</t>
  </si>
  <si>
    <t>0.18-0.19/F</t>
  </si>
  <si>
    <t>EX/VG/EX</t>
  </si>
  <si>
    <t>0.18-0.19/G</t>
  </si>
  <si>
    <t>EX/VG/VG</t>
  </si>
  <si>
    <t>0.18-0.19/H</t>
  </si>
  <si>
    <t>VG/EX/EX</t>
  </si>
  <si>
    <t>0.18-0.19/I</t>
  </si>
  <si>
    <t>VG/VG/VG</t>
  </si>
  <si>
    <t>VG/EX/VG</t>
  </si>
  <si>
    <t>0.20-0.22</t>
  </si>
  <si>
    <t>VG/VG/EX</t>
  </si>
  <si>
    <t>0.20-0.22/D</t>
  </si>
  <si>
    <t>0.20-0.22/E</t>
  </si>
  <si>
    <t>0.20-0.22/F</t>
  </si>
  <si>
    <t>0.20-0.22/G</t>
  </si>
  <si>
    <t>0.20-0.22/H</t>
  </si>
  <si>
    <t>0.20-0.22/I</t>
  </si>
  <si>
    <t>0.23-0.24</t>
  </si>
  <si>
    <t>0.23-0.24/D</t>
  </si>
  <si>
    <t>0.23-0.24/E</t>
  </si>
  <si>
    <t>0.23-0.24/F</t>
  </si>
  <si>
    <t>0.23-0.24/G</t>
  </si>
  <si>
    <t>0.23-0.24/H</t>
  </si>
  <si>
    <t>0.23-0.24/I</t>
  </si>
  <si>
    <t>0.25-0.29</t>
  </si>
  <si>
    <t>0.25-0.29/D</t>
  </si>
  <si>
    <t>0.25-0.29/E</t>
  </si>
  <si>
    <t>0.25-0.29/F</t>
  </si>
  <si>
    <t>0.25-0.29/G</t>
  </si>
  <si>
    <t>0.25-0.29/H</t>
  </si>
  <si>
    <t>0.25-0.29/I</t>
  </si>
  <si>
    <t>1.00-1.19</t>
  </si>
  <si>
    <t>1.20-1.49</t>
  </si>
  <si>
    <t>Picture</t>
  </si>
  <si>
    <t>Video</t>
  </si>
  <si>
    <t>MARQUISE</t>
  </si>
  <si>
    <t>RADIANT</t>
  </si>
  <si>
    <t>HEART</t>
  </si>
  <si>
    <t>EMERALD</t>
  </si>
  <si>
    <t xml:space="preserve">Diam </t>
  </si>
  <si>
    <t>DIAM</t>
  </si>
  <si>
    <t>*</t>
  </si>
  <si>
    <t>In case of (Internal / Surface ) both the graining marked than higher the discount will be applicable.</t>
  </si>
  <si>
    <t xml:space="preserve">* In All above cases if In EX cut any Pol/Sym will come GD than consider Average Price between EX-GD </t>
  </si>
  <si>
    <t xml:space="preserve">* In All above cases if In VG cut any Pol/Sym will come GD than consider Average Price between VG-GD </t>
  </si>
  <si>
    <t>Rounds 3VG+ /Non-Med</t>
  </si>
  <si>
    <t>Rounds Otherwise</t>
  </si>
  <si>
    <t>Above Discounts  / Premiums are only applicable on rounds 3VG+ / NN-MED Only and Fancy Polish/Symmetry VG+/VG+ / NN-MED</t>
  </si>
  <si>
    <t>Min</t>
  </si>
  <si>
    <t>Max</t>
  </si>
  <si>
    <t>Crown Angle</t>
  </si>
  <si>
    <t>Pavilion Angle</t>
  </si>
  <si>
    <t>Variation</t>
  </si>
  <si>
    <t>Stars</t>
  </si>
  <si>
    <t>Pav Havles</t>
  </si>
  <si>
    <t>Total Depth</t>
  </si>
  <si>
    <t>GIA EX</t>
  </si>
  <si>
    <t>GIA VG</t>
  </si>
  <si>
    <t>GIA G</t>
  </si>
  <si>
    <t>Parameters Rounds</t>
  </si>
  <si>
    <t>Parameters Fancy</t>
  </si>
  <si>
    <t>Internal Grading</t>
  </si>
  <si>
    <t xml:space="preserve">Black </t>
  </si>
  <si>
    <t>Open (Large)</t>
  </si>
  <si>
    <t>Indented</t>
  </si>
  <si>
    <t>Eyeclean</t>
  </si>
  <si>
    <t>Cutoff Discounts Lower Maxima</t>
  </si>
  <si>
    <t>Cutoff Premiums Upper Maxima</t>
  </si>
  <si>
    <t>Brown/Tinge</t>
  </si>
  <si>
    <t>Inclusion TW</t>
  </si>
  <si>
    <t>Internal  Grading</t>
  </si>
  <si>
    <t>Internal Gradings</t>
  </si>
  <si>
    <t>ASSHER</t>
  </si>
  <si>
    <t>X-Very Strong</t>
  </si>
  <si>
    <t>VG-Very Strong</t>
  </si>
  <si>
    <t>X-None</t>
  </si>
  <si>
    <t>X-Faint</t>
  </si>
  <si>
    <t>X-Medium</t>
  </si>
  <si>
    <t>X-Strong</t>
  </si>
  <si>
    <t>VG-None</t>
  </si>
  <si>
    <t>VG-Faint</t>
  </si>
  <si>
    <t>VG-Medium</t>
  </si>
  <si>
    <t>VG-Strong</t>
  </si>
  <si>
    <t>GD-None</t>
  </si>
  <si>
    <t>GD-Faint</t>
  </si>
  <si>
    <t>GD-Medium</t>
  </si>
  <si>
    <t>GD-Strong</t>
  </si>
  <si>
    <t>GD-Very Strong</t>
  </si>
  <si>
    <t>X-MED</t>
  </si>
  <si>
    <t>VG-MED</t>
  </si>
  <si>
    <t>GD-MED</t>
  </si>
  <si>
    <t>* Rounds N -Color to be concidered as M-Color</t>
  </si>
  <si>
    <t>Size/Cut</t>
  </si>
  <si>
    <t>EX-</t>
  </si>
  <si>
    <t>Sizebreaks Fancy Certified</t>
  </si>
  <si>
    <t>0.50-0.599</t>
  </si>
  <si>
    <t>0.60-0.699</t>
  </si>
  <si>
    <t>0.70-0.799</t>
  </si>
  <si>
    <t>0.80-0.899</t>
  </si>
  <si>
    <t>0.90-0.979</t>
  </si>
  <si>
    <t>0.98-0.999</t>
  </si>
  <si>
    <t>1.00-1.099</t>
  </si>
  <si>
    <t>1.10-1.199</t>
  </si>
  <si>
    <t>1.20-1.299</t>
  </si>
  <si>
    <t>1.30-1.399</t>
  </si>
  <si>
    <t>1.40-1.499</t>
  </si>
  <si>
    <t>1.50-1.599</t>
  </si>
  <si>
    <t>1.60-1.699</t>
  </si>
  <si>
    <t>1.70-1.799</t>
  </si>
  <si>
    <t>1.80-1.899</t>
  </si>
  <si>
    <t>1.90-1.999</t>
  </si>
  <si>
    <t>2.00-2.099</t>
  </si>
  <si>
    <t>2.10-2.199</t>
  </si>
  <si>
    <t>2.20-2.499</t>
  </si>
  <si>
    <t>2.50-2.699</t>
  </si>
  <si>
    <t>2.70-2.799</t>
  </si>
  <si>
    <t/>
  </si>
  <si>
    <t>2.50-2.99</t>
  </si>
  <si>
    <t>2.00-2.49</t>
  </si>
  <si>
    <t>1.70-1.99</t>
  </si>
  <si>
    <t>90's</t>
  </si>
  <si>
    <t>80's</t>
  </si>
  <si>
    <t>70's</t>
  </si>
  <si>
    <t>60's</t>
  </si>
  <si>
    <t>50's</t>
  </si>
  <si>
    <t>Corner Efficiency</t>
  </si>
  <si>
    <t>Crown Width Ratio</t>
  </si>
  <si>
    <t>Efficiency</t>
  </si>
  <si>
    <t>Pavilion Depth</t>
  </si>
  <si>
    <t>Pavilion Depth 1</t>
  </si>
  <si>
    <t>Pavilion Angle 3</t>
  </si>
  <si>
    <t>Pavilion Angle 2</t>
  </si>
  <si>
    <t>Crown Height</t>
  </si>
  <si>
    <t>Pavilion Angle 1</t>
  </si>
  <si>
    <t>L\W Ratio</t>
  </si>
  <si>
    <t>Depth</t>
  </si>
  <si>
    <t>Discounts on Fluo Faint</t>
  </si>
  <si>
    <t>1.No bgm in fancy shapes</t>
  </si>
  <si>
    <t>3.No open on table &amp; crown. Only pavilion open upto minor or small is allowed with discount as per round shape's discount in pricing module</t>
  </si>
  <si>
    <t>2.80-2.999</t>
  </si>
  <si>
    <t>Discounts on Fluo Strong</t>
  </si>
  <si>
    <t>Discounts on Fluo Medium</t>
  </si>
  <si>
    <t>Discounts on Fluo Very Strong</t>
  </si>
  <si>
    <t>Notes: on Discounts/Premiums</t>
  </si>
  <si>
    <t>5.No Medium, strong, very strong fluorescence allowed in fancy shapes. However if a stone is there then above discounts:-</t>
  </si>
  <si>
    <t>EX/EX</t>
  </si>
  <si>
    <t>Dossiers - Rounds only (For Fancy no BGM allowed)</t>
  </si>
  <si>
    <t>Additional discounts : Symmetry, polish discount: VG+,G+</t>
  </si>
  <si>
    <t>P2008557</t>
  </si>
  <si>
    <t>Max-55</t>
  </si>
  <si>
    <t>up</t>
  </si>
  <si>
    <t>-6.2 mm</t>
  </si>
  <si>
    <t>+6.3 mm</t>
  </si>
  <si>
    <t>0.63</t>
  </si>
  <si>
    <t>1.00-1.49</t>
  </si>
  <si>
    <t>Diameter</t>
  </si>
  <si>
    <t>Diameter Range</t>
  </si>
  <si>
    <t>KtoS</t>
  </si>
  <si>
    <t>5 or more KtoS Characteristics</t>
  </si>
  <si>
    <t>Diameter Premiums Rounds Certified</t>
  </si>
  <si>
    <t>Note</t>
  </si>
  <si>
    <t>In the "Grading sheet" the field Diameter is taken into discount. When not filled in, there isn't any diameter discount/premium</t>
  </si>
  <si>
    <t>In the sheet "Final Grading", the field "Length" and "Width" are being used</t>
  </si>
  <si>
    <r>
      <t xml:space="preserve">Only applicable when Certified data is filled in into the field "KEY TO SYMBOLS", so </t>
    </r>
    <r>
      <rPr>
        <b/>
        <sz val="11"/>
        <color theme="1"/>
        <rFont val="Calibri"/>
        <family val="2"/>
        <scheme val="minor"/>
      </rPr>
      <t>not applicable</t>
    </r>
    <r>
      <rPr>
        <sz val="11"/>
        <color theme="1"/>
        <rFont val="Calibri"/>
        <family val="2"/>
        <scheme val="minor"/>
      </rPr>
      <t xml:space="preserve"> in the sheet "Planning"</t>
    </r>
  </si>
  <si>
    <t>GIA Source API</t>
  </si>
  <si>
    <t>Diameter Premiums</t>
  </si>
  <si>
    <t>Ktos Premiums</t>
  </si>
  <si>
    <t>Size Premiums</t>
  </si>
  <si>
    <t>Total Discount</t>
  </si>
  <si>
    <t>Value After Internal Grading</t>
  </si>
  <si>
    <t>Pricelist Discount</t>
  </si>
  <si>
    <t>Key to Symbols - Rounds Only +1 Ct upto 3Ct Certified - Only applicable when Certified data is filled in into the field "KEY TO SYMBOLS", so not in planning sheet</t>
  </si>
  <si>
    <t>Only 1 KtoS Characteristic i.e. Feather or Pinpoints</t>
  </si>
  <si>
    <t>Mahendra</t>
  </si>
  <si>
    <t>IF VVS F</t>
  </si>
  <si>
    <t>3.01-3.09</t>
  </si>
  <si>
    <t>4.01-4.09</t>
  </si>
  <si>
    <t>5.01-5.09</t>
  </si>
  <si>
    <t>6Cts Up</t>
  </si>
  <si>
    <t>0.35-0.399</t>
  </si>
  <si>
    <t>0.60-0.649</t>
  </si>
  <si>
    <t>0.95-0.999</t>
  </si>
  <si>
    <t>MM PREMIUM : criteria is 3ex none &amp; faint</t>
  </si>
  <si>
    <t>Diameter Premiums Rounds Certified Dossiers</t>
  </si>
  <si>
    <t>0.80-849</t>
  </si>
  <si>
    <t>&gt;4.5mm</t>
  </si>
  <si>
    <t>&gt;5.4mm</t>
  </si>
  <si>
    <t>&gt;6.00mm</t>
  </si>
  <si>
    <t>&gt;6.3mm</t>
  </si>
  <si>
    <t>Key</t>
  </si>
  <si>
    <t>D/IF</t>
  </si>
  <si>
    <t>D/VVS1</t>
  </si>
  <si>
    <t>E/IF</t>
  </si>
  <si>
    <t>E/VVS1</t>
  </si>
  <si>
    <t>F/IF</t>
  </si>
  <si>
    <t>F/VVS1</t>
  </si>
  <si>
    <t>3.749</t>
  </si>
  <si>
    <t>3EX -NONE</t>
  </si>
  <si>
    <t>3.999</t>
  </si>
  <si>
    <t>Exception on IF VVS F</t>
  </si>
  <si>
    <t>3Ct</t>
  </si>
  <si>
    <t>3VG+</t>
  </si>
  <si>
    <t>3.249</t>
  </si>
  <si>
    <t>3.499</t>
  </si>
  <si>
    <t>Else</t>
  </si>
  <si>
    <t>Rounds 3.00-6.99 Cts, 3VG+ only</t>
  </si>
  <si>
    <t>Class</t>
  </si>
  <si>
    <t>Extra discounts on Rounds N-Colors basis M-Color 1Ct upto 5.99Ct</t>
  </si>
  <si>
    <t>LONG RADIANT</t>
  </si>
  <si>
    <t>Symm, Polish VG+</t>
  </si>
  <si>
    <t>1.00-1.99</t>
  </si>
  <si>
    <t>0.50-0.99</t>
  </si>
  <si>
    <t>Symm,Polish G+</t>
  </si>
  <si>
    <t>Pol/Symm</t>
  </si>
  <si>
    <t>VG Polish/Symmetry upto 2.99Ct</t>
  </si>
  <si>
    <t>Ideal, Excellent Polish/Symmetry - above 3Ct</t>
  </si>
  <si>
    <t>VG Polish/Symmetry  - above 3Ct</t>
  </si>
  <si>
    <t>4.Good polish &amp; symmetry is not allowed in fancy shape. However if stone is there is see above</t>
  </si>
  <si>
    <t>6. Size premium/discounts: No Size Premiums discounts except for the the onces given in the tab "Size Premiums"</t>
  </si>
  <si>
    <t>7. Any other discounts such as natural, graning same as per pricing mudule of fancy shape.</t>
  </si>
  <si>
    <t xml:space="preserve">Comments </t>
  </si>
  <si>
    <t>Excellent</t>
  </si>
  <si>
    <t>EX/VG-VG/EX</t>
  </si>
  <si>
    <t>1+</t>
  </si>
  <si>
    <t>M1+</t>
  </si>
  <si>
    <t>SGR3</t>
  </si>
  <si>
    <t>P</t>
  </si>
  <si>
    <t>Q</t>
  </si>
  <si>
    <t>R</t>
  </si>
  <si>
    <t>S</t>
  </si>
  <si>
    <t>T</t>
  </si>
  <si>
    <t>U</t>
  </si>
  <si>
    <t>V</t>
  </si>
  <si>
    <t>W</t>
  </si>
  <si>
    <t>X</t>
  </si>
  <si>
    <t>Z</t>
  </si>
  <si>
    <t>O-P</t>
  </si>
  <si>
    <t>Q-R</t>
  </si>
  <si>
    <t>S-T</t>
  </si>
  <si>
    <t>U-V</t>
  </si>
  <si>
    <t>W-X</t>
  </si>
  <si>
    <t>Y-Z</t>
  </si>
  <si>
    <t>Intended Natural</t>
  </si>
  <si>
    <t>INT</t>
  </si>
  <si>
    <t>INC</t>
  </si>
  <si>
    <t>ING</t>
  </si>
  <si>
    <t>INP</t>
  </si>
  <si>
    <t>NN</t>
  </si>
  <si>
    <t>EX-INT</t>
  </si>
  <si>
    <t>EX-INC</t>
  </si>
  <si>
    <t>EX-ING</t>
  </si>
  <si>
    <t>EX-INP</t>
  </si>
  <si>
    <t>VG-INT</t>
  </si>
  <si>
    <t>VG-INC</t>
  </si>
  <si>
    <t>VG-ING</t>
  </si>
  <si>
    <t>VG-INP</t>
  </si>
  <si>
    <t>G-INT</t>
  </si>
  <si>
    <t>G-INC</t>
  </si>
  <si>
    <t>G-ING</t>
  </si>
  <si>
    <t>G-INP</t>
  </si>
  <si>
    <t>OT1</t>
  </si>
  <si>
    <t>OT2</t>
  </si>
  <si>
    <t>OT3</t>
  </si>
  <si>
    <t>OC3</t>
  </si>
  <si>
    <t>OP1</t>
  </si>
  <si>
    <t>OP2</t>
  </si>
  <si>
    <t>OP3</t>
  </si>
  <si>
    <t>EX-OT1</t>
  </si>
  <si>
    <t>EX-OC1</t>
  </si>
  <si>
    <t>EX-OP1</t>
  </si>
  <si>
    <t>EX-OT2</t>
  </si>
  <si>
    <t>EX-OC2</t>
  </si>
  <si>
    <t>EX-OP2</t>
  </si>
  <si>
    <t>EX-OT3</t>
  </si>
  <si>
    <t>EX-OC3</t>
  </si>
  <si>
    <t>EX-OP3</t>
  </si>
  <si>
    <t>VG-OT1</t>
  </si>
  <si>
    <t>VG-OC1</t>
  </si>
  <si>
    <t>VG-OP1</t>
  </si>
  <si>
    <t>VG-OT2</t>
  </si>
  <si>
    <t>VG-OC2</t>
  </si>
  <si>
    <t>VG-OP2</t>
  </si>
  <si>
    <t>VG-OT3</t>
  </si>
  <si>
    <t>VG-OC3</t>
  </si>
  <si>
    <t>VG-OP3</t>
  </si>
  <si>
    <t>G-OT1</t>
  </si>
  <si>
    <t>G-OC1</t>
  </si>
  <si>
    <t>G-OP1</t>
  </si>
  <si>
    <t>G-OT2</t>
  </si>
  <si>
    <t>G-OC2</t>
  </si>
  <si>
    <t>G-OP2</t>
  </si>
  <si>
    <t>G-OT3</t>
  </si>
  <si>
    <t>G-OC3</t>
  </si>
  <si>
    <t>G-OP3</t>
  </si>
  <si>
    <t>Internal-NN</t>
  </si>
  <si>
    <t>CTT</t>
  </si>
  <si>
    <t>CHT</t>
  </si>
  <si>
    <t>EFT</t>
  </si>
  <si>
    <t>CTC</t>
  </si>
  <si>
    <t>CHC</t>
  </si>
  <si>
    <t>EFC</t>
  </si>
  <si>
    <t>CTG</t>
  </si>
  <si>
    <t>CHG</t>
  </si>
  <si>
    <t>EFG</t>
  </si>
  <si>
    <t>CTP</t>
  </si>
  <si>
    <t>CHP</t>
  </si>
  <si>
    <t>EFP</t>
  </si>
  <si>
    <t>EX-EFT</t>
  </si>
  <si>
    <t>EX-EFC</t>
  </si>
  <si>
    <t>EX-EFG</t>
  </si>
  <si>
    <t>EX-EFP</t>
  </si>
  <si>
    <t>EX-CTT</t>
  </si>
  <si>
    <t>EX-CTC</t>
  </si>
  <si>
    <t>EX-CTG</t>
  </si>
  <si>
    <t>EX-CHT</t>
  </si>
  <si>
    <t>EX-CHC</t>
  </si>
  <si>
    <t>EX-CHG</t>
  </si>
  <si>
    <t>EX-CHP</t>
  </si>
  <si>
    <t>VG-EFT</t>
  </si>
  <si>
    <t>VG-EFC</t>
  </si>
  <si>
    <t>VG-EFG</t>
  </si>
  <si>
    <t>VG-EFP</t>
  </si>
  <si>
    <t>VG-CTT</t>
  </si>
  <si>
    <t>VG-CTC</t>
  </si>
  <si>
    <t>VG-CTG</t>
  </si>
  <si>
    <t>VG-CHT</t>
  </si>
  <si>
    <t>VG-CHC</t>
  </si>
  <si>
    <t>VG-CHG</t>
  </si>
  <si>
    <t>VG-CHP</t>
  </si>
  <si>
    <t>G-EFT</t>
  </si>
  <si>
    <t>G-EFC</t>
  </si>
  <si>
    <t>G-EFG</t>
  </si>
  <si>
    <t>G-EFP</t>
  </si>
  <si>
    <t>G-CTT</t>
  </si>
  <si>
    <t>G-CTC</t>
  </si>
  <si>
    <t>G-CTG</t>
  </si>
  <si>
    <t>G-CHT</t>
  </si>
  <si>
    <t>G-CHC</t>
  </si>
  <si>
    <t>G-CHG</t>
  </si>
  <si>
    <t>G-CHP</t>
  </si>
  <si>
    <t>EX-CTP</t>
  </si>
  <si>
    <t>VG-CTP</t>
  </si>
  <si>
    <t>G-CTP</t>
  </si>
  <si>
    <t>MT1</t>
  </si>
  <si>
    <t>MT2</t>
  </si>
  <si>
    <t>MT3</t>
  </si>
  <si>
    <t>Mixed Tinge</t>
  </si>
  <si>
    <t>BT1+</t>
  </si>
  <si>
    <t>BT1</t>
  </si>
  <si>
    <t>BT2</t>
  </si>
  <si>
    <t>BC3</t>
  </si>
  <si>
    <t>EX-NN</t>
  </si>
  <si>
    <t>EX-BT1+</t>
  </si>
  <si>
    <t>EX-BT1</t>
  </si>
  <si>
    <t>EX-BT2</t>
  </si>
  <si>
    <t>EX-BC3</t>
  </si>
  <si>
    <t>BC1+</t>
  </si>
  <si>
    <t>BC1</t>
  </si>
  <si>
    <t>BC2</t>
  </si>
  <si>
    <t>EX-BC1+</t>
  </si>
  <si>
    <t>EX-BC1</t>
  </si>
  <si>
    <t>EX-BC2</t>
  </si>
  <si>
    <t>VG-NN</t>
  </si>
  <si>
    <t>VG-BT1+</t>
  </si>
  <si>
    <t>VG-BT1</t>
  </si>
  <si>
    <t>VG-BT2</t>
  </si>
  <si>
    <t>VG-BC3</t>
  </si>
  <si>
    <t>VG-BC1+</t>
  </si>
  <si>
    <t>VG-BC1</t>
  </si>
  <si>
    <t>VG-BC2</t>
  </si>
  <si>
    <t>G-NN</t>
  </si>
  <si>
    <t>G-BT1+</t>
  </si>
  <si>
    <t>G-BT1</t>
  </si>
  <si>
    <t>G-BT2</t>
  </si>
  <si>
    <t>G-BC3</t>
  </si>
  <si>
    <t>G-BC1+</t>
  </si>
  <si>
    <t>G-BC1</t>
  </si>
  <si>
    <t>G-BC2</t>
  </si>
  <si>
    <t>BT3</t>
  </si>
  <si>
    <t>Table Black</t>
  </si>
  <si>
    <t>Side Black</t>
  </si>
  <si>
    <t>EX-BT3</t>
  </si>
  <si>
    <t>VG-BT3</t>
  </si>
  <si>
    <t>G-BT3</t>
  </si>
  <si>
    <t>White</t>
  </si>
  <si>
    <t>WT1+</t>
  </si>
  <si>
    <t>WT1</t>
  </si>
  <si>
    <t>WT2</t>
  </si>
  <si>
    <t>WT3</t>
  </si>
  <si>
    <t>WC1+</t>
  </si>
  <si>
    <t>WC1</t>
  </si>
  <si>
    <t>WC2</t>
  </si>
  <si>
    <t>WC3</t>
  </si>
  <si>
    <t>Open (SM-MED)</t>
  </si>
  <si>
    <t>D-M</t>
  </si>
  <si>
    <t>FL-SI2</t>
  </si>
  <si>
    <t>0.59-0.599</t>
  </si>
  <si>
    <t>0.78-0.789</t>
  </si>
  <si>
    <t>0.79-0.799</t>
  </si>
  <si>
    <t>0.87-0.879</t>
  </si>
  <si>
    <t>0.88-0.889</t>
  </si>
  <si>
    <t>0.89-0.899</t>
  </si>
  <si>
    <t>0.98-0.989</t>
  </si>
  <si>
    <t>0.99-0.999</t>
  </si>
  <si>
    <t>0.30-0.589</t>
  </si>
  <si>
    <t>0.60-0.779</t>
  </si>
  <si>
    <t>0.80-0.869</t>
  </si>
  <si>
    <t>Size Range</t>
  </si>
  <si>
    <t>Low</t>
  </si>
  <si>
    <t>Discounts for Fancy +1Ct all Fluo, Rounds +1Ct Except when Fluo is MED-  with Cut comments VG2 or GD2. In that case no Discount.</t>
  </si>
  <si>
    <t>Dossiers Round shape 3VG+, None, Faint &amp; Medium</t>
  </si>
  <si>
    <t>Color Comment</t>
  </si>
  <si>
    <t>Clarity Comment</t>
  </si>
  <si>
    <t>Depth Discount</t>
  </si>
  <si>
    <t>In round shape with size 0.30-0.99ct:-</t>
  </si>
  <si>
    <t>discount</t>
  </si>
  <si>
    <t>a) EX cut with depth equal to or more than 63 in FL-VVS2 D-F</t>
  </si>
  <si>
    <t>b) VG cut with depth equal to or more than 64.8 in FL-VVS2 D-I</t>
  </si>
  <si>
    <t>(e.g. if rapback of ex cut with depth 63 in 0.30ct VVS1 F is -35 back then after above discount of 1%, it should be -36 rap back)</t>
  </si>
  <si>
    <t>SM</t>
  </si>
  <si>
    <t xml:space="preserve">Rounds 3EX,EX 1.00-2.99Cts only. 3EX/EX NON,FNT,MED,   For 1.20 upto 2.99 3EX/EX STR,VST half of the premiums as given.  </t>
  </si>
  <si>
    <t xml:space="preserve">Rounds VG+ 1.20-2.99Cts only. VG+ NON,FNT,MED.   For 1.20 upto 2.99 VG+ STR,VST half of the premiums as given.  </t>
  </si>
  <si>
    <t>Color Comments</t>
  </si>
  <si>
    <t>Clarity Comments</t>
  </si>
  <si>
    <t xml:space="preserve">Inclusion Location </t>
  </si>
  <si>
    <t>Cutoff Discounts Dossiers</t>
  </si>
  <si>
    <r>
      <t xml:space="preserve">Basic; </t>
    </r>
    <r>
      <rPr>
        <sz val="11"/>
        <color rgb="FF000000"/>
        <rFont val="Calibri"/>
        <family val="2"/>
      </rPr>
      <t>∑ of discounts related  to</t>
    </r>
  </si>
  <si>
    <r>
      <t>Internal Gradings;</t>
    </r>
    <r>
      <rPr>
        <sz val="11"/>
        <color rgb="FF000000"/>
        <rFont val="Calibri"/>
        <family val="2"/>
      </rPr>
      <t xml:space="preserve"> ∑ of discounts related to</t>
    </r>
  </si>
  <si>
    <r>
      <t xml:space="preserve">When </t>
    </r>
    <r>
      <rPr>
        <sz val="10"/>
        <rFont val="Calibri"/>
        <family val="2"/>
      </rPr>
      <t>∑</t>
    </r>
    <r>
      <rPr>
        <sz val="10"/>
        <rFont val="Arial"/>
        <family val="2"/>
      </rPr>
      <t xml:space="preserve"> Basic discounts is below -40, cutoff in ∑ Internal Discounts equals to -20</t>
    </r>
  </si>
  <si>
    <r>
      <t xml:space="preserve">When </t>
    </r>
    <r>
      <rPr>
        <sz val="10"/>
        <rFont val="Calibri"/>
        <family val="2"/>
      </rPr>
      <t>∑</t>
    </r>
    <r>
      <rPr>
        <sz val="10"/>
        <rFont val="Arial"/>
        <family val="2"/>
      </rPr>
      <t xml:space="preserve"> Basic discounts is above -40, cutoff in ∑ Internal Discounts equals to -15</t>
    </r>
  </si>
  <si>
    <t>Base</t>
  </si>
  <si>
    <t>Cutoff</t>
  </si>
  <si>
    <t xml:space="preserve">Final Disc    </t>
  </si>
  <si>
    <t>Base Value</t>
  </si>
  <si>
    <t>CERTNO</t>
  </si>
  <si>
    <t>Cost of Sales</t>
  </si>
  <si>
    <t>Reports</t>
  </si>
  <si>
    <t>Coloured</t>
  </si>
  <si>
    <t>Laser Inscription</t>
  </si>
  <si>
    <t>Weight</t>
  </si>
  <si>
    <t>Grading Fee</t>
  </si>
  <si>
    <t>Additional Inscription</t>
  </si>
  <si>
    <t>Report Nr</t>
  </si>
  <si>
    <t>0.00-0.14</t>
  </si>
  <si>
    <t>0.15-0.22</t>
  </si>
  <si>
    <t>0.23-0.29</t>
  </si>
  <si>
    <t>0.40-0.49</t>
  </si>
  <si>
    <t>0.50-0.69</t>
  </si>
  <si>
    <t>0.70-0.99</t>
  </si>
  <si>
    <t>Diamond Origin Report D-Z</t>
  </si>
  <si>
    <t>Net</t>
  </si>
  <si>
    <t>Initial Data</t>
  </si>
  <si>
    <t>EX-OG1</t>
  </si>
  <si>
    <t>EX-OG2</t>
  </si>
  <si>
    <t>EX-OG3</t>
  </si>
  <si>
    <t>HO</t>
  </si>
  <si>
    <t>EX-OHT</t>
  </si>
  <si>
    <t>EX-OHC</t>
  </si>
  <si>
    <t>EX-OHG</t>
  </si>
  <si>
    <t>EX-OHP</t>
  </si>
  <si>
    <t>EX-NC1</t>
  </si>
  <si>
    <t>EX-NC2</t>
  </si>
  <si>
    <t>EX-NC3</t>
  </si>
  <si>
    <t>EX-NP1</t>
  </si>
  <si>
    <t>EX-NP2</t>
  </si>
  <si>
    <t>EX-NP3</t>
  </si>
  <si>
    <t>VG-OHT</t>
  </si>
  <si>
    <t>VG-OHC</t>
  </si>
  <si>
    <t>VG-OHG</t>
  </si>
  <si>
    <t>VG-OHP</t>
  </si>
  <si>
    <t>VG-OG1</t>
  </si>
  <si>
    <t>VG-OG2</t>
  </si>
  <si>
    <t>VG-OG3</t>
  </si>
  <si>
    <t>VG-NC1</t>
  </si>
  <si>
    <t>VG-NC2</t>
  </si>
  <si>
    <t>VG-NC3</t>
  </si>
  <si>
    <t>VG-NP1</t>
  </si>
  <si>
    <t>VG-NP2</t>
  </si>
  <si>
    <t>VG-NP3</t>
  </si>
  <si>
    <t>G-OG1</t>
  </si>
  <si>
    <t>G-OHT</t>
  </si>
  <si>
    <t>G-OHC</t>
  </si>
  <si>
    <t>G-OHG</t>
  </si>
  <si>
    <t>G-OHP</t>
  </si>
  <si>
    <t>G-OG2</t>
  </si>
  <si>
    <t>G-OG3</t>
  </si>
  <si>
    <t>G-NC1</t>
  </si>
  <si>
    <t>G-NC2</t>
  </si>
  <si>
    <t>G-NC3</t>
  </si>
  <si>
    <t>G-NP1</t>
  </si>
  <si>
    <t>G-NP2</t>
  </si>
  <si>
    <t>G-NP3</t>
  </si>
  <si>
    <t>OG1</t>
  </si>
  <si>
    <t>OG2</t>
  </si>
  <si>
    <t>OG3</t>
  </si>
  <si>
    <t>OHT</t>
  </si>
  <si>
    <t>OHC</t>
  </si>
  <si>
    <t>OHG</t>
  </si>
  <si>
    <t>OHP</t>
  </si>
  <si>
    <t>NC1</t>
  </si>
  <si>
    <t>NC2</t>
  </si>
  <si>
    <t>NP1</t>
  </si>
  <si>
    <t>NP2</t>
  </si>
  <si>
    <t>NP3</t>
  </si>
  <si>
    <t>WP1</t>
  </si>
  <si>
    <t>WP2</t>
  </si>
  <si>
    <t>WP3</t>
  </si>
  <si>
    <t>ROUND DOSSIERS</t>
  </si>
  <si>
    <t>GD</t>
  </si>
  <si>
    <t>Half the difference beween EX &amp; GD or 5% whichever is less</t>
  </si>
  <si>
    <t>Half the difference beween VG &amp; GD or 5% whichever is less</t>
  </si>
  <si>
    <t>Note:-</t>
  </si>
  <si>
    <t xml:space="preserve">If polish or symmetry is good in ex cut or vg cut then price needs to be reduced further. </t>
  </si>
  <si>
    <t>e.g.In round 0.90ct VVS2 E VG VG GD none where VG is cut, polish is VG, symmetry is GD then:-</t>
  </si>
  <si>
    <t xml:space="preserve">Calulate difference between base price of VG &amp; GD, if that is (-56 &amp; -40) = 16%, then half of 16%=8% which </t>
  </si>
  <si>
    <t xml:space="preserve">needs to be rounded to nearest -0.5. </t>
  </si>
  <si>
    <t>In this example Minimum of this difference that is -8 or -5. Hence minimum -5% to be applied in VG cut price that is -40-5=-45</t>
  </si>
  <si>
    <t>Calculation examples:-</t>
  </si>
  <si>
    <t>BASE &amp; difference &amp; final price</t>
  </si>
  <si>
    <t>1) 0.80 VS1 H NONE</t>
  </si>
  <si>
    <t>EXEXGD</t>
  </si>
  <si>
    <t>DIFFERENCE BETWEEN -50.5(GD CUT) -27(EX CUT) = 23.5, HALF OF 23.5 =11.75 ROUNDED TO NEAREST -0.5 = -12, Minimum of -12 &amp; -5 is -5, HENCE PRICE=-27-5=-32</t>
  </si>
  <si>
    <t>2) 0.94 VS1 H NONE</t>
  </si>
  <si>
    <t>VGVGGD</t>
  </si>
  <si>
    <t>DIFFERENCE BETWEEN-36(VG CUT) -50.5(GD CUT) = 14.5, HALF OF 14.5 =7.25 ROUNDED TO 7.5, Minimum of -7.5 &amp; -5 is -5. HENCE PRICE=-36-5=-41</t>
  </si>
  <si>
    <t>3) 0.70 VS1 H NONE</t>
  </si>
  <si>
    <t>Half the difference beween EX &amp; GD or 7% whichever is less</t>
  </si>
  <si>
    <t>Half the difference beween VG &amp; GD or 7% whichever is less</t>
  </si>
  <si>
    <t>Good cut in either polish or symmetry when the cut is EX or VG round 0.30-0.99Ct</t>
  </si>
  <si>
    <t>Good cut in either polish or symmetry when the cut is EX or VG round 1.00-2.99Ct</t>
  </si>
  <si>
    <t>Round 3Cts+</t>
  </si>
  <si>
    <t>Discounts for MED and above otherwise use Discounts/2  Rounds - 1Cts upto 2.99Ct</t>
  </si>
  <si>
    <t>Discounts for MED and above otherwise use Discounts/2 - Rounds 1Cts upto 2.99Ct</t>
  </si>
  <si>
    <t>Discounts for MED and above otherwise use Discounts/2  Rounds - 3Cts upto 5.99Ct</t>
  </si>
  <si>
    <t>Discounts for MED and above otherwise use Discounts/2 - Rounds 3Cts upto 5.99Ct</t>
  </si>
  <si>
    <t>Discounts for MED and above otherwise use Discounts/2 - Rounds 1Ct-2.99Ct</t>
  </si>
  <si>
    <t>Discounts for MED and above otherwise use Discounts/2 - Rounds 3Ct-5.99Ct</t>
  </si>
  <si>
    <t>Rounds 1Ct-2.99Ct</t>
  </si>
  <si>
    <t>Depth discount:</t>
  </si>
  <si>
    <t xml:space="preserve">Planning at factory considering cert cost &amp; sales cost </t>
  </si>
  <si>
    <t>Basic Price Based on Cert Data</t>
  </si>
  <si>
    <t>NC3</t>
  </si>
  <si>
    <t>Dossiers Round</t>
  </si>
  <si>
    <t>Ideal, Excellent Polish/Symmetry 0.50Ct upto 2.99Ct</t>
  </si>
  <si>
    <t>2.No black in VVS, VS. SI with natts 1+ is ok with discount as per round shape's discount in pricing module</t>
  </si>
  <si>
    <t>IGR1</t>
  </si>
  <si>
    <t>IGR2</t>
  </si>
  <si>
    <t>IGR3</t>
  </si>
  <si>
    <t>Notes</t>
  </si>
  <si>
    <t>H&amp;A premiums only applicable for EX cut with fluo NON/FNT 0.30 upto 2.99Cts</t>
  </si>
  <si>
    <t>EyeClean/Table clean only applicable when fluo NON/FNT 0.30 upto 2.99Cts</t>
  </si>
  <si>
    <t>P2020973</t>
  </si>
  <si>
    <t>31-08-2021</t>
  </si>
  <si>
    <t>Feather, Crystal, Needle</t>
  </si>
  <si>
    <t>Pinpoints Are Not Shown.</t>
  </si>
  <si>
    <t>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</si>
</sst>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164" formatCode="_ * #,##0.00_ ;_ * \-#,##0.00_ ;_ * &quot;-&quot;??_ ;_ @_ "/>
    <numFmt numFmtId="165" formatCode="0.000"/>
    <numFmt numFmtId="166" formatCode="0.000%"/>
    <numFmt numFmtId="167" formatCode="\ 0.00%;[Red]\-0.00%"/>
    <numFmt numFmtId="168" formatCode="0.0%"/>
    <numFmt numFmtId="169" formatCode="#,##0.0"/>
    <numFmt numFmtId="170" formatCode="0.0"/>
    <numFmt numFmtId="171" formatCode="[$-409]d/mmm;@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9"/>
      <name val="Garamond"/>
      <family val="1"/>
    </font>
    <font>
      <b/>
      <sz val="10"/>
      <name val="Arial"/>
      <family val="2"/>
    </font>
    <font>
      <sz val="7"/>
      <name val="Garamond"/>
      <family val="1"/>
    </font>
    <font>
      <b/>
      <sz val="10"/>
      <color theme="0" tint="-4.9989318521683403E-2"/>
      <name val="Arial"/>
      <family val="2"/>
    </font>
    <font>
      <b/>
      <sz val="10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0"/>
      <name val="Garamond"/>
      <family val="1"/>
    </font>
    <font>
      <sz val="12"/>
      <color rgb="FF002060"/>
      <name val="Garamond"/>
      <family val="1"/>
    </font>
    <font>
      <b/>
      <sz val="9"/>
      <name val="Garamond"/>
      <family val="1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9"/>
      <name val="Garamond"/>
      <family val="1"/>
    </font>
    <font>
      <sz val="10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1"/>
      <color rgb="FF70AD47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Arial"/>
      <family val="2"/>
    </font>
    <font>
      <sz val="10"/>
      <color theme="1"/>
      <name val="Tahoma"/>
      <family val="2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2060"/>
        <bgColor indexed="64"/>
      </patternFill>
    </fill>
    <fill>
      <patternFill patternType="solid">
        <fgColor rgb="FFFFFFCC"/>
      </patternFill>
    </fill>
    <fill>
      <patternFill patternType="solid">
        <fgColor rgb="FF8EA9DB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-0.499984740745262"/>
        <bgColor indexed="64"/>
      </patternFill>
    </fill>
  </fills>
  <borders count="28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23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indexed="8"/>
      </left>
      <right/>
      <top/>
      <bottom style="thin">
        <color indexed="23"/>
      </bottom>
      <diagonal/>
    </border>
    <border>
      <left/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/>
      <right style="medium">
        <color indexed="64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/>
      <right style="dashed">
        <color auto="1"/>
      </right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thin">
        <color auto="1"/>
      </left>
      <right style="thin">
        <color theme="2" tint="-0.2499465926084170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auto="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theme="2" tint="-0.2499465926084170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0.24994659260841701"/>
      </left>
      <right/>
      <top style="thin">
        <color auto="1"/>
      </top>
      <bottom style="thin">
        <color theme="2" tint="-0.24994659260841701"/>
      </bottom>
      <diagonal/>
    </border>
    <border>
      <left/>
      <right/>
      <top style="thin">
        <color auto="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auto="1"/>
      </top>
      <bottom style="thin">
        <color theme="2" tint="-0.24994659260841701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3499862666707357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theme="2" tint="-0.24994659260841701"/>
      </left>
      <right/>
      <top style="thin">
        <color auto="1"/>
      </top>
      <bottom style="thin">
        <color auto="1"/>
      </bottom>
      <diagonal/>
    </border>
    <border>
      <left style="thin">
        <color theme="2" tint="-0.24994659260841701"/>
      </left>
      <right style="thin">
        <color theme="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 style="thin">
        <color theme="0" tint="-0.24994659260841701"/>
      </top>
      <bottom style="thin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auto="1"/>
      </right>
      <top style="thin">
        <color theme="0" tint="-0.2499465926084170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 style="thin">
        <color theme="0" tint="-0.34998626667073579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indexed="64"/>
      </top>
      <bottom style="hair">
        <color indexed="64"/>
      </bottom>
      <diagonal/>
    </border>
    <border>
      <left style="thin">
        <color theme="2" tint="-0.24994659260841701"/>
      </left>
      <right/>
      <top style="hair">
        <color indexed="64"/>
      </top>
      <bottom style="hair">
        <color indexed="64"/>
      </bottom>
      <diagonal/>
    </border>
    <border>
      <left style="thin">
        <color theme="2" tint="-0.24994659260841701"/>
      </left>
      <right/>
      <top style="hair">
        <color indexed="64"/>
      </top>
      <bottom style="thin">
        <color indexed="64"/>
      </bottom>
      <diagonal/>
    </border>
    <border>
      <left style="thin">
        <color theme="2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2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2" tint="-0.2499465926084170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theme="2" tint="-0.24994659260841701"/>
      </right>
      <top/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auto="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auto="1"/>
      </right>
      <top/>
      <bottom style="thin">
        <color theme="0" tint="-0.34998626667073579"/>
      </bottom>
      <diagonal/>
    </border>
    <border>
      <left/>
      <right style="thin">
        <color auto="1"/>
      </right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0" tint="-0.24994659260841701"/>
      </right>
      <top style="thin">
        <color auto="1"/>
      </top>
      <bottom style="thin">
        <color theme="2" tint="-0.24994659260841701"/>
      </bottom>
      <diagonal/>
    </border>
    <border>
      <left style="thin">
        <color auto="1"/>
      </left>
      <right style="thin">
        <color theme="2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auto="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 style="thin">
        <color auto="1"/>
      </right>
      <top/>
      <bottom style="thin">
        <color theme="2" tint="-0.24994659260841701"/>
      </bottom>
      <diagonal/>
    </border>
    <border>
      <left style="thin">
        <color theme="1"/>
      </left>
      <right style="thin">
        <color theme="2" tint="-0.24994659260841701"/>
      </right>
      <top style="thin">
        <color theme="1"/>
      </top>
      <bottom/>
      <diagonal/>
    </border>
    <border>
      <left/>
      <right style="thin">
        <color theme="2" tint="-0.24994659260841701"/>
      </right>
      <top style="thin">
        <color theme="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1"/>
      </right>
      <top style="thin">
        <color theme="1"/>
      </top>
      <bottom style="thin">
        <color theme="2" tint="-0.24994659260841701"/>
      </bottom>
      <diagonal/>
    </border>
    <border>
      <left style="thin">
        <color theme="1"/>
      </left>
      <right style="thin">
        <color theme="2" tint="-0.24994659260841701"/>
      </right>
      <top/>
      <bottom/>
      <diagonal/>
    </border>
    <border>
      <left style="thin">
        <color theme="1"/>
      </left>
      <right style="thin">
        <color theme="2" tint="-0.24994659260841701"/>
      </right>
      <top/>
      <bottom style="thin">
        <color theme="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1"/>
      </bottom>
      <diagonal/>
    </border>
    <border>
      <left style="thin">
        <color theme="2" tint="-0.24994659260841701"/>
      </left>
      <right style="thin">
        <color theme="1"/>
      </right>
      <top style="thin">
        <color theme="2" tint="-0.2499465926084170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4659260841701"/>
      </left>
      <right style="thin">
        <color auto="1"/>
      </right>
      <top style="thin">
        <color theme="2" tint="-0.24994659260841701"/>
      </top>
      <bottom style="thin">
        <color theme="1"/>
      </bottom>
      <diagonal/>
    </border>
  </borders>
  <cellStyleXfs count="20">
    <xf numFmtId="0" fontId="0" fillId="0" borderId="0"/>
    <xf numFmtId="9" fontId="1" fillId="0" borderId="0" applyFont="0" applyFill="0" applyBorder="0" applyAlignment="0" applyProtection="0"/>
    <xf numFmtId="0" fontId="11" fillId="0" borderId="0"/>
    <xf numFmtId="164" fontId="1" fillId="0" borderId="0" applyFont="0" applyFill="0" applyBorder="0" applyAlignment="0" applyProtection="0"/>
    <xf numFmtId="0" fontId="11" fillId="0" borderId="0"/>
    <xf numFmtId="0" fontId="11" fillId="0" borderId="0"/>
    <xf numFmtId="0" fontId="1" fillId="0" borderId="0"/>
    <xf numFmtId="0" fontId="33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46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38" borderId="251" applyNumberFormat="0" applyFont="0" applyAlignment="0" applyProtection="0"/>
  </cellStyleXfs>
  <cellXfs count="913">
    <xf numFmtId="0" fontId="0" fillId="0" borderId="0" xfId="0"/>
    <xf numFmtId="0" fontId="3" fillId="0" borderId="0" xfId="0" applyFont="1"/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/>
    <xf numFmtId="0" fontId="7" fillId="2" borderId="0" xfId="0" applyFont="1" applyFill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4" fontId="9" fillId="0" borderId="3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3" fontId="0" fillId="0" borderId="0" xfId="0" applyNumberFormat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5" fontId="9" fillId="0" borderId="0" xfId="2" applyNumberFormat="1" applyFont="1"/>
    <xf numFmtId="0" fontId="0" fillId="0" borderId="0" xfId="0" applyAlignment="1">
      <alignment horizontal="center" vertical="top"/>
    </xf>
    <xf numFmtId="165" fontId="12" fillId="2" borderId="0" xfId="2" applyNumberFormat="1" applyFont="1" applyFill="1" applyAlignment="1">
      <alignment vertical="top"/>
    </xf>
    <xf numFmtId="0" fontId="0" fillId="0" borderId="0" xfId="0" applyAlignment="1">
      <alignment vertical="top"/>
    </xf>
    <xf numFmtId="0" fontId="9" fillId="0" borderId="0" xfId="2" applyFont="1" applyAlignment="1">
      <alignment vertical="top"/>
    </xf>
    <xf numFmtId="0" fontId="13" fillId="0" borderId="0" xfId="0" applyFont="1"/>
    <xf numFmtId="0" fontId="9" fillId="0" borderId="0" xfId="2" applyFont="1"/>
    <xf numFmtId="0" fontId="0" fillId="0" borderId="0" xfId="0" applyAlignment="1">
      <alignment horizontal="left" vertical="center" indent="5"/>
    </xf>
    <xf numFmtId="165" fontId="9" fillId="0" borderId="3" xfId="0" applyNumberFormat="1" applyFont="1" applyBorder="1" applyAlignment="1">
      <alignment horizontal="center"/>
    </xf>
    <xf numFmtId="10" fontId="0" fillId="0" borderId="0" xfId="0" applyNumberFormat="1"/>
    <xf numFmtId="9" fontId="9" fillId="0" borderId="0" xfId="2" applyNumberFormat="1" applyFont="1"/>
    <xf numFmtId="0" fontId="9" fillId="0" borderId="0" xfId="2" applyFont="1" applyAlignment="1">
      <alignment horizontal="left" indent="1"/>
    </xf>
    <xf numFmtId="9" fontId="9" fillId="0" borderId="0" xfId="2" applyNumberFormat="1" applyFont="1" applyAlignment="1">
      <alignment horizontal="right"/>
    </xf>
    <xf numFmtId="9" fontId="9" fillId="0" borderId="11" xfId="2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/>
    <xf numFmtId="4" fontId="0" fillId="0" borderId="11" xfId="0" applyNumberFormat="1" applyBorder="1"/>
    <xf numFmtId="166" fontId="0" fillId="0" borderId="0" xfId="0" applyNumberFormat="1"/>
    <xf numFmtId="165" fontId="12" fillId="2" borderId="0" xfId="2" applyNumberFormat="1" applyFont="1" applyFill="1"/>
    <xf numFmtId="0" fontId="19" fillId="0" borderId="0" xfId="0" applyFont="1"/>
    <xf numFmtId="0" fontId="18" fillId="0" borderId="3" xfId="0" quotePrefix="1" applyFont="1" applyBorder="1"/>
    <xf numFmtId="0" fontId="0" fillId="0" borderId="3" xfId="0" applyBorder="1" applyAlignment="1">
      <alignment horizontal="center"/>
    </xf>
    <xf numFmtId="0" fontId="0" fillId="0" borderId="3" xfId="0" applyBorder="1"/>
    <xf numFmtId="0" fontId="11" fillId="0" borderId="0" xfId="4"/>
    <xf numFmtId="0" fontId="21" fillId="0" borderId="15" xfId="4" applyFont="1" applyBorder="1" applyAlignment="1">
      <alignment horizontal="center" vertical="center"/>
    </xf>
    <xf numFmtId="0" fontId="21" fillId="0" borderId="16" xfId="4" applyFont="1" applyBorder="1" applyAlignment="1">
      <alignment horizontal="center" vertical="center"/>
    </xf>
    <xf numFmtId="0" fontId="21" fillId="0" borderId="17" xfId="4" applyFont="1" applyBorder="1" applyAlignment="1">
      <alignment horizontal="center" vertical="center"/>
    </xf>
    <xf numFmtId="0" fontId="22" fillId="0" borderId="1" xfId="4" applyFont="1" applyBorder="1" applyAlignment="1">
      <alignment horizontal="center"/>
    </xf>
    <xf numFmtId="0" fontId="11" fillId="0" borderId="0" xfId="5"/>
    <xf numFmtId="0" fontId="23" fillId="0" borderId="0" xfId="5" applyFont="1"/>
    <xf numFmtId="0" fontId="23" fillId="0" borderId="18" xfId="5" applyFont="1" applyBorder="1" applyAlignment="1">
      <alignment horizontal="center" vertical="center"/>
    </xf>
    <xf numFmtId="0" fontId="23" fillId="0" borderId="18" xfId="5" quotePrefix="1" applyFont="1" applyBorder="1" applyAlignment="1">
      <alignment horizontal="center" vertical="center"/>
    </xf>
    <xf numFmtId="0" fontId="11" fillId="17" borderId="19" xfId="5" applyFill="1" applyBorder="1" applyAlignment="1">
      <alignment horizontal="center" vertical="center"/>
    </xf>
    <xf numFmtId="0" fontId="11" fillId="17" borderId="20" xfId="5" applyFill="1" applyBorder="1" applyAlignment="1">
      <alignment horizontal="center" vertical="center"/>
    </xf>
    <xf numFmtId="0" fontId="11" fillId="17" borderId="21" xfId="5" applyFill="1" applyBorder="1" applyAlignment="1">
      <alignment horizontal="center" vertical="center"/>
    </xf>
    <xf numFmtId="0" fontId="11" fillId="6" borderId="19" xfId="5" applyFill="1" applyBorder="1" applyAlignment="1">
      <alignment horizontal="center" vertical="center"/>
    </xf>
    <xf numFmtId="0" fontId="11" fillId="13" borderId="22" xfId="5" applyFill="1" applyBorder="1" applyAlignment="1">
      <alignment horizontal="center" vertical="center"/>
    </xf>
    <xf numFmtId="0" fontId="11" fillId="6" borderId="22" xfId="5" applyFill="1" applyBorder="1" applyAlignment="1">
      <alignment horizontal="center" vertical="center"/>
    </xf>
    <xf numFmtId="0" fontId="11" fillId="18" borderId="22" xfId="5" applyFill="1" applyBorder="1" applyAlignment="1">
      <alignment horizontal="center" vertical="center"/>
    </xf>
    <xf numFmtId="0" fontId="11" fillId="2" borderId="23" xfId="5" applyFill="1" applyBorder="1" applyAlignment="1">
      <alignment horizontal="center" vertical="center"/>
    </xf>
    <xf numFmtId="0" fontId="11" fillId="19" borderId="23" xfId="5" applyFill="1" applyBorder="1" applyAlignment="1">
      <alignment horizontal="center" vertical="center"/>
    </xf>
    <xf numFmtId="0" fontId="11" fillId="12" borderId="23" xfId="5" quotePrefix="1" applyFill="1" applyBorder="1" applyAlignment="1">
      <alignment horizontal="center" vertical="center"/>
    </xf>
    <xf numFmtId="0" fontId="11" fillId="20" borderId="23" xfId="5" quotePrefix="1" applyFill="1" applyBorder="1" applyAlignment="1">
      <alignment horizontal="center" vertical="center"/>
    </xf>
    <xf numFmtId="0" fontId="11" fillId="21" borderId="23" xfId="5" quotePrefix="1" applyFill="1" applyBorder="1" applyAlignment="1">
      <alignment horizontal="center" vertical="center"/>
    </xf>
    <xf numFmtId="0" fontId="11" fillId="18" borderId="23" xfId="5" quotePrefix="1" applyFill="1" applyBorder="1" applyAlignment="1">
      <alignment horizontal="center" vertical="center"/>
    </xf>
    <xf numFmtId="0" fontId="11" fillId="17" borderId="24" xfId="5" applyFill="1" applyBorder="1" applyAlignment="1">
      <alignment horizontal="center" vertical="center"/>
    </xf>
    <xf numFmtId="0" fontId="11" fillId="17" borderId="0" xfId="5" applyFill="1" applyAlignment="1">
      <alignment horizontal="center" vertical="center"/>
    </xf>
    <xf numFmtId="0" fontId="11" fillId="17" borderId="25" xfId="5" applyFill="1" applyBorder="1" applyAlignment="1">
      <alignment horizontal="center" vertical="center"/>
    </xf>
    <xf numFmtId="0" fontId="11" fillId="6" borderId="24" xfId="5" applyFill="1" applyBorder="1" applyAlignment="1">
      <alignment horizontal="center" vertical="center"/>
    </xf>
    <xf numFmtId="0" fontId="11" fillId="13" borderId="26" xfId="5" applyFill="1" applyBorder="1" applyAlignment="1">
      <alignment horizontal="center" vertical="center"/>
    </xf>
    <xf numFmtId="0" fontId="11" fillId="6" borderId="26" xfId="5" applyFill="1" applyBorder="1" applyAlignment="1">
      <alignment horizontal="center" vertical="center"/>
    </xf>
    <xf numFmtId="0" fontId="11" fillId="18" borderId="26" xfId="5" applyFill="1" applyBorder="1" applyAlignment="1">
      <alignment horizontal="center" vertical="center"/>
    </xf>
    <xf numFmtId="0" fontId="11" fillId="2" borderId="27" xfId="5" applyFill="1" applyBorder="1" applyAlignment="1">
      <alignment horizontal="center" vertical="center"/>
    </xf>
    <xf numFmtId="0" fontId="11" fillId="19" borderId="27" xfId="5" applyFill="1" applyBorder="1" applyAlignment="1">
      <alignment horizontal="center" vertical="center"/>
    </xf>
    <xf numFmtId="0" fontId="11" fillId="12" borderId="27" xfId="5" applyFill="1" applyBorder="1" applyAlignment="1">
      <alignment horizontal="center" vertical="center"/>
    </xf>
    <xf numFmtId="0" fontId="11" fillId="20" borderId="27" xfId="5" applyFill="1" applyBorder="1" applyAlignment="1">
      <alignment horizontal="center" vertical="center"/>
    </xf>
    <xf numFmtId="0" fontId="11" fillId="21" borderId="27" xfId="5" applyFill="1" applyBorder="1" applyAlignment="1">
      <alignment horizontal="center" vertical="center"/>
    </xf>
    <xf numFmtId="0" fontId="11" fillId="18" borderId="27" xfId="5" applyFill="1" applyBorder="1" applyAlignment="1">
      <alignment horizontal="center" vertical="center"/>
    </xf>
    <xf numFmtId="0" fontId="11" fillId="0" borderId="27" xfId="5" applyBorder="1" applyAlignment="1">
      <alignment horizontal="center" vertical="center"/>
    </xf>
    <xf numFmtId="0" fontId="11" fillId="17" borderId="28" xfId="5" applyFill="1" applyBorder="1" applyAlignment="1">
      <alignment horizontal="center" vertical="center"/>
    </xf>
    <xf numFmtId="0" fontId="11" fillId="17" borderId="29" xfId="5" applyFill="1" applyBorder="1" applyAlignment="1">
      <alignment horizontal="center" vertical="center"/>
    </xf>
    <xf numFmtId="0" fontId="11" fillId="17" borderId="30" xfId="5" applyFill="1" applyBorder="1" applyAlignment="1">
      <alignment horizontal="center" vertical="center"/>
    </xf>
    <xf numFmtId="0" fontId="11" fillId="6" borderId="28" xfId="5" applyFill="1" applyBorder="1" applyAlignment="1">
      <alignment horizontal="center" vertical="center"/>
    </xf>
    <xf numFmtId="0" fontId="11" fillId="2" borderId="19" xfId="5" applyFill="1" applyBorder="1" applyAlignment="1">
      <alignment horizontal="center" vertical="center"/>
    </xf>
    <xf numFmtId="0" fontId="11" fillId="2" borderId="20" xfId="5" applyFill="1" applyBorder="1" applyAlignment="1">
      <alignment horizontal="center" vertical="center"/>
    </xf>
    <xf numFmtId="0" fontId="11" fillId="2" borderId="21" xfId="5" applyFill="1" applyBorder="1" applyAlignment="1">
      <alignment horizontal="center" vertical="center"/>
    </xf>
    <xf numFmtId="0" fontId="11" fillId="22" borderId="19" xfId="5" applyFill="1" applyBorder="1" applyAlignment="1">
      <alignment horizontal="center" vertical="center"/>
    </xf>
    <xf numFmtId="0" fontId="11" fillId="23" borderId="19" xfId="5" applyFill="1" applyBorder="1" applyAlignment="1">
      <alignment horizontal="center" vertical="center"/>
    </xf>
    <xf numFmtId="0" fontId="11" fillId="13" borderId="31" xfId="5" applyFill="1" applyBorder="1" applyAlignment="1">
      <alignment horizontal="center" vertical="center"/>
    </xf>
    <xf numFmtId="0" fontId="11" fillId="18" borderId="31" xfId="5" applyFill="1" applyBorder="1" applyAlignment="1">
      <alignment horizontal="center" vertical="center"/>
    </xf>
    <xf numFmtId="0" fontId="11" fillId="2" borderId="28" xfId="5" applyFill="1" applyBorder="1" applyAlignment="1">
      <alignment horizontal="center" vertical="center"/>
    </xf>
    <xf numFmtId="0" fontId="11" fillId="2" borderId="29" xfId="5" applyFill="1" applyBorder="1" applyAlignment="1">
      <alignment horizontal="center" vertical="center"/>
    </xf>
    <xf numFmtId="0" fontId="11" fillId="2" borderId="30" xfId="5" applyFill="1" applyBorder="1" applyAlignment="1">
      <alignment horizontal="center" vertical="center"/>
    </xf>
    <xf numFmtId="0" fontId="11" fillId="22" borderId="28" xfId="5" applyFill="1" applyBorder="1" applyAlignment="1">
      <alignment horizontal="center" vertical="center"/>
    </xf>
    <xf numFmtId="0" fontId="11" fillId="23" borderId="28" xfId="5" applyFill="1" applyBorder="1" applyAlignment="1">
      <alignment horizontal="center" vertical="center"/>
    </xf>
    <xf numFmtId="0" fontId="11" fillId="24" borderId="22" xfId="5" applyFill="1" applyBorder="1" applyAlignment="1">
      <alignment horizontal="center" vertical="center"/>
    </xf>
    <xf numFmtId="0" fontId="11" fillId="25" borderId="22" xfId="5" applyFill="1" applyBorder="1" applyAlignment="1">
      <alignment horizontal="center" vertical="center"/>
    </xf>
    <xf numFmtId="0" fontId="11" fillId="26" borderId="22" xfId="5" applyFill="1" applyBorder="1" applyAlignment="1">
      <alignment horizontal="center" vertical="center"/>
    </xf>
    <xf numFmtId="0" fontId="11" fillId="0" borderId="19" xfId="5" applyBorder="1" applyAlignment="1">
      <alignment horizontal="center" vertical="center"/>
    </xf>
    <xf numFmtId="0" fontId="11" fillId="0" borderId="20" xfId="5" applyBorder="1" applyAlignment="1">
      <alignment horizontal="center" vertical="center"/>
    </xf>
    <xf numFmtId="0" fontId="11" fillId="0" borderId="21" xfId="5" applyBorder="1" applyAlignment="1">
      <alignment horizontal="center" vertical="center"/>
    </xf>
    <xf numFmtId="0" fontId="23" fillId="3" borderId="23" xfId="5" applyFont="1" applyFill="1" applyBorder="1" applyAlignment="1">
      <alignment horizontal="center" vertical="center"/>
    </xf>
    <xf numFmtId="0" fontId="23" fillId="27" borderId="23" xfId="5" applyFont="1" applyFill="1" applyBorder="1" applyAlignment="1">
      <alignment horizontal="center" vertical="center"/>
    </xf>
    <xf numFmtId="0" fontId="11" fillId="24" borderId="26" xfId="5" applyFill="1" applyBorder="1" applyAlignment="1">
      <alignment horizontal="center" vertical="center"/>
    </xf>
    <xf numFmtId="0" fontId="11" fillId="25" borderId="26" xfId="5" applyFill="1" applyBorder="1" applyAlignment="1">
      <alignment horizontal="center" vertical="center"/>
    </xf>
    <xf numFmtId="0" fontId="11" fillId="26" borderId="26" xfId="5" applyFill="1" applyBorder="1" applyAlignment="1">
      <alignment horizontal="center" vertical="center"/>
    </xf>
    <xf numFmtId="0" fontId="11" fillId="0" borderId="28" xfId="5" applyBorder="1" applyAlignment="1">
      <alignment horizontal="center" vertical="center"/>
    </xf>
    <xf numFmtId="0" fontId="11" fillId="0" borderId="29" xfId="5" applyBorder="1" applyAlignment="1">
      <alignment horizontal="center" vertical="center"/>
    </xf>
    <xf numFmtId="0" fontId="11" fillId="0" borderId="30" xfId="5" applyBorder="1" applyAlignment="1">
      <alignment horizontal="center" vertical="center"/>
    </xf>
    <xf numFmtId="0" fontId="23" fillId="3" borderId="32" xfId="5" applyFont="1" applyFill="1" applyBorder="1" applyAlignment="1">
      <alignment horizontal="center" vertical="center"/>
    </xf>
    <xf numFmtId="0" fontId="23" fillId="27" borderId="32" xfId="5" applyFont="1" applyFill="1" applyBorder="1" applyAlignment="1">
      <alignment horizontal="center" vertical="center"/>
    </xf>
    <xf numFmtId="0" fontId="11" fillId="27" borderId="19" xfId="5" applyFill="1" applyBorder="1" applyAlignment="1">
      <alignment horizontal="center" vertical="center"/>
    </xf>
    <xf numFmtId="0" fontId="11" fillId="27" borderId="20" xfId="5" applyFill="1" applyBorder="1" applyAlignment="1">
      <alignment horizontal="center" vertical="center"/>
    </xf>
    <xf numFmtId="0" fontId="11" fillId="7" borderId="19" xfId="5" applyFill="1" applyBorder="1" applyAlignment="1">
      <alignment horizontal="center" vertical="center"/>
    </xf>
    <xf numFmtId="0" fontId="11" fillId="7" borderId="20" xfId="5" applyFill="1" applyBorder="1" applyAlignment="1">
      <alignment horizontal="center" vertical="center"/>
    </xf>
    <xf numFmtId="0" fontId="11" fillId="28" borderId="19" xfId="5" applyFill="1" applyBorder="1" applyAlignment="1">
      <alignment horizontal="center" vertical="center"/>
    </xf>
    <xf numFmtId="0" fontId="11" fillId="28" borderId="20" xfId="5" applyFill="1" applyBorder="1" applyAlignment="1">
      <alignment horizontal="center" vertical="center"/>
    </xf>
    <xf numFmtId="0" fontId="11" fillId="29" borderId="21" xfId="5" applyFill="1" applyBorder="1" applyAlignment="1">
      <alignment horizontal="center" vertical="center"/>
    </xf>
    <xf numFmtId="0" fontId="11" fillId="27" borderId="28" xfId="5" applyFill="1" applyBorder="1" applyAlignment="1">
      <alignment horizontal="center" vertical="center"/>
    </xf>
    <xf numFmtId="0" fontId="11" fillId="27" borderId="29" xfId="5" applyFill="1" applyBorder="1" applyAlignment="1">
      <alignment horizontal="center" vertical="center"/>
    </xf>
    <xf numFmtId="0" fontId="11" fillId="7" borderId="28" xfId="5" applyFill="1" applyBorder="1" applyAlignment="1">
      <alignment horizontal="center" vertical="center"/>
    </xf>
    <xf numFmtId="0" fontId="11" fillId="7" borderId="29" xfId="5" applyFill="1" applyBorder="1" applyAlignment="1">
      <alignment horizontal="center" vertical="center"/>
    </xf>
    <xf numFmtId="0" fontId="11" fillId="28" borderId="28" xfId="5" applyFill="1" applyBorder="1" applyAlignment="1">
      <alignment horizontal="center" vertical="center"/>
    </xf>
    <xf numFmtId="0" fontId="11" fillId="28" borderId="29" xfId="5" applyFill="1" applyBorder="1" applyAlignment="1">
      <alignment horizontal="center" vertical="center"/>
    </xf>
    <xf numFmtId="0" fontId="11" fillId="29" borderId="25" xfId="5" applyFill="1" applyBorder="1" applyAlignment="1">
      <alignment horizontal="center" vertical="center"/>
    </xf>
    <xf numFmtId="0" fontId="11" fillId="30" borderId="19" xfId="5" applyFill="1" applyBorder="1" applyAlignment="1">
      <alignment horizontal="center" vertical="center"/>
    </xf>
    <xf numFmtId="0" fontId="11" fillId="30" borderId="20" xfId="5" applyFill="1" applyBorder="1" applyAlignment="1">
      <alignment horizontal="center" vertical="center"/>
    </xf>
    <xf numFmtId="0" fontId="11" fillId="5" borderId="19" xfId="5" applyFill="1" applyBorder="1" applyAlignment="1">
      <alignment horizontal="center" vertical="center"/>
    </xf>
    <xf numFmtId="0" fontId="11" fillId="5" borderId="20" xfId="5" applyFill="1" applyBorder="1" applyAlignment="1">
      <alignment horizontal="center" vertical="center"/>
    </xf>
    <xf numFmtId="0" fontId="11" fillId="9" borderId="19" xfId="5" applyFill="1" applyBorder="1" applyAlignment="1">
      <alignment horizontal="center" vertical="center"/>
    </xf>
    <xf numFmtId="0" fontId="11" fillId="9" borderId="20" xfId="5" applyFill="1" applyBorder="1" applyAlignment="1">
      <alignment horizontal="center" vertical="center"/>
    </xf>
    <xf numFmtId="0" fontId="11" fillId="30" borderId="28" xfId="5" applyFill="1" applyBorder="1" applyAlignment="1">
      <alignment horizontal="center" vertical="center"/>
    </xf>
    <xf numFmtId="0" fontId="11" fillId="30" borderId="29" xfId="5" applyFill="1" applyBorder="1" applyAlignment="1">
      <alignment horizontal="center" vertical="center"/>
    </xf>
    <xf numFmtId="0" fontId="11" fillId="5" borderId="28" xfId="5" applyFill="1" applyBorder="1" applyAlignment="1">
      <alignment horizontal="center" vertical="center"/>
    </xf>
    <xf numFmtId="0" fontId="11" fillId="5" borderId="29" xfId="5" applyFill="1" applyBorder="1" applyAlignment="1">
      <alignment horizontal="center" vertical="center"/>
    </xf>
    <xf numFmtId="0" fontId="11" fillId="9" borderId="28" xfId="5" applyFill="1" applyBorder="1" applyAlignment="1">
      <alignment horizontal="center" vertical="center"/>
    </xf>
    <xf numFmtId="0" fontId="11" fillId="9" borderId="29" xfId="5" applyFill="1" applyBorder="1" applyAlignment="1">
      <alignment horizontal="center" vertical="center"/>
    </xf>
    <xf numFmtId="0" fontId="11" fillId="31" borderId="33" xfId="5" applyFill="1" applyBorder="1" applyAlignment="1">
      <alignment horizontal="center" vertical="center"/>
    </xf>
    <xf numFmtId="0" fontId="11" fillId="31" borderId="34" xfId="5" applyFill="1" applyBorder="1" applyAlignment="1">
      <alignment horizontal="center" vertical="center"/>
    </xf>
    <xf numFmtId="0" fontId="11" fillId="23" borderId="33" xfId="5" applyFill="1" applyBorder="1" applyAlignment="1">
      <alignment horizontal="center" vertical="center"/>
    </xf>
    <xf numFmtId="0" fontId="11" fillId="23" borderId="34" xfId="5" applyFill="1" applyBorder="1" applyAlignment="1">
      <alignment horizontal="center" vertical="center"/>
    </xf>
    <xf numFmtId="0" fontId="11" fillId="30" borderId="33" xfId="5" applyFill="1" applyBorder="1" applyAlignment="1">
      <alignment horizontal="center" vertical="center"/>
    </xf>
    <xf numFmtId="0" fontId="11" fillId="30" borderId="34" xfId="5" applyFill="1" applyBorder="1" applyAlignment="1">
      <alignment horizontal="center" vertical="center"/>
    </xf>
    <xf numFmtId="0" fontId="11" fillId="29" borderId="33" xfId="5" applyFill="1" applyBorder="1" applyAlignment="1">
      <alignment horizontal="center" vertical="center"/>
    </xf>
    <xf numFmtId="0" fontId="11" fillId="29" borderId="34" xfId="5" applyFill="1" applyBorder="1" applyAlignment="1">
      <alignment horizontal="center" vertical="center"/>
    </xf>
    <xf numFmtId="0" fontId="11" fillId="29" borderId="35" xfId="5" applyFill="1" applyBorder="1" applyAlignment="1">
      <alignment horizontal="center" vertical="center"/>
    </xf>
    <xf numFmtId="0" fontId="11" fillId="16" borderId="33" xfId="5" applyFill="1" applyBorder="1" applyAlignment="1">
      <alignment horizontal="center" vertical="center"/>
    </xf>
    <xf numFmtId="0" fontId="11" fillId="16" borderId="34" xfId="5" applyFill="1" applyBorder="1" applyAlignment="1">
      <alignment horizontal="center" vertical="center"/>
    </xf>
    <xf numFmtId="0" fontId="11" fillId="16" borderId="35" xfId="5" applyFill="1" applyBorder="1" applyAlignment="1">
      <alignment horizontal="center" vertical="center"/>
    </xf>
    <xf numFmtId="0" fontId="12" fillId="0" borderId="0" xfId="5" applyFont="1"/>
    <xf numFmtId="165" fontId="9" fillId="0" borderId="3" xfId="5" applyNumberFormat="1" applyFont="1" applyBorder="1" applyAlignment="1">
      <alignment horizontal="left"/>
    </xf>
    <xf numFmtId="0" fontId="9" fillId="0" borderId="3" xfId="5" applyFont="1" applyBorder="1" applyAlignment="1">
      <alignment horizontal="left"/>
    </xf>
    <xf numFmtId="165" fontId="9" fillId="0" borderId="3" xfId="5" applyNumberFormat="1" applyFont="1" applyBorder="1" applyAlignment="1">
      <alignment horizontal="center"/>
    </xf>
    <xf numFmtId="0" fontId="9" fillId="0" borderId="3" xfId="5" applyFont="1" applyBorder="1" applyAlignment="1">
      <alignment horizontal="center"/>
    </xf>
    <xf numFmtId="167" fontId="25" fillId="0" borderId="36" xfId="1" applyNumberFormat="1" applyFont="1" applyFill="1" applyBorder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22" fillId="0" borderId="36" xfId="0" applyFont="1" applyBorder="1" applyProtection="1">
      <protection hidden="1"/>
    </xf>
    <xf numFmtId="0" fontId="21" fillId="0" borderId="37" xfId="0" applyFont="1" applyBorder="1" applyProtection="1">
      <protection hidden="1"/>
    </xf>
    <xf numFmtId="0" fontId="22" fillId="0" borderId="38" xfId="0" applyFont="1" applyBorder="1" applyAlignment="1" applyProtection="1">
      <alignment horizontal="center"/>
      <protection hidden="1"/>
    </xf>
    <xf numFmtId="0" fontId="0" fillId="0" borderId="0" xfId="0" quotePrefix="1" applyAlignment="1">
      <alignment horizontal="center"/>
    </xf>
    <xf numFmtId="0" fontId="26" fillId="0" borderId="0" xfId="0" applyFont="1"/>
    <xf numFmtId="0" fontId="21" fillId="0" borderId="39" xfId="0" applyFont="1" applyBorder="1" applyAlignment="1" applyProtection="1">
      <alignment horizontal="center"/>
      <protection locked="0"/>
    </xf>
    <xf numFmtId="0" fontId="0" fillId="0" borderId="42" xfId="0" applyBorder="1" applyAlignment="1">
      <alignment horizontal="center" vertical="top"/>
    </xf>
    <xf numFmtId="4" fontId="24" fillId="0" borderId="43" xfId="6" applyNumberFormat="1" applyFont="1" applyBorder="1" applyProtection="1">
      <protection locked="0"/>
    </xf>
    <xf numFmtId="0" fontId="0" fillId="0" borderId="45" xfId="0" applyBorder="1" applyAlignment="1">
      <alignment horizontal="center" vertical="top"/>
    </xf>
    <xf numFmtId="0" fontId="22" fillId="0" borderId="46" xfId="0" applyFont="1" applyBorder="1" applyProtection="1">
      <protection hidden="1"/>
    </xf>
    <xf numFmtId="0" fontId="0" fillId="0" borderId="49" xfId="0" applyBorder="1" applyAlignment="1">
      <alignment horizontal="center" vertical="top"/>
    </xf>
    <xf numFmtId="0" fontId="22" fillId="0" borderId="47" xfId="0" applyFont="1" applyBorder="1" applyProtection="1">
      <protection hidden="1"/>
    </xf>
    <xf numFmtId="0" fontId="22" fillId="0" borderId="50" xfId="0" applyFont="1" applyBorder="1" applyAlignment="1" applyProtection="1">
      <alignment horizontal="center"/>
      <protection hidden="1"/>
    </xf>
    <xf numFmtId="0" fontId="0" fillId="0" borderId="52" xfId="0" applyBorder="1" applyAlignment="1">
      <alignment horizontal="center" vertical="top"/>
    </xf>
    <xf numFmtId="0" fontId="22" fillId="0" borderId="53" xfId="0" applyFont="1" applyBorder="1" applyProtection="1">
      <protection hidden="1"/>
    </xf>
    <xf numFmtId="0" fontId="22" fillId="0" borderId="52" xfId="0" applyFont="1" applyBorder="1" applyAlignment="1" applyProtection="1">
      <alignment horizontal="center"/>
      <protection hidden="1"/>
    </xf>
    <xf numFmtId="0" fontId="3" fillId="2" borderId="0" xfId="0" applyFont="1" applyFill="1"/>
    <xf numFmtId="4" fontId="3" fillId="2" borderId="0" xfId="0" applyNumberFormat="1" applyFont="1" applyFill="1"/>
    <xf numFmtId="1" fontId="3" fillId="11" borderId="23" xfId="0" applyNumberFormat="1" applyFont="1" applyFill="1" applyBorder="1" applyAlignment="1">
      <alignment horizontal="center" vertical="center"/>
    </xf>
    <xf numFmtId="1" fontId="3" fillId="11" borderId="32" xfId="0" applyNumberFormat="1" applyFont="1" applyFill="1" applyBorder="1" applyAlignment="1">
      <alignment horizontal="center" vertical="center"/>
    </xf>
    <xf numFmtId="1" fontId="3" fillId="11" borderId="54" xfId="0" applyNumberFormat="1" applyFont="1" applyFill="1" applyBorder="1" applyAlignment="1">
      <alignment horizontal="center" vertical="center"/>
    </xf>
    <xf numFmtId="1" fontId="3" fillId="11" borderId="55" xfId="0" applyNumberFormat="1" applyFont="1" applyFill="1" applyBorder="1" applyAlignment="1">
      <alignment horizontal="center" vertical="center"/>
    </xf>
    <xf numFmtId="1" fontId="3" fillId="11" borderId="56" xfId="0" applyNumberFormat="1" applyFont="1" applyFill="1" applyBorder="1" applyAlignment="1">
      <alignment horizontal="center" vertical="center"/>
    </xf>
    <xf numFmtId="1" fontId="3" fillId="11" borderId="57" xfId="0" applyNumberFormat="1" applyFont="1" applyFill="1" applyBorder="1" applyAlignment="1">
      <alignment horizontal="center" vertical="center"/>
    </xf>
    <xf numFmtId="1" fontId="3" fillId="11" borderId="58" xfId="0" applyNumberFormat="1" applyFont="1" applyFill="1" applyBorder="1" applyAlignment="1">
      <alignment horizontal="center" vertical="center"/>
    </xf>
    <xf numFmtId="1" fontId="3" fillId="11" borderId="59" xfId="0" applyNumberFormat="1" applyFont="1" applyFill="1" applyBorder="1" applyAlignment="1">
      <alignment horizontal="center" vertical="center"/>
    </xf>
    <xf numFmtId="1" fontId="3" fillId="11" borderId="60" xfId="0" applyNumberFormat="1" applyFont="1" applyFill="1" applyBorder="1" applyAlignment="1">
      <alignment horizontal="center" vertical="center"/>
    </xf>
    <xf numFmtId="1" fontId="0" fillId="11" borderId="61" xfId="0" applyNumberFormat="1" applyFill="1" applyBorder="1" applyAlignment="1">
      <alignment horizontal="center" vertical="center"/>
    </xf>
    <xf numFmtId="1" fontId="0" fillId="11" borderId="62" xfId="0" applyNumberFormat="1" applyFill="1" applyBorder="1" applyAlignment="1">
      <alignment horizontal="center" vertical="center"/>
    </xf>
    <xf numFmtId="1" fontId="0" fillId="11" borderId="63" xfId="0" applyNumberFormat="1" applyFill="1" applyBorder="1" applyAlignment="1">
      <alignment horizontal="center" vertical="center"/>
    </xf>
    <xf numFmtId="1" fontId="0" fillId="11" borderId="64" xfId="0" applyNumberFormat="1" applyFill="1" applyBorder="1" applyAlignment="1">
      <alignment horizontal="center" vertical="center"/>
    </xf>
    <xf numFmtId="1" fontId="0" fillId="11" borderId="65" xfId="0" applyNumberFormat="1" applyFill="1" applyBorder="1" applyAlignment="1">
      <alignment horizontal="center" vertical="center"/>
    </xf>
    <xf numFmtId="1" fontId="3" fillId="11" borderId="66" xfId="0" applyNumberFormat="1" applyFont="1" applyFill="1" applyBorder="1" applyAlignment="1">
      <alignment horizontal="center" vertical="center"/>
    </xf>
    <xf numFmtId="1" fontId="0" fillId="11" borderId="67" xfId="0" applyNumberFormat="1" applyFill="1" applyBorder="1" applyAlignment="1">
      <alignment horizontal="center" vertical="center"/>
    </xf>
    <xf numFmtId="1" fontId="0" fillId="11" borderId="68" xfId="0" applyNumberFormat="1" applyFill="1" applyBorder="1" applyAlignment="1">
      <alignment horizontal="center" vertical="center"/>
    </xf>
    <xf numFmtId="1" fontId="0" fillId="11" borderId="69" xfId="0" applyNumberFormat="1" applyFill="1" applyBorder="1" applyAlignment="1">
      <alignment horizontal="center" vertical="center"/>
    </xf>
    <xf numFmtId="1" fontId="0" fillId="2" borderId="67" xfId="0" applyNumberFormat="1" applyFill="1" applyBorder="1" applyAlignment="1">
      <alignment horizontal="center" vertical="center"/>
    </xf>
    <xf numFmtId="1" fontId="0" fillId="2" borderId="68" xfId="0" applyNumberFormat="1" applyFill="1" applyBorder="1" applyAlignment="1">
      <alignment horizontal="center" vertical="center"/>
    </xf>
    <xf numFmtId="1" fontId="0" fillId="2" borderId="69" xfId="0" applyNumberFormat="1" applyFill="1" applyBorder="1" applyAlignment="1">
      <alignment horizontal="center" vertical="center"/>
    </xf>
    <xf numFmtId="1" fontId="3" fillId="11" borderId="70" xfId="0" applyNumberFormat="1" applyFont="1" applyFill="1" applyBorder="1" applyAlignment="1">
      <alignment horizontal="center" vertical="center"/>
    </xf>
    <xf numFmtId="1" fontId="0" fillId="11" borderId="71" xfId="0" applyNumberFormat="1" applyFill="1" applyBorder="1" applyAlignment="1">
      <alignment horizontal="center" vertical="center"/>
    </xf>
    <xf numFmtId="1" fontId="3" fillId="11" borderId="72" xfId="0" applyNumberFormat="1" applyFont="1" applyFill="1" applyBorder="1" applyAlignment="1">
      <alignment horizontal="center" vertical="center"/>
    </xf>
    <xf numFmtId="1" fontId="0" fillId="11" borderId="73" xfId="0" applyNumberFormat="1" applyFill="1" applyBorder="1" applyAlignment="1">
      <alignment horizontal="center" vertical="center"/>
    </xf>
    <xf numFmtId="1" fontId="0" fillId="11" borderId="74" xfId="0" applyNumberFormat="1" applyFill="1" applyBorder="1" applyAlignment="1">
      <alignment horizontal="center" vertical="center"/>
    </xf>
    <xf numFmtId="1" fontId="0" fillId="11" borderId="75" xfId="0" applyNumberFormat="1" applyFill="1" applyBorder="1" applyAlignment="1">
      <alignment horizontal="center" vertical="center"/>
    </xf>
    <xf numFmtId="1" fontId="0" fillId="2" borderId="73" xfId="0" applyNumberFormat="1" applyFill="1" applyBorder="1" applyAlignment="1">
      <alignment horizontal="center" vertical="center"/>
    </xf>
    <xf numFmtId="1" fontId="0" fillId="2" borderId="74" xfId="0" applyNumberFormat="1" applyFill="1" applyBorder="1" applyAlignment="1">
      <alignment horizontal="center" vertical="center"/>
    </xf>
    <xf numFmtId="1" fontId="0" fillId="2" borderId="75" xfId="0" applyNumberFormat="1" applyFill="1" applyBorder="1" applyAlignment="1">
      <alignment horizontal="center" vertical="center"/>
    </xf>
    <xf numFmtId="1" fontId="3" fillId="11" borderId="76" xfId="0" applyNumberFormat="1" applyFont="1" applyFill="1" applyBorder="1" applyAlignment="1">
      <alignment horizontal="center" vertical="center"/>
    </xf>
    <xf numFmtId="1" fontId="0" fillId="11" borderId="77" xfId="0" applyNumberFormat="1" applyFill="1" applyBorder="1" applyAlignment="1">
      <alignment horizontal="center" vertical="center"/>
    </xf>
    <xf numFmtId="1" fontId="0" fillId="11" borderId="30" xfId="0" applyNumberFormat="1" applyFill="1" applyBorder="1" applyAlignment="1">
      <alignment horizontal="center" vertical="center"/>
    </xf>
    <xf numFmtId="1" fontId="0" fillId="11" borderId="78" xfId="0" applyNumberFormat="1" applyFill="1" applyBorder="1" applyAlignment="1">
      <alignment horizontal="center" vertical="center"/>
    </xf>
    <xf numFmtId="1" fontId="3" fillId="11" borderId="79" xfId="0" applyNumberFormat="1" applyFont="1" applyFill="1" applyBorder="1" applyAlignment="1">
      <alignment horizontal="center" vertical="center"/>
    </xf>
    <xf numFmtId="1" fontId="0" fillId="11" borderId="80" xfId="0" applyNumberFormat="1" applyFill="1" applyBorder="1" applyAlignment="1">
      <alignment horizontal="center" vertical="center"/>
    </xf>
    <xf numFmtId="1" fontId="0" fillId="11" borderId="81" xfId="0" applyNumberFormat="1" applyFill="1" applyBorder="1" applyAlignment="1">
      <alignment horizontal="center" vertical="center"/>
    </xf>
    <xf numFmtId="1" fontId="0" fillId="11" borderId="82" xfId="0" applyNumberFormat="1" applyFill="1" applyBorder="1" applyAlignment="1">
      <alignment horizontal="center" vertical="center"/>
    </xf>
    <xf numFmtId="1" fontId="0" fillId="2" borderId="80" xfId="0" applyNumberFormat="1" applyFill="1" applyBorder="1" applyAlignment="1">
      <alignment horizontal="center" vertical="center"/>
    </xf>
    <xf numFmtId="1" fontId="0" fillId="2" borderId="81" xfId="0" applyNumberFormat="1" applyFill="1" applyBorder="1" applyAlignment="1">
      <alignment horizontal="center" vertical="center"/>
    </xf>
    <xf numFmtId="1" fontId="0" fillId="2" borderId="82" xfId="0" applyNumberForma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1" fontId="0" fillId="11" borderId="83" xfId="0" applyNumberFormat="1" applyFill="1" applyBorder="1" applyAlignment="1">
      <alignment horizontal="center" vertical="center"/>
    </xf>
    <xf numFmtId="1" fontId="0" fillId="11" borderId="84" xfId="0" applyNumberFormat="1" applyFill="1" applyBorder="1" applyAlignment="1">
      <alignment horizontal="center" vertical="center"/>
    </xf>
    <xf numFmtId="1" fontId="0" fillId="11" borderId="85" xfId="0" applyNumberFormat="1" applyFill="1" applyBorder="1" applyAlignment="1">
      <alignment horizontal="center" vertical="center"/>
    </xf>
    <xf numFmtId="1" fontId="0" fillId="11" borderId="86" xfId="0" applyNumberFormat="1" applyFill="1" applyBorder="1" applyAlignment="1">
      <alignment horizontal="center" vertical="center"/>
    </xf>
    <xf numFmtId="1" fontId="0" fillId="11" borderId="87" xfId="0" applyNumberFormat="1" applyFill="1" applyBorder="1" applyAlignment="1">
      <alignment horizontal="center" vertical="center"/>
    </xf>
    <xf numFmtId="1" fontId="0" fillId="11" borderId="88" xfId="0" applyNumberFormat="1" applyFill="1" applyBorder="1" applyAlignment="1">
      <alignment horizontal="center" vertical="center"/>
    </xf>
    <xf numFmtId="1" fontId="0" fillId="11" borderId="89" xfId="0" applyNumberFormat="1" applyFill="1" applyBorder="1" applyAlignment="1">
      <alignment horizontal="center" vertical="center"/>
    </xf>
    <xf numFmtId="1" fontId="0" fillId="11" borderId="90" xfId="0" applyNumberFormat="1" applyFill="1" applyBorder="1" applyAlignment="1">
      <alignment horizontal="center" vertical="center"/>
    </xf>
    <xf numFmtId="1" fontId="0" fillId="11" borderId="91" xfId="0" applyNumberFormat="1" applyFill="1" applyBorder="1" applyAlignment="1">
      <alignment horizontal="center" vertical="center"/>
    </xf>
    <xf numFmtId="1" fontId="0" fillId="11" borderId="92" xfId="0" applyNumberFormat="1" applyFill="1" applyBorder="1" applyAlignment="1">
      <alignment horizontal="center" vertical="center"/>
    </xf>
    <xf numFmtId="1" fontId="0" fillId="11" borderId="93" xfId="0" applyNumberFormat="1" applyFill="1" applyBorder="1" applyAlignment="1">
      <alignment horizontal="center" vertical="center"/>
    </xf>
    <xf numFmtId="1" fontId="0" fillId="11" borderId="94" xfId="0" applyNumberFormat="1" applyFill="1" applyBorder="1" applyAlignment="1">
      <alignment horizontal="center" vertical="center"/>
    </xf>
    <xf numFmtId="1" fontId="0" fillId="11" borderId="95" xfId="0" applyNumberFormat="1" applyFill="1" applyBorder="1" applyAlignment="1">
      <alignment horizontal="center" vertical="center"/>
    </xf>
    <xf numFmtId="1" fontId="0" fillId="11" borderId="96" xfId="0" applyNumberFormat="1" applyFill="1" applyBorder="1" applyAlignment="1">
      <alignment horizontal="center" vertical="center"/>
    </xf>
    <xf numFmtId="1" fontId="0" fillId="11" borderId="97" xfId="0" applyNumberFormat="1" applyFill="1" applyBorder="1" applyAlignment="1">
      <alignment horizontal="center" vertical="center"/>
    </xf>
    <xf numFmtId="1" fontId="0" fillId="11" borderId="98" xfId="0" applyNumberFormat="1" applyFill="1" applyBorder="1" applyAlignment="1">
      <alignment horizontal="center" vertical="center"/>
    </xf>
    <xf numFmtId="1" fontId="0" fillId="11" borderId="99" xfId="0" applyNumberFormat="1" applyFill="1" applyBorder="1" applyAlignment="1">
      <alignment horizontal="center" vertical="center"/>
    </xf>
    <xf numFmtId="1" fontId="0" fillId="11" borderId="100" xfId="0" applyNumberFormat="1" applyFill="1" applyBorder="1" applyAlignment="1">
      <alignment horizontal="center" vertical="center"/>
    </xf>
    <xf numFmtId="1" fontId="3" fillId="11" borderId="101" xfId="0" applyNumberFormat="1" applyFont="1" applyFill="1" applyBorder="1" applyAlignment="1">
      <alignment horizontal="center" vertical="center"/>
    </xf>
    <xf numFmtId="1" fontId="3" fillId="11" borderId="102" xfId="0" applyNumberFormat="1" applyFont="1" applyFill="1" applyBorder="1" applyAlignment="1">
      <alignment horizontal="center" vertical="center"/>
    </xf>
    <xf numFmtId="0" fontId="0" fillId="32" borderId="0" xfId="0" applyFill="1" applyAlignment="1">
      <alignment horizontal="center"/>
    </xf>
    <xf numFmtId="0" fontId="0" fillId="0" borderId="103" xfId="0" applyBorder="1"/>
    <xf numFmtId="1" fontId="0" fillId="0" borderId="104" xfId="0" applyNumberFormat="1" applyBorder="1" applyAlignment="1">
      <alignment horizontal="right"/>
    </xf>
    <xf numFmtId="169" fontId="0" fillId="0" borderId="105" xfId="0" applyNumberFormat="1" applyBorder="1" applyAlignment="1">
      <alignment horizontal="center"/>
    </xf>
    <xf numFmtId="169" fontId="0" fillId="0" borderId="106" xfId="0" applyNumberFormat="1" applyBorder="1" applyAlignment="1">
      <alignment horizontal="center"/>
    </xf>
    <xf numFmtId="169" fontId="0" fillId="0" borderId="107" xfId="0" applyNumberFormat="1" applyBorder="1" applyAlignment="1">
      <alignment horizontal="center"/>
    </xf>
    <xf numFmtId="0" fontId="0" fillId="0" borderId="108" xfId="0" applyBorder="1"/>
    <xf numFmtId="1" fontId="0" fillId="0" borderId="109" xfId="0" applyNumberFormat="1" applyBorder="1" applyAlignment="1">
      <alignment horizontal="right"/>
    </xf>
    <xf numFmtId="169" fontId="0" fillId="0" borderId="110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0" borderId="111" xfId="0" applyNumberFormat="1" applyBorder="1" applyAlignment="1">
      <alignment horizontal="center"/>
    </xf>
    <xf numFmtId="0" fontId="0" fillId="0" borderId="112" xfId="0" applyBorder="1"/>
    <xf numFmtId="1" fontId="0" fillId="0" borderId="113" xfId="0" applyNumberFormat="1" applyBorder="1" applyAlignment="1">
      <alignment horizontal="right"/>
    </xf>
    <xf numFmtId="169" fontId="0" fillId="0" borderId="114" xfId="0" applyNumberFormat="1" applyBorder="1" applyAlignment="1">
      <alignment horizontal="center"/>
    </xf>
    <xf numFmtId="169" fontId="0" fillId="0" borderId="115" xfId="0" applyNumberFormat="1" applyBorder="1" applyAlignment="1">
      <alignment horizontal="center"/>
    </xf>
    <xf numFmtId="9" fontId="0" fillId="0" borderId="104" xfId="0" applyNumberFormat="1" applyBorder="1" applyAlignment="1">
      <alignment horizontal="right"/>
    </xf>
    <xf numFmtId="0" fontId="0" fillId="0" borderId="117" xfId="0" applyBorder="1" applyAlignment="1">
      <alignment horizontal="center"/>
    </xf>
    <xf numFmtId="0" fontId="0" fillId="0" borderId="118" xfId="0" applyBorder="1" applyAlignment="1">
      <alignment horizontal="center"/>
    </xf>
    <xf numFmtId="9" fontId="0" fillId="0" borderId="109" xfId="0" applyNumberFormat="1" applyBorder="1" applyAlignment="1">
      <alignment horizontal="right"/>
    </xf>
    <xf numFmtId="0" fontId="0" fillId="0" borderId="119" xfId="0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21" xfId="0" applyBorder="1" applyAlignment="1">
      <alignment horizontal="center"/>
    </xf>
    <xf numFmtId="9" fontId="0" fillId="0" borderId="122" xfId="0" applyNumberFormat="1" applyBorder="1" applyAlignment="1">
      <alignment horizontal="right"/>
    </xf>
    <xf numFmtId="0" fontId="0" fillId="0" borderId="122" xfId="0" applyBorder="1" applyAlignment="1">
      <alignment horizontal="center"/>
    </xf>
    <xf numFmtId="0" fontId="0" fillId="0" borderId="123" xfId="0" applyBorder="1" applyAlignment="1">
      <alignment horizontal="center"/>
    </xf>
    <xf numFmtId="9" fontId="0" fillId="0" borderId="124" xfId="0" applyNumberFormat="1" applyBorder="1" applyAlignment="1">
      <alignment horizontal="right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9" fontId="0" fillId="0" borderId="129" xfId="0" applyNumberFormat="1" applyBorder="1" applyAlignment="1">
      <alignment horizontal="right"/>
    </xf>
    <xf numFmtId="169" fontId="0" fillId="0" borderId="129" xfId="0" applyNumberFormat="1" applyBorder="1" applyAlignment="1">
      <alignment horizontal="center"/>
    </xf>
    <xf numFmtId="169" fontId="0" fillId="0" borderId="122" xfId="0" applyNumberFormat="1" applyBorder="1" applyAlignment="1">
      <alignment horizontal="center"/>
    </xf>
    <xf numFmtId="169" fontId="0" fillId="0" borderId="124" xfId="0" applyNumberFormat="1" applyBorder="1" applyAlignment="1">
      <alignment horizontal="center"/>
    </xf>
    <xf numFmtId="169" fontId="0" fillId="0" borderId="130" xfId="0" applyNumberFormat="1" applyBorder="1" applyAlignment="1">
      <alignment horizontal="center"/>
    </xf>
    <xf numFmtId="0" fontId="0" fillId="0" borderId="133" xfId="0" applyBorder="1"/>
    <xf numFmtId="9" fontId="0" fillId="0" borderId="134" xfId="0" applyNumberFormat="1" applyBorder="1" applyAlignment="1">
      <alignment horizontal="right"/>
    </xf>
    <xf numFmtId="168" fontId="0" fillId="0" borderId="134" xfId="0" applyNumberFormat="1" applyBorder="1"/>
    <xf numFmtId="168" fontId="0" fillId="0" borderId="135" xfId="0" applyNumberFormat="1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0" fillId="0" borderId="139" xfId="0" applyBorder="1"/>
    <xf numFmtId="0" fontId="0" fillId="0" borderId="140" xfId="0" applyBorder="1"/>
    <xf numFmtId="0" fontId="0" fillId="0" borderId="122" xfId="0" applyBorder="1"/>
    <xf numFmtId="0" fontId="0" fillId="0" borderId="141" xfId="0" applyBorder="1"/>
    <xf numFmtId="0" fontId="0" fillId="0" borderId="124" xfId="0" applyBorder="1"/>
    <xf numFmtId="0" fontId="0" fillId="0" borderId="137" xfId="0" applyBorder="1" applyAlignment="1">
      <alignment horizontal="center"/>
    </xf>
    <xf numFmtId="0" fontId="0" fillId="0" borderId="138" xfId="0" applyBorder="1" applyAlignment="1">
      <alignment horizontal="center"/>
    </xf>
    <xf numFmtId="9" fontId="0" fillId="0" borderId="137" xfId="0" applyNumberFormat="1" applyBorder="1" applyAlignment="1">
      <alignment horizontal="left"/>
    </xf>
    <xf numFmtId="168" fontId="0" fillId="0" borderId="142" xfId="0" applyNumberFormat="1" applyBorder="1"/>
    <xf numFmtId="168" fontId="0" fillId="0" borderId="143" xfId="0" applyNumberFormat="1" applyBorder="1"/>
    <xf numFmtId="9" fontId="0" fillId="0" borderId="109" xfId="0" applyNumberFormat="1" applyBorder="1" applyAlignment="1">
      <alignment horizontal="left"/>
    </xf>
    <xf numFmtId="168" fontId="0" fillId="0" borderId="144" xfId="0" applyNumberFormat="1" applyBorder="1"/>
    <xf numFmtId="168" fontId="0" fillId="0" borderId="2" xfId="0" applyNumberFormat="1" applyBorder="1"/>
    <xf numFmtId="168" fontId="0" fillId="0" borderId="126" xfId="0" applyNumberFormat="1" applyBorder="1"/>
    <xf numFmtId="168" fontId="0" fillId="0" borderId="127" xfId="0" applyNumberFormat="1" applyBorder="1"/>
    <xf numFmtId="9" fontId="0" fillId="0" borderId="113" xfId="0" applyNumberFormat="1" applyBorder="1" applyAlignment="1">
      <alignment horizontal="left"/>
    </xf>
    <xf numFmtId="0" fontId="29" fillId="0" borderId="0" xfId="0" applyFont="1" applyAlignment="1">
      <alignment vertical="center"/>
    </xf>
    <xf numFmtId="0" fontId="30" fillId="0" borderId="0" xfId="0" applyFont="1"/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0" fontId="31" fillId="0" borderId="0" xfId="0" applyFont="1" applyAlignment="1">
      <alignment vertical="center"/>
    </xf>
    <xf numFmtId="0" fontId="0" fillId="0" borderId="0" xfId="0" quotePrefix="1"/>
    <xf numFmtId="0" fontId="0" fillId="0" borderId="74" xfId="0" applyBorder="1"/>
    <xf numFmtId="9" fontId="0" fillId="0" borderId="137" xfId="0" applyNumberFormat="1" applyBorder="1" applyAlignment="1">
      <alignment horizontal="right"/>
    </xf>
    <xf numFmtId="170" fontId="0" fillId="0" borderId="2" xfId="0" applyNumberFormat="1" applyBorder="1" applyAlignment="1">
      <alignment horizontal="center"/>
    </xf>
    <xf numFmtId="170" fontId="0" fillId="0" borderId="145" xfId="0" applyNumberFormat="1" applyBorder="1" applyAlignment="1">
      <alignment horizontal="center"/>
    </xf>
    <xf numFmtId="170" fontId="0" fillId="0" borderId="127" xfId="0" applyNumberFormat="1" applyBorder="1" applyAlignment="1">
      <alignment horizontal="center"/>
    </xf>
    <xf numFmtId="170" fontId="0" fillId="0" borderId="128" xfId="0" applyNumberFormat="1" applyBorder="1" applyAlignment="1">
      <alignment horizontal="center"/>
    </xf>
    <xf numFmtId="170" fontId="0" fillId="0" borderId="129" xfId="0" applyNumberFormat="1" applyBorder="1" applyAlignment="1">
      <alignment horizontal="center"/>
    </xf>
    <xf numFmtId="170" fontId="0" fillId="0" borderId="146" xfId="0" applyNumberFormat="1" applyBorder="1" applyAlignment="1">
      <alignment horizontal="center"/>
    </xf>
    <xf numFmtId="170" fontId="0" fillId="0" borderId="124" xfId="0" applyNumberFormat="1" applyBorder="1" applyAlignment="1">
      <alignment horizontal="center"/>
    </xf>
    <xf numFmtId="170" fontId="0" fillId="0" borderId="125" xfId="0" applyNumberFormat="1" applyBorder="1" applyAlignment="1">
      <alignment horizontal="center"/>
    </xf>
    <xf numFmtId="170" fontId="0" fillId="0" borderId="0" xfId="0" applyNumberFormat="1"/>
    <xf numFmtId="0" fontId="3" fillId="0" borderId="0" xfId="0" applyFont="1" applyAlignment="1">
      <alignment horizontal="left"/>
    </xf>
    <xf numFmtId="0" fontId="0" fillId="0" borderId="154" xfId="0" applyBorder="1"/>
    <xf numFmtId="0" fontId="0" fillId="0" borderId="134" xfId="0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9" xfId="0" applyBorder="1"/>
    <xf numFmtId="0" fontId="0" fillId="8" borderId="106" xfId="0" applyFill="1" applyBorder="1" applyAlignment="1">
      <alignment horizontal="center"/>
    </xf>
    <xf numFmtId="0" fontId="0" fillId="10" borderId="106" xfId="0" applyFill="1" applyBorder="1" applyAlignment="1">
      <alignment horizontal="center"/>
    </xf>
    <xf numFmtId="0" fontId="0" fillId="10" borderId="107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11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1" borderId="110" xfId="0" applyFill="1" applyBorder="1" applyAlignment="1">
      <alignment horizontal="center"/>
    </xf>
    <xf numFmtId="0" fontId="0" fillId="13" borderId="110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3" borderId="114" xfId="0" applyFill="1" applyBorder="1" applyAlignment="1">
      <alignment horizontal="center"/>
    </xf>
    <xf numFmtId="0" fontId="0" fillId="13" borderId="115" xfId="0" applyFill="1" applyBorder="1" applyAlignment="1">
      <alignment horizontal="center"/>
    </xf>
    <xf numFmtId="0" fontId="0" fillId="14" borderId="115" xfId="0" applyFill="1" applyBorder="1" applyAlignment="1">
      <alignment horizontal="center"/>
    </xf>
    <xf numFmtId="4" fontId="0" fillId="0" borderId="155" xfId="0" applyNumberFormat="1" applyBorder="1"/>
    <xf numFmtId="4" fontId="17" fillId="0" borderId="156" xfId="0" applyNumberFormat="1" applyFont="1" applyBorder="1"/>
    <xf numFmtId="4" fontId="0" fillId="0" borderId="156" xfId="0" applyNumberFormat="1" applyBorder="1"/>
    <xf numFmtId="4" fontId="0" fillId="0" borderId="157" xfId="0" applyNumberFormat="1" applyBorder="1"/>
    <xf numFmtId="4" fontId="0" fillId="0" borderId="158" xfId="0" applyNumberFormat="1" applyBorder="1"/>
    <xf numFmtId="0" fontId="3" fillId="0" borderId="11" xfId="0" applyFont="1" applyBorder="1"/>
    <xf numFmtId="0" fontId="0" fillId="32" borderId="159" xfId="0" applyFill="1" applyBorder="1" applyAlignment="1">
      <alignment horizontal="center"/>
    </xf>
    <xf numFmtId="0" fontId="0" fillId="32" borderId="160" xfId="0" applyFill="1" applyBorder="1" applyAlignment="1">
      <alignment horizontal="center"/>
    </xf>
    <xf numFmtId="168" fontId="3" fillId="0" borderId="137" xfId="0" applyNumberFormat="1" applyFont="1" applyBorder="1"/>
    <xf numFmtId="168" fontId="0" fillId="0" borderId="137" xfId="0" applyNumberFormat="1" applyBorder="1"/>
    <xf numFmtId="168" fontId="0" fillId="0" borderId="138" xfId="0" applyNumberFormat="1" applyBorder="1"/>
    <xf numFmtId="168" fontId="0" fillId="0" borderId="122" xfId="0" applyNumberFormat="1" applyBorder="1" applyAlignment="1">
      <alignment horizontal="center"/>
    </xf>
    <xf numFmtId="168" fontId="0" fillId="0" borderId="124" xfId="0" applyNumberFormat="1" applyBorder="1" applyAlignment="1">
      <alignment horizontal="center"/>
    </xf>
    <xf numFmtId="1" fontId="27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left" vertical="center"/>
    </xf>
    <xf numFmtId="1" fontId="28" fillId="0" borderId="0" xfId="0" applyNumberFormat="1" applyFont="1" applyAlignment="1">
      <alignment horizontal="center" vertical="center"/>
    </xf>
    <xf numFmtId="1" fontId="3" fillId="0" borderId="29" xfId="0" applyNumberFormat="1" applyFont="1" applyBorder="1" applyAlignment="1">
      <alignment horizontal="left" vertical="center"/>
    </xf>
    <xf numFmtId="1" fontId="0" fillId="0" borderId="29" xfId="0" applyNumberFormat="1" applyBorder="1" applyAlignment="1">
      <alignment vertical="center"/>
    </xf>
    <xf numFmtId="0" fontId="34" fillId="0" borderId="0" xfId="0" applyFont="1"/>
    <xf numFmtId="0" fontId="0" fillId="20" borderId="8" xfId="0" applyFill="1" applyBorder="1"/>
    <xf numFmtId="1" fontId="9" fillId="0" borderId="0" xfId="2" applyNumberFormat="1" applyFont="1"/>
    <xf numFmtId="168" fontId="0" fillId="0" borderId="0" xfId="0" applyNumberFormat="1"/>
    <xf numFmtId="10" fontId="3" fillId="0" borderId="0" xfId="0" applyNumberFormat="1" applyFont="1" applyAlignment="1">
      <alignment horizontal="center"/>
    </xf>
    <xf numFmtId="10" fontId="0" fillId="0" borderId="0" xfId="0" applyNumberFormat="1" applyAlignment="1">
      <alignment horizontal="left"/>
    </xf>
    <xf numFmtId="10" fontId="3" fillId="0" borderId="0" xfId="0" applyNumberFormat="1" applyFont="1" applyAlignment="1">
      <alignment horizontal="left"/>
    </xf>
    <xf numFmtId="168" fontId="0" fillId="0" borderId="0" xfId="0" applyNumberFormat="1" applyAlignment="1">
      <alignment horizontal="left"/>
    </xf>
    <xf numFmtId="0" fontId="0" fillId="9" borderId="155" xfId="0" applyFill="1" applyBorder="1" applyAlignment="1">
      <alignment horizontal="center"/>
    </xf>
    <xf numFmtId="0" fontId="0" fillId="9" borderId="142" xfId="0" applyFill="1" applyBorder="1" applyAlignment="1">
      <alignment horizontal="center"/>
    </xf>
    <xf numFmtId="0" fontId="0" fillId="9" borderId="162" xfId="0" applyFill="1" applyBorder="1" applyAlignment="1">
      <alignment horizontal="center"/>
    </xf>
    <xf numFmtId="0" fontId="0" fillId="9" borderId="156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63" xfId="0" applyFill="1" applyBorder="1" applyAlignment="1">
      <alignment horizontal="center"/>
    </xf>
    <xf numFmtId="0" fontId="0" fillId="9" borderId="164" xfId="0" applyFill="1" applyBorder="1" applyAlignment="1">
      <alignment horizontal="center"/>
    </xf>
    <xf numFmtId="0" fontId="0" fillId="9" borderId="165" xfId="0" applyFill="1" applyBorder="1" applyAlignment="1">
      <alignment horizontal="center"/>
    </xf>
    <xf numFmtId="0" fontId="0" fillId="9" borderId="166" xfId="0" applyFill="1" applyBorder="1" applyAlignment="1">
      <alignment horizontal="center"/>
    </xf>
    <xf numFmtId="168" fontId="0" fillId="9" borderId="155" xfId="0" applyNumberFormat="1" applyFill="1" applyBorder="1" applyAlignment="1">
      <alignment horizontal="center"/>
    </xf>
    <xf numFmtId="168" fontId="0" fillId="9" borderId="162" xfId="0" applyNumberFormat="1" applyFill="1" applyBorder="1" applyAlignment="1">
      <alignment horizontal="center"/>
    </xf>
    <xf numFmtId="168" fontId="0" fillId="8" borderId="106" xfId="0" applyNumberFormat="1" applyFill="1" applyBorder="1" applyAlignment="1">
      <alignment horizontal="center"/>
    </xf>
    <xf numFmtId="168" fontId="0" fillId="10" borderId="106" xfId="0" applyNumberFormat="1" applyFill="1" applyBorder="1" applyAlignment="1">
      <alignment horizontal="center"/>
    </xf>
    <xf numFmtId="168" fontId="0" fillId="10" borderId="107" xfId="0" applyNumberFormat="1" applyFill="1" applyBorder="1" applyAlignment="1">
      <alignment horizontal="center"/>
    </xf>
    <xf numFmtId="168" fontId="0" fillId="9" borderId="156" xfId="0" applyNumberFormat="1" applyFill="1" applyBorder="1" applyAlignment="1">
      <alignment horizontal="center"/>
    </xf>
    <xf numFmtId="168" fontId="0" fillId="9" borderId="2" xfId="0" applyNumberFormat="1" applyFill="1" applyBorder="1" applyAlignment="1">
      <alignment horizontal="center"/>
    </xf>
    <xf numFmtId="168" fontId="0" fillId="9" borderId="163" xfId="0" applyNumberFormat="1" applyFill="1" applyBorder="1" applyAlignment="1">
      <alignment horizontal="center"/>
    </xf>
    <xf numFmtId="168" fontId="0" fillId="8" borderId="1" xfId="0" applyNumberFormat="1" applyFill="1" applyBorder="1" applyAlignment="1">
      <alignment horizontal="center"/>
    </xf>
    <xf numFmtId="168" fontId="0" fillId="10" borderId="1" xfId="0" applyNumberFormat="1" applyFill="1" applyBorder="1" applyAlignment="1">
      <alignment horizontal="center"/>
    </xf>
    <xf numFmtId="168" fontId="0" fillId="10" borderId="111" xfId="0" applyNumberFormat="1" applyFill="1" applyBorder="1" applyAlignment="1">
      <alignment horizontal="center"/>
    </xf>
    <xf numFmtId="168" fontId="0" fillId="9" borderId="164" xfId="0" applyNumberFormat="1" applyFill="1" applyBorder="1" applyAlignment="1">
      <alignment horizontal="center"/>
    </xf>
    <xf numFmtId="168" fontId="0" fillId="9" borderId="165" xfId="0" applyNumberFormat="1" applyFill="1" applyBorder="1" applyAlignment="1">
      <alignment horizontal="center"/>
    </xf>
    <xf numFmtId="168" fontId="0" fillId="9" borderId="166" xfId="0" applyNumberFormat="1" applyFill="1" applyBorder="1" applyAlignment="1">
      <alignment horizontal="center"/>
    </xf>
    <xf numFmtId="168" fontId="0" fillId="11" borderId="110" xfId="0" applyNumberFormat="1" applyFill="1" applyBorder="1" applyAlignment="1">
      <alignment horizontal="center"/>
    </xf>
    <xf numFmtId="168" fontId="0" fillId="11" borderId="1" xfId="0" applyNumberFormat="1" applyFill="1" applyBorder="1" applyAlignment="1">
      <alignment horizontal="center"/>
    </xf>
    <xf numFmtId="168" fontId="0" fillId="12" borderId="1" xfId="0" applyNumberFormat="1" applyFill="1" applyBorder="1" applyAlignment="1">
      <alignment horizontal="center"/>
    </xf>
    <xf numFmtId="168" fontId="0" fillId="13" borderId="110" xfId="0" applyNumberFormat="1" applyFill="1" applyBorder="1" applyAlignment="1">
      <alignment horizontal="center"/>
    </xf>
    <xf numFmtId="168" fontId="0" fillId="13" borderId="1" xfId="0" applyNumberFormat="1" applyFill="1" applyBorder="1" applyAlignment="1">
      <alignment horizontal="center"/>
    </xf>
    <xf numFmtId="168" fontId="0" fillId="14" borderId="1" xfId="0" applyNumberFormat="1" applyFill="1" applyBorder="1" applyAlignment="1">
      <alignment horizontal="center"/>
    </xf>
    <xf numFmtId="168" fontId="0" fillId="13" borderId="114" xfId="0" applyNumberFormat="1" applyFill="1" applyBorder="1" applyAlignment="1">
      <alignment horizontal="center"/>
    </xf>
    <xf numFmtId="168" fontId="0" fillId="13" borderId="115" xfId="0" applyNumberFormat="1" applyFill="1" applyBorder="1" applyAlignment="1">
      <alignment horizontal="center"/>
    </xf>
    <xf numFmtId="168" fontId="0" fillId="14" borderId="115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1" xfId="0" applyFill="1" applyBorder="1" applyAlignment="1">
      <alignment horizontal="center"/>
    </xf>
    <xf numFmtId="168" fontId="0" fillId="5" borderId="1" xfId="0" applyNumberFormat="1" applyFill="1" applyBorder="1" applyAlignment="1">
      <alignment horizontal="center"/>
    </xf>
    <xf numFmtId="168" fontId="0" fillId="5" borderId="111" xfId="0" applyNumberFormat="1" applyFill="1" applyBorder="1" applyAlignment="1">
      <alignment horizontal="center"/>
    </xf>
    <xf numFmtId="170" fontId="0" fillId="0" borderId="167" xfId="0" applyNumberFormat="1" applyBorder="1" applyAlignment="1">
      <alignment horizontal="center"/>
    </xf>
    <xf numFmtId="170" fontId="0" fillId="0" borderId="168" xfId="0" applyNumberFormat="1" applyBorder="1" applyAlignment="1">
      <alignment horizontal="center"/>
    </xf>
    <xf numFmtId="170" fontId="0" fillId="0" borderId="169" xfId="0" applyNumberFormat="1" applyBorder="1" applyAlignment="1">
      <alignment horizontal="center"/>
    </xf>
    <xf numFmtId="170" fontId="17" fillId="0" borderId="170" xfId="0" applyNumberFormat="1" applyFont="1" applyBorder="1" applyAlignment="1">
      <alignment horizontal="center"/>
    </xf>
    <xf numFmtId="170" fontId="17" fillId="0" borderId="96" xfId="0" applyNumberFormat="1" applyFont="1" applyBorder="1" applyAlignment="1">
      <alignment horizontal="center"/>
    </xf>
    <xf numFmtId="170" fontId="17" fillId="0" borderId="171" xfId="0" applyNumberFormat="1" applyFont="1" applyBorder="1" applyAlignment="1">
      <alignment horizontal="center"/>
    </xf>
    <xf numFmtId="170" fontId="0" fillId="0" borderId="170" xfId="0" applyNumberFormat="1" applyBorder="1" applyAlignment="1">
      <alignment horizontal="center"/>
    </xf>
    <xf numFmtId="170" fontId="0" fillId="0" borderId="96" xfId="0" applyNumberFormat="1" applyBorder="1" applyAlignment="1">
      <alignment horizontal="center"/>
    </xf>
    <xf numFmtId="170" fontId="0" fillId="0" borderId="171" xfId="0" applyNumberFormat="1" applyBorder="1" applyAlignment="1">
      <alignment horizontal="center"/>
    </xf>
    <xf numFmtId="170" fontId="0" fillId="0" borderId="172" xfId="0" applyNumberFormat="1" applyBorder="1" applyAlignment="1">
      <alignment horizontal="center"/>
    </xf>
    <xf numFmtId="170" fontId="0" fillId="0" borderId="173" xfId="0" applyNumberFormat="1" applyBorder="1" applyAlignment="1">
      <alignment horizontal="center"/>
    </xf>
    <xf numFmtId="170" fontId="0" fillId="0" borderId="174" xfId="0" applyNumberFormat="1" applyBorder="1" applyAlignment="1">
      <alignment horizontal="center"/>
    </xf>
    <xf numFmtId="4" fontId="0" fillId="0" borderId="143" xfId="0" applyNumberFormat="1" applyBorder="1"/>
    <xf numFmtId="4" fontId="17" fillId="0" borderId="145" xfId="0" applyNumberFormat="1" applyFont="1" applyBorder="1"/>
    <xf numFmtId="4" fontId="0" fillId="0" borderId="145" xfId="0" applyNumberFormat="1" applyBorder="1"/>
    <xf numFmtId="4" fontId="0" fillId="0" borderId="128" xfId="0" applyNumberFormat="1" applyBorder="1"/>
    <xf numFmtId="4" fontId="0" fillId="0" borderId="152" xfId="0" applyNumberFormat="1" applyBorder="1"/>
    <xf numFmtId="0" fontId="0" fillId="20" borderId="10" xfId="0" applyFill="1" applyBorder="1"/>
    <xf numFmtId="0" fontId="0" fillId="20" borderId="161" xfId="0" applyFill="1" applyBorder="1"/>
    <xf numFmtId="170" fontId="0" fillId="0" borderId="155" xfId="0" applyNumberFormat="1" applyBorder="1" applyAlignment="1">
      <alignment horizontal="center"/>
    </xf>
    <xf numFmtId="170" fontId="0" fillId="0" borderId="142" xfId="0" applyNumberFormat="1" applyBorder="1" applyAlignment="1">
      <alignment horizontal="center"/>
    </xf>
    <xf numFmtId="170" fontId="0" fillId="0" borderId="143" xfId="0" applyNumberFormat="1" applyBorder="1" applyAlignment="1">
      <alignment horizontal="center"/>
    </xf>
    <xf numFmtId="170" fontId="17" fillId="0" borderId="156" xfId="0" applyNumberFormat="1" applyFont="1" applyBorder="1" applyAlignment="1">
      <alignment horizontal="center"/>
    </xf>
    <xf numFmtId="170" fontId="17" fillId="0" borderId="2" xfId="0" applyNumberFormat="1" applyFont="1" applyBorder="1" applyAlignment="1">
      <alignment horizontal="center"/>
    </xf>
    <xf numFmtId="170" fontId="17" fillId="0" borderId="145" xfId="0" applyNumberFormat="1" applyFont="1" applyBorder="1" applyAlignment="1">
      <alignment horizontal="center"/>
    </xf>
    <xf numFmtId="170" fontId="0" fillId="0" borderId="156" xfId="0" applyNumberFormat="1" applyBorder="1" applyAlignment="1">
      <alignment horizontal="center"/>
    </xf>
    <xf numFmtId="170" fontId="0" fillId="0" borderId="157" xfId="0" applyNumberFormat="1" applyBorder="1" applyAlignment="1">
      <alignment horizontal="center"/>
    </xf>
    <xf numFmtId="3" fontId="0" fillId="0" borderId="3" xfId="0" applyNumberFormat="1" applyBorder="1"/>
    <xf numFmtId="3" fontId="0" fillId="0" borderId="2" xfId="0" applyNumberFormat="1" applyBorder="1"/>
    <xf numFmtId="0" fontId="0" fillId="0" borderId="2" xfId="0" applyBorder="1"/>
    <xf numFmtId="3" fontId="0" fillId="0" borderId="3" xfId="0" applyNumberFormat="1" applyBorder="1" applyAlignment="1">
      <alignment horizontal="center"/>
    </xf>
    <xf numFmtId="3" fontId="18" fillId="0" borderId="3" xfId="0" applyNumberFormat="1" applyFont="1" applyBorder="1" applyAlignment="1">
      <alignment horizontal="center"/>
    </xf>
    <xf numFmtId="10" fontId="35" fillId="0" borderId="0" xfId="0" applyNumberFormat="1" applyFont="1" applyAlignment="1">
      <alignment horizontal="left"/>
    </xf>
    <xf numFmtId="0" fontId="35" fillId="0" borderId="0" xfId="0" applyFont="1"/>
    <xf numFmtId="10" fontId="35" fillId="0" borderId="0" xfId="0" applyNumberFormat="1" applyFont="1"/>
    <xf numFmtId="10" fontId="32" fillId="0" borderId="0" xfId="0" applyNumberFormat="1" applyFont="1" applyAlignment="1">
      <alignment horizontal="left"/>
    </xf>
    <xf numFmtId="10" fontId="32" fillId="0" borderId="0" xfId="0" applyNumberFormat="1" applyFont="1" applyAlignment="1">
      <alignment horizontal="center"/>
    </xf>
    <xf numFmtId="168" fontId="35" fillId="0" borderId="0" xfId="0" applyNumberFormat="1" applyFont="1" applyAlignment="1">
      <alignment horizontal="left"/>
    </xf>
    <xf numFmtId="168" fontId="35" fillId="0" borderId="0" xfId="0" applyNumberFormat="1" applyFont="1"/>
    <xf numFmtId="166" fontId="35" fillId="0" borderId="0" xfId="0" applyNumberFormat="1" applyFont="1"/>
    <xf numFmtId="0" fontId="3" fillId="0" borderId="0" xfId="0" applyFont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115" xfId="0" applyFill="1" applyBorder="1" applyAlignment="1">
      <alignment horizontal="center"/>
    </xf>
    <xf numFmtId="0" fontId="0" fillId="16" borderId="111" xfId="0" applyFill="1" applyBorder="1" applyAlignment="1">
      <alignment horizontal="center"/>
    </xf>
    <xf numFmtId="0" fontId="0" fillId="16" borderId="116" xfId="0" applyFill="1" applyBorder="1" applyAlignment="1">
      <alignment horizontal="center"/>
    </xf>
    <xf numFmtId="168" fontId="0" fillId="9" borderId="142" xfId="0" applyNumberFormat="1" applyFill="1" applyBorder="1" applyAlignment="1">
      <alignment horizontal="center"/>
    </xf>
    <xf numFmtId="168" fontId="0" fillId="16" borderId="1" xfId="0" applyNumberFormat="1" applyFill="1" applyBorder="1" applyAlignment="1">
      <alignment horizontal="center"/>
    </xf>
    <xf numFmtId="168" fontId="0" fillId="16" borderId="111" xfId="0" applyNumberFormat="1" applyFill="1" applyBorder="1" applyAlignment="1">
      <alignment horizontal="center"/>
    </xf>
    <xf numFmtId="168" fontId="0" fillId="16" borderId="115" xfId="0" applyNumberFormat="1" applyFill="1" applyBorder="1" applyAlignment="1">
      <alignment horizontal="center"/>
    </xf>
    <xf numFmtId="168" fontId="0" fillId="16" borderId="116" xfId="0" applyNumberFormat="1" applyFill="1" applyBorder="1" applyAlignment="1">
      <alignment horizontal="center"/>
    </xf>
    <xf numFmtId="168" fontId="0" fillId="0" borderId="0" xfId="0" quotePrefix="1" applyNumberFormat="1" applyAlignment="1">
      <alignment horizontal="left"/>
    </xf>
    <xf numFmtId="0" fontId="0" fillId="32" borderId="13" xfId="0" applyFill="1" applyBorder="1" applyAlignment="1">
      <alignment horizontal="center"/>
    </xf>
    <xf numFmtId="168" fontId="0" fillId="0" borderId="123" xfId="0" applyNumberFormat="1" applyBorder="1" applyAlignment="1">
      <alignment horizontal="center"/>
    </xf>
    <xf numFmtId="168" fontId="0" fillId="0" borderId="125" xfId="0" applyNumberFormat="1" applyBorder="1" applyAlignment="1">
      <alignment horizontal="center"/>
    </xf>
    <xf numFmtId="168" fontId="0" fillId="0" borderId="109" xfId="0" applyNumberFormat="1" applyBorder="1" applyAlignment="1">
      <alignment horizontal="center"/>
    </xf>
    <xf numFmtId="168" fontId="0" fillId="0" borderId="131" xfId="0" applyNumberFormat="1" applyBorder="1" applyAlignment="1">
      <alignment horizontal="center"/>
    </xf>
    <xf numFmtId="168" fontId="0" fillId="0" borderId="132" xfId="0" applyNumberFormat="1" applyBorder="1" applyAlignment="1">
      <alignment horizontal="center"/>
    </xf>
    <xf numFmtId="168" fontId="3" fillId="0" borderId="137" xfId="0" quotePrefix="1" applyNumberFormat="1" applyFont="1" applyBorder="1"/>
    <xf numFmtId="168" fontId="0" fillId="0" borderId="176" xfId="0" applyNumberFormat="1" applyBorder="1"/>
    <xf numFmtId="168" fontId="0" fillId="0" borderId="177" xfId="0" applyNumberFormat="1" applyBorder="1"/>
    <xf numFmtId="0" fontId="0" fillId="32" borderId="179" xfId="0" applyFill="1" applyBorder="1" applyAlignment="1">
      <alignment horizontal="center"/>
    </xf>
    <xf numFmtId="170" fontId="0" fillId="0" borderId="180" xfId="0" applyNumberFormat="1" applyBorder="1" applyAlignment="1">
      <alignment horizontal="center"/>
    </xf>
    <xf numFmtId="170" fontId="0" fillId="0" borderId="181" xfId="0" applyNumberFormat="1" applyBorder="1" applyAlignment="1">
      <alignment horizontal="center"/>
    </xf>
    <xf numFmtId="170" fontId="0" fillId="0" borderId="182" xfId="0" applyNumberFormat="1" applyBorder="1" applyAlignment="1">
      <alignment horizontal="center"/>
    </xf>
    <xf numFmtId="170" fontId="0" fillId="0" borderId="183" xfId="0" applyNumberFormat="1" applyBorder="1" applyAlignment="1">
      <alignment horizontal="center"/>
    </xf>
    <xf numFmtId="170" fontId="17" fillId="0" borderId="175" xfId="0" applyNumberFormat="1" applyFont="1" applyBorder="1" applyAlignment="1">
      <alignment horizontal="center"/>
    </xf>
    <xf numFmtId="170" fontId="0" fillId="0" borderId="175" xfId="0" applyNumberFormat="1" applyBorder="1" applyAlignment="1">
      <alignment horizontal="center"/>
    </xf>
    <xf numFmtId="170" fontId="0" fillId="0" borderId="184" xfId="0" applyNumberFormat="1" applyBorder="1" applyAlignment="1">
      <alignment horizontal="center"/>
    </xf>
    <xf numFmtId="0" fontId="0" fillId="32" borderId="178" xfId="0" applyFill="1" applyBorder="1" applyAlignment="1">
      <alignment horizontal="center"/>
    </xf>
    <xf numFmtId="0" fontId="0" fillId="0" borderId="185" xfId="0" applyBorder="1"/>
    <xf numFmtId="0" fontId="0" fillId="0" borderId="134" xfId="0" applyBorder="1"/>
    <xf numFmtId="0" fontId="0" fillId="0" borderId="135" xfId="0" applyBorder="1"/>
    <xf numFmtId="0" fontId="36" fillId="0" borderId="0" xfId="0" applyFont="1"/>
    <xf numFmtId="169" fontId="0" fillId="0" borderId="186" xfId="0" applyNumberFormat="1" applyBorder="1" applyAlignment="1">
      <alignment horizontal="center"/>
    </xf>
    <xf numFmtId="169" fontId="0" fillId="0" borderId="187" xfId="0" applyNumberFormat="1" applyBorder="1" applyAlignment="1">
      <alignment horizontal="center"/>
    </xf>
    <xf numFmtId="169" fontId="0" fillId="0" borderId="188" xfId="0" applyNumberFormat="1" applyBorder="1" applyAlignment="1">
      <alignment horizontal="center"/>
    </xf>
    <xf numFmtId="169" fontId="0" fillId="0" borderId="189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1" fontId="3" fillId="11" borderId="33" xfId="0" applyNumberFormat="1" applyFont="1" applyFill="1" applyBorder="1" applyAlignment="1">
      <alignment horizontal="center" vertical="center"/>
    </xf>
    <xf numFmtId="1" fontId="3" fillId="11" borderId="34" xfId="0" applyNumberFormat="1" applyFont="1" applyFill="1" applyBorder="1" applyAlignment="1">
      <alignment horizontal="center" vertical="center"/>
    </xf>
    <xf numFmtId="1" fontId="3" fillId="11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8" xfId="0" applyFont="1" applyBorder="1" applyAlignment="1">
      <alignment horizontal="center"/>
    </xf>
    <xf numFmtId="9" fontId="9" fillId="0" borderId="153" xfId="2" applyNumberFormat="1" applyFont="1" applyBorder="1" applyAlignment="1">
      <alignment horizontal="center"/>
    </xf>
    <xf numFmtId="0" fontId="0" fillId="8" borderId="195" xfId="0" applyFill="1" applyBorder="1" applyAlignment="1">
      <alignment horizontal="center"/>
    </xf>
    <xf numFmtId="0" fontId="0" fillId="8" borderId="196" xfId="0" applyFill="1" applyBorder="1" applyAlignment="1">
      <alignment horizontal="center"/>
    </xf>
    <xf numFmtId="0" fontId="0" fillId="15" borderId="196" xfId="0" applyFill="1" applyBorder="1" applyAlignment="1">
      <alignment horizontal="center"/>
    </xf>
    <xf numFmtId="0" fontId="0" fillId="15" borderId="197" xfId="0" applyFill="1" applyBorder="1" applyAlignment="1">
      <alignment horizontal="center"/>
    </xf>
    <xf numFmtId="0" fontId="0" fillId="14" borderId="196" xfId="0" applyFill="1" applyBorder="1" applyAlignment="1">
      <alignment horizontal="center"/>
    </xf>
    <xf numFmtId="168" fontId="0" fillId="8" borderId="198" xfId="0" applyNumberFormat="1" applyFill="1" applyBorder="1" applyAlignment="1">
      <alignment horizontal="center"/>
    </xf>
    <xf numFmtId="168" fontId="0" fillId="8" borderId="199" xfId="0" applyNumberFormat="1" applyFill="1" applyBorder="1" applyAlignment="1">
      <alignment horizontal="center"/>
    </xf>
    <xf numFmtId="168" fontId="1" fillId="14" borderId="199" xfId="1" applyNumberFormat="1" applyFont="1" applyFill="1" applyBorder="1" applyAlignment="1">
      <alignment horizontal="center"/>
    </xf>
    <xf numFmtId="168" fontId="1" fillId="15" borderId="199" xfId="1" applyNumberFormat="1" applyFont="1" applyFill="1" applyBorder="1" applyAlignment="1">
      <alignment horizontal="center"/>
    </xf>
    <xf numFmtId="168" fontId="1" fillId="15" borderId="200" xfId="1" applyNumberFormat="1" applyFont="1" applyFill="1" applyBorder="1" applyAlignment="1">
      <alignment horizontal="center"/>
    </xf>
    <xf numFmtId="0" fontId="3" fillId="0" borderId="201" xfId="0" applyFont="1" applyBorder="1" applyAlignment="1">
      <alignment horizontal="center"/>
    </xf>
    <xf numFmtId="0" fontId="3" fillId="0" borderId="204" xfId="0" applyFont="1" applyBorder="1"/>
    <xf numFmtId="0" fontId="0" fillId="34" borderId="205" xfId="0" applyFill="1" applyBorder="1"/>
    <xf numFmtId="0" fontId="0" fillId="14" borderId="205" xfId="0" applyFill="1" applyBorder="1"/>
    <xf numFmtId="0" fontId="0" fillId="14" borderId="206" xfId="0" applyFill="1" applyBorder="1"/>
    <xf numFmtId="168" fontId="0" fillId="34" borderId="189" xfId="0" applyNumberFormat="1" applyFill="1" applyBorder="1" applyAlignment="1">
      <alignment horizontal="center"/>
    </xf>
    <xf numFmtId="168" fontId="0" fillId="14" borderId="189" xfId="0" applyNumberFormat="1" applyFill="1" applyBorder="1" applyAlignment="1">
      <alignment horizontal="center"/>
    </xf>
    <xf numFmtId="168" fontId="0" fillId="14" borderId="203" xfId="0" applyNumberFormat="1" applyFill="1" applyBorder="1" applyAlignment="1">
      <alignment horizontal="center"/>
    </xf>
    <xf numFmtId="168" fontId="0" fillId="5" borderId="142" xfId="0" applyNumberFormat="1" applyFill="1" applyBorder="1"/>
    <xf numFmtId="168" fontId="0" fillId="5" borderId="143" xfId="0" applyNumberFormat="1" applyFill="1" applyBorder="1"/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0" fontId="0" fillId="0" borderId="0" xfId="0" applyNumberFormat="1" applyProtection="1">
      <protection locked="0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center"/>
    </xf>
    <xf numFmtId="0" fontId="4" fillId="35" borderId="0" xfId="0" applyFont="1" applyFill="1" applyAlignment="1">
      <alignment horizontal="center" vertical="center" wrapText="1"/>
    </xf>
    <xf numFmtId="0" fontId="33" fillId="0" borderId="0" xfId="7" applyProtection="1">
      <protection locked="0"/>
    </xf>
    <xf numFmtId="9" fontId="0" fillId="0" borderId="0" xfId="0" applyNumberFormat="1" applyAlignment="1" applyProtection="1">
      <alignment horizontal="right"/>
      <protection locked="0"/>
    </xf>
    <xf numFmtId="0" fontId="0" fillId="0" borderId="25" xfId="0" applyBorder="1" applyProtection="1">
      <protection locked="0"/>
    </xf>
    <xf numFmtId="168" fontId="0" fillId="0" borderId="0" xfId="0" quotePrefix="1" applyNumberFormat="1" applyProtection="1">
      <protection locked="0"/>
    </xf>
    <xf numFmtId="2" fontId="0" fillId="0" borderId="0" xfId="0" applyNumberFormat="1" applyProtection="1">
      <protection locked="0"/>
    </xf>
    <xf numFmtId="170" fontId="0" fillId="0" borderId="0" xfId="0" applyNumberFormat="1" applyProtection="1">
      <protection locked="0"/>
    </xf>
    <xf numFmtId="0" fontId="3" fillId="0" borderId="33" xfId="0" applyFont="1" applyBorder="1"/>
    <xf numFmtId="0" fontId="3" fillId="0" borderId="34" xfId="0" applyFont="1" applyBorder="1"/>
    <xf numFmtId="0" fontId="0" fillId="0" borderId="34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33" borderId="5" xfId="0" applyFont="1" applyFill="1" applyBorder="1" applyAlignment="1">
      <alignment horizontal="center" vertical="center"/>
    </xf>
    <xf numFmtId="4" fontId="2" fillId="33" borderId="5" xfId="0" applyNumberFormat="1" applyFont="1" applyFill="1" applyBorder="1" applyAlignment="1">
      <alignment horizontal="center" vertical="center"/>
    </xf>
    <xf numFmtId="0" fontId="2" fillId="33" borderId="6" xfId="0" applyFont="1" applyFill="1" applyBorder="1" applyAlignment="1">
      <alignment horizontal="center" vertical="center"/>
    </xf>
    <xf numFmtId="2" fontId="2" fillId="33" borderId="5" xfId="0" applyNumberFormat="1" applyFont="1" applyFill="1" applyBorder="1" applyAlignment="1">
      <alignment horizontal="center" vertical="center"/>
    </xf>
    <xf numFmtId="170" fontId="2" fillId="33" borderId="147" xfId="0" applyNumberFormat="1" applyFont="1" applyFill="1" applyBorder="1" applyAlignment="1">
      <alignment horizontal="center" vertical="center"/>
    </xf>
    <xf numFmtId="3" fontId="3" fillId="0" borderId="147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3" fontId="3" fillId="0" borderId="5" xfId="0" applyNumberFormat="1" applyFont="1" applyBorder="1" applyAlignment="1">
      <alignment horizontal="center" vertical="center"/>
    </xf>
    <xf numFmtId="4" fontId="3" fillId="0" borderId="147" xfId="0" applyNumberFormat="1" applyFont="1" applyBorder="1" applyAlignment="1">
      <alignment horizontal="center" vertical="center"/>
    </xf>
    <xf numFmtId="0" fontId="3" fillId="2" borderId="147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0" fontId="2" fillId="18" borderId="5" xfId="0" applyNumberFormat="1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 wrapText="1"/>
    </xf>
    <xf numFmtId="0" fontId="32" fillId="34" borderId="5" xfId="0" applyFont="1" applyFill="1" applyBorder="1" applyAlignment="1">
      <alignment horizontal="center" vertical="center"/>
    </xf>
    <xf numFmtId="0" fontId="16" fillId="7" borderId="5" xfId="0" applyFont="1" applyFill="1" applyBorder="1" applyAlignment="1">
      <alignment horizontal="center" vertical="center"/>
    </xf>
    <xf numFmtId="9" fontId="32" fillId="8" borderId="148" xfId="0" applyNumberFormat="1" applyFont="1" applyFill="1" applyBorder="1" applyAlignment="1">
      <alignment horizontal="center" vertical="center"/>
    </xf>
    <xf numFmtId="0" fontId="32" fillId="15" borderId="5" xfId="0" applyFont="1" applyFill="1" applyBorder="1" applyAlignment="1">
      <alignment horizontal="center" vertical="center"/>
    </xf>
    <xf numFmtId="0" fontId="32" fillId="15" borderId="6" xfId="0" applyFont="1" applyFill="1" applyBorder="1" applyAlignment="1">
      <alignment horizontal="center" vertical="center"/>
    </xf>
    <xf numFmtId="0" fontId="32" fillId="15" borderId="149" xfId="0" applyFont="1" applyFill="1" applyBorder="1" applyAlignment="1">
      <alignment horizontal="center" vertical="center"/>
    </xf>
    <xf numFmtId="1" fontId="4" fillId="35" borderId="0" xfId="0" applyNumberFormat="1" applyFont="1" applyFill="1" applyAlignment="1">
      <alignment vertical="center" wrapText="1"/>
    </xf>
    <xf numFmtId="0" fontId="4" fillId="35" borderId="0" xfId="0" applyFont="1" applyFill="1" applyAlignment="1">
      <alignment vertical="center" wrapText="1"/>
    </xf>
    <xf numFmtId="2" fontId="4" fillId="35" borderId="0" xfId="0" applyNumberFormat="1" applyFont="1" applyFill="1" applyAlignment="1">
      <alignment horizontal="center" vertical="center" wrapText="1"/>
    </xf>
    <xf numFmtId="170" fontId="4" fillId="35" borderId="0" xfId="0" applyNumberFormat="1" applyFont="1" applyFill="1" applyAlignment="1">
      <alignment horizontal="center" vertical="center" wrapText="1"/>
    </xf>
    <xf numFmtId="3" fontId="4" fillId="19" borderId="0" xfId="0" applyNumberFormat="1" applyFont="1" applyFill="1" applyAlignment="1">
      <alignment horizontal="center" vertical="center" wrapText="1"/>
    </xf>
    <xf numFmtId="0" fontId="4" fillId="19" borderId="0" xfId="0" applyFont="1" applyFill="1" applyAlignment="1">
      <alignment horizontal="center" vertical="center" wrapText="1"/>
    </xf>
    <xf numFmtId="4" fontId="4" fillId="19" borderId="0" xfId="0" applyNumberFormat="1" applyFont="1" applyFill="1" applyAlignment="1">
      <alignment horizontal="center" vertical="center" wrapText="1"/>
    </xf>
    <xf numFmtId="168" fontId="32" fillId="0" borderId="0" xfId="0" applyNumberFormat="1" applyFont="1" applyAlignment="1">
      <alignment horizontal="left"/>
    </xf>
    <xf numFmtId="0" fontId="0" fillId="2" borderId="1" xfId="0" applyFill="1" applyBorder="1"/>
    <xf numFmtId="4" fontId="0" fillId="0" borderId="1" xfId="0" applyNumberFormat="1" applyBorder="1"/>
    <xf numFmtId="10" fontId="0" fillId="0" borderId="1" xfId="0" applyNumberFormat="1" applyBorder="1"/>
    <xf numFmtId="171" fontId="37" fillId="0" borderId="0" xfId="0" applyNumberFormat="1" applyFont="1" applyAlignment="1">
      <alignment horizontal="left"/>
    </xf>
    <xf numFmtId="171" fontId="37" fillId="0" borderId="0" xfId="0" applyNumberFormat="1" applyFont="1" applyAlignment="1">
      <alignment horizontal="center"/>
    </xf>
    <xf numFmtId="0" fontId="38" fillId="16" borderId="0" xfId="0" applyFont="1" applyFill="1" applyAlignment="1">
      <alignment horizontal="left"/>
    </xf>
    <xf numFmtId="0" fontId="43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2" fontId="3" fillId="0" borderId="122" xfId="0" applyNumberFormat="1" applyFont="1" applyBorder="1"/>
    <xf numFmtId="2" fontId="3" fillId="0" borderId="122" xfId="0" applyNumberFormat="1" applyFont="1" applyBorder="1" applyAlignment="1">
      <alignment horizontal="center"/>
    </xf>
    <xf numFmtId="2" fontId="0" fillId="0" borderId="122" xfId="0" applyNumberFormat="1" applyBorder="1" applyAlignment="1">
      <alignment horizontal="center"/>
    </xf>
    <xf numFmtId="0" fontId="4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3" fillId="0" borderId="0" xfId="0" applyNumberFormat="1" applyFont="1"/>
    <xf numFmtId="2" fontId="3" fillId="0" borderId="0" xfId="0" applyNumberFormat="1" applyFont="1" applyAlignment="1">
      <alignment horizontal="center"/>
    </xf>
    <xf numFmtId="0" fontId="43" fillId="32" borderId="0" xfId="0" applyFont="1" applyFill="1" applyAlignment="1">
      <alignment horizontal="left"/>
    </xf>
    <xf numFmtId="0" fontId="43" fillId="32" borderId="0" xfId="0" applyFont="1" applyFill="1" applyAlignment="1">
      <alignment horizontal="center"/>
    </xf>
    <xf numFmtId="0" fontId="43" fillId="0" borderId="0" xfId="0" applyFont="1"/>
    <xf numFmtId="0" fontId="0" fillId="0" borderId="220" xfId="0" applyBorder="1"/>
    <xf numFmtId="0" fontId="0" fillId="0" borderId="218" xfId="0" applyBorder="1"/>
    <xf numFmtId="0" fontId="33" fillId="0" borderId="0" xfId="7" applyBorder="1" applyProtection="1">
      <protection locked="0"/>
    </xf>
    <xf numFmtId="3" fontId="0" fillId="0" borderId="0" xfId="0" applyNumberFormat="1" applyAlignment="1" applyProtection="1">
      <alignment horizontal="right" indent="1"/>
      <protection locked="0"/>
    </xf>
    <xf numFmtId="49" fontId="35" fillId="0" borderId="0" xfId="0" applyNumberFormat="1" applyFont="1" applyProtection="1">
      <protection locked="0"/>
    </xf>
    <xf numFmtId="14" fontId="0" fillId="0" borderId="0" xfId="0" applyNumberFormat="1" applyProtection="1">
      <protection locked="0"/>
    </xf>
    <xf numFmtId="0" fontId="3" fillId="32" borderId="0" xfId="0" applyFont="1" applyFill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9" fontId="3" fillId="0" borderId="2" xfId="1" applyFont="1" applyBorder="1" applyAlignment="1">
      <alignment horizontal="center"/>
    </xf>
    <xf numFmtId="9" fontId="3" fillId="0" borderId="145" xfId="1" applyFont="1" applyBorder="1" applyAlignment="1">
      <alignment horizontal="center"/>
    </xf>
    <xf numFmtId="0" fontId="3" fillId="32" borderId="155" xfId="0" applyFont="1" applyFill="1" applyBorder="1" applyAlignment="1">
      <alignment horizontal="center"/>
    </xf>
    <xf numFmtId="0" fontId="0" fillId="0" borderId="142" xfId="0" applyBorder="1"/>
    <xf numFmtId="0" fontId="3" fillId="0" borderId="142" xfId="0" quotePrefix="1" applyFont="1" applyBorder="1" applyAlignment="1">
      <alignment wrapText="1"/>
    </xf>
    <xf numFmtId="168" fontId="3" fillId="0" borderId="142" xfId="0" applyNumberFormat="1" applyFont="1" applyBorder="1" applyAlignment="1">
      <alignment horizontal="center"/>
    </xf>
    <xf numFmtId="9" fontId="3" fillId="0" borderId="142" xfId="1" applyFont="1" applyBorder="1" applyAlignment="1">
      <alignment horizontal="center"/>
    </xf>
    <xf numFmtId="9" fontId="3" fillId="0" borderId="143" xfId="1" applyFont="1" applyBorder="1" applyAlignment="1">
      <alignment horizontal="center"/>
    </xf>
    <xf numFmtId="0" fontId="0" fillId="0" borderId="156" xfId="0" applyBorder="1"/>
    <xf numFmtId="0" fontId="3" fillId="0" borderId="2" xfId="0" quotePrefix="1" applyFont="1" applyBorder="1" applyAlignment="1">
      <alignment wrapText="1"/>
    </xf>
    <xf numFmtId="4" fontId="0" fillId="0" borderId="2" xfId="0" applyNumberFormat="1" applyBorder="1"/>
    <xf numFmtId="0" fontId="0" fillId="0" borderId="2" xfId="0" quotePrefix="1" applyBorder="1"/>
    <xf numFmtId="168" fontId="3" fillId="0" borderId="145" xfId="1" applyNumberFormat="1" applyFont="1" applyBorder="1" applyAlignment="1">
      <alignment horizontal="center"/>
    </xf>
    <xf numFmtId="0" fontId="16" fillId="0" borderId="157" xfId="0" applyFont="1" applyBorder="1" applyAlignment="1">
      <alignment wrapText="1"/>
    </xf>
    <xf numFmtId="169" fontId="0" fillId="0" borderId="2" xfId="0" applyNumberFormat="1" applyBorder="1" applyAlignment="1">
      <alignment horizontal="center"/>
    </xf>
    <xf numFmtId="169" fontId="1" fillId="0" borderId="2" xfId="1" applyNumberFormat="1" applyFont="1" applyBorder="1" applyAlignment="1">
      <alignment horizontal="center"/>
    </xf>
    <xf numFmtId="169" fontId="1" fillId="0" borderId="145" xfId="1" applyNumberFormat="1" applyFont="1" applyBorder="1" applyAlignment="1">
      <alignment horizontal="center"/>
    </xf>
    <xf numFmtId="169" fontId="1" fillId="0" borderId="106" xfId="1" applyNumberFormat="1" applyFont="1" applyBorder="1" applyAlignment="1">
      <alignment horizontal="center"/>
    </xf>
    <xf numFmtId="169" fontId="1" fillId="0" borderId="107" xfId="1" applyNumberFormat="1" applyFont="1" applyBorder="1" applyAlignment="1">
      <alignment horizontal="center"/>
    </xf>
    <xf numFmtId="169" fontId="1" fillId="0" borderId="115" xfId="1" applyNumberFormat="1" applyFont="1" applyBorder="1" applyAlignment="1">
      <alignment horizontal="center" vertical="center"/>
    </xf>
    <xf numFmtId="169" fontId="1" fillId="0" borderId="116" xfId="1" applyNumberFormat="1" applyFont="1" applyBorder="1" applyAlignment="1">
      <alignment horizontal="center" vertical="center"/>
    </xf>
    <xf numFmtId="4" fontId="3" fillId="0" borderId="0" xfId="0" applyNumberFormat="1" applyFont="1"/>
    <xf numFmtId="0" fontId="0" fillId="32" borderId="74" xfId="0" applyFill="1" applyBorder="1" applyAlignment="1">
      <alignment horizontal="center"/>
    </xf>
    <xf numFmtId="4" fontId="0" fillId="0" borderId="224" xfId="0" applyNumberFormat="1" applyBorder="1"/>
    <xf numFmtId="4" fontId="0" fillId="0" borderId="225" xfId="0" applyNumberFormat="1" applyBorder="1"/>
    <xf numFmtId="170" fontId="0" fillId="0" borderId="224" xfId="0" applyNumberFormat="1" applyBorder="1" applyAlignment="1">
      <alignment horizontal="center"/>
    </xf>
    <xf numFmtId="170" fontId="0" fillId="0" borderId="226" xfId="0" applyNumberFormat="1" applyBorder="1" applyAlignment="1">
      <alignment horizontal="center"/>
    </xf>
    <xf numFmtId="170" fontId="0" fillId="0" borderId="225" xfId="0" applyNumberFormat="1" applyBorder="1" applyAlignment="1">
      <alignment horizontal="center"/>
    </xf>
    <xf numFmtId="170" fontId="0" fillId="0" borderId="227" xfId="0" applyNumberFormat="1" applyBorder="1" applyAlignment="1">
      <alignment horizontal="center"/>
    </xf>
    <xf numFmtId="0" fontId="0" fillId="0" borderId="219" xfId="0" applyBorder="1"/>
    <xf numFmtId="0" fontId="0" fillId="0" borderId="143" xfId="0" applyBorder="1"/>
    <xf numFmtId="0" fontId="0" fillId="0" borderId="145" xfId="0" applyBorder="1"/>
    <xf numFmtId="0" fontId="0" fillId="0" borderId="127" xfId="0" applyBorder="1"/>
    <xf numFmtId="0" fontId="0" fillId="0" borderId="128" xfId="0" applyBorder="1"/>
    <xf numFmtId="0" fontId="43" fillId="0" borderId="74" xfId="0" applyFont="1" applyBorder="1" applyAlignment="1">
      <alignment horizontal="left"/>
    </xf>
    <xf numFmtId="4" fontId="43" fillId="0" borderId="74" xfId="0" applyNumberFormat="1" applyFont="1" applyBorder="1" applyAlignment="1">
      <alignment horizontal="left"/>
    </xf>
    <xf numFmtId="4" fontId="43" fillId="0" borderId="154" xfId="0" applyNumberFormat="1" applyFont="1" applyBorder="1" applyAlignment="1">
      <alignment horizontal="left"/>
    </xf>
    <xf numFmtId="4" fontId="0" fillId="0" borderId="167" xfId="0" applyNumberFormat="1" applyBorder="1" applyAlignment="1">
      <alignment horizontal="left"/>
    </xf>
    <xf numFmtId="4" fontId="0" fillId="0" borderId="180" xfId="0" applyNumberFormat="1" applyBorder="1" applyAlignment="1">
      <alignment horizontal="left"/>
    </xf>
    <xf numFmtId="4" fontId="17" fillId="0" borderId="170" xfId="0" applyNumberFormat="1" applyFont="1" applyBorder="1" applyAlignment="1">
      <alignment horizontal="left"/>
    </xf>
    <xf numFmtId="4" fontId="17" fillId="0" borderId="181" xfId="0" applyNumberFormat="1" applyFont="1" applyBorder="1" applyAlignment="1">
      <alignment horizontal="left"/>
    </xf>
    <xf numFmtId="4" fontId="0" fillId="0" borderId="170" xfId="0" applyNumberFormat="1" applyBorder="1" applyAlignment="1">
      <alignment horizontal="left"/>
    </xf>
    <xf numFmtId="4" fontId="0" fillId="0" borderId="181" xfId="0" quotePrefix="1" applyNumberFormat="1" applyBorder="1" applyAlignment="1">
      <alignment horizontal="left"/>
    </xf>
    <xf numFmtId="0" fontId="0" fillId="20" borderId="8" xfId="0" applyFill="1" applyBorder="1" applyAlignment="1">
      <alignment horizontal="left"/>
    </xf>
    <xf numFmtId="0" fontId="0" fillId="20" borderId="236" xfId="0" applyFill="1" applyBorder="1" applyAlignment="1">
      <alignment horizontal="left"/>
    </xf>
    <xf numFmtId="4" fontId="0" fillId="0" borderId="181" xfId="0" applyNumberFormat="1" applyBorder="1" applyAlignment="1">
      <alignment horizontal="left"/>
    </xf>
    <xf numFmtId="0" fontId="0" fillId="20" borderId="219" xfId="0" applyFill="1" applyBorder="1" applyAlignment="1">
      <alignment horizontal="left"/>
    </xf>
    <xf numFmtId="0" fontId="0" fillId="20" borderId="237" xfId="0" applyFill="1" applyBorder="1" applyAlignment="1">
      <alignment horizontal="left"/>
    </xf>
    <xf numFmtId="0" fontId="0" fillId="0" borderId="170" xfId="0" applyBorder="1" applyAlignment="1">
      <alignment horizontal="left"/>
    </xf>
    <xf numFmtId="0" fontId="0" fillId="0" borderId="181" xfId="0" applyBorder="1" applyAlignment="1">
      <alignment horizontal="left"/>
    </xf>
    <xf numFmtId="0" fontId="0" fillId="20" borderId="218" xfId="0" applyFill="1" applyBorder="1" applyAlignment="1">
      <alignment horizontal="left"/>
    </xf>
    <xf numFmtId="0" fontId="0" fillId="0" borderId="172" xfId="0" applyBorder="1" applyAlignment="1">
      <alignment horizontal="left"/>
    </xf>
    <xf numFmtId="0" fontId="0" fillId="0" borderId="182" xfId="0" applyBorder="1" applyAlignment="1">
      <alignment horizontal="left"/>
    </xf>
    <xf numFmtId="0" fontId="0" fillId="0" borderId="237" xfId="0" applyBorder="1" applyAlignment="1">
      <alignment horizontal="left"/>
    </xf>
    <xf numFmtId="0" fontId="0" fillId="0" borderId="218" xfId="0" applyBorder="1" applyAlignment="1">
      <alignment horizontal="left"/>
    </xf>
    <xf numFmtId="0" fontId="0" fillId="0" borderId="229" xfId="0" applyBorder="1" applyAlignment="1">
      <alignment horizontal="left"/>
    </xf>
    <xf numFmtId="0" fontId="0" fillId="0" borderId="230" xfId="0" applyBorder="1" applyAlignment="1">
      <alignment horizontal="left"/>
    </xf>
    <xf numFmtId="4" fontId="0" fillId="0" borderId="169" xfId="0" applyNumberFormat="1" applyBorder="1" applyAlignment="1">
      <alignment horizontal="left"/>
    </xf>
    <xf numFmtId="4" fontId="17" fillId="0" borderId="171" xfId="0" applyNumberFormat="1" applyFont="1" applyBorder="1" applyAlignment="1">
      <alignment horizontal="left"/>
    </xf>
    <xf numFmtId="4" fontId="0" fillId="0" borderId="171" xfId="0" quotePrefix="1" applyNumberFormat="1" applyBorder="1" applyAlignment="1">
      <alignment horizontal="left"/>
    </xf>
    <xf numFmtId="4" fontId="0" fillId="0" borderId="172" xfId="0" applyNumberFormat="1" applyBorder="1" applyAlignment="1">
      <alignment horizontal="left"/>
    </xf>
    <xf numFmtId="4" fontId="0" fillId="0" borderId="182" xfId="0" quotePrefix="1" applyNumberFormat="1" applyBorder="1" applyAlignment="1">
      <alignment horizontal="left"/>
    </xf>
    <xf numFmtId="4" fontId="0" fillId="0" borderId="174" xfId="0" quotePrefix="1" applyNumberFormat="1" applyBorder="1" applyAlignment="1">
      <alignment horizontal="left"/>
    </xf>
    <xf numFmtId="4" fontId="17" fillId="0" borderId="172" xfId="0" applyNumberFormat="1" applyFont="1" applyBorder="1" applyAlignment="1">
      <alignment horizontal="left"/>
    </xf>
    <xf numFmtId="4" fontId="17" fillId="0" borderId="182" xfId="0" applyNumberFormat="1" applyFont="1" applyBorder="1" applyAlignment="1">
      <alignment horizontal="left"/>
    </xf>
    <xf numFmtId="4" fontId="0" fillId="0" borderId="238" xfId="0" applyNumberFormat="1" applyBorder="1" applyAlignment="1">
      <alignment horizontal="left"/>
    </xf>
    <xf numFmtId="4" fontId="0" fillId="0" borderId="239" xfId="0" applyNumberFormat="1" applyBorder="1" applyAlignment="1">
      <alignment horizontal="left"/>
    </xf>
    <xf numFmtId="4" fontId="0" fillId="0" borderId="239" xfId="0" quotePrefix="1" applyNumberFormat="1" applyBorder="1" applyAlignment="1">
      <alignment horizontal="left"/>
    </xf>
    <xf numFmtId="4" fontId="0" fillId="0" borderId="240" xfId="0" quotePrefix="1" applyNumberFormat="1" applyBorder="1" applyAlignment="1">
      <alignment horizontal="left"/>
    </xf>
    <xf numFmtId="4" fontId="0" fillId="0" borderId="241" xfId="0" applyNumberFormat="1" applyBorder="1" applyAlignment="1">
      <alignment horizontal="left"/>
    </xf>
    <xf numFmtId="4" fontId="0" fillId="0" borderId="242" xfId="0" applyNumberFormat="1" applyBorder="1" applyAlignment="1">
      <alignment horizontal="left"/>
    </xf>
    <xf numFmtId="0" fontId="0" fillId="0" borderId="242" xfId="0" applyBorder="1" applyAlignment="1">
      <alignment horizontal="left"/>
    </xf>
    <xf numFmtId="0" fontId="0" fillId="0" borderId="243" xfId="0" applyBorder="1" applyAlignment="1">
      <alignment horizontal="left"/>
    </xf>
    <xf numFmtId="4" fontId="0" fillId="0" borderId="244" xfId="0" applyNumberFormat="1" applyBorder="1" applyAlignment="1">
      <alignment horizontal="left"/>
    </xf>
    <xf numFmtId="4" fontId="0" fillId="0" borderId="245" xfId="0" applyNumberFormat="1" applyBorder="1" applyAlignment="1">
      <alignment horizontal="left"/>
    </xf>
    <xf numFmtId="0" fontId="0" fillId="0" borderId="245" xfId="0" applyBorder="1" applyAlignment="1">
      <alignment horizontal="left"/>
    </xf>
    <xf numFmtId="0" fontId="0" fillId="0" borderId="246" xfId="0" applyBorder="1" applyAlignment="1">
      <alignment horizontal="left"/>
    </xf>
    <xf numFmtId="4" fontId="0" fillId="0" borderId="247" xfId="0" applyNumberFormat="1" applyBorder="1" applyAlignment="1">
      <alignment horizontal="left"/>
    </xf>
    <xf numFmtId="4" fontId="0" fillId="0" borderId="248" xfId="0" applyNumberFormat="1" applyBorder="1" applyAlignment="1">
      <alignment horizontal="left"/>
    </xf>
    <xf numFmtId="0" fontId="0" fillId="0" borderId="248" xfId="0" applyBorder="1" applyAlignment="1">
      <alignment horizontal="left"/>
    </xf>
    <xf numFmtId="0" fontId="0" fillId="0" borderId="249" xfId="0" applyBorder="1" applyAlignment="1">
      <alignment horizontal="left"/>
    </xf>
    <xf numFmtId="170" fontId="0" fillId="0" borderId="234" xfId="0" applyNumberFormat="1" applyBorder="1" applyAlignment="1">
      <alignment horizontal="center"/>
    </xf>
    <xf numFmtId="170" fontId="17" fillId="0" borderId="228" xfId="0" applyNumberFormat="1" applyFont="1" applyBorder="1" applyAlignment="1">
      <alignment horizontal="center"/>
    </xf>
    <xf numFmtId="170" fontId="0" fillId="0" borderId="228" xfId="0" applyNumberFormat="1" applyBorder="1" applyAlignment="1">
      <alignment horizontal="center"/>
    </xf>
    <xf numFmtId="170" fontId="0" fillId="0" borderId="235" xfId="0" applyNumberFormat="1" applyBorder="1" applyAlignment="1">
      <alignment horizontal="center"/>
    </xf>
    <xf numFmtId="170" fontId="0" fillId="0" borderId="231" xfId="0" applyNumberFormat="1" applyBorder="1" applyAlignment="1">
      <alignment horizontal="center"/>
    </xf>
    <xf numFmtId="170" fontId="0" fillId="0" borderId="229" xfId="0" applyNumberFormat="1" applyBorder="1" applyAlignment="1">
      <alignment horizontal="center"/>
    </xf>
    <xf numFmtId="170" fontId="0" fillId="0" borderId="232" xfId="0" applyNumberFormat="1" applyBorder="1" applyAlignment="1">
      <alignment horizontal="center"/>
    </xf>
    <xf numFmtId="170" fontId="0" fillId="0" borderId="233" xfId="0" applyNumberFormat="1" applyBorder="1" applyAlignment="1">
      <alignment horizontal="center"/>
    </xf>
    <xf numFmtId="0" fontId="0" fillId="36" borderId="250" xfId="0" applyFill="1" applyBorder="1"/>
    <xf numFmtId="4" fontId="0" fillId="36" borderId="250" xfId="0" applyNumberFormat="1" applyFill="1" applyBorder="1"/>
    <xf numFmtId="0" fontId="0" fillId="0" borderId="250" xfId="0" applyBorder="1"/>
    <xf numFmtId="4" fontId="0" fillId="0" borderId="250" xfId="0" applyNumberFormat="1" applyBorder="1"/>
    <xf numFmtId="0" fontId="3" fillId="0" borderId="74" xfId="0" applyFont="1" applyBorder="1"/>
    <xf numFmtId="0" fontId="47" fillId="0" borderId="0" xfId="0" applyFont="1" applyAlignment="1">
      <alignment horizontal="left" vertical="center"/>
    </xf>
    <xf numFmtId="0" fontId="34" fillId="0" borderId="2" xfId="0" applyFont="1" applyBorder="1" applyAlignment="1">
      <alignment horizontal="center" vertical="center"/>
    </xf>
    <xf numFmtId="0" fontId="0" fillId="0" borderId="252" xfId="0" applyBorder="1"/>
    <xf numFmtId="1" fontId="0" fillId="0" borderId="253" xfId="0" applyNumberFormat="1" applyBorder="1" applyAlignment="1">
      <alignment horizontal="right"/>
    </xf>
    <xf numFmtId="169" fontId="0" fillId="0" borderId="254" xfId="0" applyNumberFormat="1" applyBorder="1" applyAlignment="1">
      <alignment horizontal="center"/>
    </xf>
    <xf numFmtId="169" fontId="0" fillId="0" borderId="255" xfId="0" applyNumberFormat="1" applyBorder="1" applyAlignment="1">
      <alignment horizontal="center"/>
    </xf>
    <xf numFmtId="169" fontId="0" fillId="0" borderId="256" xfId="0" applyNumberFormat="1" applyBorder="1" applyAlignment="1">
      <alignment horizontal="center"/>
    </xf>
    <xf numFmtId="169" fontId="0" fillId="0" borderId="257" xfId="0" applyNumberFormat="1" applyBorder="1" applyAlignment="1">
      <alignment horizontal="center"/>
    </xf>
    <xf numFmtId="169" fontId="0" fillId="0" borderId="258" xfId="0" applyNumberFormat="1" applyBorder="1" applyAlignment="1">
      <alignment horizontal="center"/>
    </xf>
    <xf numFmtId="9" fontId="0" fillId="0" borderId="253" xfId="0" applyNumberFormat="1" applyBorder="1" applyAlignment="1">
      <alignment horizontal="right"/>
    </xf>
    <xf numFmtId="0" fontId="0" fillId="0" borderId="259" xfId="0" applyBorder="1" applyAlignment="1">
      <alignment horizontal="center"/>
    </xf>
    <xf numFmtId="0" fontId="0" fillId="0" borderId="260" xfId="0" applyBorder="1" applyAlignment="1">
      <alignment horizontal="center"/>
    </xf>
    <xf numFmtId="0" fontId="0" fillId="0" borderId="261" xfId="0" applyBorder="1" applyAlignment="1">
      <alignment horizontal="center"/>
    </xf>
    <xf numFmtId="9" fontId="0" fillId="0" borderId="139" xfId="0" applyNumberFormat="1" applyBorder="1" applyAlignment="1">
      <alignment horizontal="right"/>
    </xf>
    <xf numFmtId="0" fontId="0" fillId="0" borderId="139" xfId="0" applyBorder="1" applyAlignment="1">
      <alignment horizontal="center"/>
    </xf>
    <xf numFmtId="0" fontId="0" fillId="0" borderId="262" xfId="0" applyBorder="1" applyAlignment="1">
      <alignment horizontal="center"/>
    </xf>
    <xf numFmtId="9" fontId="0" fillId="0" borderId="113" xfId="0" applyNumberFormat="1" applyBorder="1" applyAlignment="1">
      <alignment horizontal="center" vertical="center"/>
    </xf>
    <xf numFmtId="9" fontId="0" fillId="0" borderId="129" xfId="0" applyNumberFormat="1" applyBorder="1" applyAlignment="1">
      <alignment horizontal="center" vertical="center"/>
    </xf>
    <xf numFmtId="9" fontId="0" fillId="0" borderId="124" xfId="0" applyNumberFormat="1" applyBorder="1" applyAlignment="1">
      <alignment horizontal="center" vertical="center"/>
    </xf>
    <xf numFmtId="9" fontId="0" fillId="0" borderId="263" xfId="0" applyNumberFormat="1" applyBorder="1" applyAlignment="1">
      <alignment horizontal="center" vertical="center"/>
    </xf>
    <xf numFmtId="0" fontId="0" fillId="0" borderId="264" xfId="0" applyBorder="1"/>
    <xf numFmtId="0" fontId="0" fillId="0" borderId="265" xfId="0" applyBorder="1" applyAlignment="1">
      <alignment horizontal="center"/>
    </xf>
    <xf numFmtId="0" fontId="0" fillId="0" borderId="0" xfId="0" quotePrefix="1" applyAlignment="1">
      <alignment horizontal="left"/>
    </xf>
    <xf numFmtId="9" fontId="0" fillId="0" borderId="0" xfId="0" applyNumberFormat="1" applyAlignment="1" applyProtection="1">
      <alignment horizontal="center"/>
      <protection locked="0"/>
    </xf>
    <xf numFmtId="9" fontId="32" fillId="8" borderId="148" xfId="0" applyNumberFormat="1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center"/>
    </xf>
    <xf numFmtId="0" fontId="0" fillId="0" borderId="155" xfId="0" applyBorder="1"/>
    <xf numFmtId="0" fontId="3" fillId="0" borderId="143" xfId="0" applyFont="1" applyBorder="1" applyAlignment="1">
      <alignment horizontal="center"/>
    </xf>
    <xf numFmtId="0" fontId="3" fillId="0" borderId="145" xfId="0" applyFont="1" applyBorder="1" applyAlignment="1">
      <alignment horizontal="center"/>
    </xf>
    <xf numFmtId="2" fontId="0" fillId="0" borderId="156" xfId="0" applyNumberFormat="1" applyBorder="1" applyAlignment="1">
      <alignment horizontal="center"/>
    </xf>
    <xf numFmtId="170" fontId="0" fillId="0" borderId="145" xfId="0" applyNumberFormat="1" applyBorder="1"/>
    <xf numFmtId="2" fontId="0" fillId="0" borderId="157" xfId="0" applyNumberFormat="1" applyBorder="1" applyAlignment="1">
      <alignment horizontal="center"/>
    </xf>
    <xf numFmtId="170" fontId="0" fillId="0" borderId="128" xfId="0" applyNumberFormat="1" applyBorder="1"/>
    <xf numFmtId="0" fontId="0" fillId="0" borderId="266" xfId="0" applyBorder="1"/>
    <xf numFmtId="0" fontId="46" fillId="0" borderId="0" xfId="0" applyFont="1" applyAlignment="1">
      <alignment vertical="center"/>
    </xf>
    <xf numFmtId="4" fontId="0" fillId="0" borderId="74" xfId="0" applyNumberFormat="1" applyBorder="1"/>
    <xf numFmtId="4" fontId="0" fillId="0" borderId="142" xfId="0" applyNumberFormat="1" applyBorder="1"/>
    <xf numFmtId="4" fontId="17" fillId="0" borderId="2" xfId="0" applyNumberFormat="1" applyFont="1" applyBorder="1"/>
    <xf numFmtId="170" fontId="17" fillId="0" borderId="181" xfId="0" applyNumberFormat="1" applyFont="1" applyBorder="1" applyAlignment="1">
      <alignment horizontal="center"/>
    </xf>
    <xf numFmtId="4" fontId="0" fillId="0" borderId="127" xfId="0" applyNumberFormat="1" applyBorder="1"/>
    <xf numFmtId="4" fontId="17" fillId="0" borderId="155" xfId="0" applyNumberFormat="1" applyFont="1" applyBorder="1"/>
    <xf numFmtId="4" fontId="17" fillId="0" borderId="142" xfId="0" applyNumberFormat="1" applyFont="1" applyBorder="1"/>
    <xf numFmtId="170" fontId="17" fillId="0" borderId="167" xfId="0" applyNumberFormat="1" applyFont="1" applyBorder="1" applyAlignment="1">
      <alignment horizontal="center"/>
    </xf>
    <xf numFmtId="170" fontId="17" fillId="0" borderId="168" xfId="0" applyNumberFormat="1" applyFont="1" applyBorder="1" applyAlignment="1">
      <alignment horizontal="center"/>
    </xf>
    <xf numFmtId="170" fontId="17" fillId="0" borderId="169" xfId="0" applyNumberFormat="1" applyFont="1" applyBorder="1" applyAlignment="1">
      <alignment horizontal="center"/>
    </xf>
    <xf numFmtId="170" fontId="17" fillId="0" borderId="180" xfId="0" applyNumberFormat="1" applyFont="1" applyBorder="1" applyAlignment="1">
      <alignment horizontal="center"/>
    </xf>
    <xf numFmtId="4" fontId="0" fillId="0" borderId="153" xfId="0" applyNumberFormat="1" applyBorder="1"/>
    <xf numFmtId="170" fontId="0" fillId="0" borderId="221" xfId="0" applyNumberFormat="1" applyBorder="1" applyAlignment="1">
      <alignment horizontal="center"/>
    </xf>
    <xf numFmtId="170" fontId="17" fillId="0" borderId="222" xfId="0" applyNumberFormat="1" applyFont="1" applyBorder="1" applyAlignment="1">
      <alignment horizontal="center"/>
    </xf>
    <xf numFmtId="170" fontId="0" fillId="0" borderId="222" xfId="0" applyNumberFormat="1" applyBorder="1" applyAlignment="1">
      <alignment horizontal="center"/>
    </xf>
    <xf numFmtId="170" fontId="0" fillId="0" borderId="223" xfId="0" applyNumberFormat="1" applyBorder="1" applyAlignment="1">
      <alignment horizontal="center"/>
    </xf>
    <xf numFmtId="170" fontId="17" fillId="0" borderId="221" xfId="0" applyNumberFormat="1" applyFont="1" applyBorder="1" applyAlignment="1">
      <alignment horizontal="center"/>
    </xf>
    <xf numFmtId="170" fontId="0" fillId="0" borderId="222" xfId="0" quotePrefix="1" applyNumberForma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10" fillId="40" borderId="189" xfId="0" applyFont="1" applyFill="1" applyBorder="1" applyAlignment="1">
      <alignment horizontal="center" vertical="center"/>
    </xf>
    <xf numFmtId="0" fontId="10" fillId="41" borderId="189" xfId="0" applyFont="1" applyFill="1" applyBorder="1" applyAlignment="1">
      <alignment horizontal="center" vertical="center"/>
    </xf>
    <xf numFmtId="0" fontId="10" fillId="42" borderId="189" xfId="0" applyFont="1" applyFill="1" applyBorder="1" applyAlignment="1">
      <alignment horizontal="center" vertical="center" wrapText="1"/>
    </xf>
    <xf numFmtId="0" fontId="10" fillId="42" borderId="203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39" borderId="201" xfId="0" applyFont="1" applyFill="1" applyBorder="1" applyAlignment="1">
      <alignment horizontal="center" vertical="center" wrapText="1"/>
    </xf>
    <xf numFmtId="0" fontId="49" fillId="39" borderId="189" xfId="0" applyFont="1" applyFill="1" applyBorder="1" applyAlignment="1">
      <alignment horizontal="center" vertical="center" wrapText="1"/>
    </xf>
    <xf numFmtId="0" fontId="9" fillId="0" borderId="0" xfId="2" applyFont="1" applyAlignment="1">
      <alignment horizontal="left" vertical="center"/>
    </xf>
    <xf numFmtId="168" fontId="0" fillId="0" borderId="0" xfId="0" applyNumberFormat="1" applyProtection="1">
      <protection locked="0"/>
    </xf>
    <xf numFmtId="168" fontId="4" fillId="43" borderId="0" xfId="0" applyNumberFormat="1" applyFont="1" applyFill="1" applyAlignment="1">
      <alignment horizontal="center" vertical="center" wrapText="1"/>
    </xf>
    <xf numFmtId="0" fontId="4" fillId="4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0" fillId="2" borderId="0" xfId="0" applyNumberFormat="1" applyFill="1" applyAlignment="1">
      <alignment horizontal="center" vertical="center" wrapText="1"/>
    </xf>
    <xf numFmtId="2" fontId="0" fillId="0" borderId="0" xfId="0" applyNumberFormat="1"/>
    <xf numFmtId="0" fontId="51" fillId="35" borderId="0" xfId="0" applyFont="1" applyFill="1" applyAlignment="1">
      <alignment vertical="center" wrapText="1"/>
    </xf>
    <xf numFmtId="1" fontId="35" fillId="0" borderId="0" xfId="7" applyNumberFormat="1" applyFont="1" applyFill="1" applyBorder="1" applyAlignment="1" applyProtection="1">
      <alignment horizontal="left"/>
      <protection locked="0"/>
    </xf>
    <xf numFmtId="0" fontId="35" fillId="0" borderId="0" xfId="7" applyFont="1" applyBorder="1" applyProtection="1">
      <protection locked="0"/>
    </xf>
    <xf numFmtId="171" fontId="37" fillId="0" borderId="0" xfId="0" applyNumberFormat="1" applyFont="1"/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18" xfId="0" applyFont="1" applyBorder="1" applyAlignment="1">
      <alignment horizontal="left"/>
    </xf>
    <xf numFmtId="0" fontId="37" fillId="0" borderId="207" xfId="0" applyFont="1" applyBorder="1" applyAlignment="1">
      <alignment horizontal="center" vertical="center"/>
    </xf>
    <xf numFmtId="0" fontId="37" fillId="0" borderId="208" xfId="0" applyFont="1" applyBorder="1" applyAlignment="1">
      <alignment horizontal="center" vertical="center"/>
    </xf>
    <xf numFmtId="0" fontId="41" fillId="0" borderId="18" xfId="0" applyFont="1" applyBorder="1"/>
    <xf numFmtId="0" fontId="41" fillId="0" borderId="18" xfId="0" applyFont="1" applyBorder="1" applyAlignment="1">
      <alignment horizontal="center"/>
    </xf>
    <xf numFmtId="0" fontId="37" fillId="0" borderId="209" xfId="0" applyFont="1" applyBorder="1" applyAlignment="1">
      <alignment horizontal="left"/>
    </xf>
    <xf numFmtId="170" fontId="37" fillId="0" borderId="210" xfId="0" applyNumberFormat="1" applyFont="1" applyBorder="1" applyAlignment="1">
      <alignment horizontal="center" vertical="center"/>
    </xf>
    <xf numFmtId="170" fontId="37" fillId="0" borderId="153" xfId="0" applyNumberFormat="1" applyFont="1" applyBorder="1" applyAlignment="1">
      <alignment horizontal="center" vertical="center"/>
    </xf>
    <xf numFmtId="170" fontId="37" fillId="0" borderId="211" xfId="0" applyNumberFormat="1" applyFont="1" applyBorder="1" applyAlignment="1">
      <alignment horizontal="center" vertical="center"/>
    </xf>
    <xf numFmtId="0" fontId="37" fillId="0" borderId="209" xfId="0" applyFont="1" applyBorder="1"/>
    <xf numFmtId="0" fontId="37" fillId="0" borderId="209" xfId="0" applyFont="1" applyBorder="1" applyAlignment="1">
      <alignment horizontal="center"/>
    </xf>
    <xf numFmtId="0" fontId="37" fillId="0" borderId="212" xfId="0" applyFont="1" applyBorder="1" applyAlignment="1">
      <alignment horizontal="left"/>
    </xf>
    <xf numFmtId="170" fontId="37" fillId="0" borderId="150" xfId="0" applyNumberFormat="1" applyFont="1" applyBorder="1" applyAlignment="1">
      <alignment horizontal="center" vertical="center"/>
    </xf>
    <xf numFmtId="170" fontId="37" fillId="0" borderId="2" xfId="0" applyNumberFormat="1" applyFont="1" applyBorder="1" applyAlignment="1">
      <alignment horizontal="center" vertical="center"/>
    </xf>
    <xf numFmtId="170" fontId="37" fillId="0" borderId="213" xfId="0" applyNumberFormat="1" applyFont="1" applyBorder="1" applyAlignment="1">
      <alignment horizontal="center" vertical="center"/>
    </xf>
    <xf numFmtId="0" fontId="37" fillId="0" borderId="212" xfId="0" applyFont="1" applyBorder="1"/>
    <xf numFmtId="0" fontId="37" fillId="0" borderId="212" xfId="0" applyFont="1" applyBorder="1" applyAlignment="1">
      <alignment horizontal="center"/>
    </xf>
    <xf numFmtId="170" fontId="37" fillId="0" borderId="150" xfId="0" quotePrefix="1" applyNumberFormat="1" applyFont="1" applyBorder="1" applyAlignment="1">
      <alignment horizontal="center" vertical="center"/>
    </xf>
    <xf numFmtId="170" fontId="37" fillId="0" borderId="2" xfId="0" quotePrefix="1" applyNumberFormat="1" applyFont="1" applyBorder="1" applyAlignment="1">
      <alignment horizontal="center" vertical="center"/>
    </xf>
    <xf numFmtId="170" fontId="37" fillId="0" borderId="213" xfId="0" quotePrefix="1" applyNumberFormat="1" applyFont="1" applyBorder="1" applyAlignment="1">
      <alignment horizontal="center" vertical="center"/>
    </xf>
    <xf numFmtId="0" fontId="37" fillId="0" borderId="214" xfId="0" applyFont="1" applyBorder="1" applyAlignment="1">
      <alignment horizontal="left"/>
    </xf>
    <xf numFmtId="170" fontId="37" fillId="0" borderId="215" xfId="0" quotePrefix="1" applyNumberFormat="1" applyFont="1" applyBorder="1" applyAlignment="1">
      <alignment horizontal="center" vertical="center"/>
    </xf>
    <xf numFmtId="170" fontId="37" fillId="0" borderId="216" xfId="0" quotePrefix="1" applyNumberFormat="1" applyFont="1" applyBorder="1" applyAlignment="1">
      <alignment horizontal="center" vertical="center"/>
    </xf>
    <xf numFmtId="170" fontId="37" fillId="0" borderId="217" xfId="0" quotePrefix="1" applyNumberFormat="1" applyFont="1" applyBorder="1" applyAlignment="1">
      <alignment horizontal="center" vertical="center"/>
    </xf>
    <xf numFmtId="0" fontId="37" fillId="0" borderId="214" xfId="0" applyFont="1" applyBorder="1"/>
    <xf numFmtId="0" fontId="37" fillId="0" borderId="214" xfId="0" applyFont="1" applyBorder="1" applyAlignment="1">
      <alignment horizontal="center"/>
    </xf>
    <xf numFmtId="0" fontId="40" fillId="0" borderId="0" xfId="0" applyFont="1" applyAlignment="1">
      <alignment horizontal="left"/>
    </xf>
    <xf numFmtId="170" fontId="40" fillId="0" borderId="0" xfId="2" applyNumberFormat="1" applyFont="1" applyAlignment="1" applyProtection="1">
      <alignment horizontal="centerContinuous"/>
      <protection hidden="1"/>
    </xf>
    <xf numFmtId="0" fontId="40" fillId="0" borderId="0" xfId="0" applyFont="1"/>
    <xf numFmtId="0" fontId="40" fillId="0" borderId="0" xfId="0" applyFont="1" applyAlignment="1">
      <alignment horizontal="centerContinuous"/>
    </xf>
    <xf numFmtId="170" fontId="37" fillId="0" borderId="207" xfId="0" applyNumberFormat="1" applyFont="1" applyBorder="1" applyAlignment="1">
      <alignment horizontal="center" vertical="center"/>
    </xf>
    <xf numFmtId="170" fontId="37" fillId="0" borderId="208" xfId="0" applyNumberFormat="1" applyFont="1" applyBorder="1" applyAlignment="1">
      <alignment horizontal="center" vertical="center"/>
    </xf>
    <xf numFmtId="170" fontId="42" fillId="0" borderId="207" xfId="0" applyNumberFormat="1" applyFont="1" applyBorder="1" applyAlignment="1">
      <alignment horizontal="center" vertical="center"/>
    </xf>
    <xf numFmtId="170" fontId="42" fillId="0" borderId="208" xfId="0" applyNumberFormat="1" applyFont="1" applyBorder="1" applyAlignment="1">
      <alignment horizontal="center" vertical="center"/>
    </xf>
    <xf numFmtId="0" fontId="0" fillId="0" borderId="267" xfId="0" applyBorder="1"/>
    <xf numFmtId="0" fontId="0" fillId="0" borderId="268" xfId="0" applyBorder="1"/>
    <xf numFmtId="0" fontId="0" fillId="0" borderId="269" xfId="0" applyBorder="1"/>
    <xf numFmtId="0" fontId="0" fillId="0" borderId="253" xfId="0" applyBorder="1"/>
    <xf numFmtId="0" fontId="0" fillId="0" borderId="270" xfId="0" applyBorder="1"/>
    <xf numFmtId="0" fontId="0" fillId="0" borderId="271" xfId="0" applyBorder="1"/>
    <xf numFmtId="0" fontId="0" fillId="0" borderId="272" xfId="0" applyBorder="1"/>
    <xf numFmtId="0" fontId="0" fillId="0" borderId="273" xfId="0" applyBorder="1"/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/>
    <xf numFmtId="0" fontId="0" fillId="0" borderId="187" xfId="0" applyBorder="1" applyAlignment="1">
      <alignment horizontal="center"/>
    </xf>
    <xf numFmtId="0" fontId="0" fillId="0" borderId="276" xfId="0" applyBorder="1"/>
    <xf numFmtId="0" fontId="0" fillId="0" borderId="277" xfId="0" applyBorder="1"/>
    <xf numFmtId="0" fontId="0" fillId="0" borderId="278" xfId="0" applyBorder="1"/>
    <xf numFmtId="0" fontId="0" fillId="0" borderId="278" xfId="0" applyBorder="1" applyAlignment="1">
      <alignment horizontal="center"/>
    </xf>
    <xf numFmtId="0" fontId="0" fillId="0" borderId="279" xfId="0" applyBorder="1" applyAlignment="1">
      <alignment horizontal="center"/>
    </xf>
    <xf numFmtId="0" fontId="52" fillId="34" borderId="280" xfId="0" applyFont="1" applyFill="1" applyBorder="1"/>
    <xf numFmtId="0" fontId="3" fillId="34" borderId="281" xfId="0" applyFont="1" applyFill="1" applyBorder="1"/>
    <xf numFmtId="0" fontId="0" fillId="34" borderId="281" xfId="0" applyFill="1" applyBorder="1"/>
    <xf numFmtId="0" fontId="53" fillId="26" borderId="74" xfId="0" applyFont="1" applyFill="1" applyBorder="1"/>
    <xf numFmtId="0" fontId="3" fillId="26" borderId="154" xfId="0" applyFont="1" applyFill="1" applyBorder="1"/>
    <xf numFmtId="0" fontId="3" fillId="26" borderId="154" xfId="0" applyFont="1" applyFill="1" applyBorder="1" applyAlignment="1">
      <alignment horizontal="center"/>
    </xf>
    <xf numFmtId="0" fontId="53" fillId="0" borderId="74" xfId="0" applyFont="1" applyBorder="1"/>
    <xf numFmtId="0" fontId="53" fillId="15" borderId="74" xfId="0" applyFont="1" applyFill="1" applyBorder="1"/>
    <xf numFmtId="0" fontId="3" fillId="28" borderId="74" xfId="0" applyFont="1" applyFill="1" applyBorder="1"/>
    <xf numFmtId="0" fontId="3" fillId="26" borderId="134" xfId="0" applyFont="1" applyFill="1" applyBorder="1"/>
    <xf numFmtId="0" fontId="3" fillId="26" borderId="135" xfId="0" applyFont="1" applyFill="1" applyBorder="1"/>
    <xf numFmtId="0" fontId="3" fillId="0" borderId="74" xfId="0" quotePrefix="1" applyFont="1" applyBorder="1" applyAlignment="1">
      <alignment horizontal="left"/>
    </xf>
    <xf numFmtId="0" fontId="3" fillId="0" borderId="134" xfId="0" applyFont="1" applyBorder="1"/>
    <xf numFmtId="0" fontId="3" fillId="0" borderId="135" xfId="0" applyFont="1" applyBorder="1"/>
    <xf numFmtId="0" fontId="54" fillId="0" borderId="0" xfId="0" applyFont="1" applyAlignment="1">
      <alignment horizontal="left"/>
    </xf>
    <xf numFmtId="0" fontId="0" fillId="0" borderId="74" xfId="0" applyBorder="1" applyAlignment="1">
      <alignment horizontal="left"/>
    </xf>
    <xf numFmtId="0" fontId="0" fillId="5" borderId="122" xfId="0" applyFill="1" applyBorder="1" applyAlignment="1">
      <alignment horizontal="center"/>
    </xf>
    <xf numFmtId="0" fontId="0" fillId="5" borderId="123" xfId="0" applyFill="1" applyBorder="1" applyAlignment="1">
      <alignment horizontal="center"/>
    </xf>
    <xf numFmtId="169" fontId="0" fillId="0" borderId="220" xfId="0" applyNumberFormat="1" applyBorder="1" applyAlignment="1">
      <alignment horizontal="center"/>
    </xf>
    <xf numFmtId="0" fontId="0" fillId="0" borderId="283" xfId="0" applyBorder="1" applyAlignment="1">
      <alignment horizontal="center"/>
    </xf>
    <xf numFmtId="0" fontId="0" fillId="0" borderId="74" xfId="0" applyBorder="1" applyAlignment="1">
      <alignment horizontal="center"/>
    </xf>
    <xf numFmtId="0" fontId="44" fillId="5" borderId="0" xfId="0" applyFont="1" applyFill="1"/>
    <xf numFmtId="0" fontId="0" fillId="5" borderId="0" xfId="0" applyFill="1"/>
    <xf numFmtId="0" fontId="3" fillId="5" borderId="5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69" fontId="0" fillId="0" borderId="0" xfId="0" applyNumberFormat="1"/>
    <xf numFmtId="0" fontId="35" fillId="0" borderId="0" xfId="0" applyFont="1" applyProtection="1">
      <protection locked="0"/>
    </xf>
    <xf numFmtId="0" fontId="5" fillId="0" borderId="0" xfId="0" applyFont="1" applyAlignment="1">
      <alignment horizontal="center"/>
    </xf>
    <xf numFmtId="3" fontId="0" fillId="34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12" fillId="2" borderId="0" xfId="2" applyFont="1" applyFill="1" applyAlignment="1">
      <alignment horizontal="center" vertical="center"/>
    </xf>
    <xf numFmtId="165" fontId="14" fillId="3" borderId="7" xfId="2" applyNumberFormat="1" applyFont="1" applyFill="1" applyBorder="1" applyAlignment="1">
      <alignment horizontal="center" vertical="top" wrapText="1"/>
    </xf>
    <xf numFmtId="165" fontId="15" fillId="4" borderId="7" xfId="2" applyNumberFormat="1" applyFont="1" applyFill="1" applyBorder="1" applyAlignment="1">
      <alignment horizontal="center" vertical="top" wrapText="1"/>
    </xf>
    <xf numFmtId="0" fontId="4" fillId="4" borderId="7" xfId="0" applyFont="1" applyFill="1" applyBorder="1" applyAlignment="1">
      <alignment horizontal="center" vertical="top" wrapText="1"/>
    </xf>
    <xf numFmtId="168" fontId="0" fillId="8" borderId="193" xfId="0" applyNumberFormat="1" applyFill="1" applyBorder="1" applyAlignment="1">
      <alignment horizontal="center" vertical="center"/>
    </xf>
    <xf numFmtId="168" fontId="0" fillId="8" borderId="151" xfId="0" applyNumberFormat="1" applyFill="1" applyBorder="1" applyAlignment="1">
      <alignment horizontal="center" vertical="center"/>
    </xf>
    <xf numFmtId="168" fontId="1" fillId="0" borderId="190" xfId="1" applyNumberFormat="1" applyFont="1" applyBorder="1" applyAlignment="1">
      <alignment horizontal="center" vertical="center"/>
    </xf>
    <xf numFmtId="168" fontId="1" fillId="0" borderId="191" xfId="1" applyNumberFormat="1" applyFont="1" applyBorder="1" applyAlignment="1">
      <alignment horizontal="center" vertical="center"/>
    </xf>
    <xf numFmtId="168" fontId="1" fillId="0" borderId="192" xfId="1" applyNumberFormat="1" applyFont="1" applyBorder="1" applyAlignment="1">
      <alignment horizontal="center" vertical="center"/>
    </xf>
    <xf numFmtId="168" fontId="1" fillId="14" borderId="151" xfId="1" applyNumberFormat="1" applyFont="1" applyFill="1" applyBorder="1" applyAlignment="1">
      <alignment horizontal="center" vertical="center"/>
    </xf>
    <xf numFmtId="168" fontId="1" fillId="15" borderId="151" xfId="1" applyNumberFormat="1" applyFont="1" applyFill="1" applyBorder="1" applyAlignment="1">
      <alignment horizontal="center" vertical="center"/>
    </xf>
    <xf numFmtId="168" fontId="1" fillId="15" borderId="194" xfId="1" applyNumberFormat="1" applyFont="1" applyFill="1" applyBorder="1" applyAlignment="1">
      <alignment horizontal="center" vertical="center"/>
    </xf>
    <xf numFmtId="10" fontId="0" fillId="0" borderId="189" xfId="0" applyNumberFormat="1" applyBorder="1" applyAlignment="1">
      <alignment horizontal="center" vertical="center"/>
    </xf>
    <xf numFmtId="10" fontId="0" fillId="0" borderId="203" xfId="0" applyNumberForma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top" wrapText="1"/>
    </xf>
    <xf numFmtId="0" fontId="9" fillId="0" borderId="202" xfId="2" applyFont="1" applyBorder="1" applyAlignment="1">
      <alignment horizontal="center"/>
    </xf>
    <xf numFmtId="0" fontId="9" fillId="0" borderId="10" xfId="2" applyFont="1" applyBorder="1" applyAlignment="1">
      <alignment horizontal="center"/>
    </xf>
    <xf numFmtId="0" fontId="9" fillId="0" borderId="9" xfId="2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19" borderId="0" xfId="0" quotePrefix="1" applyFill="1" applyAlignment="1">
      <alignment horizontal="center"/>
    </xf>
    <xf numFmtId="0" fontId="0" fillId="19" borderId="0" xfId="0" applyFill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50" xfId="0" applyBorder="1" applyAlignment="1">
      <alignment horizontal="center"/>
    </xf>
    <xf numFmtId="0" fontId="20" fillId="0" borderId="0" xfId="4" applyFont="1" applyAlignment="1">
      <alignment horizontal="center"/>
    </xf>
    <xf numFmtId="0" fontId="45" fillId="37" borderId="0" xfId="0" applyFont="1" applyFill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/>
    </xf>
    <xf numFmtId="0" fontId="0" fillId="20" borderId="8" xfId="0" applyFill="1" applyBorder="1" applyAlignment="1">
      <alignment horizontal="left" vertical="top"/>
    </xf>
    <xf numFmtId="0" fontId="0" fillId="20" borderId="236" xfId="0" applyFill="1" applyBorder="1" applyAlignment="1">
      <alignment horizontal="left" vertical="top"/>
    </xf>
    <xf numFmtId="0" fontId="0" fillId="11" borderId="11" xfId="0" applyFill="1" applyBorder="1" applyAlignment="1">
      <alignment vertical="top"/>
    </xf>
    <xf numFmtId="0" fontId="0" fillId="11" borderId="74" xfId="0" applyFill="1" applyBorder="1" applyAlignment="1">
      <alignment vertical="top"/>
    </xf>
    <xf numFmtId="0" fontId="0" fillId="13" borderId="8" xfId="3" applyNumberFormat="1" applyFont="1" applyFill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61" xfId="0" applyBorder="1" applyAlignment="1">
      <alignment vertical="top"/>
    </xf>
    <xf numFmtId="0" fontId="0" fillId="8" borderId="11" xfId="0" applyFill="1" applyBorder="1" applyAlignment="1">
      <alignment vertical="top"/>
    </xf>
    <xf numFmtId="0" fontId="0" fillId="11" borderId="8" xfId="0" applyFill="1" applyBorder="1" applyAlignment="1">
      <alignment vertical="top"/>
    </xf>
    <xf numFmtId="0" fontId="0" fillId="11" borderId="236" xfId="0" applyFill="1" applyBorder="1" applyAlignment="1">
      <alignment vertical="top"/>
    </xf>
    <xf numFmtId="0" fontId="0" fillId="11" borderId="9" xfId="0" applyFill="1" applyBorder="1" applyAlignment="1">
      <alignment vertical="top"/>
    </xf>
    <xf numFmtId="0" fontId="0" fillId="13" borderId="12" xfId="3" applyNumberFormat="1" applyFont="1" applyFill="1" applyBorder="1" applyAlignment="1">
      <alignment vertical="top"/>
    </xf>
    <xf numFmtId="0" fontId="0" fillId="13" borderId="13" xfId="3" applyNumberFormat="1" applyFont="1" applyFill="1" applyBorder="1" applyAlignment="1">
      <alignment vertical="top"/>
    </xf>
    <xf numFmtId="0" fontId="0" fillId="13" borderId="14" xfId="3" applyNumberFormat="1" applyFont="1" applyFill="1" applyBorder="1" applyAlignment="1">
      <alignment vertical="top"/>
    </xf>
    <xf numFmtId="0" fontId="0" fillId="8" borderId="8" xfId="0" applyFill="1" applyBorder="1" applyAlignment="1">
      <alignment vertical="top"/>
    </xf>
    <xf numFmtId="0" fontId="0" fillId="8" borderId="236" xfId="0" applyFill="1" applyBorder="1" applyAlignment="1">
      <alignment vertical="top"/>
    </xf>
    <xf numFmtId="0" fontId="0" fillId="8" borderId="9" xfId="0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4" xfId="0" applyBorder="1" applyAlignment="1">
      <alignment vertical="top"/>
    </xf>
    <xf numFmtId="0" fontId="0" fillId="8" borderId="74" xfId="0" applyFill="1" applyBorder="1" applyAlignment="1">
      <alignment vertical="top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left" wrapText="1"/>
    </xf>
    <xf numFmtId="0" fontId="0" fillId="0" borderId="106" xfId="0" applyBorder="1" applyAlignment="1">
      <alignment horizontal="left" wrapText="1"/>
    </xf>
    <xf numFmtId="0" fontId="0" fillId="0" borderId="114" xfId="0" applyBorder="1" applyAlignment="1">
      <alignment horizontal="left" wrapText="1"/>
    </xf>
    <xf numFmtId="0" fontId="0" fillId="0" borderId="115" xfId="0" applyBorder="1" applyAlignment="1">
      <alignment horizontal="left" wrapText="1"/>
    </xf>
    <xf numFmtId="0" fontId="3" fillId="32" borderId="40" xfId="0" applyFont="1" applyFill="1" applyBorder="1" applyAlignment="1">
      <alignment horizontal="center"/>
    </xf>
    <xf numFmtId="0" fontId="0" fillId="0" borderId="44" xfId="0" applyBorder="1" applyAlignment="1">
      <alignment horizontal="center" vertical="top"/>
    </xf>
    <xf numFmtId="0" fontId="0" fillId="0" borderId="48" xfId="0" applyBorder="1" applyAlignment="1">
      <alignment horizontal="center" vertical="top"/>
    </xf>
    <xf numFmtId="0" fontId="21" fillId="0" borderId="37" xfId="0" applyFont="1" applyBorder="1" applyAlignment="1" applyProtection="1">
      <alignment vertical="top"/>
      <protection hidden="1"/>
    </xf>
    <xf numFmtId="0" fontId="21" fillId="0" borderId="46" xfId="0" applyFont="1" applyBorder="1" applyAlignment="1" applyProtection="1">
      <alignment vertical="top"/>
      <protection hidden="1"/>
    </xf>
    <xf numFmtId="0" fontId="21" fillId="0" borderId="47" xfId="0" applyFont="1" applyBorder="1" applyAlignment="1" applyProtection="1">
      <alignment vertical="top"/>
      <protection hidden="1"/>
    </xf>
    <xf numFmtId="0" fontId="0" fillId="0" borderId="45" xfId="0" applyBorder="1" applyAlignment="1">
      <alignment horizontal="center" vertical="top"/>
    </xf>
    <xf numFmtId="0" fontId="0" fillId="0" borderId="51" xfId="0" applyBorder="1" applyAlignment="1">
      <alignment horizontal="center" vertical="top"/>
    </xf>
    <xf numFmtId="0" fontId="21" fillId="0" borderId="40" xfId="0" applyFont="1" applyBorder="1" applyAlignment="1" applyProtection="1">
      <alignment horizontal="center"/>
      <protection locked="0"/>
    </xf>
    <xf numFmtId="0" fontId="0" fillId="0" borderId="41" xfId="0" applyBorder="1" applyAlignment="1">
      <alignment horizontal="center" vertical="top"/>
    </xf>
    <xf numFmtId="1" fontId="3" fillId="11" borderId="33" xfId="0" applyNumberFormat="1" applyFont="1" applyFill="1" applyBorder="1" applyAlignment="1">
      <alignment horizontal="center" vertical="center"/>
    </xf>
    <xf numFmtId="1" fontId="3" fillId="11" borderId="34" xfId="0" applyNumberFormat="1" applyFont="1" applyFill="1" applyBorder="1" applyAlignment="1">
      <alignment horizontal="center" vertical="center"/>
    </xf>
    <xf numFmtId="1" fontId="3" fillId="11" borderId="3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154" xfId="0" applyBorder="1" applyAlignment="1">
      <alignment horizontal="left"/>
    </xf>
    <xf numFmtId="0" fontId="0" fillId="0" borderId="134" xfId="0" applyBorder="1" applyAlignment="1">
      <alignment horizontal="left"/>
    </xf>
    <xf numFmtId="0" fontId="0" fillId="0" borderId="135" xfId="0" applyBorder="1" applyAlignment="1">
      <alignment horizontal="left"/>
    </xf>
    <xf numFmtId="0" fontId="54" fillId="0" borderId="154" xfId="0" applyFont="1" applyBorder="1" applyAlignment="1">
      <alignment horizontal="left" wrapText="1"/>
    </xf>
    <xf numFmtId="0" fontId="0" fillId="0" borderId="134" xfId="0" applyBorder="1" applyAlignment="1">
      <alignment horizontal="left" wrapText="1"/>
    </xf>
    <xf numFmtId="0" fontId="0" fillId="0" borderId="135" xfId="0" applyBorder="1" applyAlignment="1">
      <alignment horizontal="left" wrapText="1"/>
    </xf>
    <xf numFmtId="0" fontId="52" fillId="34" borderId="33" xfId="0" applyFont="1" applyFill="1" applyBorder="1" applyAlignment="1">
      <alignment horizontal="left"/>
    </xf>
    <xf numFmtId="0" fontId="52" fillId="34" borderId="34" xfId="0" applyFont="1" applyFill="1" applyBorder="1" applyAlignment="1">
      <alignment horizontal="left"/>
    </xf>
    <xf numFmtId="0" fontId="52" fillId="34" borderId="282" xfId="0" applyFont="1" applyFill="1" applyBorder="1" applyAlignment="1">
      <alignment horizontal="left"/>
    </xf>
  </cellXfs>
  <cellStyles count="20">
    <cellStyle name="Comma 2" xfId="3"/>
    <cellStyle name="Comma 2 2" xfId="8"/>
    <cellStyle name="Comma 3" xfId="9"/>
    <cellStyle name="Hyperlink" xfId="7" builtinId="8"/>
    <cellStyle name="Normal" xfId="0" builtinId="0"/>
    <cellStyle name="Normal 2" xfId="4"/>
    <cellStyle name="Normal 2 2" xfId="6"/>
    <cellStyle name="Normal 3" xfId="5"/>
    <cellStyle name="Normal 3 2" xfId="11"/>
    <cellStyle name="Normal 3 3" xfId="10"/>
    <cellStyle name="Normal 4" xfId="12"/>
    <cellStyle name="Normal 5" xfId="13"/>
    <cellStyle name="Normal 6" xfId="14"/>
    <cellStyle name="Normal 6 2" xfId="15"/>
    <cellStyle name="Normal 7" xfId="16"/>
    <cellStyle name="Normal 8" xfId="17"/>
    <cellStyle name="Normal 9" xfId="18"/>
    <cellStyle name="Normal_DD cost" xfId="2"/>
    <cellStyle name="Note 2" xfId="19"/>
    <cellStyle name="Percent" xfId="1" builtinId="5"/>
  </cellStyles>
  <dxfs count="327"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170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0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2" formatCode="0.00"/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border diagonalUp="0" diagonalDown="0" outline="0">
        <left/>
        <right/>
        <top/>
        <bottom/>
      </border>
    </dxf>
    <dxf>
      <numFmt numFmtId="4" formatCode="#,##0.00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protection locked="0" hidden="0"/>
    </dxf>
    <dxf>
      <numFmt numFmtId="0" formatCode="General"/>
      <protection locked="0" hidden="0"/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  <protection locked="1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4" formatCode="#,##0.00"/>
      <protection locked="0" hidden="0"/>
    </dxf>
    <dxf>
      <numFmt numFmtId="14" formatCode="0.00%"/>
      <protection locked="0" hidden="0"/>
    </dxf>
    <dxf>
      <numFmt numFmtId="168" formatCode="0.0%"/>
      <protection locked="0" hidden="0"/>
    </dxf>
    <dxf>
      <numFmt numFmtId="168" formatCode="0.0%"/>
      <protection locked="0" hidden="0"/>
    </dxf>
    <dxf>
      <numFmt numFmtId="168" formatCode="0.0%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4" formatCode="#,##0.00"/>
      <border diagonalUp="0" diagonalDown="0" outline="0">
        <left/>
        <right/>
        <top/>
        <bottom/>
      </border>
      <protection locked="0" hidden="0"/>
    </dxf>
    <dxf>
      <numFmt numFmtId="4" formatCode="#,##0.00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14" formatCode="0.00%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 style="medium">
          <color indexed="64"/>
        </right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3" formatCode="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border diagonalUp="0" diagonalDown="0" outline="0">
        <left/>
        <right/>
        <top/>
        <bottom/>
      </border>
      <protection locked="0" hidden="0"/>
    </dxf>
    <dxf>
      <numFmt numFmtId="4" formatCode="#,##0.00"/>
      <protection locked="0" hidden="0"/>
    </dxf>
    <dxf>
      <numFmt numFmtId="3" formatCode="#,##0"/>
      <border diagonalUp="0" diagonalDown="0" outline="0">
        <left/>
        <right/>
        <top/>
        <bottom/>
      </border>
      <protection locked="0" hidden="0"/>
    </dxf>
    <dxf>
      <numFmt numFmtId="3" formatCode="#,##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3" formatCode="#,##0"/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3" formatCode="#,##0"/>
      <alignment horizontal="right" vertical="bottom" textRotation="0" wrapText="0" indent="1" justifyLastLine="0" shrinkToFit="0" readingOrder="0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u val="none"/>
        <color auto="1"/>
      </font>
      <protection locked="0" hidden="0"/>
    </dxf>
    <dxf>
      <numFmt numFmtId="170" formatCode="0.0"/>
      <border diagonalUp="0" diagonalDown="0" outline="0">
        <left/>
        <right/>
        <top/>
        <bottom/>
      </border>
      <protection locked="0" hidden="0"/>
    </dxf>
    <dxf>
      <numFmt numFmtId="170" formatCode="0.0"/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70" formatCode="0.0"/>
      <border diagonalUp="0" diagonalDown="0" outline="0">
        <left/>
        <right/>
        <top/>
        <bottom/>
      </border>
      <protection locked="0" hidden="0"/>
    </dxf>
    <dxf>
      <numFmt numFmtId="170" formatCode="0.0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9" formatCode="dd/mm/yyyy"/>
      <border diagonalUp="0" diagonalDown="0" outline="0">
        <left/>
        <right/>
        <top/>
        <bottom/>
      </border>
      <protection locked="0" hidden="0"/>
    </dxf>
    <dxf>
      <numFmt numFmtId="19" formatCode="dd/mm/yyyy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numFmt numFmtId="2" formatCode="0.00"/>
      <border diagonalUp="0" diagonalDown="0" outline="0">
        <left/>
        <right/>
        <top/>
        <bottom/>
      </border>
      <protection locked="0" hidden="0"/>
    </dxf>
    <dxf>
      <numFmt numFmtId="2" formatCode="0.00"/>
      <protection locked="0" hidden="0"/>
    </dxf>
    <dxf>
      <numFmt numFmtId="14" formatCode="0.00%"/>
      <border diagonalUp="0" diagonalDown="0" outline="0">
        <left/>
        <right/>
        <top/>
        <bottom/>
      </border>
      <protection locked="0" hidden="0"/>
    </dxf>
    <dxf>
      <numFmt numFmtId="14" formatCode="0.00%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14" formatCode="0.00%"/>
      <fill>
        <patternFill patternType="none">
          <fgColor indexed="64"/>
          <bgColor indexed="65"/>
        </patternFill>
      </fill>
      <protection locked="0" hidden="0"/>
    </dxf>
    <dxf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numFmt numFmtId="4" formatCode="#,##0.00"/>
      <fill>
        <patternFill patternType="none">
          <fgColor indexed="64"/>
          <bgColor indexed="65"/>
        </patternFill>
      </fill>
      <protection locked="0" hidden="0"/>
    </dxf>
    <dxf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protection locked="0" hidden="0"/>
    </dxf>
    <dxf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numFmt numFmtId="0" formatCode="General"/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alignment horizontal="general" vertical="top" textRotation="0" wrapText="0" indent="0" justifyLastLine="0" shrinkToFit="0" readingOrder="0"/>
      <protection locked="0" hidden="0"/>
    </dxf>
    <dxf>
      <numFmt numFmtId="0" formatCode="General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border diagonalUp="0" diagonalDown="0" outline="0">
        <left/>
        <right/>
        <top/>
        <bottom/>
      </border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general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171450</xdr:rowOff>
        </xdr:from>
        <xdr:to>
          <xdr:col>5</xdr:col>
          <xdr:colOff>257175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RapNet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Grading" displayName="Grading" ref="A2:DH3" headerRowDxfId="325" dataDxfId="324" totalsRowDxfId="323">
  <autoFilter ref="A2:DH3"/>
  <tableColumns count="112">
    <tableColumn id="1" name="PCS" totalsRowLabel="Total" dataDxfId="322" totalsRowDxfId="321"/>
    <tableColumn id="2" name="Location" dataDxfId="320" totalsRowDxfId="319"/>
    <tableColumn id="3" name="Lot-Serie" totalsRowLabel="qskf" dataDxfId="318" totalsRowDxfId="317" dataCellStyle="Hyperlink"/>
    <tableColumn id="114" name="Picture" dataDxfId="316" totalsRowDxfId="315" dataCellStyle="Hyperlink"/>
    <tableColumn id="115" name="Video" dataDxfId="314" totalsRowDxfId="313" dataCellStyle="Hyperlink"/>
    <tableColumn id="131" name="Lab" dataDxfId="312" totalsRowDxfId="311" dataCellStyle="Hyperlink"/>
    <tableColumn id="59" name="CERTNO" dataDxfId="310" totalsRowDxfId="309" dataCellStyle="Hyperlink"/>
    <tableColumn id="60" name="CERTCT" totalsRowFunction="sum" dataDxfId="308" totalsRowDxfId="307" dataCellStyle="Hyperlink"/>
    <tableColumn id="62" name="SHAPE" dataDxfId="306" totalsRowDxfId="305" dataCellStyle="Hyperlink"/>
    <tableColumn id="63" name="COLOR" dataDxfId="304" totalsRowDxfId="303" dataCellStyle="Hyperlink"/>
    <tableColumn id="64" name="CLARITY" dataDxfId="302" totalsRowDxfId="301" dataCellStyle="Hyperlink"/>
    <tableColumn id="65" name="CUT" dataDxfId="300" totalsRowDxfId="299" dataCellStyle="Hyperlink"/>
    <tableColumn id="86" name="POLISH" dataDxfId="298" totalsRowDxfId="297" dataCellStyle="Hyperlink"/>
    <tableColumn id="87" name="SYMMETRY" dataDxfId="296" totalsRowDxfId="295" dataCellStyle="Hyperlink"/>
    <tableColumn id="66" name="FLUO" dataDxfId="294" totalsRowDxfId="293" dataCellStyle="Hyperlink"/>
    <tableColumn id="67" name="CERTDT" dataDxfId="292" totalsRowDxfId="291" dataCellStyle="Hyperlink"/>
    <tableColumn id="68" name="LENGTH" dataDxfId="290" totalsRowDxfId="289" dataCellStyle="Hyperlink"/>
    <tableColumn id="69" name="WIDTH" dataDxfId="288" totalsRowDxfId="287" dataCellStyle="Hyperlink"/>
    <tableColumn id="70" name="DEPTH" dataDxfId="286" totalsRowDxfId="285" dataCellStyle="Hyperlink"/>
    <tableColumn id="71" name="DIAM" dataDxfId="284" totalsRowDxfId="283" dataCellStyle="Hyperlink"/>
    <tableColumn id="72" name="RATIO" dataDxfId="282" totalsRowDxfId="281" dataCellStyle="Hyperlink">
      <calculatedColumnFormula>Grading[[#This Row],[LENGTH]]/Grading[[#This Row],[WIDTH]]</calculatedColumnFormula>
    </tableColumn>
    <tableColumn id="73" name="CrA°" dataDxfId="280" totalsRowDxfId="279" dataCellStyle="Hyperlink"/>
    <tableColumn id="74" name="CrH" dataDxfId="278" totalsRowDxfId="277" dataCellStyle="Hyperlink"/>
    <tableColumn id="75" name="PvA°" dataDxfId="276" totalsRowDxfId="275" dataCellStyle="Hyperlink"/>
    <tableColumn id="76" name="PvD" dataDxfId="274" totalsRowDxfId="273" dataCellStyle="Hyperlink"/>
    <tableColumn id="77" name="TD" dataDxfId="272" totalsRowDxfId="271" dataCellStyle="Hyperlink"/>
    <tableColumn id="78" name="TA" dataDxfId="270" totalsRowDxfId="269" dataCellStyle="Hyperlink"/>
    <tableColumn id="79" name="STARS" dataDxfId="268" totalsRowDxfId="267" dataCellStyle="Hyperlink"/>
    <tableColumn id="80" name="HALFS" dataDxfId="266" totalsRowDxfId="265" dataCellStyle="Hyperlink"/>
    <tableColumn id="81" name="GIRDLE" dataDxfId="264" totalsRowDxfId="263" dataCellStyle="Hyperlink"/>
    <tableColumn id="82" name="GIRDLE FROM" dataDxfId="262" totalsRowDxfId="261" dataCellStyle="Hyperlink"/>
    <tableColumn id="83" name="GIRDLE TO" dataDxfId="260" totalsRowDxfId="259" dataCellStyle="Hyperlink"/>
    <tableColumn id="84" name="CULET" dataDxfId="258" totalsRowDxfId="257" dataCellStyle="Hyperlink"/>
    <tableColumn id="85" name="GIRDLE CONDITION" dataDxfId="256" totalsRowDxfId="255" dataCellStyle="Hyperlink"/>
    <tableColumn id="88" name="REPORT COMMENTS" dataDxfId="254" totalsRowDxfId="253" dataCellStyle="Hyperlink"/>
    <tableColumn id="89" name="KEY TO SYMBOLS" dataDxfId="252" totalsRowDxfId="251" dataCellStyle="Hyperlink"/>
    <tableColumn id="90" name="PDF AVAILABLE" dataDxfId="250" totalsRowDxfId="249" dataCellStyle="Hyperlink"/>
    <tableColumn id="91" name="REPORT TYPE" dataDxfId="248" totalsRowDxfId="247" dataCellStyle="Hyperlink"/>
    <tableColumn id="92" name="INSCRIPTION" dataDxfId="246" totalsRowDxfId="245" dataCellStyle="Hyperlink"/>
    <tableColumn id="93" name="SOURCE" dataDxfId="244" totalsRowDxfId="243" dataCellStyle="Hyperlink"/>
    <tableColumn id="17" name="RAP" dataDxfId="242" totalsRowDxfId="241">
      <calculatedColumnFormula array="1">IF(AQ3="N/A","",GetRapPrice(I3,H3,J3,K3))</calculatedColumnFormula>
    </tableColumn>
    <tableColumn id="18" name="Basic Discount" dataDxfId="240" totalsRowDxfId="239">
      <calculatedColumnFormula>IF(AQ3="N/A","",IF(AO3=0,0,-1+AQ3/AO3))</calculatedColumnFormula>
    </tableColumn>
    <tableColumn id="19" name="FMP" dataDxfId="238" totalsRowDxfId="237">
      <calculatedColumnFormula array="1">GetFMP(I3,H3,J3,K3,L3,M3,N3,O3,(Q3+R3)/2,Z3,AJ3,"Y")</calculatedColumnFormula>
    </tableColumn>
    <tableColumn id="20" name="T$" dataDxfId="236" totalsRowDxfId="235">
      <calculatedColumnFormula>IF(AQ3="N/A","",AQ3*H3)</calculatedColumnFormula>
    </tableColumn>
    <tableColumn id="21" name="Inclusion" dataDxfId="234" totalsRowDxfId="233"/>
    <tableColumn id="22" name="Inclusion Location " dataDxfId="232" totalsRowDxfId="231"/>
    <tableColumn id="32" name="Color Comment" dataDxfId="230"/>
    <tableColumn id="13" name="Clarity Comment" dataDxfId="229" totalsRowDxfId="228"/>
    <tableColumn id="23" name="Cut Comments" dataDxfId="227" totalsRowDxfId="226"/>
    <tableColumn id="25" name="Natural" dataDxfId="225" totalsRowDxfId="224"/>
    <tableColumn id="16" name="Intended Natural" dataDxfId="223" totalsRowDxfId="222"/>
    <tableColumn id="28" name="Open" dataDxfId="221" totalsRowDxfId="220"/>
    <tableColumn id="30" name="Surface Graining" dataDxfId="219" totalsRowDxfId="218"/>
    <tableColumn id="29" name="Internal Graining" dataDxfId="217" totalsRowDxfId="216"/>
    <tableColumn id="116" name="Extra Facet" dataDxfId="215" totalsRowDxfId="214"/>
    <tableColumn id="118" name="Cavity" dataDxfId="213" totalsRowDxfId="212"/>
    <tableColumn id="122" name="Chip" dataDxfId="211" totalsRowDxfId="210"/>
    <tableColumn id="31" name="Open Disc" dataDxfId="209" totalsRowDxfId="208">
      <calculatedColumnFormula>NaturalRelatedDisc(I3,H3,J3,K3,AX3,"Y",L3,M3,N3,O3)+NaturalRelatedDisc(I3,H3,J3,K3,AY3,"Y",L3,M3,N3,O3)+OpenRelatedDisc(I3,H3,J3,K3,AZ3,"Y",L3,M3,N3,O3)+GrainingRelatedDisc(I3,H3,J3,K3,BA3,"Surface","Y",L3,M3,N3,O3)+GrainingRelatedDisc(I3,H3,J3,K3,BB3,"Internal","Y",L3,M3,N3,O3)+OthersRelatedDisc(I3,H3,J3,K3,BC3,"Y",L3,M3,N3,O3)+OthersRelatedDisc(I3,H3,J3,K3,BD3,"Y",L3,M3,N3,O3)+OthersRelatedDisc(I3,H3,J3,K3,BE3,"Y",L3,M3,N3,O3)+cutrelatedDisc(I3,H3,J3,K3,L3,M3,N3,AW3,"Y",O3)+GetColClarupgDwg(I3,H3,J3,K3,AU3,AV3,"Y",L3)</calculatedColumnFormula>
    </tableColumn>
    <tableColumn id="26" name="Tinge" dataDxfId="207" totalsRowDxfId="206"/>
    <tableColumn id="27" name="Milky" dataDxfId="205" totalsRowDxfId="204"/>
    <tableColumn id="117" name="Column1" dataDxfId="203" totalsRowDxfId="202">
      <calculatedColumnFormula>BGMRelatedDisc(I3,H3,J3,K3,BG3,BH3,"Y",L3,M3,N3,O3)</calculatedColumnFormula>
    </tableColumn>
    <tableColumn id="101" name="Table Black" dataDxfId="201" totalsRowDxfId="200"/>
    <tableColumn id="102" name="Side Black" dataDxfId="199" totalsRowDxfId="198"/>
    <tableColumn id="123" name="White" dataDxfId="197" totalsRowDxfId="196"/>
    <tableColumn id="33" name="Black Disc" dataDxfId="195" totalsRowDxfId="194">
      <calculatedColumnFormula array="1">OverallBlackRelatedDisc(I3,H3,J3,K3,BJ3,BK3,"Y",L3,M3,N3,O3)</calculatedColumnFormula>
    </tableColumn>
    <tableColumn id="34" name="Eye Clean" dataDxfId="193" totalsRowDxfId="192"/>
    <tableColumn id="35" name="Table Clean" dataDxfId="191" totalsRowDxfId="190"/>
    <tableColumn id="37" name="H&amp;A" dataDxfId="189" totalsRowDxfId="188"/>
    <tableColumn id="36" name="Clean Disc" dataDxfId="187" totalsRowDxfId="186">
      <calculatedColumnFormula>cleanrelateddisc(I3, H3, J3, K3, BN3, BO3, "Y", L3, M3, N3,O3)+HARelatedDisc(I3, H3, J3, K3,BP3, "Y", L3,O3)</calculatedColumnFormula>
    </tableColumn>
    <tableColumn id="39" name="AM " dataDxfId="185" totalsRowDxfId="184"/>
    <tableColumn id="40" name="PCR " dataDxfId="183" totalsRowDxfId="182"/>
    <tableColumn id="41" name="LT " dataDxfId="181" totalsRowDxfId="180"/>
    <tableColumn id="42" name="HOH " dataDxfId="179" totalsRowDxfId="178"/>
    <tableColumn id="43" name="PAS8 " dataDxfId="177" totalsRowDxfId="176"/>
    <tableColumn id="44" name="INFI " dataDxfId="175" totalsRowDxfId="174"/>
    <tableColumn id="45" name="VCA " dataDxfId="173" totalsRowDxfId="172"/>
    <tableColumn id="103" name="TAS" dataDxfId="171" totalsRowDxfId="170"/>
    <tableColumn id="104" name="A1" dataDxfId="169" totalsRowDxfId="168"/>
    <tableColumn id="105" name="HC5" dataDxfId="167" totalsRowDxfId="166"/>
    <tableColumn id="106" name="C1" dataDxfId="165" totalsRowDxfId="164"/>
    <tableColumn id="107" name="CSC" dataDxfId="163" totalsRowDxfId="162"/>
    <tableColumn id="108" name="LKI" dataDxfId="161" totalsRowDxfId="160"/>
    <tableColumn id="109" name="DY" dataDxfId="159" totalsRowDxfId="158"/>
    <tableColumn id="110" name="SK" dataDxfId="157" totalsRowDxfId="156"/>
    <tableColumn id="111" name="TSL" dataDxfId="155" totalsRowDxfId="154"/>
    <tableColumn id="112" name="MKM" dataDxfId="153" totalsRowDxfId="152"/>
    <tableColumn id="113" name="PP" dataDxfId="151" totalsRowDxfId="150"/>
    <tableColumn id="46" name="Client " dataDxfId="149" totalsRowDxfId="148"/>
    <tableColumn id="47" name="Remark " dataDxfId="147" totalsRowDxfId="146"/>
    <tableColumn id="8" name="Section" dataDxfId="145" totalsRowDxfId="144">
      <calculatedColumnFormula array="1">getSection(I3,J3,K3)</calculatedColumnFormula>
    </tableColumn>
    <tableColumn id="94" name="RAP  " dataDxfId="143" totalsRowDxfId="142">
      <calculatedColumnFormula array="1">IF(AQ3="N/A","",IF(CU3="N/A",0,GetRapPrice(I3,H3,J3,K3)))</calculatedColumnFormula>
    </tableColumn>
    <tableColumn id="120" name="Pricelist Discount" dataDxfId="141">
      <calculatedColumnFormula>IF(AQ3="N/A","",IF(CU3="N/A",0,AP3-SUM(CO3+CQ3+CR3+CS3+CP3)))</calculatedColumnFormula>
    </tableColumn>
    <tableColumn id="14" name="Pol/Symm" dataDxfId="140" totalsRowDxfId="139">
      <calculatedColumnFormula array="1">IF(AQ3="N/A","",IF(CU3="N/A",0,IF(ISBLANK(G3),0,GetPolSymmDiscount(I3,H3,J3,K3,L3,M3,N3,O3))))</calculatedColumnFormula>
    </tableColumn>
    <tableColumn id="119" name="Depth Discount" dataDxfId="138" totalsRowDxfId="137">
      <calculatedColumnFormula array="1">IF(AQ3="N/A","",Depthdisc(I3,H3,L3,J3,K3,Z3,"Y"))</calculatedColumnFormula>
    </tableColumn>
    <tableColumn id="121" name="Size Premiums" dataDxfId="136" totalsRowDxfId="135">
      <calculatedColumnFormula array="1">IF(AQ3="N/A","",IF(CU3="N/A",0,GetSizePremiums(I3,H3,J3,K3,L3,M3,N3,O3,getSection(G3,J3,K3))))</calculatedColumnFormula>
    </tableColumn>
    <tableColumn id="127" name="Diameter Premiums" dataDxfId="134" totalsRowDxfId="133">
      <calculatedColumnFormula array="1">IF(AQ3="N/A","",IF(CU3="N/A",0,IF(ISBLANK(G3),0,GetDiameterPremiums(I3,H3,L3,M3,N3,O3,J3,K3,T3))))</calculatedColumnFormula>
    </tableColumn>
    <tableColumn id="128" name="Ktos Premiums" dataDxfId="132" totalsRowDxfId="131">
      <calculatedColumnFormula array="1">IF(AQ3="N/A","",IF(CU3="N/A",0,IF(ISBLANK(G3),0,GetKtoSPremiums(I3,H3,J3,K3,AJ3))))</calculatedColumnFormula>
    </tableColumn>
    <tableColumn id="95" name="Total Discount" dataDxfId="130" totalsRowDxfId="129">
      <calculatedColumnFormula>IF(AQ3="N/A","",IF(CU3="N/A",0,IF(OR(CM3=0,CU3=0,CM3=""),"",-1+CU3/CM3)))</calculatedColumnFormula>
    </tableColumn>
    <tableColumn id="61" name="FMP  " dataDxfId="128" totalsRowDxfId="127">
      <calculatedColumnFormula array="1">IF(AQ3="N/A","",GetFMP(I3, H3, J3, K3, L3, M3, N3, O3, (Q3+R3)/2,Z3,AJ3,"Y"))</calculatedColumnFormula>
    </tableColumn>
    <tableColumn id="96" name="T$  " totalsRowFunction="sum" dataDxfId="126" totalsRowDxfId="125">
      <calculatedColumnFormula>IF(AQ3="N/A","",IF(CU3="N/A",0,CU3*H3))</calculatedColumnFormula>
    </tableColumn>
    <tableColumn id="97" name="RAP   " totalsRowFunction="custom" dataDxfId="124" totalsRowDxfId="123">
      <calculatedColumnFormula>IF(CX3="","",CM3)</calculatedColumnFormula>
      <totalsRowFormula>SUM(Grading[[RAP   ]])</totalsRowFormula>
    </tableColumn>
    <tableColumn id="24" name="Internal Gradings" dataDxfId="122">
      <calculatedColumnFormula>IF(OR(AQ3="N/A",BM3="N/A",BI3="N/A"),"",BF3+BI3+BM3+BQ3)</calculatedColumnFormula>
    </tableColumn>
    <tableColumn id="129" name="Cutoff" dataDxfId="121">
      <calculatedColumnFormula>IF(OR(AQ3="N/A",BM3="N/A",BI3="N/A"),"",IF(AND(H3&lt;1,H3&gt;=0.3,I2="ROUND"),IF(CT3&gt;=-0.4,-0.2,-0.15),MAX(CX3,IF(OR(AQ3="N/A",BM3="N/A",BI3="N/A"),"",GetFinalDiscount("Y", I3, H3, J3, K3, L3, M3, N3, O3, AS3, AT3,AU3,AV3, AW3, AX3,AY3, AZ3, BA3, BB3,BC3,BD3, BE3,BG3, BH3, BJ3, BK3, BN3, BO3, BP3)))))</calculatedColumnFormula>
    </tableColumn>
    <tableColumn id="126" name="Base" dataDxfId="120">
      <calculatedColumnFormula>IF(CX3="","",CT3)</calculatedColumnFormula>
    </tableColumn>
    <tableColumn id="98" name="Final Disc    " dataDxfId="119">
      <calculatedColumnFormula>IF(OR(AQ3="N/A",BM3="N/A",BI3="N/A"),"",CZ3+MAX(CX3,CY3))</calculatedColumnFormula>
    </tableColumn>
    <tableColumn id="100" name="FMP " dataDxfId="118">
      <calculatedColumnFormula>IF(OR(AQ3="N/A",BM3="N/A",BI3="N/A"),"",CW3*(1+DA3))</calculatedColumnFormula>
    </tableColumn>
    <tableColumn id="99" name="T$    " totalsRowFunction="sum" dataDxfId="117">
      <calculatedColumnFormula>IF(OR(AQ3="N/A",BM3="N/A",BI3="N/A"),"",DB3*H3)</calculatedColumnFormula>
    </tableColumn>
    <tableColumn id="15" name="Comments " dataDxfId="116">
      <calculatedColumnFormula>IF(BM3="N/A","Strong Black not allowed in Fancy",IF(BI3="N/A","BGM Not Allowed in Fancies nor 3Cts+",IF(AQ3="N/A","No Price Available in Pricelist","")))</calculatedColumnFormula>
    </tableColumn>
    <tableColumn id="4" name="Cert Cost" dataDxfId="115">
      <calculatedColumnFormula array="1">IF(OR(AQ3="N/A",BM3="N/A",BI3="N/A"),"",GetCertCharge(H3,"Y",AL3))</calculatedColumnFormula>
    </tableColumn>
    <tableColumn id="5" name="Cost of Sales" dataDxfId="114">
      <calculatedColumnFormula>IF(OR(AQ3="N/A",BM3="N/A",BI3="N/A"),"",DC3*Parameters!$L$3)</calculatedColumnFormula>
    </tableColumn>
    <tableColumn id="6" name="Net" dataDxfId="113">
      <calculatedColumnFormula>IF(OR(AQ3="N/A",BM3="N/A",BI3="N/A"),"",DC3-DE3-DF3)</calculatedColumnFormula>
    </tableColumn>
    <tableColumn id="7" name="$/Ct" dataDxfId="112">
      <calculatedColumnFormula>IF(OR(AQ3="N/A",BM3="N/A",BI3="N/A"),"",DG3/H3)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3" name="Grading4" displayName="Grading4" ref="A2:BC3" headerRowDxfId="111" dataDxfId="110" totalsRowDxfId="109">
  <tableColumns count="55">
    <tableColumn id="1" name="PCS" totalsRowLabel="Total" dataDxfId="108" totalsRowDxfId="107"/>
    <tableColumn id="2" name="Location" dataDxfId="106" totalsRowDxfId="105"/>
    <tableColumn id="3" name="Lot-Serie" totalsRowLabel="qskf" dataDxfId="104"/>
    <tableColumn id="114" name="Picture" dataDxfId="103" totalsRowDxfId="102" dataCellStyle="Hyperlink"/>
    <tableColumn id="115" name="Video" dataDxfId="101" totalsRowDxfId="100" dataCellStyle="Hyperlink"/>
    <tableColumn id="4" name="Shape " dataDxfId="99" totalsRowDxfId="98"/>
    <tableColumn id="5" name="Weight " totalsRowFunction="sum" dataDxfId="97" totalsRowDxfId="96"/>
    <tableColumn id="6" name="Color " dataDxfId="95" totalsRowDxfId="94"/>
    <tableColumn id="7" name="Clarity " dataDxfId="93" totalsRowDxfId="92"/>
    <tableColumn id="8" name="Cut " dataDxfId="91" totalsRowDxfId="90"/>
    <tableColumn id="9" name="Polish " dataDxfId="89" totalsRowDxfId="88"/>
    <tableColumn id="10" name="Symmetry " dataDxfId="87" totalsRowDxfId="86"/>
    <tableColumn id="11" name="Fluo " dataDxfId="85" totalsRowDxfId="84"/>
    <tableColumn id="12" name="Diam " dataDxfId="83" totalsRowDxfId="82"/>
    <tableColumn id="38" name="Certified" dataDxfId="81" totalsRowDxfId="80"/>
    <tableColumn id="21" name="Inclusion" dataDxfId="79" totalsRowDxfId="78"/>
    <tableColumn id="22" name="Location " dataDxfId="77" totalsRowDxfId="76"/>
    <tableColumn id="23" name="Cut Comments" dataDxfId="75" totalsRowDxfId="74"/>
    <tableColumn id="25" name="Natural" dataDxfId="73" totalsRowDxfId="72"/>
    <tableColumn id="125" name="Location Natural" dataDxfId="71" totalsRowDxfId="70"/>
    <tableColumn id="28" name="Open" dataDxfId="69" totalsRowDxfId="68"/>
    <tableColumn id="124" name="Open Location" dataDxfId="67" totalsRowDxfId="66"/>
    <tableColumn id="30" name="Surface Graining" dataDxfId="65" totalsRowDxfId="64"/>
    <tableColumn id="29" name="Internal Graining" dataDxfId="63" totalsRowDxfId="62"/>
    <tableColumn id="119" name="Others" dataDxfId="61" totalsRowDxfId="60"/>
    <tableColumn id="126" name="Others Location" dataDxfId="59" totalsRowDxfId="58"/>
    <tableColumn id="26" name="Brown" dataDxfId="57" totalsRowDxfId="56"/>
    <tableColumn id="13" name="Green" dataDxfId="55" totalsRowDxfId="54"/>
    <tableColumn id="27" name="Milky" dataDxfId="53" totalsRowDxfId="52"/>
    <tableColumn id="32" name="Black" dataDxfId="51" totalsRowDxfId="50"/>
    <tableColumn id="101" name="Location   " dataDxfId="49" totalsRowDxfId="48"/>
    <tableColumn id="102" name="Intensity" dataDxfId="47" totalsRowDxfId="46"/>
    <tableColumn id="34" name="Eye Clean" dataDxfId="45" totalsRowDxfId="44"/>
    <tableColumn id="35" name="Table Clean" dataDxfId="43" totalsRowDxfId="42"/>
    <tableColumn id="37" name="H&amp;A" dataDxfId="41" totalsRowDxfId="40"/>
    <tableColumn id="39" name="AM " dataDxfId="39" totalsRowDxfId="38"/>
    <tableColumn id="40" name="PCR " dataDxfId="37" totalsRowDxfId="36"/>
    <tableColumn id="41" name="LT " dataDxfId="35" totalsRowDxfId="34"/>
    <tableColumn id="42" name="HOH " dataDxfId="33" totalsRowDxfId="32"/>
    <tableColumn id="43" name="PAS8 " dataDxfId="31" totalsRowDxfId="30"/>
    <tableColumn id="44" name="INFI " dataDxfId="29" totalsRowDxfId="28"/>
    <tableColumn id="45" name="VCA " dataDxfId="27" totalsRowDxfId="26"/>
    <tableColumn id="103" name="TAS" dataDxfId="25" totalsRowDxfId="24"/>
    <tableColumn id="104" name="A1" dataDxfId="23" totalsRowDxfId="22"/>
    <tableColumn id="105" name="HC5" dataDxfId="21" totalsRowDxfId="20"/>
    <tableColumn id="106" name="C1" dataDxfId="19" totalsRowDxfId="18"/>
    <tableColumn id="107" name="CSC" dataDxfId="17" totalsRowDxfId="16"/>
    <tableColumn id="108" name="LKI" dataDxfId="15" totalsRowDxfId="14"/>
    <tableColumn id="109" name="DY" dataDxfId="13" totalsRowDxfId="12"/>
    <tableColumn id="110" name="SK" dataDxfId="11" totalsRowDxfId="10"/>
    <tableColumn id="111" name="TSL" dataDxfId="9" totalsRowDxfId="8"/>
    <tableColumn id="112" name="MKM" dataDxfId="7" totalsRowDxfId="6"/>
    <tableColumn id="113" name="PP" dataDxfId="5" totalsRowDxfId="4"/>
    <tableColumn id="46" name="Client " dataDxfId="3" totalsRowDxfId="2"/>
    <tableColumn id="47" name="Remark " dataDxfId="1" totalsRow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H451"/>
  <sheetViews>
    <sheetView workbookViewId="0"/>
  </sheetViews>
  <sheetFormatPr defaultRowHeight="15" x14ac:dyDescent="0.25"/>
  <sheetData>
    <row r="2" spans="1:8" ht="14.45" x14ac:dyDescent="0.3">
      <c r="A2" s="667" t="s">
        <v>196</v>
      </c>
      <c r="B2" s="668">
        <f>AVERAGE(1,1.19)</f>
        <v>1.095</v>
      </c>
      <c r="C2" s="667" t="s">
        <v>186</v>
      </c>
      <c r="D2" s="667" t="s">
        <v>187</v>
      </c>
      <c r="E2" s="667" t="s">
        <v>188</v>
      </c>
      <c r="F2" s="667" t="s">
        <v>188</v>
      </c>
      <c r="G2" s="667" t="s">
        <v>188</v>
      </c>
      <c r="H2" s="667" t="s">
        <v>22</v>
      </c>
    </row>
    <row r="3" spans="1:8" ht="14.45" x14ac:dyDescent="0.3">
      <c r="A3" s="669" t="s">
        <v>196</v>
      </c>
      <c r="B3" s="670">
        <f t="shared" ref="B3:B31" si="0">AVERAGE(1,1.19)</f>
        <v>1.095</v>
      </c>
      <c r="C3" s="669" t="s">
        <v>186</v>
      </c>
      <c r="D3" s="669" t="s">
        <v>214</v>
      </c>
      <c r="E3" s="669" t="s">
        <v>188</v>
      </c>
      <c r="F3" s="669" t="s">
        <v>188</v>
      </c>
      <c r="G3" s="669" t="s">
        <v>188</v>
      </c>
      <c r="H3" s="669" t="s">
        <v>22</v>
      </c>
    </row>
    <row r="4" spans="1:8" ht="14.45" x14ac:dyDescent="0.3">
      <c r="A4" s="667" t="s">
        <v>196</v>
      </c>
      <c r="B4" s="668">
        <f t="shared" si="0"/>
        <v>1.095</v>
      </c>
      <c r="C4" s="667" t="s">
        <v>186</v>
      </c>
      <c r="D4" s="667" t="s">
        <v>233</v>
      </c>
      <c r="E4" s="667" t="s">
        <v>188</v>
      </c>
      <c r="F4" s="667" t="s">
        <v>188</v>
      </c>
      <c r="G4" s="667" t="s">
        <v>188</v>
      </c>
      <c r="H4" s="667" t="s">
        <v>22</v>
      </c>
    </row>
    <row r="5" spans="1:8" ht="14.45" x14ac:dyDescent="0.3">
      <c r="A5" s="669" t="s">
        <v>196</v>
      </c>
      <c r="B5" s="670">
        <f t="shared" si="0"/>
        <v>1.095</v>
      </c>
      <c r="C5" s="669" t="s">
        <v>186</v>
      </c>
      <c r="D5" s="669" t="s">
        <v>242</v>
      </c>
      <c r="E5" s="669" t="s">
        <v>188</v>
      </c>
      <c r="F5" s="669" t="s">
        <v>188</v>
      </c>
      <c r="G5" s="669" t="s">
        <v>188</v>
      </c>
      <c r="H5" s="669" t="s">
        <v>22</v>
      </c>
    </row>
    <row r="6" spans="1:8" ht="14.45" x14ac:dyDescent="0.3">
      <c r="A6" s="667" t="s">
        <v>196</v>
      </c>
      <c r="B6" s="668">
        <f t="shared" si="0"/>
        <v>1.095</v>
      </c>
      <c r="C6" s="667" t="s">
        <v>186</v>
      </c>
      <c r="D6" s="667" t="s">
        <v>250</v>
      </c>
      <c r="E6" s="667" t="s">
        <v>188</v>
      </c>
      <c r="F6" s="667" t="s">
        <v>188</v>
      </c>
      <c r="G6" s="667" t="s">
        <v>188</v>
      </c>
      <c r="H6" s="667" t="s">
        <v>22</v>
      </c>
    </row>
    <row r="7" spans="1:8" ht="14.45" x14ac:dyDescent="0.3">
      <c r="A7" s="669" t="s">
        <v>196</v>
      </c>
      <c r="B7" s="670">
        <f t="shared" si="0"/>
        <v>1.095</v>
      </c>
      <c r="C7" s="669" t="s">
        <v>213</v>
      </c>
      <c r="D7" s="669" t="s">
        <v>187</v>
      </c>
      <c r="E7" s="669" t="s">
        <v>188</v>
      </c>
      <c r="F7" s="669" t="s">
        <v>188</v>
      </c>
      <c r="G7" s="669" t="s">
        <v>188</v>
      </c>
      <c r="H7" s="669" t="s">
        <v>22</v>
      </c>
    </row>
    <row r="8" spans="1:8" ht="14.45" x14ac:dyDescent="0.3">
      <c r="A8" s="667" t="s">
        <v>196</v>
      </c>
      <c r="B8" s="668">
        <f t="shared" si="0"/>
        <v>1.095</v>
      </c>
      <c r="C8" s="667" t="s">
        <v>213</v>
      </c>
      <c r="D8" s="667" t="s">
        <v>214</v>
      </c>
      <c r="E8" s="667" t="s">
        <v>188</v>
      </c>
      <c r="F8" s="667" t="s">
        <v>188</v>
      </c>
      <c r="G8" s="667" t="s">
        <v>188</v>
      </c>
      <c r="H8" s="667" t="s">
        <v>22</v>
      </c>
    </row>
    <row r="9" spans="1:8" ht="14.45" x14ac:dyDescent="0.3">
      <c r="A9" s="669" t="s">
        <v>196</v>
      </c>
      <c r="B9" s="670">
        <f t="shared" si="0"/>
        <v>1.095</v>
      </c>
      <c r="C9" s="669" t="s">
        <v>213</v>
      </c>
      <c r="D9" s="669" t="s">
        <v>233</v>
      </c>
      <c r="E9" s="669" t="s">
        <v>188</v>
      </c>
      <c r="F9" s="669" t="s">
        <v>188</v>
      </c>
      <c r="G9" s="669" t="s">
        <v>188</v>
      </c>
      <c r="H9" s="669" t="s">
        <v>22</v>
      </c>
    </row>
    <row r="10" spans="1:8" ht="14.45" x14ac:dyDescent="0.3">
      <c r="A10" s="667" t="s">
        <v>196</v>
      </c>
      <c r="B10" s="668">
        <f t="shared" si="0"/>
        <v>1.095</v>
      </c>
      <c r="C10" s="667" t="s">
        <v>213</v>
      </c>
      <c r="D10" s="667" t="s">
        <v>242</v>
      </c>
      <c r="E10" s="667" t="s">
        <v>188</v>
      </c>
      <c r="F10" s="667" t="s">
        <v>188</v>
      </c>
      <c r="G10" s="667" t="s">
        <v>188</v>
      </c>
      <c r="H10" s="667" t="s">
        <v>22</v>
      </c>
    </row>
    <row r="11" spans="1:8" ht="14.45" x14ac:dyDescent="0.3">
      <c r="A11" s="669" t="s">
        <v>196</v>
      </c>
      <c r="B11" s="670">
        <f t="shared" si="0"/>
        <v>1.095</v>
      </c>
      <c r="C11" s="669" t="s">
        <v>213</v>
      </c>
      <c r="D11" s="669" t="s">
        <v>250</v>
      </c>
      <c r="E11" s="669" t="s">
        <v>188</v>
      </c>
      <c r="F11" s="669" t="s">
        <v>188</v>
      </c>
      <c r="G11" s="669" t="s">
        <v>188</v>
      </c>
      <c r="H11" s="669" t="s">
        <v>22</v>
      </c>
    </row>
    <row r="12" spans="1:8" ht="14.45" x14ac:dyDescent="0.3">
      <c r="A12" s="667" t="s">
        <v>196</v>
      </c>
      <c r="B12" s="668">
        <f t="shared" si="0"/>
        <v>1.095</v>
      </c>
      <c r="C12" s="667" t="s">
        <v>232</v>
      </c>
      <c r="D12" s="667" t="s">
        <v>187</v>
      </c>
      <c r="E12" s="667" t="s">
        <v>188</v>
      </c>
      <c r="F12" s="667" t="s">
        <v>188</v>
      </c>
      <c r="G12" s="667" t="s">
        <v>188</v>
      </c>
      <c r="H12" s="667" t="s">
        <v>22</v>
      </c>
    </row>
    <row r="13" spans="1:8" ht="14.45" x14ac:dyDescent="0.3">
      <c r="A13" s="669" t="s">
        <v>196</v>
      </c>
      <c r="B13" s="670">
        <f t="shared" si="0"/>
        <v>1.095</v>
      </c>
      <c r="C13" s="669" t="s">
        <v>232</v>
      </c>
      <c r="D13" s="669" t="s">
        <v>214</v>
      </c>
      <c r="E13" s="669" t="s">
        <v>188</v>
      </c>
      <c r="F13" s="669" t="s">
        <v>188</v>
      </c>
      <c r="G13" s="669" t="s">
        <v>188</v>
      </c>
      <c r="H13" s="669" t="s">
        <v>22</v>
      </c>
    </row>
    <row r="14" spans="1:8" ht="14.45" x14ac:dyDescent="0.3">
      <c r="A14" s="667" t="s">
        <v>196</v>
      </c>
      <c r="B14" s="668">
        <f t="shared" si="0"/>
        <v>1.095</v>
      </c>
      <c r="C14" s="667" t="s">
        <v>232</v>
      </c>
      <c r="D14" s="667" t="s">
        <v>233</v>
      </c>
      <c r="E14" s="667" t="s">
        <v>188</v>
      </c>
      <c r="F14" s="667" t="s">
        <v>188</v>
      </c>
      <c r="G14" s="667" t="s">
        <v>188</v>
      </c>
      <c r="H14" s="667" t="s">
        <v>22</v>
      </c>
    </row>
    <row r="15" spans="1:8" ht="14.45" x14ac:dyDescent="0.3">
      <c r="A15" s="669" t="s">
        <v>196</v>
      </c>
      <c r="B15" s="670">
        <f t="shared" si="0"/>
        <v>1.095</v>
      </c>
      <c r="C15" s="669" t="s">
        <v>232</v>
      </c>
      <c r="D15" s="669" t="s">
        <v>242</v>
      </c>
      <c r="E15" s="669" t="s">
        <v>188</v>
      </c>
      <c r="F15" s="669" t="s">
        <v>188</v>
      </c>
      <c r="G15" s="669" t="s">
        <v>188</v>
      </c>
      <c r="H15" s="669" t="s">
        <v>22</v>
      </c>
    </row>
    <row r="16" spans="1:8" ht="14.45" x14ac:dyDescent="0.3">
      <c r="A16" s="667" t="s">
        <v>196</v>
      </c>
      <c r="B16" s="668">
        <f t="shared" si="0"/>
        <v>1.095</v>
      </c>
      <c r="C16" s="667" t="s">
        <v>232</v>
      </c>
      <c r="D16" s="667" t="s">
        <v>250</v>
      </c>
      <c r="E16" s="667" t="s">
        <v>188</v>
      </c>
      <c r="F16" s="667" t="s">
        <v>188</v>
      </c>
      <c r="G16" s="667" t="s">
        <v>188</v>
      </c>
      <c r="H16" s="667" t="s">
        <v>22</v>
      </c>
    </row>
    <row r="17" spans="1:8" ht="14.45" x14ac:dyDescent="0.3">
      <c r="A17" s="669" t="s">
        <v>196</v>
      </c>
      <c r="B17" s="670">
        <f t="shared" si="0"/>
        <v>1.095</v>
      </c>
      <c r="C17" s="669" t="s">
        <v>215</v>
      </c>
      <c r="D17" s="669" t="s">
        <v>187</v>
      </c>
      <c r="E17" s="669" t="s">
        <v>188</v>
      </c>
      <c r="F17" s="669" t="s">
        <v>188</v>
      </c>
      <c r="G17" s="669" t="s">
        <v>188</v>
      </c>
      <c r="H17" s="669" t="s">
        <v>22</v>
      </c>
    </row>
    <row r="18" spans="1:8" ht="14.45" x14ac:dyDescent="0.3">
      <c r="A18" s="667" t="s">
        <v>196</v>
      </c>
      <c r="B18" s="668">
        <f t="shared" si="0"/>
        <v>1.095</v>
      </c>
      <c r="C18" s="667" t="s">
        <v>215</v>
      </c>
      <c r="D18" s="667" t="s">
        <v>214</v>
      </c>
      <c r="E18" s="667" t="s">
        <v>188</v>
      </c>
      <c r="F18" s="667" t="s">
        <v>188</v>
      </c>
      <c r="G18" s="667" t="s">
        <v>188</v>
      </c>
      <c r="H18" s="667" t="s">
        <v>22</v>
      </c>
    </row>
    <row r="19" spans="1:8" ht="14.45" x14ac:dyDescent="0.3">
      <c r="A19" s="669" t="s">
        <v>196</v>
      </c>
      <c r="B19" s="670">
        <f t="shared" si="0"/>
        <v>1.095</v>
      </c>
      <c r="C19" s="669" t="s">
        <v>215</v>
      </c>
      <c r="D19" s="669" t="s">
        <v>233</v>
      </c>
      <c r="E19" s="669" t="s">
        <v>188</v>
      </c>
      <c r="F19" s="669" t="s">
        <v>188</v>
      </c>
      <c r="G19" s="669" t="s">
        <v>188</v>
      </c>
      <c r="H19" s="669" t="s">
        <v>22</v>
      </c>
    </row>
    <row r="20" spans="1:8" ht="14.45" x14ac:dyDescent="0.3">
      <c r="A20" s="667" t="s">
        <v>196</v>
      </c>
      <c r="B20" s="668">
        <f t="shared" si="0"/>
        <v>1.095</v>
      </c>
      <c r="C20" s="667" t="s">
        <v>215</v>
      </c>
      <c r="D20" s="667" t="s">
        <v>242</v>
      </c>
      <c r="E20" s="667" t="s">
        <v>188</v>
      </c>
      <c r="F20" s="667" t="s">
        <v>188</v>
      </c>
      <c r="G20" s="667" t="s">
        <v>188</v>
      </c>
      <c r="H20" s="667" t="s">
        <v>22</v>
      </c>
    </row>
    <row r="21" spans="1:8" ht="14.45" x14ac:dyDescent="0.3">
      <c r="A21" s="669" t="s">
        <v>196</v>
      </c>
      <c r="B21" s="670">
        <f t="shared" si="0"/>
        <v>1.095</v>
      </c>
      <c r="C21" s="669" t="s">
        <v>215</v>
      </c>
      <c r="D21" s="669" t="s">
        <v>250</v>
      </c>
      <c r="E21" s="669" t="s">
        <v>188</v>
      </c>
      <c r="F21" s="669" t="s">
        <v>188</v>
      </c>
      <c r="G21" s="669" t="s">
        <v>188</v>
      </c>
      <c r="H21" s="669" t="s">
        <v>22</v>
      </c>
    </row>
    <row r="22" spans="1:8" ht="14.45" x14ac:dyDescent="0.3">
      <c r="A22" s="667" t="s">
        <v>196</v>
      </c>
      <c r="B22" s="668">
        <f t="shared" si="0"/>
        <v>1.095</v>
      </c>
      <c r="C22" s="667" t="s">
        <v>249</v>
      </c>
      <c r="D22" s="667" t="s">
        <v>187</v>
      </c>
      <c r="E22" s="667" t="s">
        <v>188</v>
      </c>
      <c r="F22" s="667" t="s">
        <v>188</v>
      </c>
      <c r="G22" s="667" t="s">
        <v>188</v>
      </c>
      <c r="H22" s="667" t="s">
        <v>22</v>
      </c>
    </row>
    <row r="23" spans="1:8" ht="14.45" x14ac:dyDescent="0.3">
      <c r="A23" s="669" t="s">
        <v>196</v>
      </c>
      <c r="B23" s="670">
        <f t="shared" si="0"/>
        <v>1.095</v>
      </c>
      <c r="C23" s="669" t="s">
        <v>249</v>
      </c>
      <c r="D23" s="669" t="s">
        <v>214</v>
      </c>
      <c r="E23" s="669" t="s">
        <v>188</v>
      </c>
      <c r="F23" s="669" t="s">
        <v>188</v>
      </c>
      <c r="G23" s="669" t="s">
        <v>188</v>
      </c>
      <c r="H23" s="669" t="s">
        <v>22</v>
      </c>
    </row>
    <row r="24" spans="1:8" ht="14.45" x14ac:dyDescent="0.3">
      <c r="A24" s="667" t="s">
        <v>196</v>
      </c>
      <c r="B24" s="668">
        <f t="shared" si="0"/>
        <v>1.095</v>
      </c>
      <c r="C24" s="667" t="s">
        <v>249</v>
      </c>
      <c r="D24" s="667" t="s">
        <v>233</v>
      </c>
      <c r="E24" s="667" t="s">
        <v>188</v>
      </c>
      <c r="F24" s="667" t="s">
        <v>188</v>
      </c>
      <c r="G24" s="667" t="s">
        <v>188</v>
      </c>
      <c r="H24" s="667" t="s">
        <v>22</v>
      </c>
    </row>
    <row r="25" spans="1:8" ht="14.45" x14ac:dyDescent="0.3">
      <c r="A25" s="669" t="s">
        <v>196</v>
      </c>
      <c r="B25" s="670">
        <f t="shared" si="0"/>
        <v>1.095</v>
      </c>
      <c r="C25" s="669" t="s">
        <v>249</v>
      </c>
      <c r="D25" s="669" t="s">
        <v>242</v>
      </c>
      <c r="E25" s="669" t="s">
        <v>188</v>
      </c>
      <c r="F25" s="669" t="s">
        <v>188</v>
      </c>
      <c r="G25" s="669" t="s">
        <v>188</v>
      </c>
      <c r="H25" s="669" t="s">
        <v>22</v>
      </c>
    </row>
    <row r="26" spans="1:8" ht="14.45" x14ac:dyDescent="0.3">
      <c r="A26" s="667" t="s">
        <v>196</v>
      </c>
      <c r="B26" s="668">
        <f t="shared" si="0"/>
        <v>1.095</v>
      </c>
      <c r="C26" s="667" t="s">
        <v>249</v>
      </c>
      <c r="D26" s="667" t="s">
        <v>250</v>
      </c>
      <c r="E26" s="667" t="s">
        <v>188</v>
      </c>
      <c r="F26" s="667" t="s">
        <v>188</v>
      </c>
      <c r="G26" s="667" t="s">
        <v>188</v>
      </c>
      <c r="H26" s="667" t="s">
        <v>22</v>
      </c>
    </row>
    <row r="27" spans="1:8" x14ac:dyDescent="0.25">
      <c r="A27" s="669" t="s">
        <v>196</v>
      </c>
      <c r="B27" s="670">
        <f t="shared" si="0"/>
        <v>1.095</v>
      </c>
      <c r="C27" s="669" t="s">
        <v>257</v>
      </c>
      <c r="D27" s="669" t="s">
        <v>187</v>
      </c>
      <c r="E27" s="669" t="s">
        <v>188</v>
      </c>
      <c r="F27" s="669" t="s">
        <v>188</v>
      </c>
      <c r="G27" s="669" t="s">
        <v>188</v>
      </c>
      <c r="H27" s="669" t="s">
        <v>22</v>
      </c>
    </row>
    <row r="28" spans="1:8" x14ac:dyDescent="0.25">
      <c r="A28" s="667" t="s">
        <v>196</v>
      </c>
      <c r="B28" s="668">
        <f t="shared" si="0"/>
        <v>1.095</v>
      </c>
      <c r="C28" s="667" t="s">
        <v>257</v>
      </c>
      <c r="D28" s="667" t="s">
        <v>214</v>
      </c>
      <c r="E28" s="667" t="s">
        <v>188</v>
      </c>
      <c r="F28" s="667" t="s">
        <v>188</v>
      </c>
      <c r="G28" s="667" t="s">
        <v>188</v>
      </c>
      <c r="H28" s="667" t="s">
        <v>22</v>
      </c>
    </row>
    <row r="29" spans="1:8" x14ac:dyDescent="0.25">
      <c r="A29" s="669" t="s">
        <v>196</v>
      </c>
      <c r="B29" s="670">
        <f t="shared" si="0"/>
        <v>1.095</v>
      </c>
      <c r="C29" s="669" t="s">
        <v>257</v>
      </c>
      <c r="D29" s="669" t="s">
        <v>233</v>
      </c>
      <c r="E29" s="669" t="s">
        <v>188</v>
      </c>
      <c r="F29" s="669" t="s">
        <v>188</v>
      </c>
      <c r="G29" s="669" t="s">
        <v>188</v>
      </c>
      <c r="H29" s="669" t="s">
        <v>22</v>
      </c>
    </row>
    <row r="30" spans="1:8" x14ac:dyDescent="0.25">
      <c r="A30" s="667" t="s">
        <v>196</v>
      </c>
      <c r="B30" s="668">
        <f t="shared" si="0"/>
        <v>1.095</v>
      </c>
      <c r="C30" s="667" t="s">
        <v>257</v>
      </c>
      <c r="D30" s="667" t="s">
        <v>242</v>
      </c>
      <c r="E30" s="667" t="s">
        <v>188</v>
      </c>
      <c r="F30" s="667" t="s">
        <v>188</v>
      </c>
      <c r="G30" s="667" t="s">
        <v>188</v>
      </c>
      <c r="H30" s="667" t="s">
        <v>22</v>
      </c>
    </row>
    <row r="31" spans="1:8" x14ac:dyDescent="0.25">
      <c r="A31" s="669" t="s">
        <v>196</v>
      </c>
      <c r="B31" s="670">
        <f t="shared" si="0"/>
        <v>1.095</v>
      </c>
      <c r="C31" s="669" t="s">
        <v>257</v>
      </c>
      <c r="D31" s="669" t="s">
        <v>250</v>
      </c>
      <c r="E31" s="669" t="s">
        <v>188</v>
      </c>
      <c r="F31" s="669" t="s">
        <v>188</v>
      </c>
      <c r="G31" s="669" t="s">
        <v>188</v>
      </c>
      <c r="H31" s="669" t="s">
        <v>22</v>
      </c>
    </row>
    <row r="32" spans="1:8" x14ac:dyDescent="0.25">
      <c r="A32" s="667" t="s">
        <v>196</v>
      </c>
      <c r="B32" s="668">
        <f>AVERAGE(1.2,1.24)</f>
        <v>1.22</v>
      </c>
      <c r="C32" s="667" t="s">
        <v>186</v>
      </c>
      <c r="D32" s="667" t="s">
        <v>187</v>
      </c>
      <c r="E32" s="667" t="s">
        <v>188</v>
      </c>
      <c r="F32" s="667" t="s">
        <v>188</v>
      </c>
      <c r="G32" s="667" t="s">
        <v>188</v>
      </c>
      <c r="H32" s="667" t="s">
        <v>22</v>
      </c>
    </row>
    <row r="33" spans="1:8" x14ac:dyDescent="0.25">
      <c r="A33" s="669" t="s">
        <v>196</v>
      </c>
      <c r="B33" s="670">
        <f t="shared" ref="B33:B61" si="1">AVERAGE(1.2,1.24)</f>
        <v>1.22</v>
      </c>
      <c r="C33" s="669" t="s">
        <v>186</v>
      </c>
      <c r="D33" s="669" t="s">
        <v>214</v>
      </c>
      <c r="E33" s="669" t="s">
        <v>188</v>
      </c>
      <c r="F33" s="669" t="s">
        <v>188</v>
      </c>
      <c r="G33" s="669" t="s">
        <v>188</v>
      </c>
      <c r="H33" s="669" t="s">
        <v>22</v>
      </c>
    </row>
    <row r="34" spans="1:8" x14ac:dyDescent="0.25">
      <c r="A34" s="667" t="s">
        <v>196</v>
      </c>
      <c r="B34" s="668">
        <f t="shared" si="1"/>
        <v>1.22</v>
      </c>
      <c r="C34" s="667" t="s">
        <v>186</v>
      </c>
      <c r="D34" s="667" t="s">
        <v>233</v>
      </c>
      <c r="E34" s="667" t="s">
        <v>188</v>
      </c>
      <c r="F34" s="667" t="s">
        <v>188</v>
      </c>
      <c r="G34" s="667" t="s">
        <v>188</v>
      </c>
      <c r="H34" s="667" t="s">
        <v>22</v>
      </c>
    </row>
    <row r="35" spans="1:8" x14ac:dyDescent="0.25">
      <c r="A35" s="669" t="s">
        <v>196</v>
      </c>
      <c r="B35" s="670">
        <f t="shared" si="1"/>
        <v>1.22</v>
      </c>
      <c r="C35" s="669" t="s">
        <v>186</v>
      </c>
      <c r="D35" s="669" t="s">
        <v>242</v>
      </c>
      <c r="E35" s="669" t="s">
        <v>188</v>
      </c>
      <c r="F35" s="669" t="s">
        <v>188</v>
      </c>
      <c r="G35" s="669" t="s">
        <v>188</v>
      </c>
      <c r="H35" s="669" t="s">
        <v>22</v>
      </c>
    </row>
    <row r="36" spans="1:8" x14ac:dyDescent="0.25">
      <c r="A36" s="667" t="s">
        <v>196</v>
      </c>
      <c r="B36" s="668">
        <f t="shared" si="1"/>
        <v>1.22</v>
      </c>
      <c r="C36" s="667" t="s">
        <v>186</v>
      </c>
      <c r="D36" s="667" t="s">
        <v>250</v>
      </c>
      <c r="E36" s="667" t="s">
        <v>188</v>
      </c>
      <c r="F36" s="667" t="s">
        <v>188</v>
      </c>
      <c r="G36" s="667" t="s">
        <v>188</v>
      </c>
      <c r="H36" s="667" t="s">
        <v>22</v>
      </c>
    </row>
    <row r="37" spans="1:8" x14ac:dyDescent="0.25">
      <c r="A37" s="669" t="s">
        <v>196</v>
      </c>
      <c r="B37" s="670">
        <f t="shared" si="1"/>
        <v>1.22</v>
      </c>
      <c r="C37" s="669" t="s">
        <v>213</v>
      </c>
      <c r="D37" s="669" t="s">
        <v>187</v>
      </c>
      <c r="E37" s="669" t="s">
        <v>188</v>
      </c>
      <c r="F37" s="669" t="s">
        <v>188</v>
      </c>
      <c r="G37" s="669" t="s">
        <v>188</v>
      </c>
      <c r="H37" s="669" t="s">
        <v>22</v>
      </c>
    </row>
    <row r="38" spans="1:8" x14ac:dyDescent="0.25">
      <c r="A38" s="667" t="s">
        <v>196</v>
      </c>
      <c r="B38" s="668">
        <f t="shared" si="1"/>
        <v>1.22</v>
      </c>
      <c r="C38" s="667" t="s">
        <v>213</v>
      </c>
      <c r="D38" s="667" t="s">
        <v>214</v>
      </c>
      <c r="E38" s="667" t="s">
        <v>188</v>
      </c>
      <c r="F38" s="667" t="s">
        <v>188</v>
      </c>
      <c r="G38" s="667" t="s">
        <v>188</v>
      </c>
      <c r="H38" s="667" t="s">
        <v>22</v>
      </c>
    </row>
    <row r="39" spans="1:8" x14ac:dyDescent="0.25">
      <c r="A39" s="669" t="s">
        <v>196</v>
      </c>
      <c r="B39" s="670">
        <f t="shared" si="1"/>
        <v>1.22</v>
      </c>
      <c r="C39" s="669" t="s">
        <v>213</v>
      </c>
      <c r="D39" s="669" t="s">
        <v>233</v>
      </c>
      <c r="E39" s="669" t="s">
        <v>188</v>
      </c>
      <c r="F39" s="669" t="s">
        <v>188</v>
      </c>
      <c r="G39" s="669" t="s">
        <v>188</v>
      </c>
      <c r="H39" s="669" t="s">
        <v>22</v>
      </c>
    </row>
    <row r="40" spans="1:8" x14ac:dyDescent="0.25">
      <c r="A40" s="667" t="s">
        <v>196</v>
      </c>
      <c r="B40" s="668">
        <f t="shared" si="1"/>
        <v>1.22</v>
      </c>
      <c r="C40" s="667" t="s">
        <v>213</v>
      </c>
      <c r="D40" s="667" t="s">
        <v>242</v>
      </c>
      <c r="E40" s="667" t="s">
        <v>188</v>
      </c>
      <c r="F40" s="667" t="s">
        <v>188</v>
      </c>
      <c r="G40" s="667" t="s">
        <v>188</v>
      </c>
      <c r="H40" s="667" t="s">
        <v>22</v>
      </c>
    </row>
    <row r="41" spans="1:8" x14ac:dyDescent="0.25">
      <c r="A41" s="669" t="s">
        <v>196</v>
      </c>
      <c r="B41" s="670">
        <f t="shared" si="1"/>
        <v>1.22</v>
      </c>
      <c r="C41" s="669" t="s">
        <v>213</v>
      </c>
      <c r="D41" s="669" t="s">
        <v>250</v>
      </c>
      <c r="E41" s="669" t="s">
        <v>188</v>
      </c>
      <c r="F41" s="669" t="s">
        <v>188</v>
      </c>
      <c r="G41" s="669" t="s">
        <v>188</v>
      </c>
      <c r="H41" s="669" t="s">
        <v>22</v>
      </c>
    </row>
    <row r="42" spans="1:8" x14ac:dyDescent="0.25">
      <c r="A42" s="667" t="s">
        <v>196</v>
      </c>
      <c r="B42" s="668">
        <f t="shared" si="1"/>
        <v>1.22</v>
      </c>
      <c r="C42" s="667" t="s">
        <v>232</v>
      </c>
      <c r="D42" s="667" t="s">
        <v>187</v>
      </c>
      <c r="E42" s="667" t="s">
        <v>188</v>
      </c>
      <c r="F42" s="667" t="s">
        <v>188</v>
      </c>
      <c r="G42" s="667" t="s">
        <v>188</v>
      </c>
      <c r="H42" s="667" t="s">
        <v>22</v>
      </c>
    </row>
    <row r="43" spans="1:8" x14ac:dyDescent="0.25">
      <c r="A43" s="669" t="s">
        <v>196</v>
      </c>
      <c r="B43" s="670">
        <f t="shared" si="1"/>
        <v>1.22</v>
      </c>
      <c r="C43" s="669" t="s">
        <v>232</v>
      </c>
      <c r="D43" s="669" t="s">
        <v>214</v>
      </c>
      <c r="E43" s="669" t="s">
        <v>188</v>
      </c>
      <c r="F43" s="669" t="s">
        <v>188</v>
      </c>
      <c r="G43" s="669" t="s">
        <v>188</v>
      </c>
      <c r="H43" s="669" t="s">
        <v>22</v>
      </c>
    </row>
    <row r="44" spans="1:8" x14ac:dyDescent="0.25">
      <c r="A44" s="667" t="s">
        <v>196</v>
      </c>
      <c r="B44" s="668">
        <f t="shared" si="1"/>
        <v>1.22</v>
      </c>
      <c r="C44" s="667" t="s">
        <v>232</v>
      </c>
      <c r="D44" s="667" t="s">
        <v>233</v>
      </c>
      <c r="E44" s="667" t="s">
        <v>188</v>
      </c>
      <c r="F44" s="667" t="s">
        <v>188</v>
      </c>
      <c r="G44" s="667" t="s">
        <v>188</v>
      </c>
      <c r="H44" s="667" t="s">
        <v>22</v>
      </c>
    </row>
    <row r="45" spans="1:8" x14ac:dyDescent="0.25">
      <c r="A45" s="669" t="s">
        <v>196</v>
      </c>
      <c r="B45" s="670">
        <f t="shared" si="1"/>
        <v>1.22</v>
      </c>
      <c r="C45" s="669" t="s">
        <v>232</v>
      </c>
      <c r="D45" s="669" t="s">
        <v>242</v>
      </c>
      <c r="E45" s="669" t="s">
        <v>188</v>
      </c>
      <c r="F45" s="669" t="s">
        <v>188</v>
      </c>
      <c r="G45" s="669" t="s">
        <v>188</v>
      </c>
      <c r="H45" s="669" t="s">
        <v>22</v>
      </c>
    </row>
    <row r="46" spans="1:8" x14ac:dyDescent="0.25">
      <c r="A46" s="667" t="s">
        <v>196</v>
      </c>
      <c r="B46" s="668">
        <f t="shared" si="1"/>
        <v>1.22</v>
      </c>
      <c r="C46" s="667" t="s">
        <v>232</v>
      </c>
      <c r="D46" s="667" t="s">
        <v>250</v>
      </c>
      <c r="E46" s="667" t="s">
        <v>188</v>
      </c>
      <c r="F46" s="667" t="s">
        <v>188</v>
      </c>
      <c r="G46" s="667" t="s">
        <v>188</v>
      </c>
      <c r="H46" s="667" t="s">
        <v>22</v>
      </c>
    </row>
    <row r="47" spans="1:8" x14ac:dyDescent="0.25">
      <c r="A47" s="669" t="s">
        <v>196</v>
      </c>
      <c r="B47" s="670">
        <f t="shared" si="1"/>
        <v>1.22</v>
      </c>
      <c r="C47" s="669" t="s">
        <v>215</v>
      </c>
      <c r="D47" s="669" t="s">
        <v>187</v>
      </c>
      <c r="E47" s="669" t="s">
        <v>188</v>
      </c>
      <c r="F47" s="669" t="s">
        <v>188</v>
      </c>
      <c r="G47" s="669" t="s">
        <v>188</v>
      </c>
      <c r="H47" s="669" t="s">
        <v>22</v>
      </c>
    </row>
    <row r="48" spans="1:8" x14ac:dyDescent="0.25">
      <c r="A48" s="667" t="s">
        <v>196</v>
      </c>
      <c r="B48" s="668">
        <f t="shared" si="1"/>
        <v>1.22</v>
      </c>
      <c r="C48" s="667" t="s">
        <v>215</v>
      </c>
      <c r="D48" s="667" t="s">
        <v>214</v>
      </c>
      <c r="E48" s="667" t="s">
        <v>188</v>
      </c>
      <c r="F48" s="667" t="s">
        <v>188</v>
      </c>
      <c r="G48" s="667" t="s">
        <v>188</v>
      </c>
      <c r="H48" s="667" t="s">
        <v>22</v>
      </c>
    </row>
    <row r="49" spans="1:8" x14ac:dyDescent="0.25">
      <c r="A49" s="669" t="s">
        <v>196</v>
      </c>
      <c r="B49" s="670">
        <f t="shared" si="1"/>
        <v>1.22</v>
      </c>
      <c r="C49" s="669" t="s">
        <v>215</v>
      </c>
      <c r="D49" s="669" t="s">
        <v>233</v>
      </c>
      <c r="E49" s="669" t="s">
        <v>188</v>
      </c>
      <c r="F49" s="669" t="s">
        <v>188</v>
      </c>
      <c r="G49" s="669" t="s">
        <v>188</v>
      </c>
      <c r="H49" s="669" t="s">
        <v>22</v>
      </c>
    </row>
    <row r="50" spans="1:8" x14ac:dyDescent="0.25">
      <c r="A50" s="667" t="s">
        <v>196</v>
      </c>
      <c r="B50" s="668">
        <f t="shared" si="1"/>
        <v>1.22</v>
      </c>
      <c r="C50" s="667" t="s">
        <v>215</v>
      </c>
      <c r="D50" s="667" t="s">
        <v>242</v>
      </c>
      <c r="E50" s="667" t="s">
        <v>188</v>
      </c>
      <c r="F50" s="667" t="s">
        <v>188</v>
      </c>
      <c r="G50" s="667" t="s">
        <v>188</v>
      </c>
      <c r="H50" s="667" t="s">
        <v>22</v>
      </c>
    </row>
    <row r="51" spans="1:8" x14ac:dyDescent="0.25">
      <c r="A51" s="669" t="s">
        <v>196</v>
      </c>
      <c r="B51" s="670">
        <f t="shared" si="1"/>
        <v>1.22</v>
      </c>
      <c r="C51" s="669" t="s">
        <v>215</v>
      </c>
      <c r="D51" s="669" t="s">
        <v>250</v>
      </c>
      <c r="E51" s="669" t="s">
        <v>188</v>
      </c>
      <c r="F51" s="669" t="s">
        <v>188</v>
      </c>
      <c r="G51" s="669" t="s">
        <v>188</v>
      </c>
      <c r="H51" s="669" t="s">
        <v>22</v>
      </c>
    </row>
    <row r="52" spans="1:8" x14ac:dyDescent="0.25">
      <c r="A52" s="667" t="s">
        <v>196</v>
      </c>
      <c r="B52" s="668">
        <f t="shared" si="1"/>
        <v>1.22</v>
      </c>
      <c r="C52" s="667" t="s">
        <v>249</v>
      </c>
      <c r="D52" s="667" t="s">
        <v>187</v>
      </c>
      <c r="E52" s="667" t="s">
        <v>188</v>
      </c>
      <c r="F52" s="667" t="s">
        <v>188</v>
      </c>
      <c r="G52" s="667" t="s">
        <v>188</v>
      </c>
      <c r="H52" s="667" t="s">
        <v>22</v>
      </c>
    </row>
    <row r="53" spans="1:8" x14ac:dyDescent="0.25">
      <c r="A53" s="669" t="s">
        <v>196</v>
      </c>
      <c r="B53" s="670">
        <f t="shared" si="1"/>
        <v>1.22</v>
      </c>
      <c r="C53" s="669" t="s">
        <v>249</v>
      </c>
      <c r="D53" s="669" t="s">
        <v>214</v>
      </c>
      <c r="E53" s="669" t="s">
        <v>188</v>
      </c>
      <c r="F53" s="669" t="s">
        <v>188</v>
      </c>
      <c r="G53" s="669" t="s">
        <v>188</v>
      </c>
      <c r="H53" s="669" t="s">
        <v>22</v>
      </c>
    </row>
    <row r="54" spans="1:8" x14ac:dyDescent="0.25">
      <c r="A54" s="667" t="s">
        <v>196</v>
      </c>
      <c r="B54" s="668">
        <f t="shared" si="1"/>
        <v>1.22</v>
      </c>
      <c r="C54" s="667" t="s">
        <v>249</v>
      </c>
      <c r="D54" s="667" t="s">
        <v>233</v>
      </c>
      <c r="E54" s="667" t="s">
        <v>188</v>
      </c>
      <c r="F54" s="667" t="s">
        <v>188</v>
      </c>
      <c r="G54" s="667" t="s">
        <v>188</v>
      </c>
      <c r="H54" s="667" t="s">
        <v>22</v>
      </c>
    </row>
    <row r="55" spans="1:8" x14ac:dyDescent="0.25">
      <c r="A55" s="669" t="s">
        <v>196</v>
      </c>
      <c r="B55" s="670">
        <f t="shared" si="1"/>
        <v>1.22</v>
      </c>
      <c r="C55" s="669" t="s">
        <v>249</v>
      </c>
      <c r="D55" s="669" t="s">
        <v>242</v>
      </c>
      <c r="E55" s="669" t="s">
        <v>188</v>
      </c>
      <c r="F55" s="669" t="s">
        <v>188</v>
      </c>
      <c r="G55" s="669" t="s">
        <v>188</v>
      </c>
      <c r="H55" s="669" t="s">
        <v>22</v>
      </c>
    </row>
    <row r="56" spans="1:8" x14ac:dyDescent="0.25">
      <c r="A56" s="667" t="s">
        <v>196</v>
      </c>
      <c r="B56" s="668">
        <f t="shared" si="1"/>
        <v>1.22</v>
      </c>
      <c r="C56" s="667" t="s">
        <v>249</v>
      </c>
      <c r="D56" s="667" t="s">
        <v>250</v>
      </c>
      <c r="E56" s="667" t="s">
        <v>188</v>
      </c>
      <c r="F56" s="667" t="s">
        <v>188</v>
      </c>
      <c r="G56" s="667" t="s">
        <v>188</v>
      </c>
      <c r="H56" s="667" t="s">
        <v>22</v>
      </c>
    </row>
    <row r="57" spans="1:8" x14ac:dyDescent="0.25">
      <c r="A57" s="669" t="s">
        <v>196</v>
      </c>
      <c r="B57" s="670">
        <f t="shared" si="1"/>
        <v>1.22</v>
      </c>
      <c r="C57" s="669" t="s">
        <v>257</v>
      </c>
      <c r="D57" s="669" t="s">
        <v>187</v>
      </c>
      <c r="E57" s="669" t="s">
        <v>188</v>
      </c>
      <c r="F57" s="669" t="s">
        <v>188</v>
      </c>
      <c r="G57" s="669" t="s">
        <v>188</v>
      </c>
      <c r="H57" s="669" t="s">
        <v>22</v>
      </c>
    </row>
    <row r="58" spans="1:8" x14ac:dyDescent="0.25">
      <c r="A58" s="667" t="s">
        <v>196</v>
      </c>
      <c r="B58" s="668">
        <f t="shared" si="1"/>
        <v>1.22</v>
      </c>
      <c r="C58" s="667" t="s">
        <v>257</v>
      </c>
      <c r="D58" s="667" t="s">
        <v>214</v>
      </c>
      <c r="E58" s="667" t="s">
        <v>188</v>
      </c>
      <c r="F58" s="667" t="s">
        <v>188</v>
      </c>
      <c r="G58" s="667" t="s">
        <v>188</v>
      </c>
      <c r="H58" s="667" t="s">
        <v>22</v>
      </c>
    </row>
    <row r="59" spans="1:8" x14ac:dyDescent="0.25">
      <c r="A59" s="669" t="s">
        <v>196</v>
      </c>
      <c r="B59" s="670">
        <f t="shared" si="1"/>
        <v>1.22</v>
      </c>
      <c r="C59" s="669" t="s">
        <v>257</v>
      </c>
      <c r="D59" s="669" t="s">
        <v>233</v>
      </c>
      <c r="E59" s="669" t="s">
        <v>188</v>
      </c>
      <c r="F59" s="669" t="s">
        <v>188</v>
      </c>
      <c r="G59" s="669" t="s">
        <v>188</v>
      </c>
      <c r="H59" s="669" t="s">
        <v>22</v>
      </c>
    </row>
    <row r="60" spans="1:8" x14ac:dyDescent="0.25">
      <c r="A60" s="667" t="s">
        <v>196</v>
      </c>
      <c r="B60" s="668">
        <f t="shared" si="1"/>
        <v>1.22</v>
      </c>
      <c r="C60" s="667" t="s">
        <v>257</v>
      </c>
      <c r="D60" s="667" t="s">
        <v>242</v>
      </c>
      <c r="E60" s="667" t="s">
        <v>188</v>
      </c>
      <c r="F60" s="667" t="s">
        <v>188</v>
      </c>
      <c r="G60" s="667" t="s">
        <v>188</v>
      </c>
      <c r="H60" s="667" t="s">
        <v>22</v>
      </c>
    </row>
    <row r="61" spans="1:8" x14ac:dyDescent="0.25">
      <c r="A61" s="669" t="s">
        <v>196</v>
      </c>
      <c r="B61" s="670">
        <f t="shared" si="1"/>
        <v>1.22</v>
      </c>
      <c r="C61" s="669" t="s">
        <v>257</v>
      </c>
      <c r="D61" s="669" t="s">
        <v>250</v>
      </c>
      <c r="E61" s="669" t="s">
        <v>188</v>
      </c>
      <c r="F61" s="669" t="s">
        <v>188</v>
      </c>
      <c r="G61" s="669" t="s">
        <v>188</v>
      </c>
      <c r="H61" s="669" t="s">
        <v>22</v>
      </c>
    </row>
    <row r="62" spans="1:8" x14ac:dyDescent="0.25">
      <c r="A62" s="667" t="s">
        <v>196</v>
      </c>
      <c r="B62" s="668">
        <f>AVERAGE(1.25,1.299)</f>
        <v>1.2745</v>
      </c>
      <c r="C62" s="667" t="s">
        <v>186</v>
      </c>
      <c r="D62" s="667" t="s">
        <v>187</v>
      </c>
      <c r="E62" s="667" t="s">
        <v>188</v>
      </c>
      <c r="F62" s="667" t="s">
        <v>188</v>
      </c>
      <c r="G62" s="667" t="s">
        <v>188</v>
      </c>
      <c r="H62" s="667" t="s">
        <v>22</v>
      </c>
    </row>
    <row r="63" spans="1:8" x14ac:dyDescent="0.25">
      <c r="A63" s="669" t="s">
        <v>196</v>
      </c>
      <c r="B63" s="670">
        <f t="shared" ref="B63:B91" si="2">AVERAGE(1.25,1.299)</f>
        <v>1.2745</v>
      </c>
      <c r="C63" s="669" t="s">
        <v>186</v>
      </c>
      <c r="D63" s="669" t="s">
        <v>214</v>
      </c>
      <c r="E63" s="669" t="s">
        <v>188</v>
      </c>
      <c r="F63" s="669" t="s">
        <v>188</v>
      </c>
      <c r="G63" s="669" t="s">
        <v>188</v>
      </c>
      <c r="H63" s="669" t="s">
        <v>22</v>
      </c>
    </row>
    <row r="64" spans="1:8" x14ac:dyDescent="0.25">
      <c r="A64" s="667" t="s">
        <v>196</v>
      </c>
      <c r="B64" s="668">
        <f t="shared" si="2"/>
        <v>1.2745</v>
      </c>
      <c r="C64" s="667" t="s">
        <v>186</v>
      </c>
      <c r="D64" s="667" t="s">
        <v>233</v>
      </c>
      <c r="E64" s="667" t="s">
        <v>188</v>
      </c>
      <c r="F64" s="667" t="s">
        <v>188</v>
      </c>
      <c r="G64" s="667" t="s">
        <v>188</v>
      </c>
      <c r="H64" s="667" t="s">
        <v>22</v>
      </c>
    </row>
    <row r="65" spans="1:8" x14ac:dyDescent="0.25">
      <c r="A65" s="669" t="s">
        <v>196</v>
      </c>
      <c r="B65" s="670">
        <f t="shared" si="2"/>
        <v>1.2745</v>
      </c>
      <c r="C65" s="669" t="s">
        <v>186</v>
      </c>
      <c r="D65" s="669" t="s">
        <v>242</v>
      </c>
      <c r="E65" s="669" t="s">
        <v>188</v>
      </c>
      <c r="F65" s="669" t="s">
        <v>188</v>
      </c>
      <c r="G65" s="669" t="s">
        <v>188</v>
      </c>
      <c r="H65" s="669" t="s">
        <v>22</v>
      </c>
    </row>
    <row r="66" spans="1:8" x14ac:dyDescent="0.25">
      <c r="A66" s="667" t="s">
        <v>196</v>
      </c>
      <c r="B66" s="668">
        <f t="shared" si="2"/>
        <v>1.2745</v>
      </c>
      <c r="C66" s="667" t="s">
        <v>186</v>
      </c>
      <c r="D66" s="667" t="s">
        <v>250</v>
      </c>
      <c r="E66" s="667" t="s">
        <v>188</v>
      </c>
      <c r="F66" s="667" t="s">
        <v>188</v>
      </c>
      <c r="G66" s="667" t="s">
        <v>188</v>
      </c>
      <c r="H66" s="667" t="s">
        <v>22</v>
      </c>
    </row>
    <row r="67" spans="1:8" x14ac:dyDescent="0.25">
      <c r="A67" s="669" t="s">
        <v>196</v>
      </c>
      <c r="B67" s="670">
        <f t="shared" si="2"/>
        <v>1.2745</v>
      </c>
      <c r="C67" s="669" t="s">
        <v>213</v>
      </c>
      <c r="D67" s="669" t="s">
        <v>187</v>
      </c>
      <c r="E67" s="669" t="s">
        <v>188</v>
      </c>
      <c r="F67" s="669" t="s">
        <v>188</v>
      </c>
      <c r="G67" s="669" t="s">
        <v>188</v>
      </c>
      <c r="H67" s="669" t="s">
        <v>22</v>
      </c>
    </row>
    <row r="68" spans="1:8" x14ac:dyDescent="0.25">
      <c r="A68" s="667" t="s">
        <v>196</v>
      </c>
      <c r="B68" s="668">
        <f t="shared" si="2"/>
        <v>1.2745</v>
      </c>
      <c r="C68" s="667" t="s">
        <v>213</v>
      </c>
      <c r="D68" s="667" t="s">
        <v>214</v>
      </c>
      <c r="E68" s="667" t="s">
        <v>188</v>
      </c>
      <c r="F68" s="667" t="s">
        <v>188</v>
      </c>
      <c r="G68" s="667" t="s">
        <v>188</v>
      </c>
      <c r="H68" s="667" t="s">
        <v>22</v>
      </c>
    </row>
    <row r="69" spans="1:8" x14ac:dyDescent="0.25">
      <c r="A69" s="669" t="s">
        <v>196</v>
      </c>
      <c r="B69" s="670">
        <f t="shared" si="2"/>
        <v>1.2745</v>
      </c>
      <c r="C69" s="669" t="s">
        <v>213</v>
      </c>
      <c r="D69" s="669" t="s">
        <v>233</v>
      </c>
      <c r="E69" s="669" t="s">
        <v>188</v>
      </c>
      <c r="F69" s="669" t="s">
        <v>188</v>
      </c>
      <c r="G69" s="669" t="s">
        <v>188</v>
      </c>
      <c r="H69" s="669" t="s">
        <v>22</v>
      </c>
    </row>
    <row r="70" spans="1:8" x14ac:dyDescent="0.25">
      <c r="A70" s="667" t="s">
        <v>196</v>
      </c>
      <c r="B70" s="668">
        <f t="shared" si="2"/>
        <v>1.2745</v>
      </c>
      <c r="C70" s="667" t="s">
        <v>213</v>
      </c>
      <c r="D70" s="667" t="s">
        <v>242</v>
      </c>
      <c r="E70" s="667" t="s">
        <v>188</v>
      </c>
      <c r="F70" s="667" t="s">
        <v>188</v>
      </c>
      <c r="G70" s="667" t="s">
        <v>188</v>
      </c>
      <c r="H70" s="667" t="s">
        <v>22</v>
      </c>
    </row>
    <row r="71" spans="1:8" x14ac:dyDescent="0.25">
      <c r="A71" s="669" t="s">
        <v>196</v>
      </c>
      <c r="B71" s="670">
        <f t="shared" si="2"/>
        <v>1.2745</v>
      </c>
      <c r="C71" s="669" t="s">
        <v>213</v>
      </c>
      <c r="D71" s="669" t="s">
        <v>250</v>
      </c>
      <c r="E71" s="669" t="s">
        <v>188</v>
      </c>
      <c r="F71" s="669" t="s">
        <v>188</v>
      </c>
      <c r="G71" s="669" t="s">
        <v>188</v>
      </c>
      <c r="H71" s="669" t="s">
        <v>22</v>
      </c>
    </row>
    <row r="72" spans="1:8" x14ac:dyDescent="0.25">
      <c r="A72" s="667" t="s">
        <v>196</v>
      </c>
      <c r="B72" s="668">
        <f t="shared" si="2"/>
        <v>1.2745</v>
      </c>
      <c r="C72" s="667" t="s">
        <v>232</v>
      </c>
      <c r="D72" s="667" t="s">
        <v>187</v>
      </c>
      <c r="E72" s="667" t="s">
        <v>188</v>
      </c>
      <c r="F72" s="667" t="s">
        <v>188</v>
      </c>
      <c r="G72" s="667" t="s">
        <v>188</v>
      </c>
      <c r="H72" s="667" t="s">
        <v>22</v>
      </c>
    </row>
    <row r="73" spans="1:8" x14ac:dyDescent="0.25">
      <c r="A73" s="669" t="s">
        <v>196</v>
      </c>
      <c r="B73" s="670">
        <f t="shared" si="2"/>
        <v>1.2745</v>
      </c>
      <c r="C73" s="669" t="s">
        <v>232</v>
      </c>
      <c r="D73" s="669" t="s">
        <v>214</v>
      </c>
      <c r="E73" s="669" t="s">
        <v>188</v>
      </c>
      <c r="F73" s="669" t="s">
        <v>188</v>
      </c>
      <c r="G73" s="669" t="s">
        <v>188</v>
      </c>
      <c r="H73" s="669" t="s">
        <v>22</v>
      </c>
    </row>
    <row r="74" spans="1:8" x14ac:dyDescent="0.25">
      <c r="A74" s="667" t="s">
        <v>196</v>
      </c>
      <c r="B74" s="668">
        <f t="shared" si="2"/>
        <v>1.2745</v>
      </c>
      <c r="C74" s="667" t="s">
        <v>232</v>
      </c>
      <c r="D74" s="667" t="s">
        <v>233</v>
      </c>
      <c r="E74" s="667" t="s">
        <v>188</v>
      </c>
      <c r="F74" s="667" t="s">
        <v>188</v>
      </c>
      <c r="G74" s="667" t="s">
        <v>188</v>
      </c>
      <c r="H74" s="667" t="s">
        <v>22</v>
      </c>
    </row>
    <row r="75" spans="1:8" x14ac:dyDescent="0.25">
      <c r="A75" s="669" t="s">
        <v>196</v>
      </c>
      <c r="B75" s="670">
        <f t="shared" si="2"/>
        <v>1.2745</v>
      </c>
      <c r="C75" s="669" t="s">
        <v>232</v>
      </c>
      <c r="D75" s="669" t="s">
        <v>242</v>
      </c>
      <c r="E75" s="669" t="s">
        <v>188</v>
      </c>
      <c r="F75" s="669" t="s">
        <v>188</v>
      </c>
      <c r="G75" s="669" t="s">
        <v>188</v>
      </c>
      <c r="H75" s="669" t="s">
        <v>22</v>
      </c>
    </row>
    <row r="76" spans="1:8" x14ac:dyDescent="0.25">
      <c r="A76" s="667" t="s">
        <v>196</v>
      </c>
      <c r="B76" s="668">
        <f t="shared" si="2"/>
        <v>1.2745</v>
      </c>
      <c r="C76" s="667" t="s">
        <v>232</v>
      </c>
      <c r="D76" s="667" t="s">
        <v>250</v>
      </c>
      <c r="E76" s="667" t="s">
        <v>188</v>
      </c>
      <c r="F76" s="667" t="s">
        <v>188</v>
      </c>
      <c r="G76" s="667" t="s">
        <v>188</v>
      </c>
      <c r="H76" s="667" t="s">
        <v>22</v>
      </c>
    </row>
    <row r="77" spans="1:8" x14ac:dyDescent="0.25">
      <c r="A77" s="669" t="s">
        <v>196</v>
      </c>
      <c r="B77" s="670">
        <f t="shared" si="2"/>
        <v>1.2745</v>
      </c>
      <c r="C77" s="669" t="s">
        <v>215</v>
      </c>
      <c r="D77" s="669" t="s">
        <v>187</v>
      </c>
      <c r="E77" s="669" t="s">
        <v>188</v>
      </c>
      <c r="F77" s="669" t="s">
        <v>188</v>
      </c>
      <c r="G77" s="669" t="s">
        <v>188</v>
      </c>
      <c r="H77" s="669" t="s">
        <v>22</v>
      </c>
    </row>
    <row r="78" spans="1:8" x14ac:dyDescent="0.25">
      <c r="A78" s="667" t="s">
        <v>196</v>
      </c>
      <c r="B78" s="668">
        <f t="shared" si="2"/>
        <v>1.2745</v>
      </c>
      <c r="C78" s="667" t="s">
        <v>215</v>
      </c>
      <c r="D78" s="667" t="s">
        <v>214</v>
      </c>
      <c r="E78" s="667" t="s">
        <v>188</v>
      </c>
      <c r="F78" s="667" t="s">
        <v>188</v>
      </c>
      <c r="G78" s="667" t="s">
        <v>188</v>
      </c>
      <c r="H78" s="667" t="s">
        <v>22</v>
      </c>
    </row>
    <row r="79" spans="1:8" x14ac:dyDescent="0.25">
      <c r="A79" s="669" t="s">
        <v>196</v>
      </c>
      <c r="B79" s="670">
        <f t="shared" si="2"/>
        <v>1.2745</v>
      </c>
      <c r="C79" s="669" t="s">
        <v>215</v>
      </c>
      <c r="D79" s="669" t="s">
        <v>233</v>
      </c>
      <c r="E79" s="669" t="s">
        <v>188</v>
      </c>
      <c r="F79" s="669" t="s">
        <v>188</v>
      </c>
      <c r="G79" s="669" t="s">
        <v>188</v>
      </c>
      <c r="H79" s="669" t="s">
        <v>22</v>
      </c>
    </row>
    <row r="80" spans="1:8" x14ac:dyDescent="0.25">
      <c r="A80" s="667" t="s">
        <v>196</v>
      </c>
      <c r="B80" s="668">
        <f t="shared" si="2"/>
        <v>1.2745</v>
      </c>
      <c r="C80" s="667" t="s">
        <v>215</v>
      </c>
      <c r="D80" s="667" t="s">
        <v>242</v>
      </c>
      <c r="E80" s="667" t="s">
        <v>188</v>
      </c>
      <c r="F80" s="667" t="s">
        <v>188</v>
      </c>
      <c r="G80" s="667" t="s">
        <v>188</v>
      </c>
      <c r="H80" s="667" t="s">
        <v>22</v>
      </c>
    </row>
    <row r="81" spans="1:8" x14ac:dyDescent="0.25">
      <c r="A81" s="669" t="s">
        <v>196</v>
      </c>
      <c r="B81" s="670">
        <f t="shared" si="2"/>
        <v>1.2745</v>
      </c>
      <c r="C81" s="669" t="s">
        <v>215</v>
      </c>
      <c r="D81" s="669" t="s">
        <v>250</v>
      </c>
      <c r="E81" s="669" t="s">
        <v>188</v>
      </c>
      <c r="F81" s="669" t="s">
        <v>188</v>
      </c>
      <c r="G81" s="669" t="s">
        <v>188</v>
      </c>
      <c r="H81" s="669" t="s">
        <v>22</v>
      </c>
    </row>
    <row r="82" spans="1:8" x14ac:dyDescent="0.25">
      <c r="A82" s="667" t="s">
        <v>196</v>
      </c>
      <c r="B82" s="668">
        <f t="shared" si="2"/>
        <v>1.2745</v>
      </c>
      <c r="C82" s="667" t="s">
        <v>249</v>
      </c>
      <c r="D82" s="667" t="s">
        <v>187</v>
      </c>
      <c r="E82" s="667" t="s">
        <v>188</v>
      </c>
      <c r="F82" s="667" t="s">
        <v>188</v>
      </c>
      <c r="G82" s="667" t="s">
        <v>188</v>
      </c>
      <c r="H82" s="667" t="s">
        <v>22</v>
      </c>
    </row>
    <row r="83" spans="1:8" x14ac:dyDescent="0.25">
      <c r="A83" s="669" t="s">
        <v>196</v>
      </c>
      <c r="B83" s="670">
        <f t="shared" si="2"/>
        <v>1.2745</v>
      </c>
      <c r="C83" s="669" t="s">
        <v>249</v>
      </c>
      <c r="D83" s="669" t="s">
        <v>214</v>
      </c>
      <c r="E83" s="669" t="s">
        <v>188</v>
      </c>
      <c r="F83" s="669" t="s">
        <v>188</v>
      </c>
      <c r="G83" s="669" t="s">
        <v>188</v>
      </c>
      <c r="H83" s="669" t="s">
        <v>22</v>
      </c>
    </row>
    <row r="84" spans="1:8" x14ac:dyDescent="0.25">
      <c r="A84" s="667" t="s">
        <v>196</v>
      </c>
      <c r="B84" s="668">
        <f t="shared" si="2"/>
        <v>1.2745</v>
      </c>
      <c r="C84" s="667" t="s">
        <v>249</v>
      </c>
      <c r="D84" s="667" t="s">
        <v>233</v>
      </c>
      <c r="E84" s="667" t="s">
        <v>188</v>
      </c>
      <c r="F84" s="667" t="s">
        <v>188</v>
      </c>
      <c r="G84" s="667" t="s">
        <v>188</v>
      </c>
      <c r="H84" s="667" t="s">
        <v>22</v>
      </c>
    </row>
    <row r="85" spans="1:8" x14ac:dyDescent="0.25">
      <c r="A85" s="669" t="s">
        <v>196</v>
      </c>
      <c r="B85" s="670">
        <f t="shared" si="2"/>
        <v>1.2745</v>
      </c>
      <c r="C85" s="669" t="s">
        <v>249</v>
      </c>
      <c r="D85" s="669" t="s">
        <v>242</v>
      </c>
      <c r="E85" s="669" t="s">
        <v>188</v>
      </c>
      <c r="F85" s="669" t="s">
        <v>188</v>
      </c>
      <c r="G85" s="669" t="s">
        <v>188</v>
      </c>
      <c r="H85" s="669" t="s">
        <v>22</v>
      </c>
    </row>
    <row r="86" spans="1:8" x14ac:dyDescent="0.25">
      <c r="A86" s="667" t="s">
        <v>196</v>
      </c>
      <c r="B86" s="668">
        <f t="shared" si="2"/>
        <v>1.2745</v>
      </c>
      <c r="C86" s="667" t="s">
        <v>249</v>
      </c>
      <c r="D86" s="667" t="s">
        <v>250</v>
      </c>
      <c r="E86" s="667" t="s">
        <v>188</v>
      </c>
      <c r="F86" s="667" t="s">
        <v>188</v>
      </c>
      <c r="G86" s="667" t="s">
        <v>188</v>
      </c>
      <c r="H86" s="667" t="s">
        <v>22</v>
      </c>
    </row>
    <row r="87" spans="1:8" x14ac:dyDescent="0.25">
      <c r="A87" s="669" t="s">
        <v>196</v>
      </c>
      <c r="B87" s="670">
        <f t="shared" si="2"/>
        <v>1.2745</v>
      </c>
      <c r="C87" s="669" t="s">
        <v>257</v>
      </c>
      <c r="D87" s="669" t="s">
        <v>187</v>
      </c>
      <c r="E87" s="669" t="s">
        <v>188</v>
      </c>
      <c r="F87" s="669" t="s">
        <v>188</v>
      </c>
      <c r="G87" s="669" t="s">
        <v>188</v>
      </c>
      <c r="H87" s="669" t="s">
        <v>22</v>
      </c>
    </row>
    <row r="88" spans="1:8" x14ac:dyDescent="0.25">
      <c r="A88" s="667" t="s">
        <v>196</v>
      </c>
      <c r="B88" s="668">
        <f t="shared" si="2"/>
        <v>1.2745</v>
      </c>
      <c r="C88" s="667" t="s">
        <v>257</v>
      </c>
      <c r="D88" s="667" t="s">
        <v>214</v>
      </c>
      <c r="E88" s="667" t="s">
        <v>188</v>
      </c>
      <c r="F88" s="667" t="s">
        <v>188</v>
      </c>
      <c r="G88" s="667" t="s">
        <v>188</v>
      </c>
      <c r="H88" s="667" t="s">
        <v>22</v>
      </c>
    </row>
    <row r="89" spans="1:8" x14ac:dyDescent="0.25">
      <c r="A89" s="669" t="s">
        <v>196</v>
      </c>
      <c r="B89" s="670">
        <f t="shared" si="2"/>
        <v>1.2745</v>
      </c>
      <c r="C89" s="669" t="s">
        <v>257</v>
      </c>
      <c r="D89" s="669" t="s">
        <v>233</v>
      </c>
      <c r="E89" s="669" t="s">
        <v>188</v>
      </c>
      <c r="F89" s="669" t="s">
        <v>188</v>
      </c>
      <c r="G89" s="669" t="s">
        <v>188</v>
      </c>
      <c r="H89" s="669" t="s">
        <v>22</v>
      </c>
    </row>
    <row r="90" spans="1:8" x14ac:dyDescent="0.25">
      <c r="A90" s="667" t="s">
        <v>196</v>
      </c>
      <c r="B90" s="668">
        <f t="shared" si="2"/>
        <v>1.2745</v>
      </c>
      <c r="C90" s="667" t="s">
        <v>257</v>
      </c>
      <c r="D90" s="667" t="s">
        <v>242</v>
      </c>
      <c r="E90" s="667" t="s">
        <v>188</v>
      </c>
      <c r="F90" s="667" t="s">
        <v>188</v>
      </c>
      <c r="G90" s="667" t="s">
        <v>188</v>
      </c>
      <c r="H90" s="667" t="s">
        <v>22</v>
      </c>
    </row>
    <row r="91" spans="1:8" x14ac:dyDescent="0.25">
      <c r="A91" s="669" t="s">
        <v>196</v>
      </c>
      <c r="B91" s="670">
        <f t="shared" si="2"/>
        <v>1.2745</v>
      </c>
      <c r="C91" s="669" t="s">
        <v>257</v>
      </c>
      <c r="D91" s="669" t="s">
        <v>250</v>
      </c>
      <c r="E91" s="669" t="s">
        <v>188</v>
      </c>
      <c r="F91" s="669" t="s">
        <v>188</v>
      </c>
      <c r="G91" s="669" t="s">
        <v>188</v>
      </c>
      <c r="H91" s="669" t="s">
        <v>22</v>
      </c>
    </row>
    <row r="92" spans="1:8" x14ac:dyDescent="0.25">
      <c r="A92" s="667" t="s">
        <v>196</v>
      </c>
      <c r="B92" s="668">
        <f>AVERAGE(1.3,1.399)</f>
        <v>1.3494999999999999</v>
      </c>
      <c r="C92" s="667" t="s">
        <v>186</v>
      </c>
      <c r="D92" s="667" t="s">
        <v>187</v>
      </c>
      <c r="E92" s="667" t="s">
        <v>188</v>
      </c>
      <c r="F92" s="667" t="s">
        <v>188</v>
      </c>
      <c r="G92" s="667" t="s">
        <v>188</v>
      </c>
      <c r="H92" s="667" t="s">
        <v>22</v>
      </c>
    </row>
    <row r="93" spans="1:8" x14ac:dyDescent="0.25">
      <c r="A93" s="669" t="s">
        <v>196</v>
      </c>
      <c r="B93" s="670">
        <f t="shared" ref="B93:B121" si="3">AVERAGE(1.3,1.399)</f>
        <v>1.3494999999999999</v>
      </c>
      <c r="C93" s="669" t="s">
        <v>186</v>
      </c>
      <c r="D93" s="669" t="s">
        <v>214</v>
      </c>
      <c r="E93" s="669" t="s">
        <v>188</v>
      </c>
      <c r="F93" s="669" t="s">
        <v>188</v>
      </c>
      <c r="G93" s="669" t="s">
        <v>188</v>
      </c>
      <c r="H93" s="669" t="s">
        <v>22</v>
      </c>
    </row>
    <row r="94" spans="1:8" x14ac:dyDescent="0.25">
      <c r="A94" s="667" t="s">
        <v>196</v>
      </c>
      <c r="B94" s="668">
        <f t="shared" si="3"/>
        <v>1.3494999999999999</v>
      </c>
      <c r="C94" s="667" t="s">
        <v>186</v>
      </c>
      <c r="D94" s="667" t="s">
        <v>233</v>
      </c>
      <c r="E94" s="667" t="s">
        <v>188</v>
      </c>
      <c r="F94" s="667" t="s">
        <v>188</v>
      </c>
      <c r="G94" s="667" t="s">
        <v>188</v>
      </c>
      <c r="H94" s="667" t="s">
        <v>22</v>
      </c>
    </row>
    <row r="95" spans="1:8" x14ac:dyDescent="0.25">
      <c r="A95" s="669" t="s">
        <v>196</v>
      </c>
      <c r="B95" s="670">
        <f t="shared" si="3"/>
        <v>1.3494999999999999</v>
      </c>
      <c r="C95" s="669" t="s">
        <v>186</v>
      </c>
      <c r="D95" s="669" t="s">
        <v>242</v>
      </c>
      <c r="E95" s="669" t="s">
        <v>188</v>
      </c>
      <c r="F95" s="669" t="s">
        <v>188</v>
      </c>
      <c r="G95" s="669" t="s">
        <v>188</v>
      </c>
      <c r="H95" s="669" t="s">
        <v>22</v>
      </c>
    </row>
    <row r="96" spans="1:8" x14ac:dyDescent="0.25">
      <c r="A96" s="667" t="s">
        <v>196</v>
      </c>
      <c r="B96" s="668">
        <f t="shared" si="3"/>
        <v>1.3494999999999999</v>
      </c>
      <c r="C96" s="667" t="s">
        <v>186</v>
      </c>
      <c r="D96" s="667" t="s">
        <v>250</v>
      </c>
      <c r="E96" s="667" t="s">
        <v>188</v>
      </c>
      <c r="F96" s="667" t="s">
        <v>188</v>
      </c>
      <c r="G96" s="667" t="s">
        <v>188</v>
      </c>
      <c r="H96" s="667" t="s">
        <v>22</v>
      </c>
    </row>
    <row r="97" spans="1:8" x14ac:dyDescent="0.25">
      <c r="A97" s="669" t="s">
        <v>196</v>
      </c>
      <c r="B97" s="670">
        <f t="shared" si="3"/>
        <v>1.3494999999999999</v>
      </c>
      <c r="C97" s="669" t="s">
        <v>213</v>
      </c>
      <c r="D97" s="669" t="s">
        <v>187</v>
      </c>
      <c r="E97" s="669" t="s">
        <v>188</v>
      </c>
      <c r="F97" s="669" t="s">
        <v>188</v>
      </c>
      <c r="G97" s="669" t="s">
        <v>188</v>
      </c>
      <c r="H97" s="669" t="s">
        <v>22</v>
      </c>
    </row>
    <row r="98" spans="1:8" x14ac:dyDescent="0.25">
      <c r="A98" s="667" t="s">
        <v>196</v>
      </c>
      <c r="B98" s="668">
        <f t="shared" si="3"/>
        <v>1.3494999999999999</v>
      </c>
      <c r="C98" s="667" t="s">
        <v>213</v>
      </c>
      <c r="D98" s="667" t="s">
        <v>214</v>
      </c>
      <c r="E98" s="667" t="s">
        <v>188</v>
      </c>
      <c r="F98" s="667" t="s">
        <v>188</v>
      </c>
      <c r="G98" s="667" t="s">
        <v>188</v>
      </c>
      <c r="H98" s="667" t="s">
        <v>22</v>
      </c>
    </row>
    <row r="99" spans="1:8" x14ac:dyDescent="0.25">
      <c r="A99" s="669" t="s">
        <v>196</v>
      </c>
      <c r="B99" s="670">
        <f t="shared" si="3"/>
        <v>1.3494999999999999</v>
      </c>
      <c r="C99" s="669" t="s">
        <v>213</v>
      </c>
      <c r="D99" s="669" t="s">
        <v>233</v>
      </c>
      <c r="E99" s="669" t="s">
        <v>188</v>
      </c>
      <c r="F99" s="669" t="s">
        <v>188</v>
      </c>
      <c r="G99" s="669" t="s">
        <v>188</v>
      </c>
      <c r="H99" s="669" t="s">
        <v>22</v>
      </c>
    </row>
    <row r="100" spans="1:8" x14ac:dyDescent="0.25">
      <c r="A100" s="667" t="s">
        <v>196</v>
      </c>
      <c r="B100" s="668">
        <f t="shared" si="3"/>
        <v>1.3494999999999999</v>
      </c>
      <c r="C100" s="667" t="s">
        <v>213</v>
      </c>
      <c r="D100" s="667" t="s">
        <v>242</v>
      </c>
      <c r="E100" s="667" t="s">
        <v>188</v>
      </c>
      <c r="F100" s="667" t="s">
        <v>188</v>
      </c>
      <c r="G100" s="667" t="s">
        <v>188</v>
      </c>
      <c r="H100" s="667" t="s">
        <v>22</v>
      </c>
    </row>
    <row r="101" spans="1:8" x14ac:dyDescent="0.25">
      <c r="A101" s="669" t="s">
        <v>196</v>
      </c>
      <c r="B101" s="670">
        <f t="shared" si="3"/>
        <v>1.3494999999999999</v>
      </c>
      <c r="C101" s="669" t="s">
        <v>213</v>
      </c>
      <c r="D101" s="669" t="s">
        <v>250</v>
      </c>
      <c r="E101" s="669" t="s">
        <v>188</v>
      </c>
      <c r="F101" s="669" t="s">
        <v>188</v>
      </c>
      <c r="G101" s="669" t="s">
        <v>188</v>
      </c>
      <c r="H101" s="669" t="s">
        <v>22</v>
      </c>
    </row>
    <row r="102" spans="1:8" x14ac:dyDescent="0.25">
      <c r="A102" s="667" t="s">
        <v>196</v>
      </c>
      <c r="B102" s="668">
        <f t="shared" si="3"/>
        <v>1.3494999999999999</v>
      </c>
      <c r="C102" s="667" t="s">
        <v>232</v>
      </c>
      <c r="D102" s="667" t="s">
        <v>187</v>
      </c>
      <c r="E102" s="667" t="s">
        <v>188</v>
      </c>
      <c r="F102" s="667" t="s">
        <v>188</v>
      </c>
      <c r="G102" s="667" t="s">
        <v>188</v>
      </c>
      <c r="H102" s="667" t="s">
        <v>22</v>
      </c>
    </row>
    <row r="103" spans="1:8" x14ac:dyDescent="0.25">
      <c r="A103" s="669" t="s">
        <v>196</v>
      </c>
      <c r="B103" s="670">
        <f t="shared" si="3"/>
        <v>1.3494999999999999</v>
      </c>
      <c r="C103" s="669" t="s">
        <v>232</v>
      </c>
      <c r="D103" s="669" t="s">
        <v>214</v>
      </c>
      <c r="E103" s="669" t="s">
        <v>188</v>
      </c>
      <c r="F103" s="669" t="s">
        <v>188</v>
      </c>
      <c r="G103" s="669" t="s">
        <v>188</v>
      </c>
      <c r="H103" s="669" t="s">
        <v>22</v>
      </c>
    </row>
    <row r="104" spans="1:8" x14ac:dyDescent="0.25">
      <c r="A104" s="667" t="s">
        <v>196</v>
      </c>
      <c r="B104" s="668">
        <f t="shared" si="3"/>
        <v>1.3494999999999999</v>
      </c>
      <c r="C104" s="667" t="s">
        <v>232</v>
      </c>
      <c r="D104" s="667" t="s">
        <v>233</v>
      </c>
      <c r="E104" s="667" t="s">
        <v>188</v>
      </c>
      <c r="F104" s="667" t="s">
        <v>188</v>
      </c>
      <c r="G104" s="667" t="s">
        <v>188</v>
      </c>
      <c r="H104" s="667" t="s">
        <v>22</v>
      </c>
    </row>
    <row r="105" spans="1:8" x14ac:dyDescent="0.25">
      <c r="A105" s="669" t="s">
        <v>196</v>
      </c>
      <c r="B105" s="670">
        <f t="shared" si="3"/>
        <v>1.3494999999999999</v>
      </c>
      <c r="C105" s="669" t="s">
        <v>232</v>
      </c>
      <c r="D105" s="669" t="s">
        <v>242</v>
      </c>
      <c r="E105" s="669" t="s">
        <v>188</v>
      </c>
      <c r="F105" s="669" t="s">
        <v>188</v>
      </c>
      <c r="G105" s="669" t="s">
        <v>188</v>
      </c>
      <c r="H105" s="669" t="s">
        <v>22</v>
      </c>
    </row>
    <row r="106" spans="1:8" x14ac:dyDescent="0.25">
      <c r="A106" s="667" t="s">
        <v>196</v>
      </c>
      <c r="B106" s="668">
        <f t="shared" si="3"/>
        <v>1.3494999999999999</v>
      </c>
      <c r="C106" s="667" t="s">
        <v>232</v>
      </c>
      <c r="D106" s="667" t="s">
        <v>250</v>
      </c>
      <c r="E106" s="667" t="s">
        <v>188</v>
      </c>
      <c r="F106" s="667" t="s">
        <v>188</v>
      </c>
      <c r="G106" s="667" t="s">
        <v>188</v>
      </c>
      <c r="H106" s="667" t="s">
        <v>22</v>
      </c>
    </row>
    <row r="107" spans="1:8" x14ac:dyDescent="0.25">
      <c r="A107" s="669" t="s">
        <v>196</v>
      </c>
      <c r="B107" s="670">
        <f t="shared" si="3"/>
        <v>1.3494999999999999</v>
      </c>
      <c r="C107" s="669" t="s">
        <v>215</v>
      </c>
      <c r="D107" s="669" t="s">
        <v>187</v>
      </c>
      <c r="E107" s="669" t="s">
        <v>188</v>
      </c>
      <c r="F107" s="669" t="s">
        <v>188</v>
      </c>
      <c r="G107" s="669" t="s">
        <v>188</v>
      </c>
      <c r="H107" s="669" t="s">
        <v>22</v>
      </c>
    </row>
    <row r="108" spans="1:8" x14ac:dyDescent="0.25">
      <c r="A108" s="667" t="s">
        <v>196</v>
      </c>
      <c r="B108" s="668">
        <f t="shared" si="3"/>
        <v>1.3494999999999999</v>
      </c>
      <c r="C108" s="667" t="s">
        <v>215</v>
      </c>
      <c r="D108" s="667" t="s">
        <v>214</v>
      </c>
      <c r="E108" s="667" t="s">
        <v>188</v>
      </c>
      <c r="F108" s="667" t="s">
        <v>188</v>
      </c>
      <c r="G108" s="667" t="s">
        <v>188</v>
      </c>
      <c r="H108" s="667" t="s">
        <v>22</v>
      </c>
    </row>
    <row r="109" spans="1:8" x14ac:dyDescent="0.25">
      <c r="A109" s="669" t="s">
        <v>196</v>
      </c>
      <c r="B109" s="670">
        <f t="shared" si="3"/>
        <v>1.3494999999999999</v>
      </c>
      <c r="C109" s="669" t="s">
        <v>215</v>
      </c>
      <c r="D109" s="669" t="s">
        <v>233</v>
      </c>
      <c r="E109" s="669" t="s">
        <v>188</v>
      </c>
      <c r="F109" s="669" t="s">
        <v>188</v>
      </c>
      <c r="G109" s="669" t="s">
        <v>188</v>
      </c>
      <c r="H109" s="669" t="s">
        <v>22</v>
      </c>
    </row>
    <row r="110" spans="1:8" x14ac:dyDescent="0.25">
      <c r="A110" s="667" t="s">
        <v>196</v>
      </c>
      <c r="B110" s="668">
        <f t="shared" si="3"/>
        <v>1.3494999999999999</v>
      </c>
      <c r="C110" s="667" t="s">
        <v>215</v>
      </c>
      <c r="D110" s="667" t="s">
        <v>242</v>
      </c>
      <c r="E110" s="667" t="s">
        <v>188</v>
      </c>
      <c r="F110" s="667" t="s">
        <v>188</v>
      </c>
      <c r="G110" s="667" t="s">
        <v>188</v>
      </c>
      <c r="H110" s="667" t="s">
        <v>22</v>
      </c>
    </row>
    <row r="111" spans="1:8" x14ac:dyDescent="0.25">
      <c r="A111" s="669" t="s">
        <v>196</v>
      </c>
      <c r="B111" s="670">
        <f t="shared" si="3"/>
        <v>1.3494999999999999</v>
      </c>
      <c r="C111" s="669" t="s">
        <v>215</v>
      </c>
      <c r="D111" s="669" t="s">
        <v>250</v>
      </c>
      <c r="E111" s="669" t="s">
        <v>188</v>
      </c>
      <c r="F111" s="669" t="s">
        <v>188</v>
      </c>
      <c r="G111" s="669" t="s">
        <v>188</v>
      </c>
      <c r="H111" s="669" t="s">
        <v>22</v>
      </c>
    </row>
    <row r="112" spans="1:8" x14ac:dyDescent="0.25">
      <c r="A112" s="667" t="s">
        <v>196</v>
      </c>
      <c r="B112" s="668">
        <f t="shared" si="3"/>
        <v>1.3494999999999999</v>
      </c>
      <c r="C112" s="667" t="s">
        <v>249</v>
      </c>
      <c r="D112" s="667" t="s">
        <v>187</v>
      </c>
      <c r="E112" s="667" t="s">
        <v>188</v>
      </c>
      <c r="F112" s="667" t="s">
        <v>188</v>
      </c>
      <c r="G112" s="667" t="s">
        <v>188</v>
      </c>
      <c r="H112" s="667" t="s">
        <v>22</v>
      </c>
    </row>
    <row r="113" spans="1:8" x14ac:dyDescent="0.25">
      <c r="A113" s="669" t="s">
        <v>196</v>
      </c>
      <c r="B113" s="670">
        <f t="shared" si="3"/>
        <v>1.3494999999999999</v>
      </c>
      <c r="C113" s="669" t="s">
        <v>249</v>
      </c>
      <c r="D113" s="669" t="s">
        <v>214</v>
      </c>
      <c r="E113" s="669" t="s">
        <v>188</v>
      </c>
      <c r="F113" s="669" t="s">
        <v>188</v>
      </c>
      <c r="G113" s="669" t="s">
        <v>188</v>
      </c>
      <c r="H113" s="669" t="s">
        <v>22</v>
      </c>
    </row>
    <row r="114" spans="1:8" x14ac:dyDescent="0.25">
      <c r="A114" s="667" t="s">
        <v>196</v>
      </c>
      <c r="B114" s="668">
        <f t="shared" si="3"/>
        <v>1.3494999999999999</v>
      </c>
      <c r="C114" s="667" t="s">
        <v>249</v>
      </c>
      <c r="D114" s="667" t="s">
        <v>233</v>
      </c>
      <c r="E114" s="667" t="s">
        <v>188</v>
      </c>
      <c r="F114" s="667" t="s">
        <v>188</v>
      </c>
      <c r="G114" s="667" t="s">
        <v>188</v>
      </c>
      <c r="H114" s="667" t="s">
        <v>22</v>
      </c>
    </row>
    <row r="115" spans="1:8" x14ac:dyDescent="0.25">
      <c r="A115" s="669" t="s">
        <v>196</v>
      </c>
      <c r="B115" s="670">
        <f t="shared" si="3"/>
        <v>1.3494999999999999</v>
      </c>
      <c r="C115" s="669" t="s">
        <v>249</v>
      </c>
      <c r="D115" s="669" t="s">
        <v>242</v>
      </c>
      <c r="E115" s="669" t="s">
        <v>188</v>
      </c>
      <c r="F115" s="669" t="s">
        <v>188</v>
      </c>
      <c r="G115" s="669" t="s">
        <v>188</v>
      </c>
      <c r="H115" s="669" t="s">
        <v>22</v>
      </c>
    </row>
    <row r="116" spans="1:8" x14ac:dyDescent="0.25">
      <c r="A116" s="667" t="s">
        <v>196</v>
      </c>
      <c r="B116" s="668">
        <f t="shared" si="3"/>
        <v>1.3494999999999999</v>
      </c>
      <c r="C116" s="667" t="s">
        <v>249</v>
      </c>
      <c r="D116" s="667" t="s">
        <v>250</v>
      </c>
      <c r="E116" s="667" t="s">
        <v>188</v>
      </c>
      <c r="F116" s="667" t="s">
        <v>188</v>
      </c>
      <c r="G116" s="667" t="s">
        <v>188</v>
      </c>
      <c r="H116" s="667" t="s">
        <v>22</v>
      </c>
    </row>
    <row r="117" spans="1:8" x14ac:dyDescent="0.25">
      <c r="A117" s="669" t="s">
        <v>196</v>
      </c>
      <c r="B117" s="670">
        <f t="shared" si="3"/>
        <v>1.3494999999999999</v>
      </c>
      <c r="C117" s="669" t="s">
        <v>257</v>
      </c>
      <c r="D117" s="669" t="s">
        <v>187</v>
      </c>
      <c r="E117" s="669" t="s">
        <v>188</v>
      </c>
      <c r="F117" s="669" t="s">
        <v>188</v>
      </c>
      <c r="G117" s="669" t="s">
        <v>188</v>
      </c>
      <c r="H117" s="669" t="s">
        <v>22</v>
      </c>
    </row>
    <row r="118" spans="1:8" x14ac:dyDescent="0.25">
      <c r="A118" s="667" t="s">
        <v>196</v>
      </c>
      <c r="B118" s="668">
        <f t="shared" si="3"/>
        <v>1.3494999999999999</v>
      </c>
      <c r="C118" s="667" t="s">
        <v>257</v>
      </c>
      <c r="D118" s="667" t="s">
        <v>214</v>
      </c>
      <c r="E118" s="667" t="s">
        <v>188</v>
      </c>
      <c r="F118" s="667" t="s">
        <v>188</v>
      </c>
      <c r="G118" s="667" t="s">
        <v>188</v>
      </c>
      <c r="H118" s="667" t="s">
        <v>22</v>
      </c>
    </row>
    <row r="119" spans="1:8" x14ac:dyDescent="0.25">
      <c r="A119" s="669" t="s">
        <v>196</v>
      </c>
      <c r="B119" s="670">
        <f t="shared" si="3"/>
        <v>1.3494999999999999</v>
      </c>
      <c r="C119" s="669" t="s">
        <v>257</v>
      </c>
      <c r="D119" s="669" t="s">
        <v>233</v>
      </c>
      <c r="E119" s="669" t="s">
        <v>188</v>
      </c>
      <c r="F119" s="669" t="s">
        <v>188</v>
      </c>
      <c r="G119" s="669" t="s">
        <v>188</v>
      </c>
      <c r="H119" s="669" t="s">
        <v>22</v>
      </c>
    </row>
    <row r="120" spans="1:8" x14ac:dyDescent="0.25">
      <c r="A120" s="667" t="s">
        <v>196</v>
      </c>
      <c r="B120" s="668">
        <f t="shared" si="3"/>
        <v>1.3494999999999999</v>
      </c>
      <c r="C120" s="667" t="s">
        <v>257</v>
      </c>
      <c r="D120" s="667" t="s">
        <v>242</v>
      </c>
      <c r="E120" s="667" t="s">
        <v>188</v>
      </c>
      <c r="F120" s="667" t="s">
        <v>188</v>
      </c>
      <c r="G120" s="667" t="s">
        <v>188</v>
      </c>
      <c r="H120" s="667" t="s">
        <v>22</v>
      </c>
    </row>
    <row r="121" spans="1:8" x14ac:dyDescent="0.25">
      <c r="A121" s="669" t="s">
        <v>196</v>
      </c>
      <c r="B121" s="670">
        <f t="shared" si="3"/>
        <v>1.3494999999999999</v>
      </c>
      <c r="C121" s="669" t="s">
        <v>257</v>
      </c>
      <c r="D121" s="669" t="s">
        <v>250</v>
      </c>
      <c r="E121" s="669" t="s">
        <v>188</v>
      </c>
      <c r="F121" s="669" t="s">
        <v>188</v>
      </c>
      <c r="G121" s="669" t="s">
        <v>188</v>
      </c>
      <c r="H121" s="669" t="s">
        <v>22</v>
      </c>
    </row>
    <row r="122" spans="1:8" x14ac:dyDescent="0.25">
      <c r="A122" s="667" t="s">
        <v>196</v>
      </c>
      <c r="B122" s="668">
        <f>AVERAGE(1.4,1.499)</f>
        <v>1.4495</v>
      </c>
      <c r="C122" s="667" t="s">
        <v>186</v>
      </c>
      <c r="D122" s="667" t="s">
        <v>187</v>
      </c>
      <c r="E122" s="667" t="s">
        <v>188</v>
      </c>
      <c r="F122" s="667" t="s">
        <v>188</v>
      </c>
      <c r="G122" s="667" t="s">
        <v>188</v>
      </c>
      <c r="H122" s="667" t="s">
        <v>22</v>
      </c>
    </row>
    <row r="123" spans="1:8" x14ac:dyDescent="0.25">
      <c r="A123" s="669" t="s">
        <v>196</v>
      </c>
      <c r="B123" s="670">
        <f t="shared" ref="B123:B151" si="4">AVERAGE(1.4,1.499)</f>
        <v>1.4495</v>
      </c>
      <c r="C123" s="669" t="s">
        <v>186</v>
      </c>
      <c r="D123" s="669" t="s">
        <v>214</v>
      </c>
      <c r="E123" s="669" t="s">
        <v>188</v>
      </c>
      <c r="F123" s="669" t="s">
        <v>188</v>
      </c>
      <c r="G123" s="669" t="s">
        <v>188</v>
      </c>
      <c r="H123" s="669" t="s">
        <v>22</v>
      </c>
    </row>
    <row r="124" spans="1:8" x14ac:dyDescent="0.25">
      <c r="A124" s="667" t="s">
        <v>196</v>
      </c>
      <c r="B124" s="668">
        <f t="shared" si="4"/>
        <v>1.4495</v>
      </c>
      <c r="C124" s="667" t="s">
        <v>186</v>
      </c>
      <c r="D124" s="667" t="s">
        <v>233</v>
      </c>
      <c r="E124" s="667" t="s">
        <v>188</v>
      </c>
      <c r="F124" s="667" t="s">
        <v>188</v>
      </c>
      <c r="G124" s="667" t="s">
        <v>188</v>
      </c>
      <c r="H124" s="667" t="s">
        <v>22</v>
      </c>
    </row>
    <row r="125" spans="1:8" x14ac:dyDescent="0.25">
      <c r="A125" s="669" t="s">
        <v>196</v>
      </c>
      <c r="B125" s="670">
        <f t="shared" si="4"/>
        <v>1.4495</v>
      </c>
      <c r="C125" s="669" t="s">
        <v>186</v>
      </c>
      <c r="D125" s="669" t="s">
        <v>242</v>
      </c>
      <c r="E125" s="669" t="s">
        <v>188</v>
      </c>
      <c r="F125" s="669" t="s">
        <v>188</v>
      </c>
      <c r="G125" s="669" t="s">
        <v>188</v>
      </c>
      <c r="H125" s="669" t="s">
        <v>22</v>
      </c>
    </row>
    <row r="126" spans="1:8" x14ac:dyDescent="0.25">
      <c r="A126" s="667" t="s">
        <v>196</v>
      </c>
      <c r="B126" s="668">
        <f t="shared" si="4"/>
        <v>1.4495</v>
      </c>
      <c r="C126" s="667" t="s">
        <v>186</v>
      </c>
      <c r="D126" s="667" t="s">
        <v>250</v>
      </c>
      <c r="E126" s="667" t="s">
        <v>188</v>
      </c>
      <c r="F126" s="667" t="s">
        <v>188</v>
      </c>
      <c r="G126" s="667" t="s">
        <v>188</v>
      </c>
      <c r="H126" s="667" t="s">
        <v>22</v>
      </c>
    </row>
    <row r="127" spans="1:8" x14ac:dyDescent="0.25">
      <c r="A127" s="669" t="s">
        <v>196</v>
      </c>
      <c r="B127" s="670">
        <f t="shared" si="4"/>
        <v>1.4495</v>
      </c>
      <c r="C127" s="669" t="s">
        <v>213</v>
      </c>
      <c r="D127" s="669" t="s">
        <v>187</v>
      </c>
      <c r="E127" s="669" t="s">
        <v>188</v>
      </c>
      <c r="F127" s="669" t="s">
        <v>188</v>
      </c>
      <c r="G127" s="669" t="s">
        <v>188</v>
      </c>
      <c r="H127" s="669" t="s">
        <v>22</v>
      </c>
    </row>
    <row r="128" spans="1:8" x14ac:dyDescent="0.25">
      <c r="A128" s="667" t="s">
        <v>196</v>
      </c>
      <c r="B128" s="668">
        <f t="shared" si="4"/>
        <v>1.4495</v>
      </c>
      <c r="C128" s="667" t="s">
        <v>213</v>
      </c>
      <c r="D128" s="667" t="s">
        <v>214</v>
      </c>
      <c r="E128" s="667" t="s">
        <v>188</v>
      </c>
      <c r="F128" s="667" t="s">
        <v>188</v>
      </c>
      <c r="G128" s="667" t="s">
        <v>188</v>
      </c>
      <c r="H128" s="667" t="s">
        <v>22</v>
      </c>
    </row>
    <row r="129" spans="1:8" x14ac:dyDescent="0.25">
      <c r="A129" s="669" t="s">
        <v>196</v>
      </c>
      <c r="B129" s="670">
        <f t="shared" si="4"/>
        <v>1.4495</v>
      </c>
      <c r="C129" s="669" t="s">
        <v>213</v>
      </c>
      <c r="D129" s="669" t="s">
        <v>233</v>
      </c>
      <c r="E129" s="669" t="s">
        <v>188</v>
      </c>
      <c r="F129" s="669" t="s">
        <v>188</v>
      </c>
      <c r="G129" s="669" t="s">
        <v>188</v>
      </c>
      <c r="H129" s="669" t="s">
        <v>22</v>
      </c>
    </row>
    <row r="130" spans="1:8" x14ac:dyDescent="0.25">
      <c r="A130" s="667" t="s">
        <v>196</v>
      </c>
      <c r="B130" s="668">
        <f t="shared" si="4"/>
        <v>1.4495</v>
      </c>
      <c r="C130" s="667" t="s">
        <v>213</v>
      </c>
      <c r="D130" s="667" t="s">
        <v>242</v>
      </c>
      <c r="E130" s="667" t="s">
        <v>188</v>
      </c>
      <c r="F130" s="667" t="s">
        <v>188</v>
      </c>
      <c r="G130" s="667" t="s">
        <v>188</v>
      </c>
      <c r="H130" s="667" t="s">
        <v>22</v>
      </c>
    </row>
    <row r="131" spans="1:8" x14ac:dyDescent="0.25">
      <c r="A131" s="669" t="s">
        <v>196</v>
      </c>
      <c r="B131" s="670">
        <f t="shared" si="4"/>
        <v>1.4495</v>
      </c>
      <c r="C131" s="669" t="s">
        <v>213</v>
      </c>
      <c r="D131" s="669" t="s">
        <v>250</v>
      </c>
      <c r="E131" s="669" t="s">
        <v>188</v>
      </c>
      <c r="F131" s="669" t="s">
        <v>188</v>
      </c>
      <c r="G131" s="669" t="s">
        <v>188</v>
      </c>
      <c r="H131" s="669" t="s">
        <v>22</v>
      </c>
    </row>
    <row r="132" spans="1:8" x14ac:dyDescent="0.25">
      <c r="A132" s="667" t="s">
        <v>196</v>
      </c>
      <c r="B132" s="668">
        <f t="shared" si="4"/>
        <v>1.4495</v>
      </c>
      <c r="C132" s="667" t="s">
        <v>232</v>
      </c>
      <c r="D132" s="667" t="s">
        <v>187</v>
      </c>
      <c r="E132" s="667" t="s">
        <v>188</v>
      </c>
      <c r="F132" s="667" t="s">
        <v>188</v>
      </c>
      <c r="G132" s="667" t="s">
        <v>188</v>
      </c>
      <c r="H132" s="667" t="s">
        <v>22</v>
      </c>
    </row>
    <row r="133" spans="1:8" x14ac:dyDescent="0.25">
      <c r="A133" s="669" t="s">
        <v>196</v>
      </c>
      <c r="B133" s="670">
        <f t="shared" si="4"/>
        <v>1.4495</v>
      </c>
      <c r="C133" s="669" t="s">
        <v>232</v>
      </c>
      <c r="D133" s="669" t="s">
        <v>214</v>
      </c>
      <c r="E133" s="669" t="s">
        <v>188</v>
      </c>
      <c r="F133" s="669" t="s">
        <v>188</v>
      </c>
      <c r="G133" s="669" t="s">
        <v>188</v>
      </c>
      <c r="H133" s="669" t="s">
        <v>22</v>
      </c>
    </row>
    <row r="134" spans="1:8" x14ac:dyDescent="0.25">
      <c r="A134" s="667" t="s">
        <v>196</v>
      </c>
      <c r="B134" s="668">
        <f t="shared" si="4"/>
        <v>1.4495</v>
      </c>
      <c r="C134" s="667" t="s">
        <v>232</v>
      </c>
      <c r="D134" s="667" t="s">
        <v>233</v>
      </c>
      <c r="E134" s="667" t="s">
        <v>188</v>
      </c>
      <c r="F134" s="667" t="s">
        <v>188</v>
      </c>
      <c r="G134" s="667" t="s">
        <v>188</v>
      </c>
      <c r="H134" s="667" t="s">
        <v>22</v>
      </c>
    </row>
    <row r="135" spans="1:8" x14ac:dyDescent="0.25">
      <c r="A135" s="669" t="s">
        <v>196</v>
      </c>
      <c r="B135" s="670">
        <f t="shared" si="4"/>
        <v>1.4495</v>
      </c>
      <c r="C135" s="669" t="s">
        <v>232</v>
      </c>
      <c r="D135" s="669" t="s">
        <v>242</v>
      </c>
      <c r="E135" s="669" t="s">
        <v>188</v>
      </c>
      <c r="F135" s="669" t="s">
        <v>188</v>
      </c>
      <c r="G135" s="669" t="s">
        <v>188</v>
      </c>
      <c r="H135" s="669" t="s">
        <v>22</v>
      </c>
    </row>
    <row r="136" spans="1:8" x14ac:dyDescent="0.25">
      <c r="A136" s="667" t="s">
        <v>196</v>
      </c>
      <c r="B136" s="668">
        <f t="shared" si="4"/>
        <v>1.4495</v>
      </c>
      <c r="C136" s="667" t="s">
        <v>232</v>
      </c>
      <c r="D136" s="667" t="s">
        <v>250</v>
      </c>
      <c r="E136" s="667" t="s">
        <v>188</v>
      </c>
      <c r="F136" s="667" t="s">
        <v>188</v>
      </c>
      <c r="G136" s="667" t="s">
        <v>188</v>
      </c>
      <c r="H136" s="667" t="s">
        <v>22</v>
      </c>
    </row>
    <row r="137" spans="1:8" x14ac:dyDescent="0.25">
      <c r="A137" s="669" t="s">
        <v>196</v>
      </c>
      <c r="B137" s="670">
        <f t="shared" si="4"/>
        <v>1.4495</v>
      </c>
      <c r="C137" s="669" t="s">
        <v>215</v>
      </c>
      <c r="D137" s="669" t="s">
        <v>187</v>
      </c>
      <c r="E137" s="669" t="s">
        <v>188</v>
      </c>
      <c r="F137" s="669" t="s">
        <v>188</v>
      </c>
      <c r="G137" s="669" t="s">
        <v>188</v>
      </c>
      <c r="H137" s="669" t="s">
        <v>22</v>
      </c>
    </row>
    <row r="138" spans="1:8" x14ac:dyDescent="0.25">
      <c r="A138" s="667" t="s">
        <v>196</v>
      </c>
      <c r="B138" s="668">
        <f t="shared" si="4"/>
        <v>1.4495</v>
      </c>
      <c r="C138" s="667" t="s">
        <v>215</v>
      </c>
      <c r="D138" s="667" t="s">
        <v>214</v>
      </c>
      <c r="E138" s="667" t="s">
        <v>188</v>
      </c>
      <c r="F138" s="667" t="s">
        <v>188</v>
      </c>
      <c r="G138" s="667" t="s">
        <v>188</v>
      </c>
      <c r="H138" s="667" t="s">
        <v>22</v>
      </c>
    </row>
    <row r="139" spans="1:8" x14ac:dyDescent="0.25">
      <c r="A139" s="669" t="s">
        <v>196</v>
      </c>
      <c r="B139" s="670">
        <f t="shared" si="4"/>
        <v>1.4495</v>
      </c>
      <c r="C139" s="669" t="s">
        <v>215</v>
      </c>
      <c r="D139" s="669" t="s">
        <v>233</v>
      </c>
      <c r="E139" s="669" t="s">
        <v>188</v>
      </c>
      <c r="F139" s="669" t="s">
        <v>188</v>
      </c>
      <c r="G139" s="669" t="s">
        <v>188</v>
      </c>
      <c r="H139" s="669" t="s">
        <v>22</v>
      </c>
    </row>
    <row r="140" spans="1:8" x14ac:dyDescent="0.25">
      <c r="A140" s="667" t="s">
        <v>196</v>
      </c>
      <c r="B140" s="668">
        <f t="shared" si="4"/>
        <v>1.4495</v>
      </c>
      <c r="C140" s="667" t="s">
        <v>215</v>
      </c>
      <c r="D140" s="667" t="s">
        <v>242</v>
      </c>
      <c r="E140" s="667" t="s">
        <v>188</v>
      </c>
      <c r="F140" s="667" t="s">
        <v>188</v>
      </c>
      <c r="G140" s="667" t="s">
        <v>188</v>
      </c>
      <c r="H140" s="667" t="s">
        <v>22</v>
      </c>
    </row>
    <row r="141" spans="1:8" x14ac:dyDescent="0.25">
      <c r="A141" s="669" t="s">
        <v>196</v>
      </c>
      <c r="B141" s="670">
        <f t="shared" si="4"/>
        <v>1.4495</v>
      </c>
      <c r="C141" s="669" t="s">
        <v>215</v>
      </c>
      <c r="D141" s="669" t="s">
        <v>250</v>
      </c>
      <c r="E141" s="669" t="s">
        <v>188</v>
      </c>
      <c r="F141" s="669" t="s">
        <v>188</v>
      </c>
      <c r="G141" s="669" t="s">
        <v>188</v>
      </c>
      <c r="H141" s="669" t="s">
        <v>22</v>
      </c>
    </row>
    <row r="142" spans="1:8" x14ac:dyDescent="0.25">
      <c r="A142" s="667" t="s">
        <v>196</v>
      </c>
      <c r="B142" s="668">
        <f t="shared" si="4"/>
        <v>1.4495</v>
      </c>
      <c r="C142" s="667" t="s">
        <v>249</v>
      </c>
      <c r="D142" s="667" t="s">
        <v>187</v>
      </c>
      <c r="E142" s="667" t="s">
        <v>188</v>
      </c>
      <c r="F142" s="667" t="s">
        <v>188</v>
      </c>
      <c r="G142" s="667" t="s">
        <v>188</v>
      </c>
      <c r="H142" s="667" t="s">
        <v>22</v>
      </c>
    </row>
    <row r="143" spans="1:8" x14ac:dyDescent="0.25">
      <c r="A143" s="669" t="s">
        <v>196</v>
      </c>
      <c r="B143" s="670">
        <f t="shared" si="4"/>
        <v>1.4495</v>
      </c>
      <c r="C143" s="669" t="s">
        <v>249</v>
      </c>
      <c r="D143" s="669" t="s">
        <v>214</v>
      </c>
      <c r="E143" s="669" t="s">
        <v>188</v>
      </c>
      <c r="F143" s="669" t="s">
        <v>188</v>
      </c>
      <c r="G143" s="669" t="s">
        <v>188</v>
      </c>
      <c r="H143" s="669" t="s">
        <v>22</v>
      </c>
    </row>
    <row r="144" spans="1:8" x14ac:dyDescent="0.25">
      <c r="A144" s="667" t="s">
        <v>196</v>
      </c>
      <c r="B144" s="668">
        <f t="shared" si="4"/>
        <v>1.4495</v>
      </c>
      <c r="C144" s="667" t="s">
        <v>249</v>
      </c>
      <c r="D144" s="667" t="s">
        <v>233</v>
      </c>
      <c r="E144" s="667" t="s">
        <v>188</v>
      </c>
      <c r="F144" s="667" t="s">
        <v>188</v>
      </c>
      <c r="G144" s="667" t="s">
        <v>188</v>
      </c>
      <c r="H144" s="667" t="s">
        <v>22</v>
      </c>
    </row>
    <row r="145" spans="1:8" x14ac:dyDescent="0.25">
      <c r="A145" s="669" t="s">
        <v>196</v>
      </c>
      <c r="B145" s="670">
        <f t="shared" si="4"/>
        <v>1.4495</v>
      </c>
      <c r="C145" s="669" t="s">
        <v>249</v>
      </c>
      <c r="D145" s="669" t="s">
        <v>242</v>
      </c>
      <c r="E145" s="669" t="s">
        <v>188</v>
      </c>
      <c r="F145" s="669" t="s">
        <v>188</v>
      </c>
      <c r="G145" s="669" t="s">
        <v>188</v>
      </c>
      <c r="H145" s="669" t="s">
        <v>22</v>
      </c>
    </row>
    <row r="146" spans="1:8" x14ac:dyDescent="0.25">
      <c r="A146" s="667" t="s">
        <v>196</v>
      </c>
      <c r="B146" s="668">
        <f t="shared" si="4"/>
        <v>1.4495</v>
      </c>
      <c r="C146" s="667" t="s">
        <v>249</v>
      </c>
      <c r="D146" s="667" t="s">
        <v>250</v>
      </c>
      <c r="E146" s="667" t="s">
        <v>188</v>
      </c>
      <c r="F146" s="667" t="s">
        <v>188</v>
      </c>
      <c r="G146" s="667" t="s">
        <v>188</v>
      </c>
      <c r="H146" s="667" t="s">
        <v>22</v>
      </c>
    </row>
    <row r="147" spans="1:8" x14ac:dyDescent="0.25">
      <c r="A147" s="669" t="s">
        <v>196</v>
      </c>
      <c r="B147" s="670">
        <f t="shared" si="4"/>
        <v>1.4495</v>
      </c>
      <c r="C147" s="669" t="s">
        <v>257</v>
      </c>
      <c r="D147" s="669" t="s">
        <v>187</v>
      </c>
      <c r="E147" s="669" t="s">
        <v>188</v>
      </c>
      <c r="F147" s="669" t="s">
        <v>188</v>
      </c>
      <c r="G147" s="669" t="s">
        <v>188</v>
      </c>
      <c r="H147" s="669" t="s">
        <v>22</v>
      </c>
    </row>
    <row r="148" spans="1:8" x14ac:dyDescent="0.25">
      <c r="A148" s="667" t="s">
        <v>196</v>
      </c>
      <c r="B148" s="668">
        <f t="shared" si="4"/>
        <v>1.4495</v>
      </c>
      <c r="C148" s="667" t="s">
        <v>257</v>
      </c>
      <c r="D148" s="667" t="s">
        <v>214</v>
      </c>
      <c r="E148" s="667" t="s">
        <v>188</v>
      </c>
      <c r="F148" s="667" t="s">
        <v>188</v>
      </c>
      <c r="G148" s="667" t="s">
        <v>188</v>
      </c>
      <c r="H148" s="667" t="s">
        <v>22</v>
      </c>
    </row>
    <row r="149" spans="1:8" x14ac:dyDescent="0.25">
      <c r="A149" s="669" t="s">
        <v>196</v>
      </c>
      <c r="B149" s="670">
        <f t="shared" si="4"/>
        <v>1.4495</v>
      </c>
      <c r="C149" s="669" t="s">
        <v>257</v>
      </c>
      <c r="D149" s="669" t="s">
        <v>233</v>
      </c>
      <c r="E149" s="669" t="s">
        <v>188</v>
      </c>
      <c r="F149" s="669" t="s">
        <v>188</v>
      </c>
      <c r="G149" s="669" t="s">
        <v>188</v>
      </c>
      <c r="H149" s="669" t="s">
        <v>22</v>
      </c>
    </row>
    <row r="150" spans="1:8" x14ac:dyDescent="0.25">
      <c r="A150" s="667" t="s">
        <v>196</v>
      </c>
      <c r="B150" s="668">
        <f t="shared" si="4"/>
        <v>1.4495</v>
      </c>
      <c r="C150" s="667" t="s">
        <v>257</v>
      </c>
      <c r="D150" s="667" t="s">
        <v>242</v>
      </c>
      <c r="E150" s="667" t="s">
        <v>188</v>
      </c>
      <c r="F150" s="667" t="s">
        <v>188</v>
      </c>
      <c r="G150" s="667" t="s">
        <v>188</v>
      </c>
      <c r="H150" s="667" t="s">
        <v>22</v>
      </c>
    </row>
    <row r="151" spans="1:8" x14ac:dyDescent="0.25">
      <c r="A151" s="669" t="s">
        <v>196</v>
      </c>
      <c r="B151" s="670">
        <f t="shared" si="4"/>
        <v>1.4495</v>
      </c>
      <c r="C151" s="669" t="s">
        <v>257</v>
      </c>
      <c r="D151" s="669" t="s">
        <v>250</v>
      </c>
      <c r="E151" s="669" t="s">
        <v>188</v>
      </c>
      <c r="F151" s="669" t="s">
        <v>188</v>
      </c>
      <c r="G151" s="669" t="s">
        <v>188</v>
      </c>
      <c r="H151" s="669" t="s">
        <v>22</v>
      </c>
    </row>
    <row r="152" spans="1:8" x14ac:dyDescent="0.25">
      <c r="A152" s="667" t="s">
        <v>196</v>
      </c>
      <c r="B152" s="668">
        <f>AVERAGE(1.5,1.699)</f>
        <v>1.5994999999999999</v>
      </c>
      <c r="C152" s="667" t="s">
        <v>186</v>
      </c>
      <c r="D152" s="667" t="s">
        <v>187</v>
      </c>
      <c r="E152" s="667" t="s">
        <v>188</v>
      </c>
      <c r="F152" s="667" t="s">
        <v>188</v>
      </c>
      <c r="G152" s="667" t="s">
        <v>188</v>
      </c>
      <c r="H152" s="667" t="s">
        <v>22</v>
      </c>
    </row>
    <row r="153" spans="1:8" x14ac:dyDescent="0.25">
      <c r="A153" s="669" t="s">
        <v>196</v>
      </c>
      <c r="B153" s="670">
        <f t="shared" ref="B153:B181" si="5">AVERAGE(1.5,1.699)</f>
        <v>1.5994999999999999</v>
      </c>
      <c r="C153" s="669" t="s">
        <v>186</v>
      </c>
      <c r="D153" s="669" t="s">
        <v>214</v>
      </c>
      <c r="E153" s="669" t="s">
        <v>188</v>
      </c>
      <c r="F153" s="669" t="s">
        <v>188</v>
      </c>
      <c r="G153" s="669" t="s">
        <v>188</v>
      </c>
      <c r="H153" s="669" t="s">
        <v>22</v>
      </c>
    </row>
    <row r="154" spans="1:8" x14ac:dyDescent="0.25">
      <c r="A154" s="667" t="s">
        <v>196</v>
      </c>
      <c r="B154" s="668">
        <f t="shared" si="5"/>
        <v>1.5994999999999999</v>
      </c>
      <c r="C154" s="667" t="s">
        <v>186</v>
      </c>
      <c r="D154" s="667" t="s">
        <v>233</v>
      </c>
      <c r="E154" s="667" t="s">
        <v>188</v>
      </c>
      <c r="F154" s="667" t="s">
        <v>188</v>
      </c>
      <c r="G154" s="667" t="s">
        <v>188</v>
      </c>
      <c r="H154" s="667" t="s">
        <v>22</v>
      </c>
    </row>
    <row r="155" spans="1:8" x14ac:dyDescent="0.25">
      <c r="A155" s="669" t="s">
        <v>196</v>
      </c>
      <c r="B155" s="670">
        <f t="shared" si="5"/>
        <v>1.5994999999999999</v>
      </c>
      <c r="C155" s="669" t="s">
        <v>186</v>
      </c>
      <c r="D155" s="669" t="s">
        <v>242</v>
      </c>
      <c r="E155" s="669" t="s">
        <v>188</v>
      </c>
      <c r="F155" s="669" t="s">
        <v>188</v>
      </c>
      <c r="G155" s="669" t="s">
        <v>188</v>
      </c>
      <c r="H155" s="669" t="s">
        <v>22</v>
      </c>
    </row>
    <row r="156" spans="1:8" x14ac:dyDescent="0.25">
      <c r="A156" s="667" t="s">
        <v>196</v>
      </c>
      <c r="B156" s="668">
        <f t="shared" si="5"/>
        <v>1.5994999999999999</v>
      </c>
      <c r="C156" s="667" t="s">
        <v>186</v>
      </c>
      <c r="D156" s="667" t="s">
        <v>250</v>
      </c>
      <c r="E156" s="667" t="s">
        <v>188</v>
      </c>
      <c r="F156" s="667" t="s">
        <v>188</v>
      </c>
      <c r="G156" s="667" t="s">
        <v>188</v>
      </c>
      <c r="H156" s="667" t="s">
        <v>22</v>
      </c>
    </row>
    <row r="157" spans="1:8" x14ac:dyDescent="0.25">
      <c r="A157" s="669" t="s">
        <v>196</v>
      </c>
      <c r="B157" s="670">
        <f t="shared" si="5"/>
        <v>1.5994999999999999</v>
      </c>
      <c r="C157" s="669" t="s">
        <v>213</v>
      </c>
      <c r="D157" s="669" t="s">
        <v>187</v>
      </c>
      <c r="E157" s="669" t="s">
        <v>188</v>
      </c>
      <c r="F157" s="669" t="s">
        <v>188</v>
      </c>
      <c r="G157" s="669" t="s">
        <v>188</v>
      </c>
      <c r="H157" s="669" t="s">
        <v>22</v>
      </c>
    </row>
    <row r="158" spans="1:8" x14ac:dyDescent="0.25">
      <c r="A158" s="667" t="s">
        <v>196</v>
      </c>
      <c r="B158" s="668">
        <f t="shared" si="5"/>
        <v>1.5994999999999999</v>
      </c>
      <c r="C158" s="667" t="s">
        <v>213</v>
      </c>
      <c r="D158" s="667" t="s">
        <v>214</v>
      </c>
      <c r="E158" s="667" t="s">
        <v>188</v>
      </c>
      <c r="F158" s="667" t="s">
        <v>188</v>
      </c>
      <c r="G158" s="667" t="s">
        <v>188</v>
      </c>
      <c r="H158" s="667" t="s">
        <v>22</v>
      </c>
    </row>
    <row r="159" spans="1:8" x14ac:dyDescent="0.25">
      <c r="A159" s="669" t="s">
        <v>196</v>
      </c>
      <c r="B159" s="670">
        <f t="shared" si="5"/>
        <v>1.5994999999999999</v>
      </c>
      <c r="C159" s="669" t="s">
        <v>213</v>
      </c>
      <c r="D159" s="669" t="s">
        <v>233</v>
      </c>
      <c r="E159" s="669" t="s">
        <v>188</v>
      </c>
      <c r="F159" s="669" t="s">
        <v>188</v>
      </c>
      <c r="G159" s="669" t="s">
        <v>188</v>
      </c>
      <c r="H159" s="669" t="s">
        <v>22</v>
      </c>
    </row>
    <row r="160" spans="1:8" x14ac:dyDescent="0.25">
      <c r="A160" s="667" t="s">
        <v>196</v>
      </c>
      <c r="B160" s="668">
        <f t="shared" si="5"/>
        <v>1.5994999999999999</v>
      </c>
      <c r="C160" s="667" t="s">
        <v>213</v>
      </c>
      <c r="D160" s="667" t="s">
        <v>242</v>
      </c>
      <c r="E160" s="667" t="s">
        <v>188</v>
      </c>
      <c r="F160" s="667" t="s">
        <v>188</v>
      </c>
      <c r="G160" s="667" t="s">
        <v>188</v>
      </c>
      <c r="H160" s="667" t="s">
        <v>22</v>
      </c>
    </row>
    <row r="161" spans="1:8" x14ac:dyDescent="0.25">
      <c r="A161" s="669" t="s">
        <v>196</v>
      </c>
      <c r="B161" s="670">
        <f t="shared" si="5"/>
        <v>1.5994999999999999</v>
      </c>
      <c r="C161" s="669" t="s">
        <v>213</v>
      </c>
      <c r="D161" s="669" t="s">
        <v>250</v>
      </c>
      <c r="E161" s="669" t="s">
        <v>188</v>
      </c>
      <c r="F161" s="669" t="s">
        <v>188</v>
      </c>
      <c r="G161" s="669" t="s">
        <v>188</v>
      </c>
      <c r="H161" s="669" t="s">
        <v>22</v>
      </c>
    </row>
    <row r="162" spans="1:8" x14ac:dyDescent="0.25">
      <c r="A162" s="667" t="s">
        <v>196</v>
      </c>
      <c r="B162" s="668">
        <f t="shared" si="5"/>
        <v>1.5994999999999999</v>
      </c>
      <c r="C162" s="667" t="s">
        <v>232</v>
      </c>
      <c r="D162" s="667" t="s">
        <v>187</v>
      </c>
      <c r="E162" s="667" t="s">
        <v>188</v>
      </c>
      <c r="F162" s="667" t="s">
        <v>188</v>
      </c>
      <c r="G162" s="667" t="s">
        <v>188</v>
      </c>
      <c r="H162" s="667" t="s">
        <v>22</v>
      </c>
    </row>
    <row r="163" spans="1:8" x14ac:dyDescent="0.25">
      <c r="A163" s="669" t="s">
        <v>196</v>
      </c>
      <c r="B163" s="670">
        <f t="shared" si="5"/>
        <v>1.5994999999999999</v>
      </c>
      <c r="C163" s="669" t="s">
        <v>232</v>
      </c>
      <c r="D163" s="669" t="s">
        <v>214</v>
      </c>
      <c r="E163" s="669" t="s">
        <v>188</v>
      </c>
      <c r="F163" s="669" t="s">
        <v>188</v>
      </c>
      <c r="G163" s="669" t="s">
        <v>188</v>
      </c>
      <c r="H163" s="669" t="s">
        <v>22</v>
      </c>
    </row>
    <row r="164" spans="1:8" x14ac:dyDescent="0.25">
      <c r="A164" s="667" t="s">
        <v>196</v>
      </c>
      <c r="B164" s="668">
        <f t="shared" si="5"/>
        <v>1.5994999999999999</v>
      </c>
      <c r="C164" s="667" t="s">
        <v>232</v>
      </c>
      <c r="D164" s="667" t="s">
        <v>233</v>
      </c>
      <c r="E164" s="667" t="s">
        <v>188</v>
      </c>
      <c r="F164" s="667" t="s">
        <v>188</v>
      </c>
      <c r="G164" s="667" t="s">
        <v>188</v>
      </c>
      <c r="H164" s="667" t="s">
        <v>22</v>
      </c>
    </row>
    <row r="165" spans="1:8" x14ac:dyDescent="0.25">
      <c r="A165" s="669" t="s">
        <v>196</v>
      </c>
      <c r="B165" s="670">
        <f t="shared" si="5"/>
        <v>1.5994999999999999</v>
      </c>
      <c r="C165" s="669" t="s">
        <v>232</v>
      </c>
      <c r="D165" s="669" t="s">
        <v>242</v>
      </c>
      <c r="E165" s="669" t="s">
        <v>188</v>
      </c>
      <c r="F165" s="669" t="s">
        <v>188</v>
      </c>
      <c r="G165" s="669" t="s">
        <v>188</v>
      </c>
      <c r="H165" s="669" t="s">
        <v>22</v>
      </c>
    </row>
    <row r="166" spans="1:8" x14ac:dyDescent="0.25">
      <c r="A166" s="667" t="s">
        <v>196</v>
      </c>
      <c r="B166" s="668">
        <f t="shared" si="5"/>
        <v>1.5994999999999999</v>
      </c>
      <c r="C166" s="667" t="s">
        <v>232</v>
      </c>
      <c r="D166" s="667" t="s">
        <v>250</v>
      </c>
      <c r="E166" s="667" t="s">
        <v>188</v>
      </c>
      <c r="F166" s="667" t="s">
        <v>188</v>
      </c>
      <c r="G166" s="667" t="s">
        <v>188</v>
      </c>
      <c r="H166" s="667" t="s">
        <v>22</v>
      </c>
    </row>
    <row r="167" spans="1:8" x14ac:dyDescent="0.25">
      <c r="A167" s="669" t="s">
        <v>196</v>
      </c>
      <c r="B167" s="670">
        <f t="shared" si="5"/>
        <v>1.5994999999999999</v>
      </c>
      <c r="C167" s="669" t="s">
        <v>215</v>
      </c>
      <c r="D167" s="669" t="s">
        <v>187</v>
      </c>
      <c r="E167" s="669" t="s">
        <v>188</v>
      </c>
      <c r="F167" s="669" t="s">
        <v>188</v>
      </c>
      <c r="G167" s="669" t="s">
        <v>188</v>
      </c>
      <c r="H167" s="669" t="s">
        <v>22</v>
      </c>
    </row>
    <row r="168" spans="1:8" x14ac:dyDescent="0.25">
      <c r="A168" s="667" t="s">
        <v>196</v>
      </c>
      <c r="B168" s="668">
        <f t="shared" si="5"/>
        <v>1.5994999999999999</v>
      </c>
      <c r="C168" s="667" t="s">
        <v>215</v>
      </c>
      <c r="D168" s="667" t="s">
        <v>214</v>
      </c>
      <c r="E168" s="667" t="s">
        <v>188</v>
      </c>
      <c r="F168" s="667" t="s">
        <v>188</v>
      </c>
      <c r="G168" s="667" t="s">
        <v>188</v>
      </c>
      <c r="H168" s="667" t="s">
        <v>22</v>
      </c>
    </row>
    <row r="169" spans="1:8" x14ac:dyDescent="0.25">
      <c r="A169" s="669" t="s">
        <v>196</v>
      </c>
      <c r="B169" s="670">
        <f t="shared" si="5"/>
        <v>1.5994999999999999</v>
      </c>
      <c r="C169" s="669" t="s">
        <v>215</v>
      </c>
      <c r="D169" s="669" t="s">
        <v>233</v>
      </c>
      <c r="E169" s="669" t="s">
        <v>188</v>
      </c>
      <c r="F169" s="669" t="s">
        <v>188</v>
      </c>
      <c r="G169" s="669" t="s">
        <v>188</v>
      </c>
      <c r="H169" s="669" t="s">
        <v>22</v>
      </c>
    </row>
    <row r="170" spans="1:8" x14ac:dyDescent="0.25">
      <c r="A170" s="667" t="s">
        <v>196</v>
      </c>
      <c r="B170" s="668">
        <f t="shared" si="5"/>
        <v>1.5994999999999999</v>
      </c>
      <c r="C170" s="667" t="s">
        <v>215</v>
      </c>
      <c r="D170" s="667" t="s">
        <v>242</v>
      </c>
      <c r="E170" s="667" t="s">
        <v>188</v>
      </c>
      <c r="F170" s="667" t="s">
        <v>188</v>
      </c>
      <c r="G170" s="667" t="s">
        <v>188</v>
      </c>
      <c r="H170" s="667" t="s">
        <v>22</v>
      </c>
    </row>
    <row r="171" spans="1:8" x14ac:dyDescent="0.25">
      <c r="A171" s="669" t="s">
        <v>196</v>
      </c>
      <c r="B171" s="670">
        <f t="shared" si="5"/>
        <v>1.5994999999999999</v>
      </c>
      <c r="C171" s="669" t="s">
        <v>215</v>
      </c>
      <c r="D171" s="669" t="s">
        <v>250</v>
      </c>
      <c r="E171" s="669" t="s">
        <v>188</v>
      </c>
      <c r="F171" s="669" t="s">
        <v>188</v>
      </c>
      <c r="G171" s="669" t="s">
        <v>188</v>
      </c>
      <c r="H171" s="669" t="s">
        <v>22</v>
      </c>
    </row>
    <row r="172" spans="1:8" x14ac:dyDescent="0.25">
      <c r="A172" s="667" t="s">
        <v>196</v>
      </c>
      <c r="B172" s="668">
        <f t="shared" si="5"/>
        <v>1.5994999999999999</v>
      </c>
      <c r="C172" s="667" t="s">
        <v>249</v>
      </c>
      <c r="D172" s="667" t="s">
        <v>187</v>
      </c>
      <c r="E172" s="667" t="s">
        <v>188</v>
      </c>
      <c r="F172" s="667" t="s">
        <v>188</v>
      </c>
      <c r="G172" s="667" t="s">
        <v>188</v>
      </c>
      <c r="H172" s="667" t="s">
        <v>22</v>
      </c>
    </row>
    <row r="173" spans="1:8" x14ac:dyDescent="0.25">
      <c r="A173" s="669" t="s">
        <v>196</v>
      </c>
      <c r="B173" s="670">
        <f t="shared" si="5"/>
        <v>1.5994999999999999</v>
      </c>
      <c r="C173" s="669" t="s">
        <v>249</v>
      </c>
      <c r="D173" s="669" t="s">
        <v>214</v>
      </c>
      <c r="E173" s="669" t="s">
        <v>188</v>
      </c>
      <c r="F173" s="669" t="s">
        <v>188</v>
      </c>
      <c r="G173" s="669" t="s">
        <v>188</v>
      </c>
      <c r="H173" s="669" t="s">
        <v>22</v>
      </c>
    </row>
    <row r="174" spans="1:8" x14ac:dyDescent="0.25">
      <c r="A174" s="667" t="s">
        <v>196</v>
      </c>
      <c r="B174" s="668">
        <f t="shared" si="5"/>
        <v>1.5994999999999999</v>
      </c>
      <c r="C174" s="667" t="s">
        <v>249</v>
      </c>
      <c r="D174" s="667" t="s">
        <v>233</v>
      </c>
      <c r="E174" s="667" t="s">
        <v>188</v>
      </c>
      <c r="F174" s="667" t="s">
        <v>188</v>
      </c>
      <c r="G174" s="667" t="s">
        <v>188</v>
      </c>
      <c r="H174" s="667" t="s">
        <v>22</v>
      </c>
    </row>
    <row r="175" spans="1:8" x14ac:dyDescent="0.25">
      <c r="A175" s="669" t="s">
        <v>196</v>
      </c>
      <c r="B175" s="670">
        <f t="shared" si="5"/>
        <v>1.5994999999999999</v>
      </c>
      <c r="C175" s="669" t="s">
        <v>249</v>
      </c>
      <c r="D175" s="669" t="s">
        <v>242</v>
      </c>
      <c r="E175" s="669" t="s">
        <v>188</v>
      </c>
      <c r="F175" s="669" t="s">
        <v>188</v>
      </c>
      <c r="G175" s="669" t="s">
        <v>188</v>
      </c>
      <c r="H175" s="669" t="s">
        <v>22</v>
      </c>
    </row>
    <row r="176" spans="1:8" x14ac:dyDescent="0.25">
      <c r="A176" s="667" t="s">
        <v>196</v>
      </c>
      <c r="B176" s="668">
        <f t="shared" si="5"/>
        <v>1.5994999999999999</v>
      </c>
      <c r="C176" s="667" t="s">
        <v>249</v>
      </c>
      <c r="D176" s="667" t="s">
        <v>250</v>
      </c>
      <c r="E176" s="667" t="s">
        <v>188</v>
      </c>
      <c r="F176" s="667" t="s">
        <v>188</v>
      </c>
      <c r="G176" s="667" t="s">
        <v>188</v>
      </c>
      <c r="H176" s="667" t="s">
        <v>22</v>
      </c>
    </row>
    <row r="177" spans="1:8" x14ac:dyDescent="0.25">
      <c r="A177" s="669" t="s">
        <v>196</v>
      </c>
      <c r="B177" s="670">
        <f t="shared" si="5"/>
        <v>1.5994999999999999</v>
      </c>
      <c r="C177" s="669" t="s">
        <v>257</v>
      </c>
      <c r="D177" s="669" t="s">
        <v>187</v>
      </c>
      <c r="E177" s="669" t="s">
        <v>188</v>
      </c>
      <c r="F177" s="669" t="s">
        <v>188</v>
      </c>
      <c r="G177" s="669" t="s">
        <v>188</v>
      </c>
      <c r="H177" s="669" t="s">
        <v>22</v>
      </c>
    </row>
    <row r="178" spans="1:8" x14ac:dyDescent="0.25">
      <c r="A178" s="667" t="s">
        <v>196</v>
      </c>
      <c r="B178" s="668">
        <f t="shared" si="5"/>
        <v>1.5994999999999999</v>
      </c>
      <c r="C178" s="667" t="s">
        <v>257</v>
      </c>
      <c r="D178" s="667" t="s">
        <v>214</v>
      </c>
      <c r="E178" s="667" t="s">
        <v>188</v>
      </c>
      <c r="F178" s="667" t="s">
        <v>188</v>
      </c>
      <c r="G178" s="667" t="s">
        <v>188</v>
      </c>
      <c r="H178" s="667" t="s">
        <v>22</v>
      </c>
    </row>
    <row r="179" spans="1:8" x14ac:dyDescent="0.25">
      <c r="A179" s="669" t="s">
        <v>196</v>
      </c>
      <c r="B179" s="670">
        <f t="shared" si="5"/>
        <v>1.5994999999999999</v>
      </c>
      <c r="C179" s="669" t="s">
        <v>257</v>
      </c>
      <c r="D179" s="669" t="s">
        <v>233</v>
      </c>
      <c r="E179" s="669" t="s">
        <v>188</v>
      </c>
      <c r="F179" s="669" t="s">
        <v>188</v>
      </c>
      <c r="G179" s="669" t="s">
        <v>188</v>
      </c>
      <c r="H179" s="669" t="s">
        <v>22</v>
      </c>
    </row>
    <row r="180" spans="1:8" x14ac:dyDescent="0.25">
      <c r="A180" s="667" t="s">
        <v>196</v>
      </c>
      <c r="B180" s="668">
        <f t="shared" si="5"/>
        <v>1.5994999999999999</v>
      </c>
      <c r="C180" s="667" t="s">
        <v>257</v>
      </c>
      <c r="D180" s="667" t="s">
        <v>242</v>
      </c>
      <c r="E180" s="667" t="s">
        <v>188</v>
      </c>
      <c r="F180" s="667" t="s">
        <v>188</v>
      </c>
      <c r="G180" s="667" t="s">
        <v>188</v>
      </c>
      <c r="H180" s="667" t="s">
        <v>22</v>
      </c>
    </row>
    <row r="181" spans="1:8" x14ac:dyDescent="0.25">
      <c r="A181" s="669" t="s">
        <v>196</v>
      </c>
      <c r="B181" s="670">
        <f t="shared" si="5"/>
        <v>1.5994999999999999</v>
      </c>
      <c r="C181" s="669" t="s">
        <v>257</v>
      </c>
      <c r="D181" s="669" t="s">
        <v>250</v>
      </c>
      <c r="E181" s="669" t="s">
        <v>188</v>
      </c>
      <c r="F181" s="669" t="s">
        <v>188</v>
      </c>
      <c r="G181" s="669" t="s">
        <v>188</v>
      </c>
      <c r="H181" s="669" t="s">
        <v>22</v>
      </c>
    </row>
    <row r="182" spans="1:8" x14ac:dyDescent="0.25">
      <c r="A182" s="667" t="s">
        <v>196</v>
      </c>
      <c r="B182" s="668">
        <f>AVERAGE(1.7,1.799)</f>
        <v>1.7494999999999998</v>
      </c>
      <c r="C182" s="667" t="s">
        <v>186</v>
      </c>
      <c r="D182" s="667" t="s">
        <v>187</v>
      </c>
      <c r="E182" s="667" t="s">
        <v>188</v>
      </c>
      <c r="F182" s="667" t="s">
        <v>188</v>
      </c>
      <c r="G182" s="667" t="s">
        <v>188</v>
      </c>
      <c r="H182" s="667" t="s">
        <v>22</v>
      </c>
    </row>
    <row r="183" spans="1:8" x14ac:dyDescent="0.25">
      <c r="A183" s="669" t="s">
        <v>196</v>
      </c>
      <c r="B183" s="670">
        <f t="shared" ref="B183:B211" si="6">AVERAGE(1.7,1.799)</f>
        <v>1.7494999999999998</v>
      </c>
      <c r="C183" s="669" t="s">
        <v>186</v>
      </c>
      <c r="D183" s="669" t="s">
        <v>214</v>
      </c>
      <c r="E183" s="669" t="s">
        <v>188</v>
      </c>
      <c r="F183" s="669" t="s">
        <v>188</v>
      </c>
      <c r="G183" s="669" t="s">
        <v>188</v>
      </c>
      <c r="H183" s="669" t="s">
        <v>22</v>
      </c>
    </row>
    <row r="184" spans="1:8" x14ac:dyDescent="0.25">
      <c r="A184" s="667" t="s">
        <v>196</v>
      </c>
      <c r="B184" s="668">
        <f t="shared" si="6"/>
        <v>1.7494999999999998</v>
      </c>
      <c r="C184" s="667" t="s">
        <v>186</v>
      </c>
      <c r="D184" s="667" t="s">
        <v>233</v>
      </c>
      <c r="E184" s="667" t="s">
        <v>188</v>
      </c>
      <c r="F184" s="667" t="s">
        <v>188</v>
      </c>
      <c r="G184" s="667" t="s">
        <v>188</v>
      </c>
      <c r="H184" s="667" t="s">
        <v>22</v>
      </c>
    </row>
    <row r="185" spans="1:8" x14ac:dyDescent="0.25">
      <c r="A185" s="669" t="s">
        <v>196</v>
      </c>
      <c r="B185" s="670">
        <f t="shared" si="6"/>
        <v>1.7494999999999998</v>
      </c>
      <c r="C185" s="669" t="s">
        <v>186</v>
      </c>
      <c r="D185" s="669" t="s">
        <v>242</v>
      </c>
      <c r="E185" s="669" t="s">
        <v>188</v>
      </c>
      <c r="F185" s="669" t="s">
        <v>188</v>
      </c>
      <c r="G185" s="669" t="s">
        <v>188</v>
      </c>
      <c r="H185" s="669" t="s">
        <v>22</v>
      </c>
    </row>
    <row r="186" spans="1:8" x14ac:dyDescent="0.25">
      <c r="A186" s="667" t="s">
        <v>196</v>
      </c>
      <c r="B186" s="668">
        <f t="shared" si="6"/>
        <v>1.7494999999999998</v>
      </c>
      <c r="C186" s="667" t="s">
        <v>186</v>
      </c>
      <c r="D186" s="667" t="s">
        <v>250</v>
      </c>
      <c r="E186" s="667" t="s">
        <v>188</v>
      </c>
      <c r="F186" s="667" t="s">
        <v>188</v>
      </c>
      <c r="G186" s="667" t="s">
        <v>188</v>
      </c>
      <c r="H186" s="667" t="s">
        <v>22</v>
      </c>
    </row>
    <row r="187" spans="1:8" x14ac:dyDescent="0.25">
      <c r="A187" s="669" t="s">
        <v>196</v>
      </c>
      <c r="B187" s="670">
        <f t="shared" si="6"/>
        <v>1.7494999999999998</v>
      </c>
      <c r="C187" s="669" t="s">
        <v>213</v>
      </c>
      <c r="D187" s="669" t="s">
        <v>187</v>
      </c>
      <c r="E187" s="669" t="s">
        <v>188</v>
      </c>
      <c r="F187" s="669" t="s">
        <v>188</v>
      </c>
      <c r="G187" s="669" t="s">
        <v>188</v>
      </c>
      <c r="H187" s="669" t="s">
        <v>22</v>
      </c>
    </row>
    <row r="188" spans="1:8" x14ac:dyDescent="0.25">
      <c r="A188" s="667" t="s">
        <v>196</v>
      </c>
      <c r="B188" s="668">
        <f t="shared" si="6"/>
        <v>1.7494999999999998</v>
      </c>
      <c r="C188" s="667" t="s">
        <v>213</v>
      </c>
      <c r="D188" s="667" t="s">
        <v>214</v>
      </c>
      <c r="E188" s="667" t="s">
        <v>188</v>
      </c>
      <c r="F188" s="667" t="s">
        <v>188</v>
      </c>
      <c r="G188" s="667" t="s">
        <v>188</v>
      </c>
      <c r="H188" s="667" t="s">
        <v>22</v>
      </c>
    </row>
    <row r="189" spans="1:8" x14ac:dyDescent="0.25">
      <c r="A189" s="669" t="s">
        <v>196</v>
      </c>
      <c r="B189" s="670">
        <f t="shared" si="6"/>
        <v>1.7494999999999998</v>
      </c>
      <c r="C189" s="669" t="s">
        <v>213</v>
      </c>
      <c r="D189" s="669" t="s">
        <v>233</v>
      </c>
      <c r="E189" s="669" t="s">
        <v>188</v>
      </c>
      <c r="F189" s="669" t="s">
        <v>188</v>
      </c>
      <c r="G189" s="669" t="s">
        <v>188</v>
      </c>
      <c r="H189" s="669" t="s">
        <v>22</v>
      </c>
    </row>
    <row r="190" spans="1:8" x14ac:dyDescent="0.25">
      <c r="A190" s="667" t="s">
        <v>196</v>
      </c>
      <c r="B190" s="668">
        <f t="shared" si="6"/>
        <v>1.7494999999999998</v>
      </c>
      <c r="C190" s="667" t="s">
        <v>213</v>
      </c>
      <c r="D190" s="667" t="s">
        <v>242</v>
      </c>
      <c r="E190" s="667" t="s">
        <v>188</v>
      </c>
      <c r="F190" s="667" t="s">
        <v>188</v>
      </c>
      <c r="G190" s="667" t="s">
        <v>188</v>
      </c>
      <c r="H190" s="667" t="s">
        <v>22</v>
      </c>
    </row>
    <row r="191" spans="1:8" x14ac:dyDescent="0.25">
      <c r="A191" s="669" t="s">
        <v>196</v>
      </c>
      <c r="B191" s="670">
        <f t="shared" si="6"/>
        <v>1.7494999999999998</v>
      </c>
      <c r="C191" s="669" t="s">
        <v>213</v>
      </c>
      <c r="D191" s="669" t="s">
        <v>250</v>
      </c>
      <c r="E191" s="669" t="s">
        <v>188</v>
      </c>
      <c r="F191" s="669" t="s">
        <v>188</v>
      </c>
      <c r="G191" s="669" t="s">
        <v>188</v>
      </c>
      <c r="H191" s="669" t="s">
        <v>22</v>
      </c>
    </row>
    <row r="192" spans="1:8" x14ac:dyDescent="0.25">
      <c r="A192" s="667" t="s">
        <v>196</v>
      </c>
      <c r="B192" s="668">
        <f t="shared" si="6"/>
        <v>1.7494999999999998</v>
      </c>
      <c r="C192" s="667" t="s">
        <v>232</v>
      </c>
      <c r="D192" s="667" t="s">
        <v>187</v>
      </c>
      <c r="E192" s="667" t="s">
        <v>188</v>
      </c>
      <c r="F192" s="667" t="s">
        <v>188</v>
      </c>
      <c r="G192" s="667" t="s">
        <v>188</v>
      </c>
      <c r="H192" s="667" t="s">
        <v>22</v>
      </c>
    </row>
    <row r="193" spans="1:8" x14ac:dyDescent="0.25">
      <c r="A193" s="669" t="s">
        <v>196</v>
      </c>
      <c r="B193" s="670">
        <f t="shared" si="6"/>
        <v>1.7494999999999998</v>
      </c>
      <c r="C193" s="669" t="s">
        <v>232</v>
      </c>
      <c r="D193" s="669" t="s">
        <v>214</v>
      </c>
      <c r="E193" s="669" t="s">
        <v>188</v>
      </c>
      <c r="F193" s="669" t="s">
        <v>188</v>
      </c>
      <c r="G193" s="669" t="s">
        <v>188</v>
      </c>
      <c r="H193" s="669" t="s">
        <v>22</v>
      </c>
    </row>
    <row r="194" spans="1:8" x14ac:dyDescent="0.25">
      <c r="A194" s="667" t="s">
        <v>196</v>
      </c>
      <c r="B194" s="668">
        <f t="shared" si="6"/>
        <v>1.7494999999999998</v>
      </c>
      <c r="C194" s="667" t="s">
        <v>232</v>
      </c>
      <c r="D194" s="667" t="s">
        <v>233</v>
      </c>
      <c r="E194" s="667" t="s">
        <v>188</v>
      </c>
      <c r="F194" s="667" t="s">
        <v>188</v>
      </c>
      <c r="G194" s="667" t="s">
        <v>188</v>
      </c>
      <c r="H194" s="667" t="s">
        <v>22</v>
      </c>
    </row>
    <row r="195" spans="1:8" x14ac:dyDescent="0.25">
      <c r="A195" s="669" t="s">
        <v>196</v>
      </c>
      <c r="B195" s="670">
        <f t="shared" si="6"/>
        <v>1.7494999999999998</v>
      </c>
      <c r="C195" s="669" t="s">
        <v>232</v>
      </c>
      <c r="D195" s="669" t="s">
        <v>242</v>
      </c>
      <c r="E195" s="669" t="s">
        <v>188</v>
      </c>
      <c r="F195" s="669" t="s">
        <v>188</v>
      </c>
      <c r="G195" s="669" t="s">
        <v>188</v>
      </c>
      <c r="H195" s="669" t="s">
        <v>22</v>
      </c>
    </row>
    <row r="196" spans="1:8" x14ac:dyDescent="0.25">
      <c r="A196" s="667" t="s">
        <v>196</v>
      </c>
      <c r="B196" s="668">
        <f t="shared" si="6"/>
        <v>1.7494999999999998</v>
      </c>
      <c r="C196" s="667" t="s">
        <v>232</v>
      </c>
      <c r="D196" s="667" t="s">
        <v>250</v>
      </c>
      <c r="E196" s="667" t="s">
        <v>188</v>
      </c>
      <c r="F196" s="667" t="s">
        <v>188</v>
      </c>
      <c r="G196" s="667" t="s">
        <v>188</v>
      </c>
      <c r="H196" s="667" t="s">
        <v>22</v>
      </c>
    </row>
    <row r="197" spans="1:8" x14ac:dyDescent="0.25">
      <c r="A197" s="669" t="s">
        <v>196</v>
      </c>
      <c r="B197" s="670">
        <f t="shared" si="6"/>
        <v>1.7494999999999998</v>
      </c>
      <c r="C197" s="669" t="s">
        <v>215</v>
      </c>
      <c r="D197" s="669" t="s">
        <v>187</v>
      </c>
      <c r="E197" s="669" t="s">
        <v>188</v>
      </c>
      <c r="F197" s="669" t="s">
        <v>188</v>
      </c>
      <c r="G197" s="669" t="s">
        <v>188</v>
      </c>
      <c r="H197" s="669" t="s">
        <v>22</v>
      </c>
    </row>
    <row r="198" spans="1:8" x14ac:dyDescent="0.25">
      <c r="A198" s="667" t="s">
        <v>196</v>
      </c>
      <c r="B198" s="668">
        <f t="shared" si="6"/>
        <v>1.7494999999999998</v>
      </c>
      <c r="C198" s="667" t="s">
        <v>215</v>
      </c>
      <c r="D198" s="667" t="s">
        <v>214</v>
      </c>
      <c r="E198" s="667" t="s">
        <v>188</v>
      </c>
      <c r="F198" s="667" t="s">
        <v>188</v>
      </c>
      <c r="G198" s="667" t="s">
        <v>188</v>
      </c>
      <c r="H198" s="667" t="s">
        <v>22</v>
      </c>
    </row>
    <row r="199" spans="1:8" x14ac:dyDescent="0.25">
      <c r="A199" s="669" t="s">
        <v>196</v>
      </c>
      <c r="B199" s="670">
        <f t="shared" si="6"/>
        <v>1.7494999999999998</v>
      </c>
      <c r="C199" s="669" t="s">
        <v>215</v>
      </c>
      <c r="D199" s="669" t="s">
        <v>233</v>
      </c>
      <c r="E199" s="669" t="s">
        <v>188</v>
      </c>
      <c r="F199" s="669" t="s">
        <v>188</v>
      </c>
      <c r="G199" s="669" t="s">
        <v>188</v>
      </c>
      <c r="H199" s="669" t="s">
        <v>22</v>
      </c>
    </row>
    <row r="200" spans="1:8" x14ac:dyDescent="0.25">
      <c r="A200" s="667" t="s">
        <v>196</v>
      </c>
      <c r="B200" s="668">
        <f t="shared" si="6"/>
        <v>1.7494999999999998</v>
      </c>
      <c r="C200" s="667" t="s">
        <v>215</v>
      </c>
      <c r="D200" s="667" t="s">
        <v>242</v>
      </c>
      <c r="E200" s="667" t="s">
        <v>188</v>
      </c>
      <c r="F200" s="667" t="s">
        <v>188</v>
      </c>
      <c r="G200" s="667" t="s">
        <v>188</v>
      </c>
      <c r="H200" s="667" t="s">
        <v>22</v>
      </c>
    </row>
    <row r="201" spans="1:8" x14ac:dyDescent="0.25">
      <c r="A201" s="669" t="s">
        <v>196</v>
      </c>
      <c r="B201" s="670">
        <f t="shared" si="6"/>
        <v>1.7494999999999998</v>
      </c>
      <c r="C201" s="669" t="s">
        <v>215</v>
      </c>
      <c r="D201" s="669" t="s">
        <v>250</v>
      </c>
      <c r="E201" s="669" t="s">
        <v>188</v>
      </c>
      <c r="F201" s="669" t="s">
        <v>188</v>
      </c>
      <c r="G201" s="669" t="s">
        <v>188</v>
      </c>
      <c r="H201" s="669" t="s">
        <v>22</v>
      </c>
    </row>
    <row r="202" spans="1:8" x14ac:dyDescent="0.25">
      <c r="A202" s="667" t="s">
        <v>196</v>
      </c>
      <c r="B202" s="668">
        <f t="shared" si="6"/>
        <v>1.7494999999999998</v>
      </c>
      <c r="C202" s="667" t="s">
        <v>249</v>
      </c>
      <c r="D202" s="667" t="s">
        <v>187</v>
      </c>
      <c r="E202" s="667" t="s">
        <v>188</v>
      </c>
      <c r="F202" s="667" t="s">
        <v>188</v>
      </c>
      <c r="G202" s="667" t="s">
        <v>188</v>
      </c>
      <c r="H202" s="667" t="s">
        <v>22</v>
      </c>
    </row>
    <row r="203" spans="1:8" x14ac:dyDescent="0.25">
      <c r="A203" s="669" t="s">
        <v>196</v>
      </c>
      <c r="B203" s="670">
        <f t="shared" si="6"/>
        <v>1.7494999999999998</v>
      </c>
      <c r="C203" s="669" t="s">
        <v>249</v>
      </c>
      <c r="D203" s="669" t="s">
        <v>214</v>
      </c>
      <c r="E203" s="669" t="s">
        <v>188</v>
      </c>
      <c r="F203" s="669" t="s">
        <v>188</v>
      </c>
      <c r="G203" s="669" t="s">
        <v>188</v>
      </c>
      <c r="H203" s="669" t="s">
        <v>22</v>
      </c>
    </row>
    <row r="204" spans="1:8" x14ac:dyDescent="0.25">
      <c r="A204" s="667" t="s">
        <v>196</v>
      </c>
      <c r="B204" s="668">
        <f t="shared" si="6"/>
        <v>1.7494999999999998</v>
      </c>
      <c r="C204" s="667" t="s">
        <v>249</v>
      </c>
      <c r="D204" s="667" t="s">
        <v>233</v>
      </c>
      <c r="E204" s="667" t="s">
        <v>188</v>
      </c>
      <c r="F204" s="667" t="s">
        <v>188</v>
      </c>
      <c r="G204" s="667" t="s">
        <v>188</v>
      </c>
      <c r="H204" s="667" t="s">
        <v>22</v>
      </c>
    </row>
    <row r="205" spans="1:8" x14ac:dyDescent="0.25">
      <c r="A205" s="669" t="s">
        <v>196</v>
      </c>
      <c r="B205" s="670">
        <f t="shared" si="6"/>
        <v>1.7494999999999998</v>
      </c>
      <c r="C205" s="669" t="s">
        <v>249</v>
      </c>
      <c r="D205" s="669" t="s">
        <v>242</v>
      </c>
      <c r="E205" s="669" t="s">
        <v>188</v>
      </c>
      <c r="F205" s="669" t="s">
        <v>188</v>
      </c>
      <c r="G205" s="669" t="s">
        <v>188</v>
      </c>
      <c r="H205" s="669" t="s">
        <v>22</v>
      </c>
    </row>
    <row r="206" spans="1:8" x14ac:dyDescent="0.25">
      <c r="A206" s="667" t="s">
        <v>196</v>
      </c>
      <c r="B206" s="668">
        <f t="shared" si="6"/>
        <v>1.7494999999999998</v>
      </c>
      <c r="C206" s="667" t="s">
        <v>249</v>
      </c>
      <c r="D206" s="667" t="s">
        <v>250</v>
      </c>
      <c r="E206" s="667" t="s">
        <v>188</v>
      </c>
      <c r="F206" s="667" t="s">
        <v>188</v>
      </c>
      <c r="G206" s="667" t="s">
        <v>188</v>
      </c>
      <c r="H206" s="667" t="s">
        <v>22</v>
      </c>
    </row>
    <row r="207" spans="1:8" x14ac:dyDescent="0.25">
      <c r="A207" s="669" t="s">
        <v>196</v>
      </c>
      <c r="B207" s="670">
        <f t="shared" si="6"/>
        <v>1.7494999999999998</v>
      </c>
      <c r="C207" s="669" t="s">
        <v>257</v>
      </c>
      <c r="D207" s="669" t="s">
        <v>187</v>
      </c>
      <c r="E207" s="669" t="s">
        <v>188</v>
      </c>
      <c r="F207" s="669" t="s">
        <v>188</v>
      </c>
      <c r="G207" s="669" t="s">
        <v>188</v>
      </c>
      <c r="H207" s="669" t="s">
        <v>22</v>
      </c>
    </row>
    <row r="208" spans="1:8" x14ac:dyDescent="0.25">
      <c r="A208" s="667" t="s">
        <v>196</v>
      </c>
      <c r="B208" s="668">
        <f t="shared" si="6"/>
        <v>1.7494999999999998</v>
      </c>
      <c r="C208" s="667" t="s">
        <v>257</v>
      </c>
      <c r="D208" s="667" t="s">
        <v>214</v>
      </c>
      <c r="E208" s="667" t="s">
        <v>188</v>
      </c>
      <c r="F208" s="667" t="s">
        <v>188</v>
      </c>
      <c r="G208" s="667" t="s">
        <v>188</v>
      </c>
      <c r="H208" s="667" t="s">
        <v>22</v>
      </c>
    </row>
    <row r="209" spans="1:8" x14ac:dyDescent="0.25">
      <c r="A209" s="669" t="s">
        <v>196</v>
      </c>
      <c r="B209" s="670">
        <f t="shared" si="6"/>
        <v>1.7494999999999998</v>
      </c>
      <c r="C209" s="669" t="s">
        <v>257</v>
      </c>
      <c r="D209" s="669" t="s">
        <v>233</v>
      </c>
      <c r="E209" s="669" t="s">
        <v>188</v>
      </c>
      <c r="F209" s="669" t="s">
        <v>188</v>
      </c>
      <c r="G209" s="669" t="s">
        <v>188</v>
      </c>
      <c r="H209" s="669" t="s">
        <v>22</v>
      </c>
    </row>
    <row r="210" spans="1:8" x14ac:dyDescent="0.25">
      <c r="A210" s="667" t="s">
        <v>196</v>
      </c>
      <c r="B210" s="668">
        <f t="shared" si="6"/>
        <v>1.7494999999999998</v>
      </c>
      <c r="C210" s="667" t="s">
        <v>257</v>
      </c>
      <c r="D210" s="667" t="s">
        <v>242</v>
      </c>
      <c r="E210" s="667" t="s">
        <v>188</v>
      </c>
      <c r="F210" s="667" t="s">
        <v>188</v>
      </c>
      <c r="G210" s="667" t="s">
        <v>188</v>
      </c>
      <c r="H210" s="667" t="s">
        <v>22</v>
      </c>
    </row>
    <row r="211" spans="1:8" x14ac:dyDescent="0.25">
      <c r="A211" s="669" t="s">
        <v>196</v>
      </c>
      <c r="B211" s="670">
        <f t="shared" si="6"/>
        <v>1.7494999999999998</v>
      </c>
      <c r="C211" s="669" t="s">
        <v>257</v>
      </c>
      <c r="D211" s="669" t="s">
        <v>250</v>
      </c>
      <c r="E211" s="669" t="s">
        <v>188</v>
      </c>
      <c r="F211" s="669" t="s">
        <v>188</v>
      </c>
      <c r="G211" s="669" t="s">
        <v>188</v>
      </c>
      <c r="H211" s="669" t="s">
        <v>22</v>
      </c>
    </row>
    <row r="212" spans="1:8" x14ac:dyDescent="0.25">
      <c r="A212" s="667" t="s">
        <v>196</v>
      </c>
      <c r="B212" s="668">
        <f>AVERAGE(1.8,1.899)</f>
        <v>1.8494999999999999</v>
      </c>
      <c r="C212" s="667" t="s">
        <v>186</v>
      </c>
      <c r="D212" s="667" t="s">
        <v>187</v>
      </c>
      <c r="E212" s="667" t="s">
        <v>188</v>
      </c>
      <c r="F212" s="667" t="s">
        <v>188</v>
      </c>
      <c r="G212" s="667" t="s">
        <v>188</v>
      </c>
      <c r="H212" s="667" t="s">
        <v>22</v>
      </c>
    </row>
    <row r="213" spans="1:8" x14ac:dyDescent="0.25">
      <c r="A213" s="669" t="s">
        <v>196</v>
      </c>
      <c r="B213" s="670">
        <f t="shared" ref="B213:B241" si="7">AVERAGE(1.8,1.899)</f>
        <v>1.8494999999999999</v>
      </c>
      <c r="C213" s="669" t="s">
        <v>186</v>
      </c>
      <c r="D213" s="669" t="s">
        <v>214</v>
      </c>
      <c r="E213" s="669" t="s">
        <v>188</v>
      </c>
      <c r="F213" s="669" t="s">
        <v>188</v>
      </c>
      <c r="G213" s="669" t="s">
        <v>188</v>
      </c>
      <c r="H213" s="669" t="s">
        <v>22</v>
      </c>
    </row>
    <row r="214" spans="1:8" x14ac:dyDescent="0.25">
      <c r="A214" s="667" t="s">
        <v>196</v>
      </c>
      <c r="B214" s="668">
        <f t="shared" si="7"/>
        <v>1.8494999999999999</v>
      </c>
      <c r="C214" s="667" t="s">
        <v>186</v>
      </c>
      <c r="D214" s="667" t="s">
        <v>233</v>
      </c>
      <c r="E214" s="667" t="s">
        <v>188</v>
      </c>
      <c r="F214" s="667" t="s">
        <v>188</v>
      </c>
      <c r="G214" s="667" t="s">
        <v>188</v>
      </c>
      <c r="H214" s="667" t="s">
        <v>22</v>
      </c>
    </row>
    <row r="215" spans="1:8" x14ac:dyDescent="0.25">
      <c r="A215" s="669" t="s">
        <v>196</v>
      </c>
      <c r="B215" s="670">
        <f t="shared" si="7"/>
        <v>1.8494999999999999</v>
      </c>
      <c r="C215" s="669" t="s">
        <v>186</v>
      </c>
      <c r="D215" s="669" t="s">
        <v>242</v>
      </c>
      <c r="E215" s="669" t="s">
        <v>188</v>
      </c>
      <c r="F215" s="669" t="s">
        <v>188</v>
      </c>
      <c r="G215" s="669" t="s">
        <v>188</v>
      </c>
      <c r="H215" s="669" t="s">
        <v>22</v>
      </c>
    </row>
    <row r="216" spans="1:8" x14ac:dyDescent="0.25">
      <c r="A216" s="667" t="s">
        <v>196</v>
      </c>
      <c r="B216" s="668">
        <f t="shared" si="7"/>
        <v>1.8494999999999999</v>
      </c>
      <c r="C216" s="667" t="s">
        <v>186</v>
      </c>
      <c r="D216" s="667" t="s">
        <v>250</v>
      </c>
      <c r="E216" s="667" t="s">
        <v>188</v>
      </c>
      <c r="F216" s="667" t="s">
        <v>188</v>
      </c>
      <c r="G216" s="667" t="s">
        <v>188</v>
      </c>
      <c r="H216" s="667" t="s">
        <v>22</v>
      </c>
    </row>
    <row r="217" spans="1:8" x14ac:dyDescent="0.25">
      <c r="A217" s="669" t="s">
        <v>196</v>
      </c>
      <c r="B217" s="670">
        <f t="shared" si="7"/>
        <v>1.8494999999999999</v>
      </c>
      <c r="C217" s="669" t="s">
        <v>213</v>
      </c>
      <c r="D217" s="669" t="s">
        <v>187</v>
      </c>
      <c r="E217" s="669" t="s">
        <v>188</v>
      </c>
      <c r="F217" s="669" t="s">
        <v>188</v>
      </c>
      <c r="G217" s="669" t="s">
        <v>188</v>
      </c>
      <c r="H217" s="669" t="s">
        <v>22</v>
      </c>
    </row>
    <row r="218" spans="1:8" x14ac:dyDescent="0.25">
      <c r="A218" s="667" t="s">
        <v>196</v>
      </c>
      <c r="B218" s="668">
        <f t="shared" si="7"/>
        <v>1.8494999999999999</v>
      </c>
      <c r="C218" s="667" t="s">
        <v>213</v>
      </c>
      <c r="D218" s="667" t="s">
        <v>214</v>
      </c>
      <c r="E218" s="667" t="s">
        <v>188</v>
      </c>
      <c r="F218" s="667" t="s">
        <v>188</v>
      </c>
      <c r="G218" s="667" t="s">
        <v>188</v>
      </c>
      <c r="H218" s="667" t="s">
        <v>22</v>
      </c>
    </row>
    <row r="219" spans="1:8" x14ac:dyDescent="0.25">
      <c r="A219" s="669" t="s">
        <v>196</v>
      </c>
      <c r="B219" s="670">
        <f t="shared" si="7"/>
        <v>1.8494999999999999</v>
      </c>
      <c r="C219" s="669" t="s">
        <v>213</v>
      </c>
      <c r="D219" s="669" t="s">
        <v>233</v>
      </c>
      <c r="E219" s="669" t="s">
        <v>188</v>
      </c>
      <c r="F219" s="669" t="s">
        <v>188</v>
      </c>
      <c r="G219" s="669" t="s">
        <v>188</v>
      </c>
      <c r="H219" s="669" t="s">
        <v>22</v>
      </c>
    </row>
    <row r="220" spans="1:8" x14ac:dyDescent="0.25">
      <c r="A220" s="667" t="s">
        <v>196</v>
      </c>
      <c r="B220" s="668">
        <f t="shared" si="7"/>
        <v>1.8494999999999999</v>
      </c>
      <c r="C220" s="667" t="s">
        <v>213</v>
      </c>
      <c r="D220" s="667" t="s">
        <v>242</v>
      </c>
      <c r="E220" s="667" t="s">
        <v>188</v>
      </c>
      <c r="F220" s="667" t="s">
        <v>188</v>
      </c>
      <c r="G220" s="667" t="s">
        <v>188</v>
      </c>
      <c r="H220" s="667" t="s">
        <v>22</v>
      </c>
    </row>
    <row r="221" spans="1:8" x14ac:dyDescent="0.25">
      <c r="A221" s="669" t="s">
        <v>196</v>
      </c>
      <c r="B221" s="670">
        <f t="shared" si="7"/>
        <v>1.8494999999999999</v>
      </c>
      <c r="C221" s="669" t="s">
        <v>213</v>
      </c>
      <c r="D221" s="669" t="s">
        <v>250</v>
      </c>
      <c r="E221" s="669" t="s">
        <v>188</v>
      </c>
      <c r="F221" s="669" t="s">
        <v>188</v>
      </c>
      <c r="G221" s="669" t="s">
        <v>188</v>
      </c>
      <c r="H221" s="669" t="s">
        <v>22</v>
      </c>
    </row>
    <row r="222" spans="1:8" x14ac:dyDescent="0.25">
      <c r="A222" s="667" t="s">
        <v>196</v>
      </c>
      <c r="B222" s="668">
        <f t="shared" si="7"/>
        <v>1.8494999999999999</v>
      </c>
      <c r="C222" s="667" t="s">
        <v>232</v>
      </c>
      <c r="D222" s="667" t="s">
        <v>187</v>
      </c>
      <c r="E222" s="667" t="s">
        <v>188</v>
      </c>
      <c r="F222" s="667" t="s">
        <v>188</v>
      </c>
      <c r="G222" s="667" t="s">
        <v>188</v>
      </c>
      <c r="H222" s="667" t="s">
        <v>22</v>
      </c>
    </row>
    <row r="223" spans="1:8" x14ac:dyDescent="0.25">
      <c r="A223" s="669" t="s">
        <v>196</v>
      </c>
      <c r="B223" s="670">
        <f t="shared" si="7"/>
        <v>1.8494999999999999</v>
      </c>
      <c r="C223" s="669" t="s">
        <v>232</v>
      </c>
      <c r="D223" s="669" t="s">
        <v>214</v>
      </c>
      <c r="E223" s="669" t="s">
        <v>188</v>
      </c>
      <c r="F223" s="669" t="s">
        <v>188</v>
      </c>
      <c r="G223" s="669" t="s">
        <v>188</v>
      </c>
      <c r="H223" s="669" t="s">
        <v>22</v>
      </c>
    </row>
    <row r="224" spans="1:8" x14ac:dyDescent="0.25">
      <c r="A224" s="667" t="s">
        <v>196</v>
      </c>
      <c r="B224" s="668">
        <f t="shared" si="7"/>
        <v>1.8494999999999999</v>
      </c>
      <c r="C224" s="667" t="s">
        <v>232</v>
      </c>
      <c r="D224" s="667" t="s">
        <v>233</v>
      </c>
      <c r="E224" s="667" t="s">
        <v>188</v>
      </c>
      <c r="F224" s="667" t="s">
        <v>188</v>
      </c>
      <c r="G224" s="667" t="s">
        <v>188</v>
      </c>
      <c r="H224" s="667" t="s">
        <v>22</v>
      </c>
    </row>
    <row r="225" spans="1:8" x14ac:dyDescent="0.25">
      <c r="A225" s="669" t="s">
        <v>196</v>
      </c>
      <c r="B225" s="670">
        <f t="shared" si="7"/>
        <v>1.8494999999999999</v>
      </c>
      <c r="C225" s="669" t="s">
        <v>232</v>
      </c>
      <c r="D225" s="669" t="s">
        <v>242</v>
      </c>
      <c r="E225" s="669" t="s">
        <v>188</v>
      </c>
      <c r="F225" s="669" t="s">
        <v>188</v>
      </c>
      <c r="G225" s="669" t="s">
        <v>188</v>
      </c>
      <c r="H225" s="669" t="s">
        <v>22</v>
      </c>
    </row>
    <row r="226" spans="1:8" x14ac:dyDescent="0.25">
      <c r="A226" s="667" t="s">
        <v>196</v>
      </c>
      <c r="B226" s="668">
        <f t="shared" si="7"/>
        <v>1.8494999999999999</v>
      </c>
      <c r="C226" s="667" t="s">
        <v>232</v>
      </c>
      <c r="D226" s="667" t="s">
        <v>250</v>
      </c>
      <c r="E226" s="667" t="s">
        <v>188</v>
      </c>
      <c r="F226" s="667" t="s">
        <v>188</v>
      </c>
      <c r="G226" s="667" t="s">
        <v>188</v>
      </c>
      <c r="H226" s="667" t="s">
        <v>22</v>
      </c>
    </row>
    <row r="227" spans="1:8" x14ac:dyDescent="0.25">
      <c r="A227" s="669" t="s">
        <v>196</v>
      </c>
      <c r="B227" s="670">
        <f t="shared" si="7"/>
        <v>1.8494999999999999</v>
      </c>
      <c r="C227" s="669" t="s">
        <v>215</v>
      </c>
      <c r="D227" s="669" t="s">
        <v>187</v>
      </c>
      <c r="E227" s="669" t="s">
        <v>188</v>
      </c>
      <c r="F227" s="669" t="s">
        <v>188</v>
      </c>
      <c r="G227" s="669" t="s">
        <v>188</v>
      </c>
      <c r="H227" s="669" t="s">
        <v>22</v>
      </c>
    </row>
    <row r="228" spans="1:8" x14ac:dyDescent="0.25">
      <c r="A228" s="667" t="s">
        <v>196</v>
      </c>
      <c r="B228" s="668">
        <f t="shared" si="7"/>
        <v>1.8494999999999999</v>
      </c>
      <c r="C228" s="667" t="s">
        <v>215</v>
      </c>
      <c r="D228" s="667" t="s">
        <v>214</v>
      </c>
      <c r="E228" s="667" t="s">
        <v>188</v>
      </c>
      <c r="F228" s="667" t="s">
        <v>188</v>
      </c>
      <c r="G228" s="667" t="s">
        <v>188</v>
      </c>
      <c r="H228" s="667" t="s">
        <v>22</v>
      </c>
    </row>
    <row r="229" spans="1:8" x14ac:dyDescent="0.25">
      <c r="A229" s="669" t="s">
        <v>196</v>
      </c>
      <c r="B229" s="670">
        <f t="shared" si="7"/>
        <v>1.8494999999999999</v>
      </c>
      <c r="C229" s="669" t="s">
        <v>215</v>
      </c>
      <c r="D229" s="669" t="s">
        <v>233</v>
      </c>
      <c r="E229" s="669" t="s">
        <v>188</v>
      </c>
      <c r="F229" s="669" t="s">
        <v>188</v>
      </c>
      <c r="G229" s="669" t="s">
        <v>188</v>
      </c>
      <c r="H229" s="669" t="s">
        <v>22</v>
      </c>
    </row>
    <row r="230" spans="1:8" x14ac:dyDescent="0.25">
      <c r="A230" s="667" t="s">
        <v>196</v>
      </c>
      <c r="B230" s="668">
        <f t="shared" si="7"/>
        <v>1.8494999999999999</v>
      </c>
      <c r="C230" s="667" t="s">
        <v>215</v>
      </c>
      <c r="D230" s="667" t="s">
        <v>242</v>
      </c>
      <c r="E230" s="667" t="s">
        <v>188</v>
      </c>
      <c r="F230" s="667" t="s">
        <v>188</v>
      </c>
      <c r="G230" s="667" t="s">
        <v>188</v>
      </c>
      <c r="H230" s="667" t="s">
        <v>22</v>
      </c>
    </row>
    <row r="231" spans="1:8" x14ac:dyDescent="0.25">
      <c r="A231" s="669" t="s">
        <v>196</v>
      </c>
      <c r="B231" s="670">
        <f t="shared" si="7"/>
        <v>1.8494999999999999</v>
      </c>
      <c r="C231" s="669" t="s">
        <v>215</v>
      </c>
      <c r="D231" s="669" t="s">
        <v>250</v>
      </c>
      <c r="E231" s="669" t="s">
        <v>188</v>
      </c>
      <c r="F231" s="669" t="s">
        <v>188</v>
      </c>
      <c r="G231" s="669" t="s">
        <v>188</v>
      </c>
      <c r="H231" s="669" t="s">
        <v>22</v>
      </c>
    </row>
    <row r="232" spans="1:8" x14ac:dyDescent="0.25">
      <c r="A232" s="667" t="s">
        <v>196</v>
      </c>
      <c r="B232" s="668">
        <f t="shared" si="7"/>
        <v>1.8494999999999999</v>
      </c>
      <c r="C232" s="667" t="s">
        <v>249</v>
      </c>
      <c r="D232" s="667" t="s">
        <v>187</v>
      </c>
      <c r="E232" s="667" t="s">
        <v>188</v>
      </c>
      <c r="F232" s="667" t="s">
        <v>188</v>
      </c>
      <c r="G232" s="667" t="s">
        <v>188</v>
      </c>
      <c r="H232" s="667" t="s">
        <v>22</v>
      </c>
    </row>
    <row r="233" spans="1:8" x14ac:dyDescent="0.25">
      <c r="A233" s="669" t="s">
        <v>196</v>
      </c>
      <c r="B233" s="670">
        <f t="shared" si="7"/>
        <v>1.8494999999999999</v>
      </c>
      <c r="C233" s="669" t="s">
        <v>249</v>
      </c>
      <c r="D233" s="669" t="s">
        <v>214</v>
      </c>
      <c r="E233" s="669" t="s">
        <v>188</v>
      </c>
      <c r="F233" s="669" t="s">
        <v>188</v>
      </c>
      <c r="G233" s="669" t="s">
        <v>188</v>
      </c>
      <c r="H233" s="669" t="s">
        <v>22</v>
      </c>
    </row>
    <row r="234" spans="1:8" x14ac:dyDescent="0.25">
      <c r="A234" s="667" t="s">
        <v>196</v>
      </c>
      <c r="B234" s="668">
        <f t="shared" si="7"/>
        <v>1.8494999999999999</v>
      </c>
      <c r="C234" s="667" t="s">
        <v>249</v>
      </c>
      <c r="D234" s="667" t="s">
        <v>233</v>
      </c>
      <c r="E234" s="667" t="s">
        <v>188</v>
      </c>
      <c r="F234" s="667" t="s">
        <v>188</v>
      </c>
      <c r="G234" s="667" t="s">
        <v>188</v>
      </c>
      <c r="H234" s="667" t="s">
        <v>22</v>
      </c>
    </row>
    <row r="235" spans="1:8" x14ac:dyDescent="0.25">
      <c r="A235" s="669" t="s">
        <v>196</v>
      </c>
      <c r="B235" s="670">
        <f t="shared" si="7"/>
        <v>1.8494999999999999</v>
      </c>
      <c r="C235" s="669" t="s">
        <v>249</v>
      </c>
      <c r="D235" s="669" t="s">
        <v>242</v>
      </c>
      <c r="E235" s="669" t="s">
        <v>188</v>
      </c>
      <c r="F235" s="669" t="s">
        <v>188</v>
      </c>
      <c r="G235" s="669" t="s">
        <v>188</v>
      </c>
      <c r="H235" s="669" t="s">
        <v>22</v>
      </c>
    </row>
    <row r="236" spans="1:8" x14ac:dyDescent="0.25">
      <c r="A236" s="667" t="s">
        <v>196</v>
      </c>
      <c r="B236" s="668">
        <f t="shared" si="7"/>
        <v>1.8494999999999999</v>
      </c>
      <c r="C236" s="667" t="s">
        <v>249</v>
      </c>
      <c r="D236" s="667" t="s">
        <v>250</v>
      </c>
      <c r="E236" s="667" t="s">
        <v>188</v>
      </c>
      <c r="F236" s="667" t="s">
        <v>188</v>
      </c>
      <c r="G236" s="667" t="s">
        <v>188</v>
      </c>
      <c r="H236" s="667" t="s">
        <v>22</v>
      </c>
    </row>
    <row r="237" spans="1:8" x14ac:dyDescent="0.25">
      <c r="A237" s="669" t="s">
        <v>196</v>
      </c>
      <c r="B237" s="670">
        <f t="shared" si="7"/>
        <v>1.8494999999999999</v>
      </c>
      <c r="C237" s="669" t="s">
        <v>257</v>
      </c>
      <c r="D237" s="669" t="s">
        <v>187</v>
      </c>
      <c r="E237" s="669" t="s">
        <v>188</v>
      </c>
      <c r="F237" s="669" t="s">
        <v>188</v>
      </c>
      <c r="G237" s="669" t="s">
        <v>188</v>
      </c>
      <c r="H237" s="669" t="s">
        <v>22</v>
      </c>
    </row>
    <row r="238" spans="1:8" x14ac:dyDescent="0.25">
      <c r="A238" s="667" t="s">
        <v>196</v>
      </c>
      <c r="B238" s="668">
        <f t="shared" si="7"/>
        <v>1.8494999999999999</v>
      </c>
      <c r="C238" s="667" t="s">
        <v>257</v>
      </c>
      <c r="D238" s="667" t="s">
        <v>214</v>
      </c>
      <c r="E238" s="667" t="s">
        <v>188</v>
      </c>
      <c r="F238" s="667" t="s">
        <v>188</v>
      </c>
      <c r="G238" s="667" t="s">
        <v>188</v>
      </c>
      <c r="H238" s="667" t="s">
        <v>22</v>
      </c>
    </row>
    <row r="239" spans="1:8" x14ac:dyDescent="0.25">
      <c r="A239" s="669" t="s">
        <v>196</v>
      </c>
      <c r="B239" s="670">
        <f t="shared" si="7"/>
        <v>1.8494999999999999</v>
      </c>
      <c r="C239" s="669" t="s">
        <v>257</v>
      </c>
      <c r="D239" s="669" t="s">
        <v>233</v>
      </c>
      <c r="E239" s="669" t="s">
        <v>188</v>
      </c>
      <c r="F239" s="669" t="s">
        <v>188</v>
      </c>
      <c r="G239" s="669" t="s">
        <v>188</v>
      </c>
      <c r="H239" s="669" t="s">
        <v>22</v>
      </c>
    </row>
    <row r="240" spans="1:8" x14ac:dyDescent="0.25">
      <c r="A240" s="667" t="s">
        <v>196</v>
      </c>
      <c r="B240" s="668">
        <f t="shared" si="7"/>
        <v>1.8494999999999999</v>
      </c>
      <c r="C240" s="667" t="s">
        <v>257</v>
      </c>
      <c r="D240" s="667" t="s">
        <v>242</v>
      </c>
      <c r="E240" s="667" t="s">
        <v>188</v>
      </c>
      <c r="F240" s="667" t="s">
        <v>188</v>
      </c>
      <c r="G240" s="667" t="s">
        <v>188</v>
      </c>
      <c r="H240" s="667" t="s">
        <v>22</v>
      </c>
    </row>
    <row r="241" spans="1:8" x14ac:dyDescent="0.25">
      <c r="A241" s="669" t="s">
        <v>196</v>
      </c>
      <c r="B241" s="670">
        <f t="shared" si="7"/>
        <v>1.8494999999999999</v>
      </c>
      <c r="C241" s="669" t="s">
        <v>257</v>
      </c>
      <c r="D241" s="669" t="s">
        <v>250</v>
      </c>
      <c r="E241" s="669" t="s">
        <v>188</v>
      </c>
      <c r="F241" s="669" t="s">
        <v>188</v>
      </c>
      <c r="G241" s="669" t="s">
        <v>188</v>
      </c>
      <c r="H241" s="669" t="s">
        <v>22</v>
      </c>
    </row>
    <row r="242" spans="1:8" x14ac:dyDescent="0.25">
      <c r="A242" s="667" t="s">
        <v>196</v>
      </c>
      <c r="B242" s="668">
        <f>AVERAGE(1.9,1.999)</f>
        <v>1.9495</v>
      </c>
      <c r="C242" s="667" t="s">
        <v>186</v>
      </c>
      <c r="D242" s="667" t="s">
        <v>187</v>
      </c>
      <c r="E242" s="667" t="s">
        <v>188</v>
      </c>
      <c r="F242" s="667" t="s">
        <v>188</v>
      </c>
      <c r="G242" s="667" t="s">
        <v>188</v>
      </c>
      <c r="H242" s="667" t="s">
        <v>22</v>
      </c>
    </row>
    <row r="243" spans="1:8" x14ac:dyDescent="0.25">
      <c r="A243" s="669" t="s">
        <v>196</v>
      </c>
      <c r="B243" s="670">
        <f t="shared" ref="B243:B271" si="8">AVERAGE(1.9,1.999)</f>
        <v>1.9495</v>
      </c>
      <c r="C243" s="669" t="s">
        <v>186</v>
      </c>
      <c r="D243" s="669" t="s">
        <v>214</v>
      </c>
      <c r="E243" s="669" t="s">
        <v>188</v>
      </c>
      <c r="F243" s="669" t="s">
        <v>188</v>
      </c>
      <c r="G243" s="669" t="s">
        <v>188</v>
      </c>
      <c r="H243" s="669" t="s">
        <v>22</v>
      </c>
    </row>
    <row r="244" spans="1:8" x14ac:dyDescent="0.25">
      <c r="A244" s="667" t="s">
        <v>196</v>
      </c>
      <c r="B244" s="668">
        <f t="shared" si="8"/>
        <v>1.9495</v>
      </c>
      <c r="C244" s="667" t="s">
        <v>186</v>
      </c>
      <c r="D244" s="667" t="s">
        <v>233</v>
      </c>
      <c r="E244" s="667" t="s">
        <v>188</v>
      </c>
      <c r="F244" s="667" t="s">
        <v>188</v>
      </c>
      <c r="G244" s="667" t="s">
        <v>188</v>
      </c>
      <c r="H244" s="667" t="s">
        <v>22</v>
      </c>
    </row>
    <row r="245" spans="1:8" x14ac:dyDescent="0.25">
      <c r="A245" s="669" t="s">
        <v>196</v>
      </c>
      <c r="B245" s="670">
        <f t="shared" si="8"/>
        <v>1.9495</v>
      </c>
      <c r="C245" s="669" t="s">
        <v>186</v>
      </c>
      <c r="D245" s="669" t="s">
        <v>242</v>
      </c>
      <c r="E245" s="669" t="s">
        <v>188</v>
      </c>
      <c r="F245" s="669" t="s">
        <v>188</v>
      </c>
      <c r="G245" s="669" t="s">
        <v>188</v>
      </c>
      <c r="H245" s="669" t="s">
        <v>22</v>
      </c>
    </row>
    <row r="246" spans="1:8" x14ac:dyDescent="0.25">
      <c r="A246" s="667" t="s">
        <v>196</v>
      </c>
      <c r="B246" s="668">
        <f t="shared" si="8"/>
        <v>1.9495</v>
      </c>
      <c r="C246" s="667" t="s">
        <v>186</v>
      </c>
      <c r="D246" s="667" t="s">
        <v>250</v>
      </c>
      <c r="E246" s="667" t="s">
        <v>188</v>
      </c>
      <c r="F246" s="667" t="s">
        <v>188</v>
      </c>
      <c r="G246" s="667" t="s">
        <v>188</v>
      </c>
      <c r="H246" s="667" t="s">
        <v>22</v>
      </c>
    </row>
    <row r="247" spans="1:8" x14ac:dyDescent="0.25">
      <c r="A247" s="669" t="s">
        <v>196</v>
      </c>
      <c r="B247" s="670">
        <f t="shared" si="8"/>
        <v>1.9495</v>
      </c>
      <c r="C247" s="669" t="s">
        <v>213</v>
      </c>
      <c r="D247" s="669" t="s">
        <v>187</v>
      </c>
      <c r="E247" s="669" t="s">
        <v>188</v>
      </c>
      <c r="F247" s="669" t="s">
        <v>188</v>
      </c>
      <c r="G247" s="669" t="s">
        <v>188</v>
      </c>
      <c r="H247" s="669" t="s">
        <v>22</v>
      </c>
    </row>
    <row r="248" spans="1:8" x14ac:dyDescent="0.25">
      <c r="A248" s="667" t="s">
        <v>196</v>
      </c>
      <c r="B248" s="668">
        <f t="shared" si="8"/>
        <v>1.9495</v>
      </c>
      <c r="C248" s="667" t="s">
        <v>213</v>
      </c>
      <c r="D248" s="667" t="s">
        <v>214</v>
      </c>
      <c r="E248" s="667" t="s">
        <v>188</v>
      </c>
      <c r="F248" s="667" t="s">
        <v>188</v>
      </c>
      <c r="G248" s="667" t="s">
        <v>188</v>
      </c>
      <c r="H248" s="667" t="s">
        <v>22</v>
      </c>
    </row>
    <row r="249" spans="1:8" x14ac:dyDescent="0.25">
      <c r="A249" s="669" t="s">
        <v>196</v>
      </c>
      <c r="B249" s="670">
        <f t="shared" si="8"/>
        <v>1.9495</v>
      </c>
      <c r="C249" s="669" t="s">
        <v>213</v>
      </c>
      <c r="D249" s="669" t="s">
        <v>233</v>
      </c>
      <c r="E249" s="669" t="s">
        <v>188</v>
      </c>
      <c r="F249" s="669" t="s">
        <v>188</v>
      </c>
      <c r="G249" s="669" t="s">
        <v>188</v>
      </c>
      <c r="H249" s="669" t="s">
        <v>22</v>
      </c>
    </row>
    <row r="250" spans="1:8" x14ac:dyDescent="0.25">
      <c r="A250" s="667" t="s">
        <v>196</v>
      </c>
      <c r="B250" s="668">
        <f t="shared" si="8"/>
        <v>1.9495</v>
      </c>
      <c r="C250" s="667" t="s">
        <v>213</v>
      </c>
      <c r="D250" s="667" t="s">
        <v>242</v>
      </c>
      <c r="E250" s="667" t="s">
        <v>188</v>
      </c>
      <c r="F250" s="667" t="s">
        <v>188</v>
      </c>
      <c r="G250" s="667" t="s">
        <v>188</v>
      </c>
      <c r="H250" s="667" t="s">
        <v>22</v>
      </c>
    </row>
    <row r="251" spans="1:8" x14ac:dyDescent="0.25">
      <c r="A251" s="669" t="s">
        <v>196</v>
      </c>
      <c r="B251" s="670">
        <f t="shared" si="8"/>
        <v>1.9495</v>
      </c>
      <c r="C251" s="669" t="s">
        <v>213</v>
      </c>
      <c r="D251" s="669" t="s">
        <v>250</v>
      </c>
      <c r="E251" s="669" t="s">
        <v>188</v>
      </c>
      <c r="F251" s="669" t="s">
        <v>188</v>
      </c>
      <c r="G251" s="669" t="s">
        <v>188</v>
      </c>
      <c r="H251" s="669" t="s">
        <v>22</v>
      </c>
    </row>
    <row r="252" spans="1:8" x14ac:dyDescent="0.25">
      <c r="A252" s="667" t="s">
        <v>196</v>
      </c>
      <c r="B252" s="668">
        <f t="shared" si="8"/>
        <v>1.9495</v>
      </c>
      <c r="C252" s="667" t="s">
        <v>232</v>
      </c>
      <c r="D252" s="667" t="s">
        <v>187</v>
      </c>
      <c r="E252" s="667" t="s">
        <v>188</v>
      </c>
      <c r="F252" s="667" t="s">
        <v>188</v>
      </c>
      <c r="G252" s="667" t="s">
        <v>188</v>
      </c>
      <c r="H252" s="667" t="s">
        <v>22</v>
      </c>
    </row>
    <row r="253" spans="1:8" x14ac:dyDescent="0.25">
      <c r="A253" s="669" t="s">
        <v>196</v>
      </c>
      <c r="B253" s="670">
        <f t="shared" si="8"/>
        <v>1.9495</v>
      </c>
      <c r="C253" s="669" t="s">
        <v>232</v>
      </c>
      <c r="D253" s="669" t="s">
        <v>214</v>
      </c>
      <c r="E253" s="669" t="s">
        <v>188</v>
      </c>
      <c r="F253" s="669" t="s">
        <v>188</v>
      </c>
      <c r="G253" s="669" t="s">
        <v>188</v>
      </c>
      <c r="H253" s="669" t="s">
        <v>22</v>
      </c>
    </row>
    <row r="254" spans="1:8" x14ac:dyDescent="0.25">
      <c r="A254" s="667" t="s">
        <v>196</v>
      </c>
      <c r="B254" s="668">
        <f t="shared" si="8"/>
        <v>1.9495</v>
      </c>
      <c r="C254" s="667" t="s">
        <v>232</v>
      </c>
      <c r="D254" s="667" t="s">
        <v>233</v>
      </c>
      <c r="E254" s="667" t="s">
        <v>188</v>
      </c>
      <c r="F254" s="667" t="s">
        <v>188</v>
      </c>
      <c r="G254" s="667" t="s">
        <v>188</v>
      </c>
      <c r="H254" s="667" t="s">
        <v>22</v>
      </c>
    </row>
    <row r="255" spans="1:8" x14ac:dyDescent="0.25">
      <c r="A255" s="669" t="s">
        <v>196</v>
      </c>
      <c r="B255" s="670">
        <f t="shared" si="8"/>
        <v>1.9495</v>
      </c>
      <c r="C255" s="669" t="s">
        <v>232</v>
      </c>
      <c r="D255" s="669" t="s">
        <v>242</v>
      </c>
      <c r="E255" s="669" t="s">
        <v>188</v>
      </c>
      <c r="F255" s="669" t="s">
        <v>188</v>
      </c>
      <c r="G255" s="669" t="s">
        <v>188</v>
      </c>
      <c r="H255" s="669" t="s">
        <v>22</v>
      </c>
    </row>
    <row r="256" spans="1:8" x14ac:dyDescent="0.25">
      <c r="A256" s="667" t="s">
        <v>196</v>
      </c>
      <c r="B256" s="668">
        <f t="shared" si="8"/>
        <v>1.9495</v>
      </c>
      <c r="C256" s="667" t="s">
        <v>232</v>
      </c>
      <c r="D256" s="667" t="s">
        <v>250</v>
      </c>
      <c r="E256" s="667" t="s">
        <v>188</v>
      </c>
      <c r="F256" s="667" t="s">
        <v>188</v>
      </c>
      <c r="G256" s="667" t="s">
        <v>188</v>
      </c>
      <c r="H256" s="667" t="s">
        <v>22</v>
      </c>
    </row>
    <row r="257" spans="1:8" x14ac:dyDescent="0.25">
      <c r="A257" s="669" t="s">
        <v>196</v>
      </c>
      <c r="B257" s="670">
        <f t="shared" si="8"/>
        <v>1.9495</v>
      </c>
      <c r="C257" s="669" t="s">
        <v>215</v>
      </c>
      <c r="D257" s="669" t="s">
        <v>187</v>
      </c>
      <c r="E257" s="669" t="s">
        <v>188</v>
      </c>
      <c r="F257" s="669" t="s">
        <v>188</v>
      </c>
      <c r="G257" s="669" t="s">
        <v>188</v>
      </c>
      <c r="H257" s="669" t="s">
        <v>22</v>
      </c>
    </row>
    <row r="258" spans="1:8" x14ac:dyDescent="0.25">
      <c r="A258" s="667" t="s">
        <v>196</v>
      </c>
      <c r="B258" s="668">
        <f t="shared" si="8"/>
        <v>1.9495</v>
      </c>
      <c r="C258" s="667" t="s">
        <v>215</v>
      </c>
      <c r="D258" s="667" t="s">
        <v>214</v>
      </c>
      <c r="E258" s="667" t="s">
        <v>188</v>
      </c>
      <c r="F258" s="667" t="s">
        <v>188</v>
      </c>
      <c r="G258" s="667" t="s">
        <v>188</v>
      </c>
      <c r="H258" s="667" t="s">
        <v>22</v>
      </c>
    </row>
    <row r="259" spans="1:8" x14ac:dyDescent="0.25">
      <c r="A259" s="669" t="s">
        <v>196</v>
      </c>
      <c r="B259" s="670">
        <f t="shared" si="8"/>
        <v>1.9495</v>
      </c>
      <c r="C259" s="669" t="s">
        <v>215</v>
      </c>
      <c r="D259" s="669" t="s">
        <v>233</v>
      </c>
      <c r="E259" s="669" t="s">
        <v>188</v>
      </c>
      <c r="F259" s="669" t="s">
        <v>188</v>
      </c>
      <c r="G259" s="669" t="s">
        <v>188</v>
      </c>
      <c r="H259" s="669" t="s">
        <v>22</v>
      </c>
    </row>
    <row r="260" spans="1:8" x14ac:dyDescent="0.25">
      <c r="A260" s="667" t="s">
        <v>196</v>
      </c>
      <c r="B260" s="668">
        <f t="shared" si="8"/>
        <v>1.9495</v>
      </c>
      <c r="C260" s="667" t="s">
        <v>215</v>
      </c>
      <c r="D260" s="667" t="s">
        <v>242</v>
      </c>
      <c r="E260" s="667" t="s">
        <v>188</v>
      </c>
      <c r="F260" s="667" t="s">
        <v>188</v>
      </c>
      <c r="G260" s="667" t="s">
        <v>188</v>
      </c>
      <c r="H260" s="667" t="s">
        <v>22</v>
      </c>
    </row>
    <row r="261" spans="1:8" x14ac:dyDescent="0.25">
      <c r="A261" s="669" t="s">
        <v>196</v>
      </c>
      <c r="B261" s="670">
        <f t="shared" si="8"/>
        <v>1.9495</v>
      </c>
      <c r="C261" s="669" t="s">
        <v>215</v>
      </c>
      <c r="D261" s="669" t="s">
        <v>250</v>
      </c>
      <c r="E261" s="669" t="s">
        <v>188</v>
      </c>
      <c r="F261" s="669" t="s">
        <v>188</v>
      </c>
      <c r="G261" s="669" t="s">
        <v>188</v>
      </c>
      <c r="H261" s="669" t="s">
        <v>22</v>
      </c>
    </row>
    <row r="262" spans="1:8" x14ac:dyDescent="0.25">
      <c r="A262" s="667" t="s">
        <v>196</v>
      </c>
      <c r="B262" s="668">
        <f t="shared" si="8"/>
        <v>1.9495</v>
      </c>
      <c r="C262" s="667" t="s">
        <v>249</v>
      </c>
      <c r="D262" s="667" t="s">
        <v>187</v>
      </c>
      <c r="E262" s="667" t="s">
        <v>188</v>
      </c>
      <c r="F262" s="667" t="s">
        <v>188</v>
      </c>
      <c r="G262" s="667" t="s">
        <v>188</v>
      </c>
      <c r="H262" s="667" t="s">
        <v>22</v>
      </c>
    </row>
    <row r="263" spans="1:8" x14ac:dyDescent="0.25">
      <c r="A263" s="669" t="s">
        <v>196</v>
      </c>
      <c r="B263" s="670">
        <f t="shared" si="8"/>
        <v>1.9495</v>
      </c>
      <c r="C263" s="669" t="s">
        <v>249</v>
      </c>
      <c r="D263" s="669" t="s">
        <v>214</v>
      </c>
      <c r="E263" s="669" t="s">
        <v>188</v>
      </c>
      <c r="F263" s="669" t="s">
        <v>188</v>
      </c>
      <c r="G263" s="669" t="s">
        <v>188</v>
      </c>
      <c r="H263" s="669" t="s">
        <v>22</v>
      </c>
    </row>
    <row r="264" spans="1:8" x14ac:dyDescent="0.25">
      <c r="A264" s="667" t="s">
        <v>196</v>
      </c>
      <c r="B264" s="668">
        <f t="shared" si="8"/>
        <v>1.9495</v>
      </c>
      <c r="C264" s="667" t="s">
        <v>249</v>
      </c>
      <c r="D264" s="667" t="s">
        <v>233</v>
      </c>
      <c r="E264" s="667" t="s">
        <v>188</v>
      </c>
      <c r="F264" s="667" t="s">
        <v>188</v>
      </c>
      <c r="G264" s="667" t="s">
        <v>188</v>
      </c>
      <c r="H264" s="667" t="s">
        <v>22</v>
      </c>
    </row>
    <row r="265" spans="1:8" x14ac:dyDescent="0.25">
      <c r="A265" s="669" t="s">
        <v>196</v>
      </c>
      <c r="B265" s="670">
        <f t="shared" si="8"/>
        <v>1.9495</v>
      </c>
      <c r="C265" s="669" t="s">
        <v>249</v>
      </c>
      <c r="D265" s="669" t="s">
        <v>242</v>
      </c>
      <c r="E265" s="669" t="s">
        <v>188</v>
      </c>
      <c r="F265" s="669" t="s">
        <v>188</v>
      </c>
      <c r="G265" s="669" t="s">
        <v>188</v>
      </c>
      <c r="H265" s="669" t="s">
        <v>22</v>
      </c>
    </row>
    <row r="266" spans="1:8" x14ac:dyDescent="0.25">
      <c r="A266" s="667" t="s">
        <v>196</v>
      </c>
      <c r="B266" s="668">
        <f t="shared" si="8"/>
        <v>1.9495</v>
      </c>
      <c r="C266" s="667" t="s">
        <v>249</v>
      </c>
      <c r="D266" s="667" t="s">
        <v>250</v>
      </c>
      <c r="E266" s="667" t="s">
        <v>188</v>
      </c>
      <c r="F266" s="667" t="s">
        <v>188</v>
      </c>
      <c r="G266" s="667" t="s">
        <v>188</v>
      </c>
      <c r="H266" s="667" t="s">
        <v>22</v>
      </c>
    </row>
    <row r="267" spans="1:8" x14ac:dyDescent="0.25">
      <c r="A267" s="669" t="s">
        <v>196</v>
      </c>
      <c r="B267" s="670">
        <f t="shared" si="8"/>
        <v>1.9495</v>
      </c>
      <c r="C267" s="669" t="s">
        <v>257</v>
      </c>
      <c r="D267" s="669" t="s">
        <v>187</v>
      </c>
      <c r="E267" s="669" t="s">
        <v>188</v>
      </c>
      <c r="F267" s="669" t="s">
        <v>188</v>
      </c>
      <c r="G267" s="669" t="s">
        <v>188</v>
      </c>
      <c r="H267" s="669" t="s">
        <v>22</v>
      </c>
    </row>
    <row r="268" spans="1:8" x14ac:dyDescent="0.25">
      <c r="A268" s="667" t="s">
        <v>196</v>
      </c>
      <c r="B268" s="668">
        <f t="shared" si="8"/>
        <v>1.9495</v>
      </c>
      <c r="C268" s="667" t="s">
        <v>257</v>
      </c>
      <c r="D268" s="667" t="s">
        <v>214</v>
      </c>
      <c r="E268" s="667" t="s">
        <v>188</v>
      </c>
      <c r="F268" s="667" t="s">
        <v>188</v>
      </c>
      <c r="G268" s="667" t="s">
        <v>188</v>
      </c>
      <c r="H268" s="667" t="s">
        <v>22</v>
      </c>
    </row>
    <row r="269" spans="1:8" x14ac:dyDescent="0.25">
      <c r="A269" s="669" t="s">
        <v>196</v>
      </c>
      <c r="B269" s="670">
        <f t="shared" si="8"/>
        <v>1.9495</v>
      </c>
      <c r="C269" s="669" t="s">
        <v>257</v>
      </c>
      <c r="D269" s="669" t="s">
        <v>233</v>
      </c>
      <c r="E269" s="669" t="s">
        <v>188</v>
      </c>
      <c r="F269" s="669" t="s">
        <v>188</v>
      </c>
      <c r="G269" s="669" t="s">
        <v>188</v>
      </c>
      <c r="H269" s="669" t="s">
        <v>22</v>
      </c>
    </row>
    <row r="270" spans="1:8" x14ac:dyDescent="0.25">
      <c r="A270" s="667" t="s">
        <v>196</v>
      </c>
      <c r="B270" s="668">
        <f t="shared" si="8"/>
        <v>1.9495</v>
      </c>
      <c r="C270" s="667" t="s">
        <v>257</v>
      </c>
      <c r="D270" s="667" t="s">
        <v>242</v>
      </c>
      <c r="E270" s="667" t="s">
        <v>188</v>
      </c>
      <c r="F270" s="667" t="s">
        <v>188</v>
      </c>
      <c r="G270" s="667" t="s">
        <v>188</v>
      </c>
      <c r="H270" s="667" t="s">
        <v>22</v>
      </c>
    </row>
    <row r="271" spans="1:8" x14ac:dyDescent="0.25">
      <c r="A271" s="669" t="s">
        <v>196</v>
      </c>
      <c r="B271" s="670">
        <f t="shared" si="8"/>
        <v>1.9495</v>
      </c>
      <c r="C271" s="669" t="s">
        <v>257</v>
      </c>
      <c r="D271" s="669" t="s">
        <v>250</v>
      </c>
      <c r="E271" s="669" t="s">
        <v>188</v>
      </c>
      <c r="F271" s="669" t="s">
        <v>188</v>
      </c>
      <c r="G271" s="669" t="s">
        <v>188</v>
      </c>
      <c r="H271" s="669" t="s">
        <v>22</v>
      </c>
    </row>
    <row r="272" spans="1:8" x14ac:dyDescent="0.25">
      <c r="A272" s="667" t="s">
        <v>196</v>
      </c>
      <c r="B272" s="668">
        <f>AVERAGE(2,2.49)</f>
        <v>2.2450000000000001</v>
      </c>
      <c r="C272" s="667" t="s">
        <v>186</v>
      </c>
      <c r="D272" s="667" t="s">
        <v>187</v>
      </c>
      <c r="E272" s="667" t="s">
        <v>188</v>
      </c>
      <c r="F272" s="667" t="s">
        <v>188</v>
      </c>
      <c r="G272" s="667" t="s">
        <v>188</v>
      </c>
      <c r="H272" s="667" t="s">
        <v>22</v>
      </c>
    </row>
    <row r="273" spans="1:8" x14ac:dyDescent="0.25">
      <c r="A273" s="669" t="s">
        <v>196</v>
      </c>
      <c r="B273" s="670">
        <f t="shared" ref="B273:B301" si="9">AVERAGE(2,2.49)</f>
        <v>2.2450000000000001</v>
      </c>
      <c r="C273" s="669" t="s">
        <v>186</v>
      </c>
      <c r="D273" s="669" t="s">
        <v>214</v>
      </c>
      <c r="E273" s="669" t="s">
        <v>188</v>
      </c>
      <c r="F273" s="669" t="s">
        <v>188</v>
      </c>
      <c r="G273" s="669" t="s">
        <v>188</v>
      </c>
      <c r="H273" s="669" t="s">
        <v>22</v>
      </c>
    </row>
    <row r="274" spans="1:8" x14ac:dyDescent="0.25">
      <c r="A274" s="667" t="s">
        <v>196</v>
      </c>
      <c r="B274" s="668">
        <f t="shared" si="9"/>
        <v>2.2450000000000001</v>
      </c>
      <c r="C274" s="667" t="s">
        <v>186</v>
      </c>
      <c r="D274" s="667" t="s">
        <v>233</v>
      </c>
      <c r="E274" s="667" t="s">
        <v>188</v>
      </c>
      <c r="F274" s="667" t="s">
        <v>188</v>
      </c>
      <c r="G274" s="667" t="s">
        <v>188</v>
      </c>
      <c r="H274" s="667" t="s">
        <v>22</v>
      </c>
    </row>
    <row r="275" spans="1:8" x14ac:dyDescent="0.25">
      <c r="A275" s="669" t="s">
        <v>196</v>
      </c>
      <c r="B275" s="670">
        <f t="shared" si="9"/>
        <v>2.2450000000000001</v>
      </c>
      <c r="C275" s="669" t="s">
        <v>186</v>
      </c>
      <c r="D275" s="669" t="s">
        <v>242</v>
      </c>
      <c r="E275" s="669" t="s">
        <v>188</v>
      </c>
      <c r="F275" s="669" t="s">
        <v>188</v>
      </c>
      <c r="G275" s="669" t="s">
        <v>188</v>
      </c>
      <c r="H275" s="669" t="s">
        <v>22</v>
      </c>
    </row>
    <row r="276" spans="1:8" x14ac:dyDescent="0.25">
      <c r="A276" s="667" t="s">
        <v>196</v>
      </c>
      <c r="B276" s="668">
        <f t="shared" si="9"/>
        <v>2.2450000000000001</v>
      </c>
      <c r="C276" s="667" t="s">
        <v>186</v>
      </c>
      <c r="D276" s="667" t="s">
        <v>250</v>
      </c>
      <c r="E276" s="667" t="s">
        <v>188</v>
      </c>
      <c r="F276" s="667" t="s">
        <v>188</v>
      </c>
      <c r="G276" s="667" t="s">
        <v>188</v>
      </c>
      <c r="H276" s="667" t="s">
        <v>22</v>
      </c>
    </row>
    <row r="277" spans="1:8" x14ac:dyDescent="0.25">
      <c r="A277" s="669" t="s">
        <v>196</v>
      </c>
      <c r="B277" s="670">
        <f t="shared" si="9"/>
        <v>2.2450000000000001</v>
      </c>
      <c r="C277" s="669" t="s">
        <v>213</v>
      </c>
      <c r="D277" s="669" t="s">
        <v>187</v>
      </c>
      <c r="E277" s="669" t="s">
        <v>188</v>
      </c>
      <c r="F277" s="669" t="s">
        <v>188</v>
      </c>
      <c r="G277" s="669" t="s">
        <v>188</v>
      </c>
      <c r="H277" s="669" t="s">
        <v>22</v>
      </c>
    </row>
    <row r="278" spans="1:8" x14ac:dyDescent="0.25">
      <c r="A278" s="667" t="s">
        <v>196</v>
      </c>
      <c r="B278" s="668">
        <f t="shared" si="9"/>
        <v>2.2450000000000001</v>
      </c>
      <c r="C278" s="667" t="s">
        <v>213</v>
      </c>
      <c r="D278" s="667" t="s">
        <v>214</v>
      </c>
      <c r="E278" s="667" t="s">
        <v>188</v>
      </c>
      <c r="F278" s="667" t="s">
        <v>188</v>
      </c>
      <c r="G278" s="667" t="s">
        <v>188</v>
      </c>
      <c r="H278" s="667" t="s">
        <v>22</v>
      </c>
    </row>
    <row r="279" spans="1:8" x14ac:dyDescent="0.25">
      <c r="A279" s="669" t="s">
        <v>196</v>
      </c>
      <c r="B279" s="670">
        <f t="shared" si="9"/>
        <v>2.2450000000000001</v>
      </c>
      <c r="C279" s="669" t="s">
        <v>213</v>
      </c>
      <c r="D279" s="669" t="s">
        <v>233</v>
      </c>
      <c r="E279" s="669" t="s">
        <v>188</v>
      </c>
      <c r="F279" s="669" t="s">
        <v>188</v>
      </c>
      <c r="G279" s="669" t="s">
        <v>188</v>
      </c>
      <c r="H279" s="669" t="s">
        <v>22</v>
      </c>
    </row>
    <row r="280" spans="1:8" x14ac:dyDescent="0.25">
      <c r="A280" s="667" t="s">
        <v>196</v>
      </c>
      <c r="B280" s="668">
        <f t="shared" si="9"/>
        <v>2.2450000000000001</v>
      </c>
      <c r="C280" s="667" t="s">
        <v>213</v>
      </c>
      <c r="D280" s="667" t="s">
        <v>242</v>
      </c>
      <c r="E280" s="667" t="s">
        <v>188</v>
      </c>
      <c r="F280" s="667" t="s">
        <v>188</v>
      </c>
      <c r="G280" s="667" t="s">
        <v>188</v>
      </c>
      <c r="H280" s="667" t="s">
        <v>22</v>
      </c>
    </row>
    <row r="281" spans="1:8" x14ac:dyDescent="0.25">
      <c r="A281" s="669" t="s">
        <v>196</v>
      </c>
      <c r="B281" s="670">
        <f t="shared" si="9"/>
        <v>2.2450000000000001</v>
      </c>
      <c r="C281" s="669" t="s">
        <v>213</v>
      </c>
      <c r="D281" s="669" t="s">
        <v>250</v>
      </c>
      <c r="E281" s="669" t="s">
        <v>188</v>
      </c>
      <c r="F281" s="669" t="s">
        <v>188</v>
      </c>
      <c r="G281" s="669" t="s">
        <v>188</v>
      </c>
      <c r="H281" s="669" t="s">
        <v>22</v>
      </c>
    </row>
    <row r="282" spans="1:8" x14ac:dyDescent="0.25">
      <c r="A282" s="667" t="s">
        <v>196</v>
      </c>
      <c r="B282" s="668">
        <f t="shared" si="9"/>
        <v>2.2450000000000001</v>
      </c>
      <c r="C282" s="667" t="s">
        <v>232</v>
      </c>
      <c r="D282" s="667" t="s">
        <v>187</v>
      </c>
      <c r="E282" s="667" t="s">
        <v>188</v>
      </c>
      <c r="F282" s="667" t="s">
        <v>188</v>
      </c>
      <c r="G282" s="667" t="s">
        <v>188</v>
      </c>
      <c r="H282" s="667" t="s">
        <v>22</v>
      </c>
    </row>
    <row r="283" spans="1:8" x14ac:dyDescent="0.25">
      <c r="A283" s="669" t="s">
        <v>196</v>
      </c>
      <c r="B283" s="670">
        <f t="shared" si="9"/>
        <v>2.2450000000000001</v>
      </c>
      <c r="C283" s="669" t="s">
        <v>232</v>
      </c>
      <c r="D283" s="669" t="s">
        <v>214</v>
      </c>
      <c r="E283" s="669" t="s">
        <v>188</v>
      </c>
      <c r="F283" s="669" t="s">
        <v>188</v>
      </c>
      <c r="G283" s="669" t="s">
        <v>188</v>
      </c>
      <c r="H283" s="669" t="s">
        <v>22</v>
      </c>
    </row>
    <row r="284" spans="1:8" x14ac:dyDescent="0.25">
      <c r="A284" s="667" t="s">
        <v>196</v>
      </c>
      <c r="B284" s="668">
        <f t="shared" si="9"/>
        <v>2.2450000000000001</v>
      </c>
      <c r="C284" s="667" t="s">
        <v>232</v>
      </c>
      <c r="D284" s="667" t="s">
        <v>233</v>
      </c>
      <c r="E284" s="667" t="s">
        <v>188</v>
      </c>
      <c r="F284" s="667" t="s">
        <v>188</v>
      </c>
      <c r="G284" s="667" t="s">
        <v>188</v>
      </c>
      <c r="H284" s="667" t="s">
        <v>22</v>
      </c>
    </row>
    <row r="285" spans="1:8" x14ac:dyDescent="0.25">
      <c r="A285" s="669" t="s">
        <v>196</v>
      </c>
      <c r="B285" s="670">
        <f t="shared" si="9"/>
        <v>2.2450000000000001</v>
      </c>
      <c r="C285" s="669" t="s">
        <v>232</v>
      </c>
      <c r="D285" s="669" t="s">
        <v>242</v>
      </c>
      <c r="E285" s="669" t="s">
        <v>188</v>
      </c>
      <c r="F285" s="669" t="s">
        <v>188</v>
      </c>
      <c r="G285" s="669" t="s">
        <v>188</v>
      </c>
      <c r="H285" s="669" t="s">
        <v>22</v>
      </c>
    </row>
    <row r="286" spans="1:8" x14ac:dyDescent="0.25">
      <c r="A286" s="667" t="s">
        <v>196</v>
      </c>
      <c r="B286" s="668">
        <f t="shared" si="9"/>
        <v>2.2450000000000001</v>
      </c>
      <c r="C286" s="667" t="s">
        <v>232</v>
      </c>
      <c r="D286" s="667" t="s">
        <v>250</v>
      </c>
      <c r="E286" s="667" t="s">
        <v>188</v>
      </c>
      <c r="F286" s="667" t="s">
        <v>188</v>
      </c>
      <c r="G286" s="667" t="s">
        <v>188</v>
      </c>
      <c r="H286" s="667" t="s">
        <v>22</v>
      </c>
    </row>
    <row r="287" spans="1:8" x14ac:dyDescent="0.25">
      <c r="A287" s="669" t="s">
        <v>196</v>
      </c>
      <c r="B287" s="670">
        <f t="shared" si="9"/>
        <v>2.2450000000000001</v>
      </c>
      <c r="C287" s="669" t="s">
        <v>215</v>
      </c>
      <c r="D287" s="669" t="s">
        <v>187</v>
      </c>
      <c r="E287" s="669" t="s">
        <v>188</v>
      </c>
      <c r="F287" s="669" t="s">
        <v>188</v>
      </c>
      <c r="G287" s="669" t="s">
        <v>188</v>
      </c>
      <c r="H287" s="669" t="s">
        <v>22</v>
      </c>
    </row>
    <row r="288" spans="1:8" x14ac:dyDescent="0.25">
      <c r="A288" s="667" t="s">
        <v>196</v>
      </c>
      <c r="B288" s="668">
        <f t="shared" si="9"/>
        <v>2.2450000000000001</v>
      </c>
      <c r="C288" s="667" t="s">
        <v>215</v>
      </c>
      <c r="D288" s="667" t="s">
        <v>214</v>
      </c>
      <c r="E288" s="667" t="s">
        <v>188</v>
      </c>
      <c r="F288" s="667" t="s">
        <v>188</v>
      </c>
      <c r="G288" s="667" t="s">
        <v>188</v>
      </c>
      <c r="H288" s="667" t="s">
        <v>22</v>
      </c>
    </row>
    <row r="289" spans="1:8" x14ac:dyDescent="0.25">
      <c r="A289" s="669" t="s">
        <v>196</v>
      </c>
      <c r="B289" s="670">
        <f t="shared" si="9"/>
        <v>2.2450000000000001</v>
      </c>
      <c r="C289" s="669" t="s">
        <v>215</v>
      </c>
      <c r="D289" s="669" t="s">
        <v>233</v>
      </c>
      <c r="E289" s="669" t="s">
        <v>188</v>
      </c>
      <c r="F289" s="669" t="s">
        <v>188</v>
      </c>
      <c r="G289" s="669" t="s">
        <v>188</v>
      </c>
      <c r="H289" s="669" t="s">
        <v>22</v>
      </c>
    </row>
    <row r="290" spans="1:8" x14ac:dyDescent="0.25">
      <c r="A290" s="667" t="s">
        <v>196</v>
      </c>
      <c r="B290" s="668">
        <f t="shared" si="9"/>
        <v>2.2450000000000001</v>
      </c>
      <c r="C290" s="667" t="s">
        <v>215</v>
      </c>
      <c r="D290" s="667" t="s">
        <v>242</v>
      </c>
      <c r="E290" s="667" t="s">
        <v>188</v>
      </c>
      <c r="F290" s="667" t="s">
        <v>188</v>
      </c>
      <c r="G290" s="667" t="s">
        <v>188</v>
      </c>
      <c r="H290" s="667" t="s">
        <v>22</v>
      </c>
    </row>
    <row r="291" spans="1:8" x14ac:dyDescent="0.25">
      <c r="A291" s="669" t="s">
        <v>196</v>
      </c>
      <c r="B291" s="670">
        <f t="shared" si="9"/>
        <v>2.2450000000000001</v>
      </c>
      <c r="C291" s="669" t="s">
        <v>215</v>
      </c>
      <c r="D291" s="669" t="s">
        <v>250</v>
      </c>
      <c r="E291" s="669" t="s">
        <v>188</v>
      </c>
      <c r="F291" s="669" t="s">
        <v>188</v>
      </c>
      <c r="G291" s="669" t="s">
        <v>188</v>
      </c>
      <c r="H291" s="669" t="s">
        <v>22</v>
      </c>
    </row>
    <row r="292" spans="1:8" x14ac:dyDescent="0.25">
      <c r="A292" s="667" t="s">
        <v>196</v>
      </c>
      <c r="B292" s="668">
        <f t="shared" si="9"/>
        <v>2.2450000000000001</v>
      </c>
      <c r="C292" s="667" t="s">
        <v>249</v>
      </c>
      <c r="D292" s="667" t="s">
        <v>187</v>
      </c>
      <c r="E292" s="667" t="s">
        <v>188</v>
      </c>
      <c r="F292" s="667" t="s">
        <v>188</v>
      </c>
      <c r="G292" s="667" t="s">
        <v>188</v>
      </c>
      <c r="H292" s="667" t="s">
        <v>22</v>
      </c>
    </row>
    <row r="293" spans="1:8" x14ac:dyDescent="0.25">
      <c r="A293" s="669" t="s">
        <v>196</v>
      </c>
      <c r="B293" s="670">
        <f t="shared" si="9"/>
        <v>2.2450000000000001</v>
      </c>
      <c r="C293" s="669" t="s">
        <v>249</v>
      </c>
      <c r="D293" s="669" t="s">
        <v>214</v>
      </c>
      <c r="E293" s="669" t="s">
        <v>188</v>
      </c>
      <c r="F293" s="669" t="s">
        <v>188</v>
      </c>
      <c r="G293" s="669" t="s">
        <v>188</v>
      </c>
      <c r="H293" s="669" t="s">
        <v>22</v>
      </c>
    </row>
    <row r="294" spans="1:8" x14ac:dyDescent="0.25">
      <c r="A294" s="667" t="s">
        <v>196</v>
      </c>
      <c r="B294" s="668">
        <f t="shared" si="9"/>
        <v>2.2450000000000001</v>
      </c>
      <c r="C294" s="667" t="s">
        <v>249</v>
      </c>
      <c r="D294" s="667" t="s">
        <v>233</v>
      </c>
      <c r="E294" s="667" t="s">
        <v>188</v>
      </c>
      <c r="F294" s="667" t="s">
        <v>188</v>
      </c>
      <c r="G294" s="667" t="s">
        <v>188</v>
      </c>
      <c r="H294" s="667" t="s">
        <v>22</v>
      </c>
    </row>
    <row r="295" spans="1:8" x14ac:dyDescent="0.25">
      <c r="A295" s="669" t="s">
        <v>196</v>
      </c>
      <c r="B295" s="670">
        <f t="shared" si="9"/>
        <v>2.2450000000000001</v>
      </c>
      <c r="C295" s="669" t="s">
        <v>249</v>
      </c>
      <c r="D295" s="669" t="s">
        <v>242</v>
      </c>
      <c r="E295" s="669" t="s">
        <v>188</v>
      </c>
      <c r="F295" s="669" t="s">
        <v>188</v>
      </c>
      <c r="G295" s="669" t="s">
        <v>188</v>
      </c>
      <c r="H295" s="669" t="s">
        <v>22</v>
      </c>
    </row>
    <row r="296" spans="1:8" x14ac:dyDescent="0.25">
      <c r="A296" s="667" t="s">
        <v>196</v>
      </c>
      <c r="B296" s="668">
        <f t="shared" si="9"/>
        <v>2.2450000000000001</v>
      </c>
      <c r="C296" s="667" t="s">
        <v>249</v>
      </c>
      <c r="D296" s="667" t="s">
        <v>250</v>
      </c>
      <c r="E296" s="667" t="s">
        <v>188</v>
      </c>
      <c r="F296" s="667" t="s">
        <v>188</v>
      </c>
      <c r="G296" s="667" t="s">
        <v>188</v>
      </c>
      <c r="H296" s="667" t="s">
        <v>22</v>
      </c>
    </row>
    <row r="297" spans="1:8" x14ac:dyDescent="0.25">
      <c r="A297" s="669" t="s">
        <v>196</v>
      </c>
      <c r="B297" s="670">
        <f t="shared" si="9"/>
        <v>2.2450000000000001</v>
      </c>
      <c r="C297" s="669" t="s">
        <v>257</v>
      </c>
      <c r="D297" s="669" t="s">
        <v>187</v>
      </c>
      <c r="E297" s="669" t="s">
        <v>188</v>
      </c>
      <c r="F297" s="669" t="s">
        <v>188</v>
      </c>
      <c r="G297" s="669" t="s">
        <v>188</v>
      </c>
      <c r="H297" s="669" t="s">
        <v>22</v>
      </c>
    </row>
    <row r="298" spans="1:8" x14ac:dyDescent="0.25">
      <c r="A298" s="667" t="s">
        <v>196</v>
      </c>
      <c r="B298" s="668">
        <f t="shared" si="9"/>
        <v>2.2450000000000001</v>
      </c>
      <c r="C298" s="667" t="s">
        <v>257</v>
      </c>
      <c r="D298" s="667" t="s">
        <v>214</v>
      </c>
      <c r="E298" s="667" t="s">
        <v>188</v>
      </c>
      <c r="F298" s="667" t="s">
        <v>188</v>
      </c>
      <c r="G298" s="667" t="s">
        <v>188</v>
      </c>
      <c r="H298" s="667" t="s">
        <v>22</v>
      </c>
    </row>
    <row r="299" spans="1:8" x14ac:dyDescent="0.25">
      <c r="A299" s="669" t="s">
        <v>196</v>
      </c>
      <c r="B299" s="670">
        <f t="shared" si="9"/>
        <v>2.2450000000000001</v>
      </c>
      <c r="C299" s="669" t="s">
        <v>257</v>
      </c>
      <c r="D299" s="669" t="s">
        <v>233</v>
      </c>
      <c r="E299" s="669" t="s">
        <v>188</v>
      </c>
      <c r="F299" s="669" t="s">
        <v>188</v>
      </c>
      <c r="G299" s="669" t="s">
        <v>188</v>
      </c>
      <c r="H299" s="669" t="s">
        <v>22</v>
      </c>
    </row>
    <row r="300" spans="1:8" x14ac:dyDescent="0.25">
      <c r="A300" s="667" t="s">
        <v>196</v>
      </c>
      <c r="B300" s="668">
        <f t="shared" si="9"/>
        <v>2.2450000000000001</v>
      </c>
      <c r="C300" s="667" t="s">
        <v>257</v>
      </c>
      <c r="D300" s="667" t="s">
        <v>242</v>
      </c>
      <c r="E300" s="667" t="s">
        <v>188</v>
      </c>
      <c r="F300" s="667" t="s">
        <v>188</v>
      </c>
      <c r="G300" s="667" t="s">
        <v>188</v>
      </c>
      <c r="H300" s="667" t="s">
        <v>22</v>
      </c>
    </row>
    <row r="301" spans="1:8" x14ac:dyDescent="0.25">
      <c r="A301" s="669" t="s">
        <v>196</v>
      </c>
      <c r="B301" s="670">
        <f t="shared" si="9"/>
        <v>2.2450000000000001</v>
      </c>
      <c r="C301" s="669" t="s">
        <v>257</v>
      </c>
      <c r="D301" s="669" t="s">
        <v>250</v>
      </c>
      <c r="E301" s="669" t="s">
        <v>188</v>
      </c>
      <c r="F301" s="669" t="s">
        <v>188</v>
      </c>
      <c r="G301" s="669" t="s">
        <v>188</v>
      </c>
      <c r="H301" s="669" t="s">
        <v>22</v>
      </c>
    </row>
    <row r="302" spans="1:8" x14ac:dyDescent="0.25">
      <c r="A302" s="667" t="s">
        <v>196</v>
      </c>
      <c r="B302" s="668">
        <f>AVERAGE(2.25,2.499)</f>
        <v>2.3745000000000003</v>
      </c>
      <c r="C302" s="667" t="s">
        <v>186</v>
      </c>
      <c r="D302" s="667" t="s">
        <v>187</v>
      </c>
      <c r="E302" s="667" t="s">
        <v>188</v>
      </c>
      <c r="F302" s="667" t="s">
        <v>188</v>
      </c>
      <c r="G302" s="667" t="s">
        <v>188</v>
      </c>
      <c r="H302" s="667" t="s">
        <v>22</v>
      </c>
    </row>
    <row r="303" spans="1:8" x14ac:dyDescent="0.25">
      <c r="A303" s="669" t="s">
        <v>196</v>
      </c>
      <c r="B303" s="670">
        <f t="shared" ref="B303:B331" si="10">AVERAGE(2.25,2.499)</f>
        <v>2.3745000000000003</v>
      </c>
      <c r="C303" s="669" t="s">
        <v>186</v>
      </c>
      <c r="D303" s="669" t="s">
        <v>214</v>
      </c>
      <c r="E303" s="669" t="s">
        <v>188</v>
      </c>
      <c r="F303" s="669" t="s">
        <v>188</v>
      </c>
      <c r="G303" s="669" t="s">
        <v>188</v>
      </c>
      <c r="H303" s="669" t="s">
        <v>22</v>
      </c>
    </row>
    <row r="304" spans="1:8" x14ac:dyDescent="0.25">
      <c r="A304" s="667" t="s">
        <v>196</v>
      </c>
      <c r="B304" s="668">
        <f t="shared" si="10"/>
        <v>2.3745000000000003</v>
      </c>
      <c r="C304" s="667" t="s">
        <v>186</v>
      </c>
      <c r="D304" s="667" t="s">
        <v>233</v>
      </c>
      <c r="E304" s="667" t="s">
        <v>188</v>
      </c>
      <c r="F304" s="667" t="s">
        <v>188</v>
      </c>
      <c r="G304" s="667" t="s">
        <v>188</v>
      </c>
      <c r="H304" s="667" t="s">
        <v>22</v>
      </c>
    </row>
    <row r="305" spans="1:8" x14ac:dyDescent="0.25">
      <c r="A305" s="669" t="s">
        <v>196</v>
      </c>
      <c r="B305" s="670">
        <f t="shared" si="10"/>
        <v>2.3745000000000003</v>
      </c>
      <c r="C305" s="669" t="s">
        <v>186</v>
      </c>
      <c r="D305" s="669" t="s">
        <v>242</v>
      </c>
      <c r="E305" s="669" t="s">
        <v>188</v>
      </c>
      <c r="F305" s="669" t="s">
        <v>188</v>
      </c>
      <c r="G305" s="669" t="s">
        <v>188</v>
      </c>
      <c r="H305" s="669" t="s">
        <v>22</v>
      </c>
    </row>
    <row r="306" spans="1:8" x14ac:dyDescent="0.25">
      <c r="A306" s="667" t="s">
        <v>196</v>
      </c>
      <c r="B306" s="668">
        <f t="shared" si="10"/>
        <v>2.3745000000000003</v>
      </c>
      <c r="C306" s="667" t="s">
        <v>186</v>
      </c>
      <c r="D306" s="667" t="s">
        <v>250</v>
      </c>
      <c r="E306" s="667" t="s">
        <v>188</v>
      </c>
      <c r="F306" s="667" t="s">
        <v>188</v>
      </c>
      <c r="G306" s="667" t="s">
        <v>188</v>
      </c>
      <c r="H306" s="667" t="s">
        <v>22</v>
      </c>
    </row>
    <row r="307" spans="1:8" x14ac:dyDescent="0.25">
      <c r="A307" s="669" t="s">
        <v>196</v>
      </c>
      <c r="B307" s="670">
        <f t="shared" si="10"/>
        <v>2.3745000000000003</v>
      </c>
      <c r="C307" s="669" t="s">
        <v>213</v>
      </c>
      <c r="D307" s="669" t="s">
        <v>187</v>
      </c>
      <c r="E307" s="669" t="s">
        <v>188</v>
      </c>
      <c r="F307" s="669" t="s">
        <v>188</v>
      </c>
      <c r="G307" s="669" t="s">
        <v>188</v>
      </c>
      <c r="H307" s="669" t="s">
        <v>22</v>
      </c>
    </row>
    <row r="308" spans="1:8" x14ac:dyDescent="0.25">
      <c r="A308" s="667" t="s">
        <v>196</v>
      </c>
      <c r="B308" s="668">
        <f t="shared" si="10"/>
        <v>2.3745000000000003</v>
      </c>
      <c r="C308" s="667" t="s">
        <v>213</v>
      </c>
      <c r="D308" s="667" t="s">
        <v>214</v>
      </c>
      <c r="E308" s="667" t="s">
        <v>188</v>
      </c>
      <c r="F308" s="667" t="s">
        <v>188</v>
      </c>
      <c r="G308" s="667" t="s">
        <v>188</v>
      </c>
      <c r="H308" s="667" t="s">
        <v>22</v>
      </c>
    </row>
    <row r="309" spans="1:8" x14ac:dyDescent="0.25">
      <c r="A309" s="669" t="s">
        <v>196</v>
      </c>
      <c r="B309" s="670">
        <f t="shared" si="10"/>
        <v>2.3745000000000003</v>
      </c>
      <c r="C309" s="669" t="s">
        <v>213</v>
      </c>
      <c r="D309" s="669" t="s">
        <v>233</v>
      </c>
      <c r="E309" s="669" t="s">
        <v>188</v>
      </c>
      <c r="F309" s="669" t="s">
        <v>188</v>
      </c>
      <c r="G309" s="669" t="s">
        <v>188</v>
      </c>
      <c r="H309" s="669" t="s">
        <v>22</v>
      </c>
    </row>
    <row r="310" spans="1:8" x14ac:dyDescent="0.25">
      <c r="A310" s="667" t="s">
        <v>196</v>
      </c>
      <c r="B310" s="668">
        <f t="shared" si="10"/>
        <v>2.3745000000000003</v>
      </c>
      <c r="C310" s="667" t="s">
        <v>213</v>
      </c>
      <c r="D310" s="667" t="s">
        <v>242</v>
      </c>
      <c r="E310" s="667" t="s">
        <v>188</v>
      </c>
      <c r="F310" s="667" t="s">
        <v>188</v>
      </c>
      <c r="G310" s="667" t="s">
        <v>188</v>
      </c>
      <c r="H310" s="667" t="s">
        <v>22</v>
      </c>
    </row>
    <row r="311" spans="1:8" x14ac:dyDescent="0.25">
      <c r="A311" s="669" t="s">
        <v>196</v>
      </c>
      <c r="B311" s="670">
        <f t="shared" si="10"/>
        <v>2.3745000000000003</v>
      </c>
      <c r="C311" s="669" t="s">
        <v>213</v>
      </c>
      <c r="D311" s="669" t="s">
        <v>250</v>
      </c>
      <c r="E311" s="669" t="s">
        <v>188</v>
      </c>
      <c r="F311" s="669" t="s">
        <v>188</v>
      </c>
      <c r="G311" s="669" t="s">
        <v>188</v>
      </c>
      <c r="H311" s="669" t="s">
        <v>22</v>
      </c>
    </row>
    <row r="312" spans="1:8" x14ac:dyDescent="0.25">
      <c r="A312" s="667" t="s">
        <v>196</v>
      </c>
      <c r="B312" s="668">
        <f t="shared" si="10"/>
        <v>2.3745000000000003</v>
      </c>
      <c r="C312" s="667" t="s">
        <v>232</v>
      </c>
      <c r="D312" s="667" t="s">
        <v>187</v>
      </c>
      <c r="E312" s="667" t="s">
        <v>188</v>
      </c>
      <c r="F312" s="667" t="s">
        <v>188</v>
      </c>
      <c r="G312" s="667" t="s">
        <v>188</v>
      </c>
      <c r="H312" s="667" t="s">
        <v>22</v>
      </c>
    </row>
    <row r="313" spans="1:8" x14ac:dyDescent="0.25">
      <c r="A313" s="669" t="s">
        <v>196</v>
      </c>
      <c r="B313" s="670">
        <f t="shared" si="10"/>
        <v>2.3745000000000003</v>
      </c>
      <c r="C313" s="669" t="s">
        <v>232</v>
      </c>
      <c r="D313" s="669" t="s">
        <v>214</v>
      </c>
      <c r="E313" s="669" t="s">
        <v>188</v>
      </c>
      <c r="F313" s="669" t="s">
        <v>188</v>
      </c>
      <c r="G313" s="669" t="s">
        <v>188</v>
      </c>
      <c r="H313" s="669" t="s">
        <v>22</v>
      </c>
    </row>
    <row r="314" spans="1:8" x14ac:dyDescent="0.25">
      <c r="A314" s="667" t="s">
        <v>196</v>
      </c>
      <c r="B314" s="668">
        <f t="shared" si="10"/>
        <v>2.3745000000000003</v>
      </c>
      <c r="C314" s="667" t="s">
        <v>232</v>
      </c>
      <c r="D314" s="667" t="s">
        <v>233</v>
      </c>
      <c r="E314" s="667" t="s">
        <v>188</v>
      </c>
      <c r="F314" s="667" t="s">
        <v>188</v>
      </c>
      <c r="G314" s="667" t="s">
        <v>188</v>
      </c>
      <c r="H314" s="667" t="s">
        <v>22</v>
      </c>
    </row>
    <row r="315" spans="1:8" x14ac:dyDescent="0.25">
      <c r="A315" s="669" t="s">
        <v>196</v>
      </c>
      <c r="B315" s="670">
        <f t="shared" si="10"/>
        <v>2.3745000000000003</v>
      </c>
      <c r="C315" s="669" t="s">
        <v>232</v>
      </c>
      <c r="D315" s="669" t="s">
        <v>242</v>
      </c>
      <c r="E315" s="669" t="s">
        <v>188</v>
      </c>
      <c r="F315" s="669" t="s">
        <v>188</v>
      </c>
      <c r="G315" s="669" t="s">
        <v>188</v>
      </c>
      <c r="H315" s="669" t="s">
        <v>22</v>
      </c>
    </row>
    <row r="316" spans="1:8" x14ac:dyDescent="0.25">
      <c r="A316" s="667" t="s">
        <v>196</v>
      </c>
      <c r="B316" s="668">
        <f t="shared" si="10"/>
        <v>2.3745000000000003</v>
      </c>
      <c r="C316" s="667" t="s">
        <v>232</v>
      </c>
      <c r="D316" s="667" t="s">
        <v>250</v>
      </c>
      <c r="E316" s="667" t="s">
        <v>188</v>
      </c>
      <c r="F316" s="667" t="s">
        <v>188</v>
      </c>
      <c r="G316" s="667" t="s">
        <v>188</v>
      </c>
      <c r="H316" s="667" t="s">
        <v>22</v>
      </c>
    </row>
    <row r="317" spans="1:8" x14ac:dyDescent="0.25">
      <c r="A317" s="669" t="s">
        <v>196</v>
      </c>
      <c r="B317" s="670">
        <f t="shared" si="10"/>
        <v>2.3745000000000003</v>
      </c>
      <c r="C317" s="669" t="s">
        <v>215</v>
      </c>
      <c r="D317" s="669" t="s">
        <v>187</v>
      </c>
      <c r="E317" s="669" t="s">
        <v>188</v>
      </c>
      <c r="F317" s="669" t="s">
        <v>188</v>
      </c>
      <c r="G317" s="669" t="s">
        <v>188</v>
      </c>
      <c r="H317" s="669" t="s">
        <v>22</v>
      </c>
    </row>
    <row r="318" spans="1:8" x14ac:dyDescent="0.25">
      <c r="A318" s="667" t="s">
        <v>196</v>
      </c>
      <c r="B318" s="668">
        <f t="shared" si="10"/>
        <v>2.3745000000000003</v>
      </c>
      <c r="C318" s="667" t="s">
        <v>215</v>
      </c>
      <c r="D318" s="667" t="s">
        <v>214</v>
      </c>
      <c r="E318" s="667" t="s">
        <v>188</v>
      </c>
      <c r="F318" s="667" t="s">
        <v>188</v>
      </c>
      <c r="G318" s="667" t="s">
        <v>188</v>
      </c>
      <c r="H318" s="667" t="s">
        <v>22</v>
      </c>
    </row>
    <row r="319" spans="1:8" x14ac:dyDescent="0.25">
      <c r="A319" s="669" t="s">
        <v>196</v>
      </c>
      <c r="B319" s="670">
        <f t="shared" si="10"/>
        <v>2.3745000000000003</v>
      </c>
      <c r="C319" s="669" t="s">
        <v>215</v>
      </c>
      <c r="D319" s="669" t="s">
        <v>233</v>
      </c>
      <c r="E319" s="669" t="s">
        <v>188</v>
      </c>
      <c r="F319" s="669" t="s">
        <v>188</v>
      </c>
      <c r="G319" s="669" t="s">
        <v>188</v>
      </c>
      <c r="H319" s="669" t="s">
        <v>22</v>
      </c>
    </row>
    <row r="320" spans="1:8" x14ac:dyDescent="0.25">
      <c r="A320" s="667" t="s">
        <v>196</v>
      </c>
      <c r="B320" s="668">
        <f t="shared" si="10"/>
        <v>2.3745000000000003</v>
      </c>
      <c r="C320" s="667" t="s">
        <v>215</v>
      </c>
      <c r="D320" s="667" t="s">
        <v>242</v>
      </c>
      <c r="E320" s="667" t="s">
        <v>188</v>
      </c>
      <c r="F320" s="667" t="s">
        <v>188</v>
      </c>
      <c r="G320" s="667" t="s">
        <v>188</v>
      </c>
      <c r="H320" s="667" t="s">
        <v>22</v>
      </c>
    </row>
    <row r="321" spans="1:8" x14ac:dyDescent="0.25">
      <c r="A321" s="669" t="s">
        <v>196</v>
      </c>
      <c r="B321" s="670">
        <f t="shared" si="10"/>
        <v>2.3745000000000003</v>
      </c>
      <c r="C321" s="669" t="s">
        <v>215</v>
      </c>
      <c r="D321" s="669" t="s">
        <v>250</v>
      </c>
      <c r="E321" s="669" t="s">
        <v>188</v>
      </c>
      <c r="F321" s="669" t="s">
        <v>188</v>
      </c>
      <c r="G321" s="669" t="s">
        <v>188</v>
      </c>
      <c r="H321" s="669" t="s">
        <v>22</v>
      </c>
    </row>
    <row r="322" spans="1:8" x14ac:dyDescent="0.25">
      <c r="A322" s="667" t="s">
        <v>196</v>
      </c>
      <c r="B322" s="668">
        <f t="shared" si="10"/>
        <v>2.3745000000000003</v>
      </c>
      <c r="C322" s="667" t="s">
        <v>249</v>
      </c>
      <c r="D322" s="667" t="s">
        <v>187</v>
      </c>
      <c r="E322" s="667" t="s">
        <v>188</v>
      </c>
      <c r="F322" s="667" t="s">
        <v>188</v>
      </c>
      <c r="G322" s="667" t="s">
        <v>188</v>
      </c>
      <c r="H322" s="667" t="s">
        <v>22</v>
      </c>
    </row>
    <row r="323" spans="1:8" x14ac:dyDescent="0.25">
      <c r="A323" s="669" t="s">
        <v>196</v>
      </c>
      <c r="B323" s="670">
        <f t="shared" si="10"/>
        <v>2.3745000000000003</v>
      </c>
      <c r="C323" s="669" t="s">
        <v>249</v>
      </c>
      <c r="D323" s="669" t="s">
        <v>214</v>
      </c>
      <c r="E323" s="669" t="s">
        <v>188</v>
      </c>
      <c r="F323" s="669" t="s">
        <v>188</v>
      </c>
      <c r="G323" s="669" t="s">
        <v>188</v>
      </c>
      <c r="H323" s="669" t="s">
        <v>22</v>
      </c>
    </row>
    <row r="324" spans="1:8" x14ac:dyDescent="0.25">
      <c r="A324" s="667" t="s">
        <v>196</v>
      </c>
      <c r="B324" s="668">
        <f t="shared" si="10"/>
        <v>2.3745000000000003</v>
      </c>
      <c r="C324" s="667" t="s">
        <v>249</v>
      </c>
      <c r="D324" s="667" t="s">
        <v>233</v>
      </c>
      <c r="E324" s="667" t="s">
        <v>188</v>
      </c>
      <c r="F324" s="667" t="s">
        <v>188</v>
      </c>
      <c r="G324" s="667" t="s">
        <v>188</v>
      </c>
      <c r="H324" s="667" t="s">
        <v>22</v>
      </c>
    </row>
    <row r="325" spans="1:8" x14ac:dyDescent="0.25">
      <c r="A325" s="669" t="s">
        <v>196</v>
      </c>
      <c r="B325" s="670">
        <f t="shared" si="10"/>
        <v>2.3745000000000003</v>
      </c>
      <c r="C325" s="669" t="s">
        <v>249</v>
      </c>
      <c r="D325" s="669" t="s">
        <v>242</v>
      </c>
      <c r="E325" s="669" t="s">
        <v>188</v>
      </c>
      <c r="F325" s="669" t="s">
        <v>188</v>
      </c>
      <c r="G325" s="669" t="s">
        <v>188</v>
      </c>
      <c r="H325" s="669" t="s">
        <v>22</v>
      </c>
    </row>
    <row r="326" spans="1:8" x14ac:dyDescent="0.25">
      <c r="A326" s="667" t="s">
        <v>196</v>
      </c>
      <c r="B326" s="668">
        <f t="shared" si="10"/>
        <v>2.3745000000000003</v>
      </c>
      <c r="C326" s="667" t="s">
        <v>249</v>
      </c>
      <c r="D326" s="667" t="s">
        <v>250</v>
      </c>
      <c r="E326" s="667" t="s">
        <v>188</v>
      </c>
      <c r="F326" s="667" t="s">
        <v>188</v>
      </c>
      <c r="G326" s="667" t="s">
        <v>188</v>
      </c>
      <c r="H326" s="667" t="s">
        <v>22</v>
      </c>
    </row>
    <row r="327" spans="1:8" x14ac:dyDescent="0.25">
      <c r="A327" s="669" t="s">
        <v>196</v>
      </c>
      <c r="B327" s="670">
        <f t="shared" si="10"/>
        <v>2.3745000000000003</v>
      </c>
      <c r="C327" s="669" t="s">
        <v>257</v>
      </c>
      <c r="D327" s="669" t="s">
        <v>187</v>
      </c>
      <c r="E327" s="669" t="s">
        <v>188</v>
      </c>
      <c r="F327" s="669" t="s">
        <v>188</v>
      </c>
      <c r="G327" s="669" t="s">
        <v>188</v>
      </c>
      <c r="H327" s="669" t="s">
        <v>22</v>
      </c>
    </row>
    <row r="328" spans="1:8" x14ac:dyDescent="0.25">
      <c r="A328" s="667" t="s">
        <v>196</v>
      </c>
      <c r="B328" s="668">
        <f t="shared" si="10"/>
        <v>2.3745000000000003</v>
      </c>
      <c r="C328" s="667" t="s">
        <v>257</v>
      </c>
      <c r="D328" s="667" t="s">
        <v>214</v>
      </c>
      <c r="E328" s="667" t="s">
        <v>188</v>
      </c>
      <c r="F328" s="667" t="s">
        <v>188</v>
      </c>
      <c r="G328" s="667" t="s">
        <v>188</v>
      </c>
      <c r="H328" s="667" t="s">
        <v>22</v>
      </c>
    </row>
    <row r="329" spans="1:8" x14ac:dyDescent="0.25">
      <c r="A329" s="669" t="s">
        <v>196</v>
      </c>
      <c r="B329" s="670">
        <f t="shared" si="10"/>
        <v>2.3745000000000003</v>
      </c>
      <c r="C329" s="669" t="s">
        <v>257</v>
      </c>
      <c r="D329" s="669" t="s">
        <v>233</v>
      </c>
      <c r="E329" s="669" t="s">
        <v>188</v>
      </c>
      <c r="F329" s="669" t="s">
        <v>188</v>
      </c>
      <c r="G329" s="669" t="s">
        <v>188</v>
      </c>
      <c r="H329" s="669" t="s">
        <v>22</v>
      </c>
    </row>
    <row r="330" spans="1:8" x14ac:dyDescent="0.25">
      <c r="A330" s="667" t="s">
        <v>196</v>
      </c>
      <c r="B330" s="668">
        <f t="shared" si="10"/>
        <v>2.3745000000000003</v>
      </c>
      <c r="C330" s="667" t="s">
        <v>257</v>
      </c>
      <c r="D330" s="667" t="s">
        <v>242</v>
      </c>
      <c r="E330" s="667" t="s">
        <v>188</v>
      </c>
      <c r="F330" s="667" t="s">
        <v>188</v>
      </c>
      <c r="G330" s="667" t="s">
        <v>188</v>
      </c>
      <c r="H330" s="667" t="s">
        <v>22</v>
      </c>
    </row>
    <row r="331" spans="1:8" x14ac:dyDescent="0.25">
      <c r="A331" s="669" t="s">
        <v>196</v>
      </c>
      <c r="B331" s="670">
        <f t="shared" si="10"/>
        <v>2.3745000000000003</v>
      </c>
      <c r="C331" s="669" t="s">
        <v>257</v>
      </c>
      <c r="D331" s="669" t="s">
        <v>250</v>
      </c>
      <c r="E331" s="669" t="s">
        <v>188</v>
      </c>
      <c r="F331" s="669" t="s">
        <v>188</v>
      </c>
      <c r="G331" s="669" t="s">
        <v>188</v>
      </c>
      <c r="H331" s="669" t="s">
        <v>22</v>
      </c>
    </row>
    <row r="332" spans="1:8" x14ac:dyDescent="0.25">
      <c r="A332" s="667" t="s">
        <v>196</v>
      </c>
      <c r="B332" s="668">
        <f>AVERAGE(2.5,2.699)</f>
        <v>2.5994999999999999</v>
      </c>
      <c r="C332" s="667" t="s">
        <v>186</v>
      </c>
      <c r="D332" s="667" t="s">
        <v>187</v>
      </c>
      <c r="E332" s="667" t="s">
        <v>188</v>
      </c>
      <c r="F332" s="667" t="s">
        <v>188</v>
      </c>
      <c r="G332" s="667" t="s">
        <v>188</v>
      </c>
      <c r="H332" s="667" t="s">
        <v>22</v>
      </c>
    </row>
    <row r="333" spans="1:8" x14ac:dyDescent="0.25">
      <c r="A333" s="669" t="s">
        <v>196</v>
      </c>
      <c r="B333" s="670">
        <f t="shared" ref="B333:B361" si="11">AVERAGE(2.5,2.699)</f>
        <v>2.5994999999999999</v>
      </c>
      <c r="C333" s="669" t="s">
        <v>186</v>
      </c>
      <c r="D333" s="669" t="s">
        <v>214</v>
      </c>
      <c r="E333" s="669" t="s">
        <v>188</v>
      </c>
      <c r="F333" s="669" t="s">
        <v>188</v>
      </c>
      <c r="G333" s="669" t="s">
        <v>188</v>
      </c>
      <c r="H333" s="669" t="s">
        <v>22</v>
      </c>
    </row>
    <row r="334" spans="1:8" x14ac:dyDescent="0.25">
      <c r="A334" s="667" t="s">
        <v>196</v>
      </c>
      <c r="B334" s="668">
        <f t="shared" si="11"/>
        <v>2.5994999999999999</v>
      </c>
      <c r="C334" s="667" t="s">
        <v>186</v>
      </c>
      <c r="D334" s="667" t="s">
        <v>233</v>
      </c>
      <c r="E334" s="667" t="s">
        <v>188</v>
      </c>
      <c r="F334" s="667" t="s">
        <v>188</v>
      </c>
      <c r="G334" s="667" t="s">
        <v>188</v>
      </c>
      <c r="H334" s="667" t="s">
        <v>22</v>
      </c>
    </row>
    <row r="335" spans="1:8" x14ac:dyDescent="0.25">
      <c r="A335" s="669" t="s">
        <v>196</v>
      </c>
      <c r="B335" s="670">
        <f t="shared" si="11"/>
        <v>2.5994999999999999</v>
      </c>
      <c r="C335" s="669" t="s">
        <v>186</v>
      </c>
      <c r="D335" s="669" t="s">
        <v>242</v>
      </c>
      <c r="E335" s="669" t="s">
        <v>188</v>
      </c>
      <c r="F335" s="669" t="s">
        <v>188</v>
      </c>
      <c r="G335" s="669" t="s">
        <v>188</v>
      </c>
      <c r="H335" s="669" t="s">
        <v>22</v>
      </c>
    </row>
    <row r="336" spans="1:8" x14ac:dyDescent="0.25">
      <c r="A336" s="667" t="s">
        <v>196</v>
      </c>
      <c r="B336" s="668">
        <f t="shared" si="11"/>
        <v>2.5994999999999999</v>
      </c>
      <c r="C336" s="667" t="s">
        <v>186</v>
      </c>
      <c r="D336" s="667" t="s">
        <v>250</v>
      </c>
      <c r="E336" s="667" t="s">
        <v>188</v>
      </c>
      <c r="F336" s="667" t="s">
        <v>188</v>
      </c>
      <c r="G336" s="667" t="s">
        <v>188</v>
      </c>
      <c r="H336" s="667" t="s">
        <v>22</v>
      </c>
    </row>
    <row r="337" spans="1:8" x14ac:dyDescent="0.25">
      <c r="A337" s="669" t="s">
        <v>196</v>
      </c>
      <c r="B337" s="670">
        <f t="shared" si="11"/>
        <v>2.5994999999999999</v>
      </c>
      <c r="C337" s="669" t="s">
        <v>213</v>
      </c>
      <c r="D337" s="669" t="s">
        <v>187</v>
      </c>
      <c r="E337" s="669" t="s">
        <v>188</v>
      </c>
      <c r="F337" s="669" t="s">
        <v>188</v>
      </c>
      <c r="G337" s="669" t="s">
        <v>188</v>
      </c>
      <c r="H337" s="669" t="s">
        <v>22</v>
      </c>
    </row>
    <row r="338" spans="1:8" x14ac:dyDescent="0.25">
      <c r="A338" s="667" t="s">
        <v>196</v>
      </c>
      <c r="B338" s="668">
        <f t="shared" si="11"/>
        <v>2.5994999999999999</v>
      </c>
      <c r="C338" s="667" t="s">
        <v>213</v>
      </c>
      <c r="D338" s="667" t="s">
        <v>214</v>
      </c>
      <c r="E338" s="667" t="s">
        <v>188</v>
      </c>
      <c r="F338" s="667" t="s">
        <v>188</v>
      </c>
      <c r="G338" s="667" t="s">
        <v>188</v>
      </c>
      <c r="H338" s="667" t="s">
        <v>22</v>
      </c>
    </row>
    <row r="339" spans="1:8" x14ac:dyDescent="0.25">
      <c r="A339" s="669" t="s">
        <v>196</v>
      </c>
      <c r="B339" s="670">
        <f t="shared" si="11"/>
        <v>2.5994999999999999</v>
      </c>
      <c r="C339" s="669" t="s">
        <v>213</v>
      </c>
      <c r="D339" s="669" t="s">
        <v>233</v>
      </c>
      <c r="E339" s="669" t="s">
        <v>188</v>
      </c>
      <c r="F339" s="669" t="s">
        <v>188</v>
      </c>
      <c r="G339" s="669" t="s">
        <v>188</v>
      </c>
      <c r="H339" s="669" t="s">
        <v>22</v>
      </c>
    </row>
    <row r="340" spans="1:8" x14ac:dyDescent="0.25">
      <c r="A340" s="667" t="s">
        <v>196</v>
      </c>
      <c r="B340" s="668">
        <f t="shared" si="11"/>
        <v>2.5994999999999999</v>
      </c>
      <c r="C340" s="667" t="s">
        <v>213</v>
      </c>
      <c r="D340" s="667" t="s">
        <v>242</v>
      </c>
      <c r="E340" s="667" t="s">
        <v>188</v>
      </c>
      <c r="F340" s="667" t="s">
        <v>188</v>
      </c>
      <c r="G340" s="667" t="s">
        <v>188</v>
      </c>
      <c r="H340" s="667" t="s">
        <v>22</v>
      </c>
    </row>
    <row r="341" spans="1:8" x14ac:dyDescent="0.25">
      <c r="A341" s="669" t="s">
        <v>196</v>
      </c>
      <c r="B341" s="670">
        <f t="shared" si="11"/>
        <v>2.5994999999999999</v>
      </c>
      <c r="C341" s="669" t="s">
        <v>213</v>
      </c>
      <c r="D341" s="669" t="s">
        <v>250</v>
      </c>
      <c r="E341" s="669" t="s">
        <v>188</v>
      </c>
      <c r="F341" s="669" t="s">
        <v>188</v>
      </c>
      <c r="G341" s="669" t="s">
        <v>188</v>
      </c>
      <c r="H341" s="669" t="s">
        <v>22</v>
      </c>
    </row>
    <row r="342" spans="1:8" x14ac:dyDescent="0.25">
      <c r="A342" s="667" t="s">
        <v>196</v>
      </c>
      <c r="B342" s="668">
        <f t="shared" si="11"/>
        <v>2.5994999999999999</v>
      </c>
      <c r="C342" s="667" t="s">
        <v>232</v>
      </c>
      <c r="D342" s="667" t="s">
        <v>187</v>
      </c>
      <c r="E342" s="667" t="s">
        <v>188</v>
      </c>
      <c r="F342" s="667" t="s">
        <v>188</v>
      </c>
      <c r="G342" s="667" t="s">
        <v>188</v>
      </c>
      <c r="H342" s="667" t="s">
        <v>22</v>
      </c>
    </row>
    <row r="343" spans="1:8" x14ac:dyDescent="0.25">
      <c r="A343" s="669" t="s">
        <v>196</v>
      </c>
      <c r="B343" s="670">
        <f t="shared" si="11"/>
        <v>2.5994999999999999</v>
      </c>
      <c r="C343" s="669" t="s">
        <v>232</v>
      </c>
      <c r="D343" s="669" t="s">
        <v>214</v>
      </c>
      <c r="E343" s="669" t="s">
        <v>188</v>
      </c>
      <c r="F343" s="669" t="s">
        <v>188</v>
      </c>
      <c r="G343" s="669" t="s">
        <v>188</v>
      </c>
      <c r="H343" s="669" t="s">
        <v>22</v>
      </c>
    </row>
    <row r="344" spans="1:8" x14ac:dyDescent="0.25">
      <c r="A344" s="667" t="s">
        <v>196</v>
      </c>
      <c r="B344" s="668">
        <f t="shared" si="11"/>
        <v>2.5994999999999999</v>
      </c>
      <c r="C344" s="667" t="s">
        <v>232</v>
      </c>
      <c r="D344" s="667" t="s">
        <v>233</v>
      </c>
      <c r="E344" s="667" t="s">
        <v>188</v>
      </c>
      <c r="F344" s="667" t="s">
        <v>188</v>
      </c>
      <c r="G344" s="667" t="s">
        <v>188</v>
      </c>
      <c r="H344" s="667" t="s">
        <v>22</v>
      </c>
    </row>
    <row r="345" spans="1:8" x14ac:dyDescent="0.25">
      <c r="A345" s="669" t="s">
        <v>196</v>
      </c>
      <c r="B345" s="670">
        <f t="shared" si="11"/>
        <v>2.5994999999999999</v>
      </c>
      <c r="C345" s="669" t="s">
        <v>232</v>
      </c>
      <c r="D345" s="669" t="s">
        <v>242</v>
      </c>
      <c r="E345" s="669" t="s">
        <v>188</v>
      </c>
      <c r="F345" s="669" t="s">
        <v>188</v>
      </c>
      <c r="G345" s="669" t="s">
        <v>188</v>
      </c>
      <c r="H345" s="669" t="s">
        <v>22</v>
      </c>
    </row>
    <row r="346" spans="1:8" x14ac:dyDescent="0.25">
      <c r="A346" s="667" t="s">
        <v>196</v>
      </c>
      <c r="B346" s="668">
        <f t="shared" si="11"/>
        <v>2.5994999999999999</v>
      </c>
      <c r="C346" s="667" t="s">
        <v>232</v>
      </c>
      <c r="D346" s="667" t="s">
        <v>250</v>
      </c>
      <c r="E346" s="667" t="s">
        <v>188</v>
      </c>
      <c r="F346" s="667" t="s">
        <v>188</v>
      </c>
      <c r="G346" s="667" t="s">
        <v>188</v>
      </c>
      <c r="H346" s="667" t="s">
        <v>22</v>
      </c>
    </row>
    <row r="347" spans="1:8" x14ac:dyDescent="0.25">
      <c r="A347" s="669" t="s">
        <v>196</v>
      </c>
      <c r="B347" s="670">
        <f t="shared" si="11"/>
        <v>2.5994999999999999</v>
      </c>
      <c r="C347" s="669" t="s">
        <v>215</v>
      </c>
      <c r="D347" s="669" t="s">
        <v>187</v>
      </c>
      <c r="E347" s="669" t="s">
        <v>188</v>
      </c>
      <c r="F347" s="669" t="s">
        <v>188</v>
      </c>
      <c r="G347" s="669" t="s">
        <v>188</v>
      </c>
      <c r="H347" s="669" t="s">
        <v>22</v>
      </c>
    </row>
    <row r="348" spans="1:8" x14ac:dyDescent="0.25">
      <c r="A348" s="667" t="s">
        <v>196</v>
      </c>
      <c r="B348" s="668">
        <f t="shared" si="11"/>
        <v>2.5994999999999999</v>
      </c>
      <c r="C348" s="667" t="s">
        <v>215</v>
      </c>
      <c r="D348" s="667" t="s">
        <v>214</v>
      </c>
      <c r="E348" s="667" t="s">
        <v>188</v>
      </c>
      <c r="F348" s="667" t="s">
        <v>188</v>
      </c>
      <c r="G348" s="667" t="s">
        <v>188</v>
      </c>
      <c r="H348" s="667" t="s">
        <v>22</v>
      </c>
    </row>
    <row r="349" spans="1:8" x14ac:dyDescent="0.25">
      <c r="A349" s="669" t="s">
        <v>196</v>
      </c>
      <c r="B349" s="670">
        <f t="shared" si="11"/>
        <v>2.5994999999999999</v>
      </c>
      <c r="C349" s="669" t="s">
        <v>215</v>
      </c>
      <c r="D349" s="669" t="s">
        <v>233</v>
      </c>
      <c r="E349" s="669" t="s">
        <v>188</v>
      </c>
      <c r="F349" s="669" t="s">
        <v>188</v>
      </c>
      <c r="G349" s="669" t="s">
        <v>188</v>
      </c>
      <c r="H349" s="669" t="s">
        <v>22</v>
      </c>
    </row>
    <row r="350" spans="1:8" x14ac:dyDescent="0.25">
      <c r="A350" s="667" t="s">
        <v>196</v>
      </c>
      <c r="B350" s="668">
        <f t="shared" si="11"/>
        <v>2.5994999999999999</v>
      </c>
      <c r="C350" s="667" t="s">
        <v>215</v>
      </c>
      <c r="D350" s="667" t="s">
        <v>242</v>
      </c>
      <c r="E350" s="667" t="s">
        <v>188</v>
      </c>
      <c r="F350" s="667" t="s">
        <v>188</v>
      </c>
      <c r="G350" s="667" t="s">
        <v>188</v>
      </c>
      <c r="H350" s="667" t="s">
        <v>22</v>
      </c>
    </row>
    <row r="351" spans="1:8" x14ac:dyDescent="0.25">
      <c r="A351" s="669" t="s">
        <v>196</v>
      </c>
      <c r="B351" s="670">
        <f t="shared" si="11"/>
        <v>2.5994999999999999</v>
      </c>
      <c r="C351" s="669" t="s">
        <v>215</v>
      </c>
      <c r="D351" s="669" t="s">
        <v>250</v>
      </c>
      <c r="E351" s="669" t="s">
        <v>188</v>
      </c>
      <c r="F351" s="669" t="s">
        <v>188</v>
      </c>
      <c r="G351" s="669" t="s">
        <v>188</v>
      </c>
      <c r="H351" s="669" t="s">
        <v>22</v>
      </c>
    </row>
    <row r="352" spans="1:8" x14ac:dyDescent="0.25">
      <c r="A352" s="667" t="s">
        <v>196</v>
      </c>
      <c r="B352" s="668">
        <f t="shared" si="11"/>
        <v>2.5994999999999999</v>
      </c>
      <c r="C352" s="667" t="s">
        <v>249</v>
      </c>
      <c r="D352" s="667" t="s">
        <v>187</v>
      </c>
      <c r="E352" s="667" t="s">
        <v>188</v>
      </c>
      <c r="F352" s="667" t="s">
        <v>188</v>
      </c>
      <c r="G352" s="667" t="s">
        <v>188</v>
      </c>
      <c r="H352" s="667" t="s">
        <v>22</v>
      </c>
    </row>
    <row r="353" spans="1:8" x14ac:dyDescent="0.25">
      <c r="A353" s="669" t="s">
        <v>196</v>
      </c>
      <c r="B353" s="670">
        <f t="shared" si="11"/>
        <v>2.5994999999999999</v>
      </c>
      <c r="C353" s="669" t="s">
        <v>249</v>
      </c>
      <c r="D353" s="669" t="s">
        <v>214</v>
      </c>
      <c r="E353" s="669" t="s">
        <v>188</v>
      </c>
      <c r="F353" s="669" t="s">
        <v>188</v>
      </c>
      <c r="G353" s="669" t="s">
        <v>188</v>
      </c>
      <c r="H353" s="669" t="s">
        <v>22</v>
      </c>
    </row>
    <row r="354" spans="1:8" x14ac:dyDescent="0.25">
      <c r="A354" s="667" t="s">
        <v>196</v>
      </c>
      <c r="B354" s="668">
        <f t="shared" si="11"/>
        <v>2.5994999999999999</v>
      </c>
      <c r="C354" s="667" t="s">
        <v>249</v>
      </c>
      <c r="D354" s="667" t="s">
        <v>233</v>
      </c>
      <c r="E354" s="667" t="s">
        <v>188</v>
      </c>
      <c r="F354" s="667" t="s">
        <v>188</v>
      </c>
      <c r="G354" s="667" t="s">
        <v>188</v>
      </c>
      <c r="H354" s="667" t="s">
        <v>22</v>
      </c>
    </row>
    <row r="355" spans="1:8" x14ac:dyDescent="0.25">
      <c r="A355" s="669" t="s">
        <v>196</v>
      </c>
      <c r="B355" s="670">
        <f t="shared" si="11"/>
        <v>2.5994999999999999</v>
      </c>
      <c r="C355" s="669" t="s">
        <v>249</v>
      </c>
      <c r="D355" s="669" t="s">
        <v>242</v>
      </c>
      <c r="E355" s="669" t="s">
        <v>188</v>
      </c>
      <c r="F355" s="669" t="s">
        <v>188</v>
      </c>
      <c r="G355" s="669" t="s">
        <v>188</v>
      </c>
      <c r="H355" s="669" t="s">
        <v>22</v>
      </c>
    </row>
    <row r="356" spans="1:8" x14ac:dyDescent="0.25">
      <c r="A356" s="667" t="s">
        <v>196</v>
      </c>
      <c r="B356" s="668">
        <f t="shared" si="11"/>
        <v>2.5994999999999999</v>
      </c>
      <c r="C356" s="667" t="s">
        <v>249</v>
      </c>
      <c r="D356" s="667" t="s">
        <v>250</v>
      </c>
      <c r="E356" s="667" t="s">
        <v>188</v>
      </c>
      <c r="F356" s="667" t="s">
        <v>188</v>
      </c>
      <c r="G356" s="667" t="s">
        <v>188</v>
      </c>
      <c r="H356" s="667" t="s">
        <v>22</v>
      </c>
    </row>
    <row r="357" spans="1:8" x14ac:dyDescent="0.25">
      <c r="A357" s="669" t="s">
        <v>196</v>
      </c>
      <c r="B357" s="670">
        <f t="shared" si="11"/>
        <v>2.5994999999999999</v>
      </c>
      <c r="C357" s="669" t="s">
        <v>257</v>
      </c>
      <c r="D357" s="669" t="s">
        <v>187</v>
      </c>
      <c r="E357" s="669" t="s">
        <v>188</v>
      </c>
      <c r="F357" s="669" t="s">
        <v>188</v>
      </c>
      <c r="G357" s="669" t="s">
        <v>188</v>
      </c>
      <c r="H357" s="669" t="s">
        <v>22</v>
      </c>
    </row>
    <row r="358" spans="1:8" x14ac:dyDescent="0.25">
      <c r="A358" s="667" t="s">
        <v>196</v>
      </c>
      <c r="B358" s="668">
        <f t="shared" si="11"/>
        <v>2.5994999999999999</v>
      </c>
      <c r="C358" s="667" t="s">
        <v>257</v>
      </c>
      <c r="D358" s="667" t="s">
        <v>214</v>
      </c>
      <c r="E358" s="667" t="s">
        <v>188</v>
      </c>
      <c r="F358" s="667" t="s">
        <v>188</v>
      </c>
      <c r="G358" s="667" t="s">
        <v>188</v>
      </c>
      <c r="H358" s="667" t="s">
        <v>22</v>
      </c>
    </row>
    <row r="359" spans="1:8" x14ac:dyDescent="0.25">
      <c r="A359" s="669" t="s">
        <v>196</v>
      </c>
      <c r="B359" s="670">
        <f t="shared" si="11"/>
        <v>2.5994999999999999</v>
      </c>
      <c r="C359" s="669" t="s">
        <v>257</v>
      </c>
      <c r="D359" s="669" t="s">
        <v>233</v>
      </c>
      <c r="E359" s="669" t="s">
        <v>188</v>
      </c>
      <c r="F359" s="669" t="s">
        <v>188</v>
      </c>
      <c r="G359" s="669" t="s">
        <v>188</v>
      </c>
      <c r="H359" s="669" t="s">
        <v>22</v>
      </c>
    </row>
    <row r="360" spans="1:8" x14ac:dyDescent="0.25">
      <c r="A360" s="667" t="s">
        <v>196</v>
      </c>
      <c r="B360" s="668">
        <f t="shared" si="11"/>
        <v>2.5994999999999999</v>
      </c>
      <c r="C360" s="667" t="s">
        <v>257</v>
      </c>
      <c r="D360" s="667" t="s">
        <v>242</v>
      </c>
      <c r="E360" s="667" t="s">
        <v>188</v>
      </c>
      <c r="F360" s="667" t="s">
        <v>188</v>
      </c>
      <c r="G360" s="667" t="s">
        <v>188</v>
      </c>
      <c r="H360" s="667" t="s">
        <v>22</v>
      </c>
    </row>
    <row r="361" spans="1:8" x14ac:dyDescent="0.25">
      <c r="A361" s="669" t="s">
        <v>196</v>
      </c>
      <c r="B361" s="670">
        <f t="shared" si="11"/>
        <v>2.5994999999999999</v>
      </c>
      <c r="C361" s="669" t="s">
        <v>257</v>
      </c>
      <c r="D361" s="669" t="s">
        <v>250</v>
      </c>
      <c r="E361" s="669" t="s">
        <v>188</v>
      </c>
      <c r="F361" s="669" t="s">
        <v>188</v>
      </c>
      <c r="G361" s="669" t="s">
        <v>188</v>
      </c>
      <c r="H361" s="669" t="s">
        <v>22</v>
      </c>
    </row>
    <row r="362" spans="1:8" x14ac:dyDescent="0.25">
      <c r="A362" s="667" t="s">
        <v>196</v>
      </c>
      <c r="B362" s="668">
        <f>AVERAGE(2.7,2.799)</f>
        <v>2.7495000000000003</v>
      </c>
      <c r="C362" s="667" t="s">
        <v>186</v>
      </c>
      <c r="D362" s="667" t="s">
        <v>187</v>
      </c>
      <c r="E362" s="667" t="s">
        <v>188</v>
      </c>
      <c r="F362" s="667" t="s">
        <v>188</v>
      </c>
      <c r="G362" s="667" t="s">
        <v>188</v>
      </c>
      <c r="H362" s="667" t="s">
        <v>22</v>
      </c>
    </row>
    <row r="363" spans="1:8" x14ac:dyDescent="0.25">
      <c r="A363" s="669" t="s">
        <v>196</v>
      </c>
      <c r="B363" s="670">
        <f t="shared" ref="B363:B391" si="12">AVERAGE(2.7,2.799)</f>
        <v>2.7495000000000003</v>
      </c>
      <c r="C363" s="669" t="s">
        <v>186</v>
      </c>
      <c r="D363" s="669" t="s">
        <v>214</v>
      </c>
      <c r="E363" s="669" t="s">
        <v>188</v>
      </c>
      <c r="F363" s="669" t="s">
        <v>188</v>
      </c>
      <c r="G363" s="669" t="s">
        <v>188</v>
      </c>
      <c r="H363" s="669" t="s">
        <v>22</v>
      </c>
    </row>
    <row r="364" spans="1:8" x14ac:dyDescent="0.25">
      <c r="A364" s="667" t="s">
        <v>196</v>
      </c>
      <c r="B364" s="668">
        <f t="shared" si="12"/>
        <v>2.7495000000000003</v>
      </c>
      <c r="C364" s="667" t="s">
        <v>186</v>
      </c>
      <c r="D364" s="667" t="s">
        <v>233</v>
      </c>
      <c r="E364" s="667" t="s">
        <v>188</v>
      </c>
      <c r="F364" s="667" t="s">
        <v>188</v>
      </c>
      <c r="G364" s="667" t="s">
        <v>188</v>
      </c>
      <c r="H364" s="667" t="s">
        <v>22</v>
      </c>
    </row>
    <row r="365" spans="1:8" x14ac:dyDescent="0.25">
      <c r="A365" s="669" t="s">
        <v>196</v>
      </c>
      <c r="B365" s="670">
        <f t="shared" si="12"/>
        <v>2.7495000000000003</v>
      </c>
      <c r="C365" s="669" t="s">
        <v>186</v>
      </c>
      <c r="D365" s="669" t="s">
        <v>242</v>
      </c>
      <c r="E365" s="669" t="s">
        <v>188</v>
      </c>
      <c r="F365" s="669" t="s">
        <v>188</v>
      </c>
      <c r="G365" s="669" t="s">
        <v>188</v>
      </c>
      <c r="H365" s="669" t="s">
        <v>22</v>
      </c>
    </row>
    <row r="366" spans="1:8" x14ac:dyDescent="0.25">
      <c r="A366" s="667" t="s">
        <v>196</v>
      </c>
      <c r="B366" s="668">
        <f t="shared" si="12"/>
        <v>2.7495000000000003</v>
      </c>
      <c r="C366" s="667" t="s">
        <v>186</v>
      </c>
      <c r="D366" s="667" t="s">
        <v>250</v>
      </c>
      <c r="E366" s="667" t="s">
        <v>188</v>
      </c>
      <c r="F366" s="667" t="s">
        <v>188</v>
      </c>
      <c r="G366" s="667" t="s">
        <v>188</v>
      </c>
      <c r="H366" s="667" t="s">
        <v>22</v>
      </c>
    </row>
    <row r="367" spans="1:8" x14ac:dyDescent="0.25">
      <c r="A367" s="669" t="s">
        <v>196</v>
      </c>
      <c r="B367" s="670">
        <f t="shared" si="12"/>
        <v>2.7495000000000003</v>
      </c>
      <c r="C367" s="669" t="s">
        <v>213</v>
      </c>
      <c r="D367" s="669" t="s">
        <v>187</v>
      </c>
      <c r="E367" s="669" t="s">
        <v>188</v>
      </c>
      <c r="F367" s="669" t="s">
        <v>188</v>
      </c>
      <c r="G367" s="669" t="s">
        <v>188</v>
      </c>
      <c r="H367" s="669" t="s">
        <v>22</v>
      </c>
    </row>
    <row r="368" spans="1:8" x14ac:dyDescent="0.25">
      <c r="A368" s="667" t="s">
        <v>196</v>
      </c>
      <c r="B368" s="668">
        <f t="shared" si="12"/>
        <v>2.7495000000000003</v>
      </c>
      <c r="C368" s="667" t="s">
        <v>213</v>
      </c>
      <c r="D368" s="667" t="s">
        <v>214</v>
      </c>
      <c r="E368" s="667" t="s">
        <v>188</v>
      </c>
      <c r="F368" s="667" t="s">
        <v>188</v>
      </c>
      <c r="G368" s="667" t="s">
        <v>188</v>
      </c>
      <c r="H368" s="667" t="s">
        <v>22</v>
      </c>
    </row>
    <row r="369" spans="1:8" x14ac:dyDescent="0.25">
      <c r="A369" s="669" t="s">
        <v>196</v>
      </c>
      <c r="B369" s="670">
        <f t="shared" si="12"/>
        <v>2.7495000000000003</v>
      </c>
      <c r="C369" s="669" t="s">
        <v>213</v>
      </c>
      <c r="D369" s="669" t="s">
        <v>233</v>
      </c>
      <c r="E369" s="669" t="s">
        <v>188</v>
      </c>
      <c r="F369" s="669" t="s">
        <v>188</v>
      </c>
      <c r="G369" s="669" t="s">
        <v>188</v>
      </c>
      <c r="H369" s="669" t="s">
        <v>22</v>
      </c>
    </row>
    <row r="370" spans="1:8" x14ac:dyDescent="0.25">
      <c r="A370" s="667" t="s">
        <v>196</v>
      </c>
      <c r="B370" s="668">
        <f t="shared" si="12"/>
        <v>2.7495000000000003</v>
      </c>
      <c r="C370" s="667" t="s">
        <v>213</v>
      </c>
      <c r="D370" s="667" t="s">
        <v>242</v>
      </c>
      <c r="E370" s="667" t="s">
        <v>188</v>
      </c>
      <c r="F370" s="667" t="s">
        <v>188</v>
      </c>
      <c r="G370" s="667" t="s">
        <v>188</v>
      </c>
      <c r="H370" s="667" t="s">
        <v>22</v>
      </c>
    </row>
    <row r="371" spans="1:8" x14ac:dyDescent="0.25">
      <c r="A371" s="669" t="s">
        <v>196</v>
      </c>
      <c r="B371" s="670">
        <f t="shared" si="12"/>
        <v>2.7495000000000003</v>
      </c>
      <c r="C371" s="669" t="s">
        <v>213</v>
      </c>
      <c r="D371" s="669" t="s">
        <v>250</v>
      </c>
      <c r="E371" s="669" t="s">
        <v>188</v>
      </c>
      <c r="F371" s="669" t="s">
        <v>188</v>
      </c>
      <c r="G371" s="669" t="s">
        <v>188</v>
      </c>
      <c r="H371" s="669" t="s">
        <v>22</v>
      </c>
    </row>
    <row r="372" spans="1:8" x14ac:dyDescent="0.25">
      <c r="A372" s="667" t="s">
        <v>196</v>
      </c>
      <c r="B372" s="668">
        <f t="shared" si="12"/>
        <v>2.7495000000000003</v>
      </c>
      <c r="C372" s="667" t="s">
        <v>232</v>
      </c>
      <c r="D372" s="667" t="s">
        <v>187</v>
      </c>
      <c r="E372" s="667" t="s">
        <v>188</v>
      </c>
      <c r="F372" s="667" t="s">
        <v>188</v>
      </c>
      <c r="G372" s="667" t="s">
        <v>188</v>
      </c>
      <c r="H372" s="667" t="s">
        <v>22</v>
      </c>
    </row>
    <row r="373" spans="1:8" x14ac:dyDescent="0.25">
      <c r="A373" s="669" t="s">
        <v>196</v>
      </c>
      <c r="B373" s="670">
        <f t="shared" si="12"/>
        <v>2.7495000000000003</v>
      </c>
      <c r="C373" s="669" t="s">
        <v>232</v>
      </c>
      <c r="D373" s="669" t="s">
        <v>214</v>
      </c>
      <c r="E373" s="669" t="s">
        <v>188</v>
      </c>
      <c r="F373" s="669" t="s">
        <v>188</v>
      </c>
      <c r="G373" s="669" t="s">
        <v>188</v>
      </c>
      <c r="H373" s="669" t="s">
        <v>22</v>
      </c>
    </row>
    <row r="374" spans="1:8" x14ac:dyDescent="0.25">
      <c r="A374" s="667" t="s">
        <v>196</v>
      </c>
      <c r="B374" s="668">
        <f t="shared" si="12"/>
        <v>2.7495000000000003</v>
      </c>
      <c r="C374" s="667" t="s">
        <v>232</v>
      </c>
      <c r="D374" s="667" t="s">
        <v>233</v>
      </c>
      <c r="E374" s="667" t="s">
        <v>188</v>
      </c>
      <c r="F374" s="667" t="s">
        <v>188</v>
      </c>
      <c r="G374" s="667" t="s">
        <v>188</v>
      </c>
      <c r="H374" s="667" t="s">
        <v>22</v>
      </c>
    </row>
    <row r="375" spans="1:8" x14ac:dyDescent="0.25">
      <c r="A375" s="669" t="s">
        <v>196</v>
      </c>
      <c r="B375" s="670">
        <f t="shared" si="12"/>
        <v>2.7495000000000003</v>
      </c>
      <c r="C375" s="669" t="s">
        <v>232</v>
      </c>
      <c r="D375" s="669" t="s">
        <v>242</v>
      </c>
      <c r="E375" s="669" t="s">
        <v>188</v>
      </c>
      <c r="F375" s="669" t="s">
        <v>188</v>
      </c>
      <c r="G375" s="669" t="s">
        <v>188</v>
      </c>
      <c r="H375" s="669" t="s">
        <v>22</v>
      </c>
    </row>
    <row r="376" spans="1:8" x14ac:dyDescent="0.25">
      <c r="A376" s="667" t="s">
        <v>196</v>
      </c>
      <c r="B376" s="668">
        <f t="shared" si="12"/>
        <v>2.7495000000000003</v>
      </c>
      <c r="C376" s="667" t="s">
        <v>232</v>
      </c>
      <c r="D376" s="667" t="s">
        <v>250</v>
      </c>
      <c r="E376" s="667" t="s">
        <v>188</v>
      </c>
      <c r="F376" s="667" t="s">
        <v>188</v>
      </c>
      <c r="G376" s="667" t="s">
        <v>188</v>
      </c>
      <c r="H376" s="667" t="s">
        <v>22</v>
      </c>
    </row>
    <row r="377" spans="1:8" x14ac:dyDescent="0.25">
      <c r="A377" s="669" t="s">
        <v>196</v>
      </c>
      <c r="B377" s="670">
        <f t="shared" si="12"/>
        <v>2.7495000000000003</v>
      </c>
      <c r="C377" s="669" t="s">
        <v>215</v>
      </c>
      <c r="D377" s="669" t="s">
        <v>187</v>
      </c>
      <c r="E377" s="669" t="s">
        <v>188</v>
      </c>
      <c r="F377" s="669" t="s">
        <v>188</v>
      </c>
      <c r="G377" s="669" t="s">
        <v>188</v>
      </c>
      <c r="H377" s="669" t="s">
        <v>22</v>
      </c>
    </row>
    <row r="378" spans="1:8" x14ac:dyDescent="0.25">
      <c r="A378" s="667" t="s">
        <v>196</v>
      </c>
      <c r="B378" s="668">
        <f t="shared" si="12"/>
        <v>2.7495000000000003</v>
      </c>
      <c r="C378" s="667" t="s">
        <v>215</v>
      </c>
      <c r="D378" s="667" t="s">
        <v>214</v>
      </c>
      <c r="E378" s="667" t="s">
        <v>188</v>
      </c>
      <c r="F378" s="667" t="s">
        <v>188</v>
      </c>
      <c r="G378" s="667" t="s">
        <v>188</v>
      </c>
      <c r="H378" s="667" t="s">
        <v>22</v>
      </c>
    </row>
    <row r="379" spans="1:8" x14ac:dyDescent="0.25">
      <c r="A379" s="669" t="s">
        <v>196</v>
      </c>
      <c r="B379" s="670">
        <f t="shared" si="12"/>
        <v>2.7495000000000003</v>
      </c>
      <c r="C379" s="669" t="s">
        <v>215</v>
      </c>
      <c r="D379" s="669" t="s">
        <v>233</v>
      </c>
      <c r="E379" s="669" t="s">
        <v>188</v>
      </c>
      <c r="F379" s="669" t="s">
        <v>188</v>
      </c>
      <c r="G379" s="669" t="s">
        <v>188</v>
      </c>
      <c r="H379" s="669" t="s">
        <v>22</v>
      </c>
    </row>
    <row r="380" spans="1:8" x14ac:dyDescent="0.25">
      <c r="A380" s="667" t="s">
        <v>196</v>
      </c>
      <c r="B380" s="668">
        <f t="shared" si="12"/>
        <v>2.7495000000000003</v>
      </c>
      <c r="C380" s="667" t="s">
        <v>215</v>
      </c>
      <c r="D380" s="667" t="s">
        <v>242</v>
      </c>
      <c r="E380" s="667" t="s">
        <v>188</v>
      </c>
      <c r="F380" s="667" t="s">
        <v>188</v>
      </c>
      <c r="G380" s="667" t="s">
        <v>188</v>
      </c>
      <c r="H380" s="667" t="s">
        <v>22</v>
      </c>
    </row>
    <row r="381" spans="1:8" x14ac:dyDescent="0.25">
      <c r="A381" s="669" t="s">
        <v>196</v>
      </c>
      <c r="B381" s="670">
        <f t="shared" si="12"/>
        <v>2.7495000000000003</v>
      </c>
      <c r="C381" s="669" t="s">
        <v>215</v>
      </c>
      <c r="D381" s="669" t="s">
        <v>250</v>
      </c>
      <c r="E381" s="669" t="s">
        <v>188</v>
      </c>
      <c r="F381" s="669" t="s">
        <v>188</v>
      </c>
      <c r="G381" s="669" t="s">
        <v>188</v>
      </c>
      <c r="H381" s="669" t="s">
        <v>22</v>
      </c>
    </row>
    <row r="382" spans="1:8" x14ac:dyDescent="0.25">
      <c r="A382" s="667" t="s">
        <v>196</v>
      </c>
      <c r="B382" s="668">
        <f t="shared" si="12"/>
        <v>2.7495000000000003</v>
      </c>
      <c r="C382" s="667" t="s">
        <v>249</v>
      </c>
      <c r="D382" s="667" t="s">
        <v>187</v>
      </c>
      <c r="E382" s="667" t="s">
        <v>188</v>
      </c>
      <c r="F382" s="667" t="s">
        <v>188</v>
      </c>
      <c r="G382" s="667" t="s">
        <v>188</v>
      </c>
      <c r="H382" s="667" t="s">
        <v>22</v>
      </c>
    </row>
    <row r="383" spans="1:8" x14ac:dyDescent="0.25">
      <c r="A383" s="669" t="s">
        <v>196</v>
      </c>
      <c r="B383" s="670">
        <f t="shared" si="12"/>
        <v>2.7495000000000003</v>
      </c>
      <c r="C383" s="669" t="s">
        <v>249</v>
      </c>
      <c r="D383" s="669" t="s">
        <v>214</v>
      </c>
      <c r="E383" s="669" t="s">
        <v>188</v>
      </c>
      <c r="F383" s="669" t="s">
        <v>188</v>
      </c>
      <c r="G383" s="669" t="s">
        <v>188</v>
      </c>
      <c r="H383" s="669" t="s">
        <v>22</v>
      </c>
    </row>
    <row r="384" spans="1:8" x14ac:dyDescent="0.25">
      <c r="A384" s="667" t="s">
        <v>196</v>
      </c>
      <c r="B384" s="668">
        <f t="shared" si="12"/>
        <v>2.7495000000000003</v>
      </c>
      <c r="C384" s="667" t="s">
        <v>249</v>
      </c>
      <c r="D384" s="667" t="s">
        <v>233</v>
      </c>
      <c r="E384" s="667" t="s">
        <v>188</v>
      </c>
      <c r="F384" s="667" t="s">
        <v>188</v>
      </c>
      <c r="G384" s="667" t="s">
        <v>188</v>
      </c>
      <c r="H384" s="667" t="s">
        <v>22</v>
      </c>
    </row>
    <row r="385" spans="1:8" x14ac:dyDescent="0.25">
      <c r="A385" s="669" t="s">
        <v>196</v>
      </c>
      <c r="B385" s="670">
        <f t="shared" si="12"/>
        <v>2.7495000000000003</v>
      </c>
      <c r="C385" s="669" t="s">
        <v>249</v>
      </c>
      <c r="D385" s="669" t="s">
        <v>242</v>
      </c>
      <c r="E385" s="669" t="s">
        <v>188</v>
      </c>
      <c r="F385" s="669" t="s">
        <v>188</v>
      </c>
      <c r="G385" s="669" t="s">
        <v>188</v>
      </c>
      <c r="H385" s="669" t="s">
        <v>22</v>
      </c>
    </row>
    <row r="386" spans="1:8" x14ac:dyDescent="0.25">
      <c r="A386" s="667" t="s">
        <v>196</v>
      </c>
      <c r="B386" s="668">
        <f t="shared" si="12"/>
        <v>2.7495000000000003</v>
      </c>
      <c r="C386" s="667" t="s">
        <v>249</v>
      </c>
      <c r="D386" s="667" t="s">
        <v>250</v>
      </c>
      <c r="E386" s="667" t="s">
        <v>188</v>
      </c>
      <c r="F386" s="667" t="s">
        <v>188</v>
      </c>
      <c r="G386" s="667" t="s">
        <v>188</v>
      </c>
      <c r="H386" s="667" t="s">
        <v>22</v>
      </c>
    </row>
    <row r="387" spans="1:8" x14ac:dyDescent="0.25">
      <c r="A387" s="669" t="s">
        <v>196</v>
      </c>
      <c r="B387" s="670">
        <f t="shared" si="12"/>
        <v>2.7495000000000003</v>
      </c>
      <c r="C387" s="669" t="s">
        <v>257</v>
      </c>
      <c r="D387" s="669" t="s">
        <v>187</v>
      </c>
      <c r="E387" s="669" t="s">
        <v>188</v>
      </c>
      <c r="F387" s="669" t="s">
        <v>188</v>
      </c>
      <c r="G387" s="669" t="s">
        <v>188</v>
      </c>
      <c r="H387" s="669" t="s">
        <v>22</v>
      </c>
    </row>
    <row r="388" spans="1:8" x14ac:dyDescent="0.25">
      <c r="A388" s="667" t="s">
        <v>196</v>
      </c>
      <c r="B388" s="668">
        <f t="shared" si="12"/>
        <v>2.7495000000000003</v>
      </c>
      <c r="C388" s="667" t="s">
        <v>257</v>
      </c>
      <c r="D388" s="667" t="s">
        <v>214</v>
      </c>
      <c r="E388" s="667" t="s">
        <v>188</v>
      </c>
      <c r="F388" s="667" t="s">
        <v>188</v>
      </c>
      <c r="G388" s="667" t="s">
        <v>188</v>
      </c>
      <c r="H388" s="667" t="s">
        <v>22</v>
      </c>
    </row>
    <row r="389" spans="1:8" x14ac:dyDescent="0.25">
      <c r="A389" s="669" t="s">
        <v>196</v>
      </c>
      <c r="B389" s="670">
        <f t="shared" si="12"/>
        <v>2.7495000000000003</v>
      </c>
      <c r="C389" s="669" t="s">
        <v>257</v>
      </c>
      <c r="D389" s="669" t="s">
        <v>233</v>
      </c>
      <c r="E389" s="669" t="s">
        <v>188</v>
      </c>
      <c r="F389" s="669" t="s">
        <v>188</v>
      </c>
      <c r="G389" s="669" t="s">
        <v>188</v>
      </c>
      <c r="H389" s="669" t="s">
        <v>22</v>
      </c>
    </row>
    <row r="390" spans="1:8" x14ac:dyDescent="0.25">
      <c r="A390" s="667" t="s">
        <v>196</v>
      </c>
      <c r="B390" s="668">
        <f t="shared" si="12"/>
        <v>2.7495000000000003</v>
      </c>
      <c r="C390" s="667" t="s">
        <v>257</v>
      </c>
      <c r="D390" s="667" t="s">
        <v>242</v>
      </c>
      <c r="E390" s="667" t="s">
        <v>188</v>
      </c>
      <c r="F390" s="667" t="s">
        <v>188</v>
      </c>
      <c r="G390" s="667" t="s">
        <v>188</v>
      </c>
      <c r="H390" s="667" t="s">
        <v>22</v>
      </c>
    </row>
    <row r="391" spans="1:8" x14ac:dyDescent="0.25">
      <c r="A391" s="669" t="s">
        <v>196</v>
      </c>
      <c r="B391" s="670">
        <f t="shared" si="12"/>
        <v>2.7495000000000003</v>
      </c>
      <c r="C391" s="669" t="s">
        <v>257</v>
      </c>
      <c r="D391" s="669" t="s">
        <v>250</v>
      </c>
      <c r="E391" s="669" t="s">
        <v>188</v>
      </c>
      <c r="F391" s="669" t="s">
        <v>188</v>
      </c>
      <c r="G391" s="669" t="s">
        <v>188</v>
      </c>
      <c r="H391" s="669" t="s">
        <v>22</v>
      </c>
    </row>
    <row r="392" spans="1:8" x14ac:dyDescent="0.25">
      <c r="A392" s="667" t="s">
        <v>196</v>
      </c>
      <c r="B392" s="668">
        <f>AVERAGE(2.8,2.899)</f>
        <v>2.8494999999999999</v>
      </c>
      <c r="C392" s="667" t="s">
        <v>186</v>
      </c>
      <c r="D392" s="667" t="s">
        <v>187</v>
      </c>
      <c r="E392" s="667" t="s">
        <v>188</v>
      </c>
      <c r="F392" s="667" t="s">
        <v>188</v>
      </c>
      <c r="G392" s="667" t="s">
        <v>188</v>
      </c>
      <c r="H392" s="667" t="s">
        <v>22</v>
      </c>
    </row>
    <row r="393" spans="1:8" x14ac:dyDescent="0.25">
      <c r="A393" s="669" t="s">
        <v>196</v>
      </c>
      <c r="B393" s="670">
        <f t="shared" ref="B393:B421" si="13">AVERAGE(2.8,2.899)</f>
        <v>2.8494999999999999</v>
      </c>
      <c r="C393" s="669" t="s">
        <v>186</v>
      </c>
      <c r="D393" s="669" t="s">
        <v>214</v>
      </c>
      <c r="E393" s="669" t="s">
        <v>188</v>
      </c>
      <c r="F393" s="669" t="s">
        <v>188</v>
      </c>
      <c r="G393" s="669" t="s">
        <v>188</v>
      </c>
      <c r="H393" s="669" t="s">
        <v>22</v>
      </c>
    </row>
    <row r="394" spans="1:8" x14ac:dyDescent="0.25">
      <c r="A394" s="667" t="s">
        <v>196</v>
      </c>
      <c r="B394" s="668">
        <f t="shared" si="13"/>
        <v>2.8494999999999999</v>
      </c>
      <c r="C394" s="667" t="s">
        <v>186</v>
      </c>
      <c r="D394" s="667" t="s">
        <v>233</v>
      </c>
      <c r="E394" s="667" t="s">
        <v>188</v>
      </c>
      <c r="F394" s="667" t="s">
        <v>188</v>
      </c>
      <c r="G394" s="667" t="s">
        <v>188</v>
      </c>
      <c r="H394" s="667" t="s">
        <v>22</v>
      </c>
    </row>
    <row r="395" spans="1:8" x14ac:dyDescent="0.25">
      <c r="A395" s="669" t="s">
        <v>196</v>
      </c>
      <c r="B395" s="670">
        <f t="shared" si="13"/>
        <v>2.8494999999999999</v>
      </c>
      <c r="C395" s="669" t="s">
        <v>186</v>
      </c>
      <c r="D395" s="669" t="s">
        <v>242</v>
      </c>
      <c r="E395" s="669" t="s">
        <v>188</v>
      </c>
      <c r="F395" s="669" t="s">
        <v>188</v>
      </c>
      <c r="G395" s="669" t="s">
        <v>188</v>
      </c>
      <c r="H395" s="669" t="s">
        <v>22</v>
      </c>
    </row>
    <row r="396" spans="1:8" x14ac:dyDescent="0.25">
      <c r="A396" s="667" t="s">
        <v>196</v>
      </c>
      <c r="B396" s="668">
        <f t="shared" si="13"/>
        <v>2.8494999999999999</v>
      </c>
      <c r="C396" s="667" t="s">
        <v>186</v>
      </c>
      <c r="D396" s="667" t="s">
        <v>250</v>
      </c>
      <c r="E396" s="667" t="s">
        <v>188</v>
      </c>
      <c r="F396" s="667" t="s">
        <v>188</v>
      </c>
      <c r="G396" s="667" t="s">
        <v>188</v>
      </c>
      <c r="H396" s="667" t="s">
        <v>22</v>
      </c>
    </row>
    <row r="397" spans="1:8" x14ac:dyDescent="0.25">
      <c r="A397" s="669" t="s">
        <v>196</v>
      </c>
      <c r="B397" s="670">
        <f t="shared" si="13"/>
        <v>2.8494999999999999</v>
      </c>
      <c r="C397" s="669" t="s">
        <v>213</v>
      </c>
      <c r="D397" s="669" t="s">
        <v>187</v>
      </c>
      <c r="E397" s="669" t="s">
        <v>188</v>
      </c>
      <c r="F397" s="669" t="s">
        <v>188</v>
      </c>
      <c r="G397" s="669" t="s">
        <v>188</v>
      </c>
      <c r="H397" s="669" t="s">
        <v>22</v>
      </c>
    </row>
    <row r="398" spans="1:8" x14ac:dyDescent="0.25">
      <c r="A398" s="667" t="s">
        <v>196</v>
      </c>
      <c r="B398" s="668">
        <f t="shared" si="13"/>
        <v>2.8494999999999999</v>
      </c>
      <c r="C398" s="667" t="s">
        <v>213</v>
      </c>
      <c r="D398" s="667" t="s">
        <v>214</v>
      </c>
      <c r="E398" s="667" t="s">
        <v>188</v>
      </c>
      <c r="F398" s="667" t="s">
        <v>188</v>
      </c>
      <c r="G398" s="667" t="s">
        <v>188</v>
      </c>
      <c r="H398" s="667" t="s">
        <v>22</v>
      </c>
    </row>
    <row r="399" spans="1:8" x14ac:dyDescent="0.25">
      <c r="A399" s="669" t="s">
        <v>196</v>
      </c>
      <c r="B399" s="670">
        <f t="shared" si="13"/>
        <v>2.8494999999999999</v>
      </c>
      <c r="C399" s="669" t="s">
        <v>213</v>
      </c>
      <c r="D399" s="669" t="s">
        <v>233</v>
      </c>
      <c r="E399" s="669" t="s">
        <v>188</v>
      </c>
      <c r="F399" s="669" t="s">
        <v>188</v>
      </c>
      <c r="G399" s="669" t="s">
        <v>188</v>
      </c>
      <c r="H399" s="669" t="s">
        <v>22</v>
      </c>
    </row>
    <row r="400" spans="1:8" x14ac:dyDescent="0.25">
      <c r="A400" s="667" t="s">
        <v>196</v>
      </c>
      <c r="B400" s="668">
        <f t="shared" si="13"/>
        <v>2.8494999999999999</v>
      </c>
      <c r="C400" s="667" t="s">
        <v>213</v>
      </c>
      <c r="D400" s="667" t="s">
        <v>242</v>
      </c>
      <c r="E400" s="667" t="s">
        <v>188</v>
      </c>
      <c r="F400" s="667" t="s">
        <v>188</v>
      </c>
      <c r="G400" s="667" t="s">
        <v>188</v>
      </c>
      <c r="H400" s="667" t="s">
        <v>22</v>
      </c>
    </row>
    <row r="401" spans="1:8" x14ac:dyDescent="0.25">
      <c r="A401" s="669" t="s">
        <v>196</v>
      </c>
      <c r="B401" s="670">
        <f t="shared" si="13"/>
        <v>2.8494999999999999</v>
      </c>
      <c r="C401" s="669" t="s">
        <v>213</v>
      </c>
      <c r="D401" s="669" t="s">
        <v>250</v>
      </c>
      <c r="E401" s="669" t="s">
        <v>188</v>
      </c>
      <c r="F401" s="669" t="s">
        <v>188</v>
      </c>
      <c r="G401" s="669" t="s">
        <v>188</v>
      </c>
      <c r="H401" s="669" t="s">
        <v>22</v>
      </c>
    </row>
    <row r="402" spans="1:8" x14ac:dyDescent="0.25">
      <c r="A402" s="667" t="s">
        <v>196</v>
      </c>
      <c r="B402" s="668">
        <f t="shared" si="13"/>
        <v>2.8494999999999999</v>
      </c>
      <c r="C402" s="667" t="s">
        <v>232</v>
      </c>
      <c r="D402" s="667" t="s">
        <v>187</v>
      </c>
      <c r="E402" s="667" t="s">
        <v>188</v>
      </c>
      <c r="F402" s="667" t="s">
        <v>188</v>
      </c>
      <c r="G402" s="667" t="s">
        <v>188</v>
      </c>
      <c r="H402" s="667" t="s">
        <v>22</v>
      </c>
    </row>
    <row r="403" spans="1:8" x14ac:dyDescent="0.25">
      <c r="A403" s="669" t="s">
        <v>196</v>
      </c>
      <c r="B403" s="670">
        <f t="shared" si="13"/>
        <v>2.8494999999999999</v>
      </c>
      <c r="C403" s="669" t="s">
        <v>232</v>
      </c>
      <c r="D403" s="669" t="s">
        <v>214</v>
      </c>
      <c r="E403" s="669" t="s">
        <v>188</v>
      </c>
      <c r="F403" s="669" t="s">
        <v>188</v>
      </c>
      <c r="G403" s="669" t="s">
        <v>188</v>
      </c>
      <c r="H403" s="669" t="s">
        <v>22</v>
      </c>
    </row>
    <row r="404" spans="1:8" x14ac:dyDescent="0.25">
      <c r="A404" s="667" t="s">
        <v>196</v>
      </c>
      <c r="B404" s="668">
        <f t="shared" si="13"/>
        <v>2.8494999999999999</v>
      </c>
      <c r="C404" s="667" t="s">
        <v>232</v>
      </c>
      <c r="D404" s="667" t="s">
        <v>233</v>
      </c>
      <c r="E404" s="667" t="s">
        <v>188</v>
      </c>
      <c r="F404" s="667" t="s">
        <v>188</v>
      </c>
      <c r="G404" s="667" t="s">
        <v>188</v>
      </c>
      <c r="H404" s="667" t="s">
        <v>22</v>
      </c>
    </row>
    <row r="405" spans="1:8" x14ac:dyDescent="0.25">
      <c r="A405" s="669" t="s">
        <v>196</v>
      </c>
      <c r="B405" s="670">
        <f t="shared" si="13"/>
        <v>2.8494999999999999</v>
      </c>
      <c r="C405" s="669" t="s">
        <v>232</v>
      </c>
      <c r="D405" s="669" t="s">
        <v>242</v>
      </c>
      <c r="E405" s="669" t="s">
        <v>188</v>
      </c>
      <c r="F405" s="669" t="s">
        <v>188</v>
      </c>
      <c r="G405" s="669" t="s">
        <v>188</v>
      </c>
      <c r="H405" s="669" t="s">
        <v>22</v>
      </c>
    </row>
    <row r="406" spans="1:8" x14ac:dyDescent="0.25">
      <c r="A406" s="667" t="s">
        <v>196</v>
      </c>
      <c r="B406" s="668">
        <f t="shared" si="13"/>
        <v>2.8494999999999999</v>
      </c>
      <c r="C406" s="667" t="s">
        <v>232</v>
      </c>
      <c r="D406" s="667" t="s">
        <v>250</v>
      </c>
      <c r="E406" s="667" t="s">
        <v>188</v>
      </c>
      <c r="F406" s="667" t="s">
        <v>188</v>
      </c>
      <c r="G406" s="667" t="s">
        <v>188</v>
      </c>
      <c r="H406" s="667" t="s">
        <v>22</v>
      </c>
    </row>
    <row r="407" spans="1:8" x14ac:dyDescent="0.25">
      <c r="A407" s="669" t="s">
        <v>196</v>
      </c>
      <c r="B407" s="670">
        <f t="shared" si="13"/>
        <v>2.8494999999999999</v>
      </c>
      <c r="C407" s="669" t="s">
        <v>215</v>
      </c>
      <c r="D407" s="669" t="s">
        <v>187</v>
      </c>
      <c r="E407" s="669" t="s">
        <v>188</v>
      </c>
      <c r="F407" s="669" t="s">
        <v>188</v>
      </c>
      <c r="G407" s="669" t="s">
        <v>188</v>
      </c>
      <c r="H407" s="669" t="s">
        <v>22</v>
      </c>
    </row>
    <row r="408" spans="1:8" x14ac:dyDescent="0.25">
      <c r="A408" s="667" t="s">
        <v>196</v>
      </c>
      <c r="B408" s="668">
        <f t="shared" si="13"/>
        <v>2.8494999999999999</v>
      </c>
      <c r="C408" s="667" t="s">
        <v>215</v>
      </c>
      <c r="D408" s="667" t="s">
        <v>214</v>
      </c>
      <c r="E408" s="667" t="s">
        <v>188</v>
      </c>
      <c r="F408" s="667" t="s">
        <v>188</v>
      </c>
      <c r="G408" s="667" t="s">
        <v>188</v>
      </c>
      <c r="H408" s="667" t="s">
        <v>22</v>
      </c>
    </row>
    <row r="409" spans="1:8" x14ac:dyDescent="0.25">
      <c r="A409" s="669" t="s">
        <v>196</v>
      </c>
      <c r="B409" s="670">
        <f t="shared" si="13"/>
        <v>2.8494999999999999</v>
      </c>
      <c r="C409" s="669" t="s">
        <v>215</v>
      </c>
      <c r="D409" s="669" t="s">
        <v>233</v>
      </c>
      <c r="E409" s="669" t="s">
        <v>188</v>
      </c>
      <c r="F409" s="669" t="s">
        <v>188</v>
      </c>
      <c r="G409" s="669" t="s">
        <v>188</v>
      </c>
      <c r="H409" s="669" t="s">
        <v>22</v>
      </c>
    </row>
    <row r="410" spans="1:8" x14ac:dyDescent="0.25">
      <c r="A410" s="667" t="s">
        <v>196</v>
      </c>
      <c r="B410" s="668">
        <f t="shared" si="13"/>
        <v>2.8494999999999999</v>
      </c>
      <c r="C410" s="667" t="s">
        <v>215</v>
      </c>
      <c r="D410" s="667" t="s">
        <v>242</v>
      </c>
      <c r="E410" s="667" t="s">
        <v>188</v>
      </c>
      <c r="F410" s="667" t="s">
        <v>188</v>
      </c>
      <c r="G410" s="667" t="s">
        <v>188</v>
      </c>
      <c r="H410" s="667" t="s">
        <v>22</v>
      </c>
    </row>
    <row r="411" spans="1:8" x14ac:dyDescent="0.25">
      <c r="A411" s="669" t="s">
        <v>196</v>
      </c>
      <c r="B411" s="670">
        <f t="shared" si="13"/>
        <v>2.8494999999999999</v>
      </c>
      <c r="C411" s="669" t="s">
        <v>215</v>
      </c>
      <c r="D411" s="669" t="s">
        <v>250</v>
      </c>
      <c r="E411" s="669" t="s">
        <v>188</v>
      </c>
      <c r="F411" s="669" t="s">
        <v>188</v>
      </c>
      <c r="G411" s="669" t="s">
        <v>188</v>
      </c>
      <c r="H411" s="669" t="s">
        <v>22</v>
      </c>
    </row>
    <row r="412" spans="1:8" x14ac:dyDescent="0.25">
      <c r="A412" s="667" t="s">
        <v>196</v>
      </c>
      <c r="B412" s="668">
        <f t="shared" si="13"/>
        <v>2.8494999999999999</v>
      </c>
      <c r="C412" s="667" t="s">
        <v>249</v>
      </c>
      <c r="D412" s="667" t="s">
        <v>187</v>
      </c>
      <c r="E412" s="667" t="s">
        <v>188</v>
      </c>
      <c r="F412" s="667" t="s">
        <v>188</v>
      </c>
      <c r="G412" s="667" t="s">
        <v>188</v>
      </c>
      <c r="H412" s="667" t="s">
        <v>22</v>
      </c>
    </row>
    <row r="413" spans="1:8" x14ac:dyDescent="0.25">
      <c r="A413" s="669" t="s">
        <v>196</v>
      </c>
      <c r="B413" s="670">
        <f t="shared" si="13"/>
        <v>2.8494999999999999</v>
      </c>
      <c r="C413" s="669" t="s">
        <v>249</v>
      </c>
      <c r="D413" s="669" t="s">
        <v>214</v>
      </c>
      <c r="E413" s="669" t="s">
        <v>188</v>
      </c>
      <c r="F413" s="669" t="s">
        <v>188</v>
      </c>
      <c r="G413" s="669" t="s">
        <v>188</v>
      </c>
      <c r="H413" s="669" t="s">
        <v>22</v>
      </c>
    </row>
    <row r="414" spans="1:8" x14ac:dyDescent="0.25">
      <c r="A414" s="667" t="s">
        <v>196</v>
      </c>
      <c r="B414" s="668">
        <f t="shared" si="13"/>
        <v>2.8494999999999999</v>
      </c>
      <c r="C414" s="667" t="s">
        <v>249</v>
      </c>
      <c r="D414" s="667" t="s">
        <v>233</v>
      </c>
      <c r="E414" s="667" t="s">
        <v>188</v>
      </c>
      <c r="F414" s="667" t="s">
        <v>188</v>
      </c>
      <c r="G414" s="667" t="s">
        <v>188</v>
      </c>
      <c r="H414" s="667" t="s">
        <v>22</v>
      </c>
    </row>
    <row r="415" spans="1:8" x14ac:dyDescent="0.25">
      <c r="A415" s="669" t="s">
        <v>196</v>
      </c>
      <c r="B415" s="670">
        <f t="shared" si="13"/>
        <v>2.8494999999999999</v>
      </c>
      <c r="C415" s="669" t="s">
        <v>249</v>
      </c>
      <c r="D415" s="669" t="s">
        <v>242</v>
      </c>
      <c r="E415" s="669" t="s">
        <v>188</v>
      </c>
      <c r="F415" s="669" t="s">
        <v>188</v>
      </c>
      <c r="G415" s="669" t="s">
        <v>188</v>
      </c>
      <c r="H415" s="669" t="s">
        <v>22</v>
      </c>
    </row>
    <row r="416" spans="1:8" x14ac:dyDescent="0.25">
      <c r="A416" s="667" t="s">
        <v>196</v>
      </c>
      <c r="B416" s="668">
        <f t="shared" si="13"/>
        <v>2.8494999999999999</v>
      </c>
      <c r="C416" s="667" t="s">
        <v>249</v>
      </c>
      <c r="D416" s="667" t="s">
        <v>250</v>
      </c>
      <c r="E416" s="667" t="s">
        <v>188</v>
      </c>
      <c r="F416" s="667" t="s">
        <v>188</v>
      </c>
      <c r="G416" s="667" t="s">
        <v>188</v>
      </c>
      <c r="H416" s="667" t="s">
        <v>22</v>
      </c>
    </row>
    <row r="417" spans="1:8" x14ac:dyDescent="0.25">
      <c r="A417" s="669" t="s">
        <v>196</v>
      </c>
      <c r="B417" s="670">
        <f t="shared" si="13"/>
        <v>2.8494999999999999</v>
      </c>
      <c r="C417" s="669" t="s">
        <v>257</v>
      </c>
      <c r="D417" s="669" t="s">
        <v>187</v>
      </c>
      <c r="E417" s="669" t="s">
        <v>188</v>
      </c>
      <c r="F417" s="669" t="s">
        <v>188</v>
      </c>
      <c r="G417" s="669" t="s">
        <v>188</v>
      </c>
      <c r="H417" s="669" t="s">
        <v>22</v>
      </c>
    </row>
    <row r="418" spans="1:8" x14ac:dyDescent="0.25">
      <c r="A418" s="667" t="s">
        <v>196</v>
      </c>
      <c r="B418" s="668">
        <f t="shared" si="13"/>
        <v>2.8494999999999999</v>
      </c>
      <c r="C418" s="667" t="s">
        <v>257</v>
      </c>
      <c r="D418" s="667" t="s">
        <v>214</v>
      </c>
      <c r="E418" s="667" t="s">
        <v>188</v>
      </c>
      <c r="F418" s="667" t="s">
        <v>188</v>
      </c>
      <c r="G418" s="667" t="s">
        <v>188</v>
      </c>
      <c r="H418" s="667" t="s">
        <v>22</v>
      </c>
    </row>
    <row r="419" spans="1:8" x14ac:dyDescent="0.25">
      <c r="A419" s="669" t="s">
        <v>196</v>
      </c>
      <c r="B419" s="670">
        <f t="shared" si="13"/>
        <v>2.8494999999999999</v>
      </c>
      <c r="C419" s="669" t="s">
        <v>257</v>
      </c>
      <c r="D419" s="669" t="s">
        <v>233</v>
      </c>
      <c r="E419" s="669" t="s">
        <v>188</v>
      </c>
      <c r="F419" s="669" t="s">
        <v>188</v>
      </c>
      <c r="G419" s="669" t="s">
        <v>188</v>
      </c>
      <c r="H419" s="669" t="s">
        <v>22</v>
      </c>
    </row>
    <row r="420" spans="1:8" x14ac:dyDescent="0.25">
      <c r="A420" s="667" t="s">
        <v>196</v>
      </c>
      <c r="B420" s="668">
        <f t="shared" si="13"/>
        <v>2.8494999999999999</v>
      </c>
      <c r="C420" s="667" t="s">
        <v>257</v>
      </c>
      <c r="D420" s="667" t="s">
        <v>242</v>
      </c>
      <c r="E420" s="667" t="s">
        <v>188</v>
      </c>
      <c r="F420" s="667" t="s">
        <v>188</v>
      </c>
      <c r="G420" s="667" t="s">
        <v>188</v>
      </c>
      <c r="H420" s="667" t="s">
        <v>22</v>
      </c>
    </row>
    <row r="421" spans="1:8" x14ac:dyDescent="0.25">
      <c r="A421" s="669" t="s">
        <v>196</v>
      </c>
      <c r="B421" s="670">
        <f t="shared" si="13"/>
        <v>2.8494999999999999</v>
      </c>
      <c r="C421" s="669" t="s">
        <v>257</v>
      </c>
      <c r="D421" s="669" t="s">
        <v>250</v>
      </c>
      <c r="E421" s="669" t="s">
        <v>188</v>
      </c>
      <c r="F421" s="669" t="s">
        <v>188</v>
      </c>
      <c r="G421" s="669" t="s">
        <v>188</v>
      </c>
      <c r="H421" s="669" t="s">
        <v>22</v>
      </c>
    </row>
    <row r="422" spans="1:8" x14ac:dyDescent="0.25">
      <c r="A422" s="667" t="s">
        <v>196</v>
      </c>
      <c r="B422" s="668">
        <f>AVERAGE(2.9,2.999)</f>
        <v>2.9495</v>
      </c>
      <c r="C422" s="667" t="s">
        <v>186</v>
      </c>
      <c r="D422" s="667" t="s">
        <v>187</v>
      </c>
      <c r="E422" s="667" t="s">
        <v>188</v>
      </c>
      <c r="F422" s="667" t="s">
        <v>188</v>
      </c>
      <c r="G422" s="667" t="s">
        <v>188</v>
      </c>
      <c r="H422" s="667" t="s">
        <v>22</v>
      </c>
    </row>
    <row r="423" spans="1:8" x14ac:dyDescent="0.25">
      <c r="A423" s="669" t="s">
        <v>196</v>
      </c>
      <c r="B423" s="670">
        <f t="shared" ref="B423:B451" si="14">AVERAGE(2.9,2.999)</f>
        <v>2.9495</v>
      </c>
      <c r="C423" s="669" t="s">
        <v>186</v>
      </c>
      <c r="D423" s="669" t="s">
        <v>214</v>
      </c>
      <c r="E423" s="669" t="s">
        <v>188</v>
      </c>
      <c r="F423" s="669" t="s">
        <v>188</v>
      </c>
      <c r="G423" s="669" t="s">
        <v>188</v>
      </c>
      <c r="H423" s="669" t="s">
        <v>22</v>
      </c>
    </row>
    <row r="424" spans="1:8" x14ac:dyDescent="0.25">
      <c r="A424" s="667" t="s">
        <v>196</v>
      </c>
      <c r="B424" s="668">
        <f t="shared" si="14"/>
        <v>2.9495</v>
      </c>
      <c r="C424" s="667" t="s">
        <v>186</v>
      </c>
      <c r="D424" s="667" t="s">
        <v>233</v>
      </c>
      <c r="E424" s="667" t="s">
        <v>188</v>
      </c>
      <c r="F424" s="667" t="s">
        <v>188</v>
      </c>
      <c r="G424" s="667" t="s">
        <v>188</v>
      </c>
      <c r="H424" s="667" t="s">
        <v>22</v>
      </c>
    </row>
    <row r="425" spans="1:8" x14ac:dyDescent="0.25">
      <c r="A425" s="669" t="s">
        <v>196</v>
      </c>
      <c r="B425" s="670">
        <f t="shared" si="14"/>
        <v>2.9495</v>
      </c>
      <c r="C425" s="669" t="s">
        <v>186</v>
      </c>
      <c r="D425" s="669" t="s">
        <v>242</v>
      </c>
      <c r="E425" s="669" t="s">
        <v>188</v>
      </c>
      <c r="F425" s="669" t="s">
        <v>188</v>
      </c>
      <c r="G425" s="669" t="s">
        <v>188</v>
      </c>
      <c r="H425" s="669" t="s">
        <v>22</v>
      </c>
    </row>
    <row r="426" spans="1:8" x14ac:dyDescent="0.25">
      <c r="A426" s="667" t="s">
        <v>196</v>
      </c>
      <c r="B426" s="668">
        <f t="shared" si="14"/>
        <v>2.9495</v>
      </c>
      <c r="C426" s="667" t="s">
        <v>186</v>
      </c>
      <c r="D426" s="667" t="s">
        <v>250</v>
      </c>
      <c r="E426" s="667" t="s">
        <v>188</v>
      </c>
      <c r="F426" s="667" t="s">
        <v>188</v>
      </c>
      <c r="G426" s="667" t="s">
        <v>188</v>
      </c>
      <c r="H426" s="667" t="s">
        <v>22</v>
      </c>
    </row>
    <row r="427" spans="1:8" x14ac:dyDescent="0.25">
      <c r="A427" s="669" t="s">
        <v>196</v>
      </c>
      <c r="B427" s="670">
        <f t="shared" si="14"/>
        <v>2.9495</v>
      </c>
      <c r="C427" s="669" t="s">
        <v>213</v>
      </c>
      <c r="D427" s="669" t="s">
        <v>187</v>
      </c>
      <c r="E427" s="669" t="s">
        <v>188</v>
      </c>
      <c r="F427" s="669" t="s">
        <v>188</v>
      </c>
      <c r="G427" s="669" t="s">
        <v>188</v>
      </c>
      <c r="H427" s="669" t="s">
        <v>22</v>
      </c>
    </row>
    <row r="428" spans="1:8" x14ac:dyDescent="0.25">
      <c r="A428" s="667" t="s">
        <v>196</v>
      </c>
      <c r="B428" s="668">
        <f t="shared" si="14"/>
        <v>2.9495</v>
      </c>
      <c r="C428" s="667" t="s">
        <v>213</v>
      </c>
      <c r="D428" s="667" t="s">
        <v>214</v>
      </c>
      <c r="E428" s="667" t="s">
        <v>188</v>
      </c>
      <c r="F428" s="667" t="s">
        <v>188</v>
      </c>
      <c r="G428" s="667" t="s">
        <v>188</v>
      </c>
      <c r="H428" s="667" t="s">
        <v>22</v>
      </c>
    </row>
    <row r="429" spans="1:8" x14ac:dyDescent="0.25">
      <c r="A429" s="669" t="s">
        <v>196</v>
      </c>
      <c r="B429" s="670">
        <f t="shared" si="14"/>
        <v>2.9495</v>
      </c>
      <c r="C429" s="669" t="s">
        <v>213</v>
      </c>
      <c r="D429" s="669" t="s">
        <v>233</v>
      </c>
      <c r="E429" s="669" t="s">
        <v>188</v>
      </c>
      <c r="F429" s="669" t="s">
        <v>188</v>
      </c>
      <c r="G429" s="669" t="s">
        <v>188</v>
      </c>
      <c r="H429" s="669" t="s">
        <v>22</v>
      </c>
    </row>
    <row r="430" spans="1:8" x14ac:dyDescent="0.25">
      <c r="A430" s="667" t="s">
        <v>196</v>
      </c>
      <c r="B430" s="668">
        <f t="shared" si="14"/>
        <v>2.9495</v>
      </c>
      <c r="C430" s="667" t="s">
        <v>213</v>
      </c>
      <c r="D430" s="667" t="s">
        <v>242</v>
      </c>
      <c r="E430" s="667" t="s">
        <v>188</v>
      </c>
      <c r="F430" s="667" t="s">
        <v>188</v>
      </c>
      <c r="G430" s="667" t="s">
        <v>188</v>
      </c>
      <c r="H430" s="667" t="s">
        <v>22</v>
      </c>
    </row>
    <row r="431" spans="1:8" x14ac:dyDescent="0.25">
      <c r="A431" s="669" t="s">
        <v>196</v>
      </c>
      <c r="B431" s="670">
        <f t="shared" si="14"/>
        <v>2.9495</v>
      </c>
      <c r="C431" s="669" t="s">
        <v>213</v>
      </c>
      <c r="D431" s="669" t="s">
        <v>250</v>
      </c>
      <c r="E431" s="669" t="s">
        <v>188</v>
      </c>
      <c r="F431" s="669" t="s">
        <v>188</v>
      </c>
      <c r="G431" s="669" t="s">
        <v>188</v>
      </c>
      <c r="H431" s="669" t="s">
        <v>22</v>
      </c>
    </row>
    <row r="432" spans="1:8" x14ac:dyDescent="0.25">
      <c r="A432" s="667" t="s">
        <v>196</v>
      </c>
      <c r="B432" s="668">
        <f t="shared" si="14"/>
        <v>2.9495</v>
      </c>
      <c r="C432" s="667" t="s">
        <v>232</v>
      </c>
      <c r="D432" s="667" t="s">
        <v>187</v>
      </c>
      <c r="E432" s="667" t="s">
        <v>188</v>
      </c>
      <c r="F432" s="667" t="s">
        <v>188</v>
      </c>
      <c r="G432" s="667" t="s">
        <v>188</v>
      </c>
      <c r="H432" s="667" t="s">
        <v>22</v>
      </c>
    </row>
    <row r="433" spans="1:8" x14ac:dyDescent="0.25">
      <c r="A433" s="669" t="s">
        <v>196</v>
      </c>
      <c r="B433" s="670">
        <f t="shared" si="14"/>
        <v>2.9495</v>
      </c>
      <c r="C433" s="669" t="s">
        <v>232</v>
      </c>
      <c r="D433" s="669" t="s">
        <v>214</v>
      </c>
      <c r="E433" s="669" t="s">
        <v>188</v>
      </c>
      <c r="F433" s="669" t="s">
        <v>188</v>
      </c>
      <c r="G433" s="669" t="s">
        <v>188</v>
      </c>
      <c r="H433" s="669" t="s">
        <v>22</v>
      </c>
    </row>
    <row r="434" spans="1:8" x14ac:dyDescent="0.25">
      <c r="A434" s="667" t="s">
        <v>196</v>
      </c>
      <c r="B434" s="668">
        <f t="shared" si="14"/>
        <v>2.9495</v>
      </c>
      <c r="C434" s="667" t="s">
        <v>232</v>
      </c>
      <c r="D434" s="667" t="s">
        <v>233</v>
      </c>
      <c r="E434" s="667" t="s">
        <v>188</v>
      </c>
      <c r="F434" s="667" t="s">
        <v>188</v>
      </c>
      <c r="G434" s="667" t="s">
        <v>188</v>
      </c>
      <c r="H434" s="667" t="s">
        <v>22</v>
      </c>
    </row>
    <row r="435" spans="1:8" x14ac:dyDescent="0.25">
      <c r="A435" s="669" t="s">
        <v>196</v>
      </c>
      <c r="B435" s="670">
        <f t="shared" si="14"/>
        <v>2.9495</v>
      </c>
      <c r="C435" s="669" t="s">
        <v>232</v>
      </c>
      <c r="D435" s="669" t="s">
        <v>242</v>
      </c>
      <c r="E435" s="669" t="s">
        <v>188</v>
      </c>
      <c r="F435" s="669" t="s">
        <v>188</v>
      </c>
      <c r="G435" s="669" t="s">
        <v>188</v>
      </c>
      <c r="H435" s="669" t="s">
        <v>22</v>
      </c>
    </row>
    <row r="436" spans="1:8" x14ac:dyDescent="0.25">
      <c r="A436" s="667" t="s">
        <v>196</v>
      </c>
      <c r="B436" s="668">
        <f t="shared" si="14"/>
        <v>2.9495</v>
      </c>
      <c r="C436" s="667" t="s">
        <v>232</v>
      </c>
      <c r="D436" s="667" t="s">
        <v>250</v>
      </c>
      <c r="E436" s="667" t="s">
        <v>188</v>
      </c>
      <c r="F436" s="667" t="s">
        <v>188</v>
      </c>
      <c r="G436" s="667" t="s">
        <v>188</v>
      </c>
      <c r="H436" s="667" t="s">
        <v>22</v>
      </c>
    </row>
    <row r="437" spans="1:8" x14ac:dyDescent="0.25">
      <c r="A437" s="669" t="s">
        <v>196</v>
      </c>
      <c r="B437" s="670">
        <f t="shared" si="14"/>
        <v>2.9495</v>
      </c>
      <c r="C437" s="669" t="s">
        <v>215</v>
      </c>
      <c r="D437" s="669" t="s">
        <v>187</v>
      </c>
      <c r="E437" s="669" t="s">
        <v>188</v>
      </c>
      <c r="F437" s="669" t="s">
        <v>188</v>
      </c>
      <c r="G437" s="669" t="s">
        <v>188</v>
      </c>
      <c r="H437" s="669" t="s">
        <v>22</v>
      </c>
    </row>
    <row r="438" spans="1:8" x14ac:dyDescent="0.25">
      <c r="A438" s="667" t="s">
        <v>196</v>
      </c>
      <c r="B438" s="668">
        <f t="shared" si="14"/>
        <v>2.9495</v>
      </c>
      <c r="C438" s="667" t="s">
        <v>215</v>
      </c>
      <c r="D438" s="667" t="s">
        <v>214</v>
      </c>
      <c r="E438" s="667" t="s">
        <v>188</v>
      </c>
      <c r="F438" s="667" t="s">
        <v>188</v>
      </c>
      <c r="G438" s="667" t="s">
        <v>188</v>
      </c>
      <c r="H438" s="667" t="s">
        <v>22</v>
      </c>
    </row>
    <row r="439" spans="1:8" x14ac:dyDescent="0.25">
      <c r="A439" s="669" t="s">
        <v>196</v>
      </c>
      <c r="B439" s="670">
        <f t="shared" si="14"/>
        <v>2.9495</v>
      </c>
      <c r="C439" s="669" t="s">
        <v>215</v>
      </c>
      <c r="D439" s="669" t="s">
        <v>233</v>
      </c>
      <c r="E439" s="669" t="s">
        <v>188</v>
      </c>
      <c r="F439" s="669" t="s">
        <v>188</v>
      </c>
      <c r="G439" s="669" t="s">
        <v>188</v>
      </c>
      <c r="H439" s="669" t="s">
        <v>22</v>
      </c>
    </row>
    <row r="440" spans="1:8" x14ac:dyDescent="0.25">
      <c r="A440" s="667" t="s">
        <v>196</v>
      </c>
      <c r="B440" s="668">
        <f t="shared" si="14"/>
        <v>2.9495</v>
      </c>
      <c r="C440" s="667" t="s">
        <v>215</v>
      </c>
      <c r="D440" s="667" t="s">
        <v>242</v>
      </c>
      <c r="E440" s="667" t="s">
        <v>188</v>
      </c>
      <c r="F440" s="667" t="s">
        <v>188</v>
      </c>
      <c r="G440" s="667" t="s">
        <v>188</v>
      </c>
      <c r="H440" s="667" t="s">
        <v>22</v>
      </c>
    </row>
    <row r="441" spans="1:8" x14ac:dyDescent="0.25">
      <c r="A441" s="669" t="s">
        <v>196</v>
      </c>
      <c r="B441" s="670">
        <f t="shared" si="14"/>
        <v>2.9495</v>
      </c>
      <c r="C441" s="669" t="s">
        <v>215</v>
      </c>
      <c r="D441" s="669" t="s">
        <v>250</v>
      </c>
      <c r="E441" s="669" t="s">
        <v>188</v>
      </c>
      <c r="F441" s="669" t="s">
        <v>188</v>
      </c>
      <c r="G441" s="669" t="s">
        <v>188</v>
      </c>
      <c r="H441" s="669" t="s">
        <v>22</v>
      </c>
    </row>
    <row r="442" spans="1:8" x14ac:dyDescent="0.25">
      <c r="A442" s="667" t="s">
        <v>196</v>
      </c>
      <c r="B442" s="668">
        <f t="shared" si="14"/>
        <v>2.9495</v>
      </c>
      <c r="C442" s="667" t="s">
        <v>249</v>
      </c>
      <c r="D442" s="667" t="s">
        <v>187</v>
      </c>
      <c r="E442" s="667" t="s">
        <v>188</v>
      </c>
      <c r="F442" s="667" t="s">
        <v>188</v>
      </c>
      <c r="G442" s="667" t="s">
        <v>188</v>
      </c>
      <c r="H442" s="667" t="s">
        <v>22</v>
      </c>
    </row>
    <row r="443" spans="1:8" x14ac:dyDescent="0.25">
      <c r="A443" s="669" t="s">
        <v>196</v>
      </c>
      <c r="B443" s="670">
        <f t="shared" si="14"/>
        <v>2.9495</v>
      </c>
      <c r="C443" s="669" t="s">
        <v>249</v>
      </c>
      <c r="D443" s="669" t="s">
        <v>214</v>
      </c>
      <c r="E443" s="669" t="s">
        <v>188</v>
      </c>
      <c r="F443" s="669" t="s">
        <v>188</v>
      </c>
      <c r="G443" s="669" t="s">
        <v>188</v>
      </c>
      <c r="H443" s="669" t="s">
        <v>22</v>
      </c>
    </row>
    <row r="444" spans="1:8" x14ac:dyDescent="0.25">
      <c r="A444" s="667" t="s">
        <v>196</v>
      </c>
      <c r="B444" s="668">
        <f t="shared" si="14"/>
        <v>2.9495</v>
      </c>
      <c r="C444" s="667" t="s">
        <v>249</v>
      </c>
      <c r="D444" s="667" t="s">
        <v>233</v>
      </c>
      <c r="E444" s="667" t="s">
        <v>188</v>
      </c>
      <c r="F444" s="667" t="s">
        <v>188</v>
      </c>
      <c r="G444" s="667" t="s">
        <v>188</v>
      </c>
      <c r="H444" s="667" t="s">
        <v>22</v>
      </c>
    </row>
    <row r="445" spans="1:8" x14ac:dyDescent="0.25">
      <c r="A445" s="669" t="s">
        <v>196</v>
      </c>
      <c r="B445" s="670">
        <f t="shared" si="14"/>
        <v>2.9495</v>
      </c>
      <c r="C445" s="669" t="s">
        <v>249</v>
      </c>
      <c r="D445" s="669" t="s">
        <v>242</v>
      </c>
      <c r="E445" s="669" t="s">
        <v>188</v>
      </c>
      <c r="F445" s="669" t="s">
        <v>188</v>
      </c>
      <c r="G445" s="669" t="s">
        <v>188</v>
      </c>
      <c r="H445" s="669" t="s">
        <v>22</v>
      </c>
    </row>
    <row r="446" spans="1:8" x14ac:dyDescent="0.25">
      <c r="A446" s="667" t="s">
        <v>196</v>
      </c>
      <c r="B446" s="668">
        <f t="shared" si="14"/>
        <v>2.9495</v>
      </c>
      <c r="C446" s="667" t="s">
        <v>249</v>
      </c>
      <c r="D446" s="667" t="s">
        <v>250</v>
      </c>
      <c r="E446" s="667" t="s">
        <v>188</v>
      </c>
      <c r="F446" s="667" t="s">
        <v>188</v>
      </c>
      <c r="G446" s="667" t="s">
        <v>188</v>
      </c>
      <c r="H446" s="667" t="s">
        <v>22</v>
      </c>
    </row>
    <row r="447" spans="1:8" x14ac:dyDescent="0.25">
      <c r="A447" s="669" t="s">
        <v>196</v>
      </c>
      <c r="B447" s="670">
        <f t="shared" si="14"/>
        <v>2.9495</v>
      </c>
      <c r="C447" s="669" t="s">
        <v>257</v>
      </c>
      <c r="D447" s="669" t="s">
        <v>187</v>
      </c>
      <c r="E447" s="669" t="s">
        <v>188</v>
      </c>
      <c r="F447" s="669" t="s">
        <v>188</v>
      </c>
      <c r="G447" s="669" t="s">
        <v>188</v>
      </c>
      <c r="H447" s="669" t="s">
        <v>22</v>
      </c>
    </row>
    <row r="448" spans="1:8" x14ac:dyDescent="0.25">
      <c r="A448" s="667" t="s">
        <v>196</v>
      </c>
      <c r="B448" s="668">
        <f t="shared" si="14"/>
        <v>2.9495</v>
      </c>
      <c r="C448" s="667" t="s">
        <v>257</v>
      </c>
      <c r="D448" s="667" t="s">
        <v>214</v>
      </c>
      <c r="E448" s="667" t="s">
        <v>188</v>
      </c>
      <c r="F448" s="667" t="s">
        <v>188</v>
      </c>
      <c r="G448" s="667" t="s">
        <v>188</v>
      </c>
      <c r="H448" s="667" t="s">
        <v>22</v>
      </c>
    </row>
    <row r="449" spans="1:8" x14ac:dyDescent="0.25">
      <c r="A449" s="669" t="s">
        <v>196</v>
      </c>
      <c r="B449" s="670">
        <f t="shared" si="14"/>
        <v>2.9495</v>
      </c>
      <c r="C449" s="669" t="s">
        <v>257</v>
      </c>
      <c r="D449" s="669" t="s">
        <v>233</v>
      </c>
      <c r="E449" s="669" t="s">
        <v>188</v>
      </c>
      <c r="F449" s="669" t="s">
        <v>188</v>
      </c>
      <c r="G449" s="669" t="s">
        <v>188</v>
      </c>
      <c r="H449" s="669" t="s">
        <v>22</v>
      </c>
    </row>
    <row r="450" spans="1:8" x14ac:dyDescent="0.25">
      <c r="A450" s="667" t="s">
        <v>196</v>
      </c>
      <c r="B450" s="668">
        <f t="shared" si="14"/>
        <v>2.9495</v>
      </c>
      <c r="C450" s="667" t="s">
        <v>257</v>
      </c>
      <c r="D450" s="667" t="s">
        <v>242</v>
      </c>
      <c r="E450" s="667" t="s">
        <v>188</v>
      </c>
      <c r="F450" s="667" t="s">
        <v>188</v>
      </c>
      <c r="G450" s="667" t="s">
        <v>188</v>
      </c>
      <c r="H450" s="667" t="s">
        <v>22</v>
      </c>
    </row>
    <row r="451" spans="1:8" x14ac:dyDescent="0.25">
      <c r="A451" s="669" t="s">
        <v>196</v>
      </c>
      <c r="B451" s="670">
        <f t="shared" si="14"/>
        <v>2.9495</v>
      </c>
      <c r="C451" s="669" t="s">
        <v>257</v>
      </c>
      <c r="D451" s="669" t="s">
        <v>250</v>
      </c>
      <c r="E451" s="669" t="s">
        <v>188</v>
      </c>
      <c r="F451" s="669" t="s">
        <v>188</v>
      </c>
      <c r="G451" s="669" t="s">
        <v>188</v>
      </c>
      <c r="H451" s="669" t="s">
        <v>22</v>
      </c>
    </row>
  </sheetData>
  <sheetProtection algorithmName="SHA-512" hashValue="YgbRC1K7UaNsrlyk412QrWgz5ty4IhczgRs0rX4Waf1E2BuYrk/cyWrZtgTdH7oOoOsLEb1fSbr/tJhau7lr/Q==" saltValue="tPL7tMlRr/CkmkTkvBcl2w==" spinCount="100000" sheet="1" objects="1" scenarios="1" autoFilter="0"/>
  <dataValidations count="2">
    <dataValidation type="list" allowBlank="1" showInputMessage="1" showErrorMessage="1" sqref="H2:H451">
      <formula1>"NON,FNT,MED,STR,VST"</formula1>
    </dataValidation>
    <dataValidation type="list" allowBlank="1" showInputMessage="1" showErrorMessage="1" sqref="E2:G451">
      <formula1>"IDEAL,EX,VG,G"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'Field Validations'!$D$3:$D$23</xm:f>
          </x14:formula1>
          <xm:sqref>C2:C451</xm:sqref>
        </x14:dataValidation>
        <x14:dataValidation type="list" allowBlank="1" showInputMessage="1" showErrorMessage="1">
          <x14:formula1>
            <xm:f>'Field Validations'!$E$3:$E$25</xm:f>
          </x14:formula1>
          <xm:sqref>D2:D451</xm:sqref>
        </x14:dataValidation>
        <x14:dataValidation type="list" allowBlank="1" showInputMessage="1" showErrorMessage="1">
          <x14:formula1>
            <xm:f>'Field Validations'!$AA$3:$AA$11</xm:f>
          </x14:formula1>
          <xm:sqref>A2:A451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:AE37"/>
  <sheetViews>
    <sheetView workbookViewId="0">
      <selection activeCell="D4" sqref="D4:E11"/>
    </sheetView>
  </sheetViews>
  <sheetFormatPr defaultRowHeight="15" x14ac:dyDescent="0.25"/>
  <cols>
    <col min="1" max="1" width="11.42578125" customWidth="1"/>
    <col min="2" max="2" width="16.28515625" customWidth="1"/>
    <col min="3" max="3" width="4.7109375" customWidth="1"/>
    <col min="4" max="4" width="19.28515625" customWidth="1"/>
    <col min="5" max="5" width="9.28515625" customWidth="1"/>
    <col min="6" max="6" width="4" hidden="1" customWidth="1"/>
    <col min="7" max="7" width="20.28515625" hidden="1" customWidth="1"/>
    <col min="8" max="8" width="9.28515625" hidden="1" customWidth="1"/>
    <col min="9" max="9" width="4.7109375" customWidth="1"/>
    <col min="10" max="10" width="13.28515625" customWidth="1"/>
    <col min="11" max="11" width="9.28515625" customWidth="1"/>
    <col min="12" max="12" width="5.7109375" customWidth="1"/>
    <col min="13" max="13" width="18.42578125" customWidth="1"/>
    <col min="14" max="14" width="11.28515625" customWidth="1"/>
    <col min="15" max="15" width="9.28515625" customWidth="1"/>
    <col min="16" max="18" width="9.28515625" hidden="1" customWidth="1"/>
    <col min="19" max="19" width="10.42578125" hidden="1" customWidth="1"/>
    <col min="20" max="20" width="9.28515625" hidden="1" customWidth="1"/>
    <col min="21" max="21" width="23" hidden="1" customWidth="1"/>
    <col min="22" max="22" width="9.28515625" hidden="1" customWidth="1"/>
    <col min="23" max="23" width="12.7109375" hidden="1" customWidth="1"/>
    <col min="24" max="24" width="20" hidden="1" customWidth="1"/>
    <col min="25" max="25" width="9.28515625" hidden="1" customWidth="1"/>
    <col min="26" max="29" width="9.28515625" customWidth="1"/>
    <col min="30" max="30" width="12.42578125" customWidth="1"/>
  </cols>
  <sheetData>
    <row r="1" spans="1:31" s="1" customFormat="1" ht="14.45" x14ac:dyDescent="0.3">
      <c r="A1" s="1" t="s">
        <v>0</v>
      </c>
      <c r="D1" s="1" t="s">
        <v>1</v>
      </c>
      <c r="G1" s="1" t="s">
        <v>2</v>
      </c>
      <c r="J1" s="1" t="s">
        <v>3</v>
      </c>
      <c r="M1" s="1" t="s">
        <v>4</v>
      </c>
      <c r="P1" s="2" t="s">
        <v>5</v>
      </c>
      <c r="Q1" s="2"/>
      <c r="R1" s="3"/>
      <c r="S1" s="3"/>
      <c r="T1" s="3"/>
      <c r="U1" s="3"/>
      <c r="W1" s="827" t="s">
        <v>6</v>
      </c>
      <c r="X1" s="827"/>
      <c r="Z1" s="1" t="s">
        <v>7</v>
      </c>
      <c r="AD1" s="1" t="s">
        <v>2</v>
      </c>
    </row>
    <row r="2" spans="1:31" ht="14.45" x14ac:dyDescent="0.3">
      <c r="P2" s="4"/>
      <c r="Q2" s="4"/>
      <c r="R2" s="4" t="s">
        <v>8</v>
      </c>
      <c r="S2" s="4"/>
      <c r="T2" s="4"/>
      <c r="U2" s="4"/>
      <c r="W2" s="4"/>
      <c r="X2" s="4"/>
    </row>
    <row r="3" spans="1:31" ht="14.45" x14ac:dyDescent="0.3">
      <c r="A3" s="5" t="s">
        <v>9</v>
      </c>
      <c r="B3" s="5" t="s">
        <v>0</v>
      </c>
      <c r="D3" s="5" t="s">
        <v>10</v>
      </c>
      <c r="E3" s="5" t="s">
        <v>9</v>
      </c>
      <c r="G3" s="5" t="s">
        <v>2</v>
      </c>
      <c r="H3" s="5" t="s">
        <v>9</v>
      </c>
      <c r="J3" s="5" t="s">
        <v>11</v>
      </c>
      <c r="K3" s="5" t="s">
        <v>9</v>
      </c>
      <c r="M3" s="5" t="s">
        <v>11</v>
      </c>
      <c r="N3" s="5" t="s">
        <v>9</v>
      </c>
      <c r="P3" s="6" t="s">
        <v>12</v>
      </c>
      <c r="Q3" s="6" t="s">
        <v>13</v>
      </c>
      <c r="R3" s="6" t="s">
        <v>14</v>
      </c>
      <c r="S3" s="6" t="s">
        <v>15</v>
      </c>
      <c r="T3" s="6" t="s">
        <v>9</v>
      </c>
      <c r="U3" s="6" t="s">
        <v>11</v>
      </c>
      <c r="W3" s="6" t="s">
        <v>9</v>
      </c>
      <c r="X3" s="6" t="s">
        <v>11</v>
      </c>
      <c r="Z3" s="6" t="s">
        <v>14</v>
      </c>
      <c r="AA3" s="6" t="s">
        <v>15</v>
      </c>
      <c r="AB3" s="6" t="s">
        <v>16</v>
      </c>
      <c r="AD3" s="5" t="s">
        <v>11</v>
      </c>
      <c r="AE3" s="5" t="s">
        <v>9</v>
      </c>
    </row>
    <row r="4" spans="1:31" ht="14.45" x14ac:dyDescent="0.3">
      <c r="A4" s="7" t="s">
        <v>17</v>
      </c>
      <c r="B4" s="8" t="s">
        <v>17</v>
      </c>
      <c r="D4" s="7" t="s">
        <v>18</v>
      </c>
      <c r="E4" s="8" t="s">
        <v>19</v>
      </c>
      <c r="G4" s="7" t="s">
        <v>20</v>
      </c>
      <c r="H4" s="8" t="s">
        <v>21</v>
      </c>
      <c r="J4" s="7" t="s">
        <v>20</v>
      </c>
      <c r="K4" s="8" t="s">
        <v>22</v>
      </c>
      <c r="M4" s="7" t="s">
        <v>23</v>
      </c>
      <c r="N4" s="8" t="s">
        <v>196</v>
      </c>
      <c r="P4" s="9" t="s">
        <v>24</v>
      </c>
      <c r="Q4" s="9" t="s">
        <v>25</v>
      </c>
      <c r="R4" s="10">
        <v>0</v>
      </c>
      <c r="S4" s="9">
        <v>0.998</v>
      </c>
      <c r="T4" s="9" t="s">
        <v>26</v>
      </c>
      <c r="U4" s="9" t="s">
        <v>27</v>
      </c>
      <c r="W4" s="8" t="s">
        <v>28</v>
      </c>
      <c r="X4" s="8" t="s">
        <v>29</v>
      </c>
      <c r="Z4" s="11">
        <v>0.17899999999999999</v>
      </c>
      <c r="AA4" s="11">
        <v>0.22800000000000001</v>
      </c>
      <c r="AB4" s="12">
        <v>20</v>
      </c>
      <c r="AD4" s="7" t="s">
        <v>222</v>
      </c>
      <c r="AE4" s="8" t="s">
        <v>22</v>
      </c>
    </row>
    <row r="5" spans="1:31" ht="14.45" x14ac:dyDescent="0.3">
      <c r="A5" s="7" t="s">
        <v>30</v>
      </c>
      <c r="B5" s="8" t="s">
        <v>17</v>
      </c>
      <c r="D5" s="7" t="s">
        <v>31</v>
      </c>
      <c r="E5" s="8" t="s">
        <v>32</v>
      </c>
      <c r="G5" s="7" t="s">
        <v>33</v>
      </c>
      <c r="H5" s="8" t="s">
        <v>34</v>
      </c>
      <c r="J5" s="7" t="s">
        <v>35</v>
      </c>
      <c r="K5" s="8" t="s">
        <v>36</v>
      </c>
      <c r="M5" s="7" t="s">
        <v>37</v>
      </c>
      <c r="N5" s="8" t="s">
        <v>970</v>
      </c>
      <c r="P5" s="9" t="s">
        <v>24</v>
      </c>
      <c r="Q5" s="9" t="s">
        <v>25</v>
      </c>
      <c r="R5" s="10">
        <v>0.999</v>
      </c>
      <c r="S5" s="9">
        <v>2.9980000000000002</v>
      </c>
      <c r="T5" s="9" t="s">
        <v>38</v>
      </c>
      <c r="U5" s="9" t="s">
        <v>39</v>
      </c>
      <c r="W5" s="8" t="s">
        <v>40</v>
      </c>
      <c r="X5" s="8" t="s">
        <v>41</v>
      </c>
      <c r="Z5" s="11">
        <v>0.22900000000000001</v>
      </c>
      <c r="AA5" s="11">
        <v>0.29799999999999999</v>
      </c>
      <c r="AB5" s="12">
        <v>25</v>
      </c>
      <c r="AD5" s="7" t="s">
        <v>207</v>
      </c>
      <c r="AE5" s="8" t="s">
        <v>1351</v>
      </c>
    </row>
    <row r="6" spans="1:31" ht="14.45" x14ac:dyDescent="0.3">
      <c r="A6" s="7" t="s">
        <v>42</v>
      </c>
      <c r="B6" s="8" t="s">
        <v>43</v>
      </c>
      <c r="D6" s="7" t="s">
        <v>44</v>
      </c>
      <c r="E6" s="8" t="s">
        <v>45</v>
      </c>
      <c r="G6" s="7" t="s">
        <v>46</v>
      </c>
      <c r="H6" s="8" t="s">
        <v>47</v>
      </c>
      <c r="J6" s="7" t="s">
        <v>48</v>
      </c>
      <c r="K6" s="8" t="s">
        <v>49</v>
      </c>
      <c r="M6" s="7" t="s">
        <v>50</v>
      </c>
      <c r="N6" s="8" t="s">
        <v>919</v>
      </c>
      <c r="P6" s="9" t="s">
        <v>24</v>
      </c>
      <c r="Q6" s="9" t="s">
        <v>25</v>
      </c>
      <c r="R6" s="10">
        <v>2.9990000000000001</v>
      </c>
      <c r="S6" s="9">
        <v>4.9980000000000002</v>
      </c>
      <c r="T6" s="9" t="s">
        <v>51</v>
      </c>
      <c r="U6" s="9" t="s">
        <v>52</v>
      </c>
      <c r="W6" s="8" t="s">
        <v>53</v>
      </c>
      <c r="X6" s="8" t="s">
        <v>54</v>
      </c>
      <c r="Z6" s="11">
        <v>0.29899999999999999</v>
      </c>
      <c r="AA6" s="11">
        <v>0.34799999999999998</v>
      </c>
      <c r="AB6" s="12">
        <v>30</v>
      </c>
    </row>
    <row r="7" spans="1:31" ht="14.45" x14ac:dyDescent="0.3">
      <c r="A7" s="7" t="s">
        <v>55</v>
      </c>
      <c r="B7" s="8" t="s">
        <v>56</v>
      </c>
      <c r="D7" s="7" t="s">
        <v>57</v>
      </c>
      <c r="E7" s="8" t="s">
        <v>58</v>
      </c>
      <c r="G7" s="7" t="s">
        <v>59</v>
      </c>
      <c r="H7" s="8" t="s">
        <v>58</v>
      </c>
      <c r="J7" s="7" t="s">
        <v>59</v>
      </c>
      <c r="K7" s="8" t="s">
        <v>58</v>
      </c>
      <c r="M7" s="7" t="s">
        <v>60</v>
      </c>
      <c r="N7" s="8" t="s">
        <v>967</v>
      </c>
      <c r="P7" s="9" t="s">
        <v>24</v>
      </c>
      <c r="Q7" s="9" t="s">
        <v>25</v>
      </c>
      <c r="R7" s="10">
        <v>4.9989999999999997</v>
      </c>
      <c r="S7" s="9">
        <v>100</v>
      </c>
      <c r="T7" s="9" t="s">
        <v>61</v>
      </c>
      <c r="U7" s="9" t="s">
        <v>62</v>
      </c>
      <c r="W7" s="8" t="s">
        <v>63</v>
      </c>
      <c r="X7" s="8" t="s">
        <v>64</v>
      </c>
      <c r="Z7" s="11">
        <v>0.34899999999999998</v>
      </c>
      <c r="AA7" s="11">
        <v>0.39800000000000002</v>
      </c>
      <c r="AB7" s="12">
        <v>35</v>
      </c>
    </row>
    <row r="8" spans="1:31" ht="14.45" x14ac:dyDescent="0.3">
      <c r="D8" s="7" t="s">
        <v>65</v>
      </c>
      <c r="E8" s="8" t="s">
        <v>66</v>
      </c>
      <c r="G8" s="7" t="s">
        <v>67</v>
      </c>
      <c r="H8" s="8" t="s">
        <v>66</v>
      </c>
      <c r="J8" s="7" t="s">
        <v>68</v>
      </c>
      <c r="K8" s="8" t="s">
        <v>69</v>
      </c>
      <c r="M8" s="7" t="s">
        <v>70</v>
      </c>
      <c r="N8" s="8" t="s">
        <v>235</v>
      </c>
      <c r="P8" s="9" t="s">
        <v>24</v>
      </c>
      <c r="Q8" s="9" t="s">
        <v>71</v>
      </c>
      <c r="R8" s="10">
        <v>0</v>
      </c>
      <c r="S8" s="9">
        <v>0.998</v>
      </c>
      <c r="T8" s="9" t="s">
        <v>72</v>
      </c>
      <c r="U8" s="9" t="s">
        <v>73</v>
      </c>
      <c r="W8" s="8" t="s">
        <v>74</v>
      </c>
      <c r="X8" s="8" t="s">
        <v>75</v>
      </c>
      <c r="Z8" s="11">
        <v>0.39900000000000002</v>
      </c>
      <c r="AA8" s="11">
        <v>0.44800000000000001</v>
      </c>
      <c r="AB8" s="12">
        <v>40</v>
      </c>
    </row>
    <row r="9" spans="1:31" ht="14.45" x14ac:dyDescent="0.3">
      <c r="D9" s="7" t="s">
        <v>76</v>
      </c>
      <c r="E9" s="8" t="s">
        <v>77</v>
      </c>
      <c r="G9" s="7" t="s">
        <v>78</v>
      </c>
      <c r="H9" s="8" t="s">
        <v>79</v>
      </c>
      <c r="J9" s="7" t="s">
        <v>80</v>
      </c>
      <c r="K9" s="8" t="s">
        <v>81</v>
      </c>
      <c r="M9" s="7" t="s">
        <v>82</v>
      </c>
      <c r="N9" s="8" t="s">
        <v>240</v>
      </c>
      <c r="P9" s="9" t="s">
        <v>24</v>
      </c>
      <c r="Q9" s="9" t="s">
        <v>71</v>
      </c>
      <c r="R9" s="10">
        <v>0.999</v>
      </c>
      <c r="S9" s="9">
        <v>2.9980000000000002</v>
      </c>
      <c r="T9" s="9" t="s">
        <v>83</v>
      </c>
      <c r="U9" s="9" t="s">
        <v>84</v>
      </c>
      <c r="Z9" s="11">
        <v>0.44900000000000001</v>
      </c>
      <c r="AA9" s="11">
        <v>0.498</v>
      </c>
      <c r="AB9" s="12">
        <v>45</v>
      </c>
    </row>
    <row r="10" spans="1:31" ht="14.45" x14ac:dyDescent="0.3">
      <c r="D10" s="7" t="s">
        <v>85</v>
      </c>
      <c r="E10" s="8" t="s">
        <v>86</v>
      </c>
      <c r="G10" s="7" t="s">
        <v>87</v>
      </c>
      <c r="H10" s="8" t="s">
        <v>88</v>
      </c>
      <c r="J10" s="7" t="s">
        <v>89</v>
      </c>
      <c r="K10" s="8" t="s">
        <v>90</v>
      </c>
      <c r="M10" s="7" t="s">
        <v>91</v>
      </c>
      <c r="N10" s="8" t="s">
        <v>969</v>
      </c>
      <c r="P10" s="9" t="s">
        <v>24</v>
      </c>
      <c r="Q10" s="9" t="s">
        <v>71</v>
      </c>
      <c r="R10" s="10">
        <v>2.9990000000000001</v>
      </c>
      <c r="S10" s="9">
        <v>4.9980000000000002</v>
      </c>
      <c r="T10" s="9" t="s">
        <v>92</v>
      </c>
      <c r="U10" s="9" t="s">
        <v>93</v>
      </c>
      <c r="Z10" s="11">
        <v>0.499</v>
      </c>
      <c r="AA10" s="11">
        <v>0.59799999999999998</v>
      </c>
      <c r="AB10" s="12">
        <v>50</v>
      </c>
    </row>
    <row r="11" spans="1:31" ht="14.45" x14ac:dyDescent="0.3">
      <c r="D11" s="7" t="s">
        <v>94</v>
      </c>
      <c r="E11" s="8" t="s">
        <v>95</v>
      </c>
      <c r="G11" s="7" t="s">
        <v>96</v>
      </c>
      <c r="H11" s="8" t="s">
        <v>97</v>
      </c>
      <c r="M11" s="7" t="s">
        <v>98</v>
      </c>
      <c r="N11" s="8" t="s">
        <v>210</v>
      </c>
      <c r="P11" s="9" t="s">
        <v>24</v>
      </c>
      <c r="Q11" s="9" t="s">
        <v>71</v>
      </c>
      <c r="R11" s="10">
        <v>4.9989999999999997</v>
      </c>
      <c r="S11" s="9">
        <v>100</v>
      </c>
      <c r="T11" s="9" t="s">
        <v>99</v>
      </c>
      <c r="U11" s="9" t="s">
        <v>100</v>
      </c>
      <c r="Z11" s="11">
        <v>0.59899999999999998</v>
      </c>
      <c r="AA11" s="11">
        <v>0.69799999999999995</v>
      </c>
      <c r="AB11" s="12">
        <v>60</v>
      </c>
    </row>
    <row r="12" spans="1:31" ht="14.45" x14ac:dyDescent="0.3">
      <c r="G12" s="7" t="s">
        <v>101</v>
      </c>
      <c r="H12" s="8" t="s">
        <v>102</v>
      </c>
      <c r="M12" s="7" t="s">
        <v>103</v>
      </c>
      <c r="N12" s="8" t="s">
        <v>1004</v>
      </c>
      <c r="P12" s="9" t="s">
        <v>104</v>
      </c>
      <c r="Q12" s="9" t="s">
        <v>25</v>
      </c>
      <c r="R12" s="10">
        <v>0</v>
      </c>
      <c r="S12" s="9">
        <v>0.998</v>
      </c>
      <c r="T12" s="9" t="s">
        <v>105</v>
      </c>
      <c r="U12" s="9" t="s">
        <v>106</v>
      </c>
      <c r="Z12" s="11">
        <v>0.69899999999999995</v>
      </c>
      <c r="AA12" s="11">
        <v>0.79800000000000004</v>
      </c>
      <c r="AB12" s="12">
        <v>70</v>
      </c>
    </row>
    <row r="13" spans="1:31" ht="14.45" x14ac:dyDescent="0.3">
      <c r="M13" s="7" t="s">
        <v>107</v>
      </c>
      <c r="N13" s="8" t="s">
        <v>108</v>
      </c>
      <c r="P13" s="9" t="s">
        <v>104</v>
      </c>
      <c r="Q13" s="9" t="s">
        <v>25</v>
      </c>
      <c r="R13" s="10">
        <v>0.99</v>
      </c>
      <c r="S13" s="9">
        <v>2.9980000000000002</v>
      </c>
      <c r="T13" s="9" t="s">
        <v>109</v>
      </c>
      <c r="U13" s="9" t="s">
        <v>110</v>
      </c>
      <c r="Z13" s="11">
        <v>0.79900000000000004</v>
      </c>
      <c r="AA13" s="11">
        <v>0.89800000000000002</v>
      </c>
      <c r="AB13" s="12">
        <v>80</v>
      </c>
    </row>
    <row r="14" spans="1:31" ht="14.45" x14ac:dyDescent="0.3">
      <c r="M14" s="7"/>
      <c r="N14" s="8"/>
      <c r="P14" s="9" t="s">
        <v>104</v>
      </c>
      <c r="Q14" s="9" t="s">
        <v>25</v>
      </c>
      <c r="R14" s="10">
        <v>2.9990000000000001</v>
      </c>
      <c r="S14" s="9">
        <v>4.9980000000000002</v>
      </c>
      <c r="T14" s="9" t="s">
        <v>111</v>
      </c>
      <c r="U14" s="9" t="s">
        <v>112</v>
      </c>
      <c r="Z14" s="11">
        <v>0.89900000000000002</v>
      </c>
      <c r="AA14" s="11">
        <v>0.998</v>
      </c>
      <c r="AB14" s="12">
        <v>90</v>
      </c>
    </row>
    <row r="15" spans="1:31" ht="14.45" x14ac:dyDescent="0.3">
      <c r="M15" s="7"/>
      <c r="N15" s="8"/>
      <c r="P15" s="9" t="s">
        <v>104</v>
      </c>
      <c r="Q15" s="9" t="s">
        <v>25</v>
      </c>
      <c r="R15" s="10">
        <v>4.9989999999999997</v>
      </c>
      <c r="S15" s="9">
        <v>100</v>
      </c>
      <c r="T15" s="9" t="s">
        <v>113</v>
      </c>
      <c r="U15" s="9" t="s">
        <v>114</v>
      </c>
      <c r="Z15" s="11">
        <v>0.999</v>
      </c>
      <c r="AA15" s="11">
        <v>1.198</v>
      </c>
      <c r="AB15" s="12">
        <v>100</v>
      </c>
    </row>
    <row r="16" spans="1:31" ht="14.45" x14ac:dyDescent="0.3">
      <c r="M16" s="7"/>
      <c r="N16" s="8"/>
      <c r="P16" s="9" t="s">
        <v>104</v>
      </c>
      <c r="Q16" s="9" t="s">
        <v>71</v>
      </c>
      <c r="R16" s="10">
        <v>0</v>
      </c>
      <c r="S16" s="9">
        <v>0.998</v>
      </c>
      <c r="T16" s="9" t="s">
        <v>115</v>
      </c>
      <c r="U16" s="9" t="s">
        <v>116</v>
      </c>
      <c r="Z16" s="11">
        <v>1.1990000000000001</v>
      </c>
      <c r="AA16" s="11">
        <v>1.498</v>
      </c>
      <c r="AB16" s="12">
        <v>125</v>
      </c>
    </row>
    <row r="17" spans="13:28" ht="14.45" x14ac:dyDescent="0.3">
      <c r="M17" s="7"/>
      <c r="N17" s="8"/>
      <c r="P17" s="9" t="s">
        <v>104</v>
      </c>
      <c r="Q17" s="9" t="s">
        <v>71</v>
      </c>
      <c r="R17" s="10">
        <v>0.999</v>
      </c>
      <c r="S17" s="9">
        <v>2.9980000000000002</v>
      </c>
      <c r="T17" s="9" t="s">
        <v>117</v>
      </c>
      <c r="U17" s="9" t="s">
        <v>118</v>
      </c>
      <c r="Z17" s="11">
        <v>1.4990000000000001</v>
      </c>
      <c r="AA17" s="11">
        <v>1.698</v>
      </c>
      <c r="AB17" s="12">
        <v>150</v>
      </c>
    </row>
    <row r="18" spans="13:28" ht="14.45" x14ac:dyDescent="0.3">
      <c r="M18" s="7"/>
      <c r="N18" s="8"/>
      <c r="P18" s="9" t="s">
        <v>104</v>
      </c>
      <c r="Q18" s="9" t="s">
        <v>71</v>
      </c>
      <c r="R18" s="10">
        <v>2.9990000000000001</v>
      </c>
      <c r="S18" s="9">
        <v>4.9980000000000002</v>
      </c>
      <c r="T18" s="9" t="s">
        <v>119</v>
      </c>
      <c r="U18" s="9" t="s">
        <v>120</v>
      </c>
      <c r="Z18" s="11">
        <v>1.6990000000000001</v>
      </c>
      <c r="AA18" s="11">
        <v>1.998</v>
      </c>
      <c r="AB18" s="12">
        <v>175</v>
      </c>
    </row>
    <row r="19" spans="13:28" ht="14.45" x14ac:dyDescent="0.3">
      <c r="M19" s="7"/>
      <c r="N19" s="8"/>
      <c r="P19" s="9" t="s">
        <v>104</v>
      </c>
      <c r="Q19" s="9" t="s">
        <v>71</v>
      </c>
      <c r="R19" s="10">
        <v>4.9989999999999997</v>
      </c>
      <c r="S19" s="9">
        <v>100</v>
      </c>
      <c r="T19" s="9" t="s">
        <v>121</v>
      </c>
      <c r="U19" s="9" t="s">
        <v>122</v>
      </c>
      <c r="Z19" s="11">
        <v>1.9990000000000001</v>
      </c>
      <c r="AA19" s="11">
        <v>2.4980000000000002</v>
      </c>
      <c r="AB19" s="12">
        <v>200</v>
      </c>
    </row>
    <row r="20" spans="13:28" ht="14.45" x14ac:dyDescent="0.3">
      <c r="M20" s="7"/>
      <c r="N20" s="8"/>
      <c r="P20" s="9" t="s">
        <v>123</v>
      </c>
      <c r="Q20" s="9" t="s">
        <v>25</v>
      </c>
      <c r="R20" s="10">
        <v>0</v>
      </c>
      <c r="S20" s="9">
        <v>0.998</v>
      </c>
      <c r="T20" s="9" t="s">
        <v>124</v>
      </c>
      <c r="U20" s="9" t="s">
        <v>125</v>
      </c>
      <c r="Z20" s="11">
        <v>2.4990000000000001</v>
      </c>
      <c r="AA20" s="11">
        <v>2.9980000000000002</v>
      </c>
      <c r="AB20" s="12">
        <v>250</v>
      </c>
    </row>
    <row r="21" spans="13:28" ht="14.45" x14ac:dyDescent="0.3">
      <c r="M21" s="7"/>
      <c r="N21" s="8"/>
      <c r="P21" s="9" t="s">
        <v>123</v>
      </c>
      <c r="Q21" s="9" t="s">
        <v>25</v>
      </c>
      <c r="R21" s="10">
        <v>0.99</v>
      </c>
      <c r="S21" s="9">
        <v>2.9980000000000002</v>
      </c>
      <c r="T21" s="9" t="s">
        <v>126</v>
      </c>
      <c r="U21" s="9" t="s">
        <v>127</v>
      </c>
      <c r="Z21" s="11">
        <v>2.9990000000000001</v>
      </c>
      <c r="AA21" s="11">
        <v>3.9980000000000002</v>
      </c>
      <c r="AB21" s="12">
        <v>300</v>
      </c>
    </row>
    <row r="22" spans="13:28" ht="14.45" x14ac:dyDescent="0.3">
      <c r="M22" s="7"/>
      <c r="N22" s="8"/>
      <c r="P22" s="9" t="s">
        <v>123</v>
      </c>
      <c r="Q22" s="9" t="s">
        <v>25</v>
      </c>
      <c r="R22" s="10">
        <v>2.9990000000000001</v>
      </c>
      <c r="S22" s="9">
        <v>4.9980000000000002</v>
      </c>
      <c r="T22" s="9" t="s">
        <v>128</v>
      </c>
      <c r="U22" s="9" t="s">
        <v>129</v>
      </c>
      <c r="Z22" s="11">
        <v>3.9990000000000001</v>
      </c>
      <c r="AA22" s="11">
        <v>4.9980000000000002</v>
      </c>
      <c r="AB22" s="12">
        <v>400</v>
      </c>
    </row>
    <row r="23" spans="13:28" ht="14.45" x14ac:dyDescent="0.3">
      <c r="P23" s="9" t="s">
        <v>123</v>
      </c>
      <c r="Q23" s="9" t="s">
        <v>25</v>
      </c>
      <c r="R23" s="10">
        <v>4.9989999999999997</v>
      </c>
      <c r="S23" s="9">
        <v>100</v>
      </c>
      <c r="T23" s="9" t="s">
        <v>130</v>
      </c>
      <c r="U23" s="9" t="s">
        <v>131</v>
      </c>
      <c r="Z23" s="11">
        <v>4.9989999999999997</v>
      </c>
      <c r="AA23" s="11">
        <v>5.9980000000000002</v>
      </c>
      <c r="AB23" s="12">
        <v>500</v>
      </c>
    </row>
    <row r="24" spans="13:28" ht="14.45" x14ac:dyDescent="0.3">
      <c r="P24" s="9" t="s">
        <v>123</v>
      </c>
      <c r="Q24" s="9" t="s">
        <v>71</v>
      </c>
      <c r="R24" s="10">
        <v>0</v>
      </c>
      <c r="S24" s="9">
        <v>0.998</v>
      </c>
      <c r="T24" s="9" t="s">
        <v>132</v>
      </c>
      <c r="U24" s="9" t="s">
        <v>133</v>
      </c>
      <c r="Z24" s="11">
        <v>5.9989999999999997</v>
      </c>
      <c r="AA24" s="11">
        <v>6.9980000000000002</v>
      </c>
      <c r="AB24" s="12">
        <v>600</v>
      </c>
    </row>
    <row r="25" spans="13:28" ht="14.45" x14ac:dyDescent="0.3">
      <c r="P25" s="9" t="s">
        <v>123</v>
      </c>
      <c r="Q25" s="9" t="s">
        <v>71</v>
      </c>
      <c r="R25" s="10">
        <v>0.999</v>
      </c>
      <c r="S25" s="9">
        <v>2.9980000000000002</v>
      </c>
      <c r="T25" s="9" t="s">
        <v>134</v>
      </c>
      <c r="U25" s="9" t="s">
        <v>135</v>
      </c>
      <c r="Z25" s="11">
        <v>6.9989999999999997</v>
      </c>
      <c r="AA25" s="11">
        <v>7.9980000000000002</v>
      </c>
      <c r="AB25" s="12">
        <v>700</v>
      </c>
    </row>
    <row r="26" spans="13:28" ht="14.45" x14ac:dyDescent="0.3">
      <c r="P26" s="9" t="s">
        <v>123</v>
      </c>
      <c r="Q26" s="9" t="s">
        <v>71</v>
      </c>
      <c r="R26" s="10">
        <v>2.9990000000000001</v>
      </c>
      <c r="S26" s="9">
        <v>4.9980000000000002</v>
      </c>
      <c r="T26" s="9" t="s">
        <v>136</v>
      </c>
      <c r="U26" s="9" t="s">
        <v>137</v>
      </c>
      <c r="Z26" s="11">
        <v>7.9989999999999997</v>
      </c>
      <c r="AA26" s="11">
        <v>8.9979999999999993</v>
      </c>
      <c r="AB26" s="12">
        <v>800</v>
      </c>
    </row>
    <row r="27" spans="13:28" x14ac:dyDescent="0.25">
      <c r="P27" s="9" t="s">
        <v>123</v>
      </c>
      <c r="Q27" s="9" t="s">
        <v>71</v>
      </c>
      <c r="R27" s="10">
        <v>4.9989999999999997</v>
      </c>
      <c r="S27" s="9">
        <v>100</v>
      </c>
      <c r="T27" s="9" t="s">
        <v>138</v>
      </c>
      <c r="U27" s="9" t="s">
        <v>139</v>
      </c>
      <c r="Z27" s="11">
        <v>8.9990000000000006</v>
      </c>
      <c r="AA27" s="12">
        <v>9.9979999999999993</v>
      </c>
      <c r="AB27" s="12">
        <v>900</v>
      </c>
    </row>
    <row r="28" spans="13:28" x14ac:dyDescent="0.25">
      <c r="P28" s="9" t="s">
        <v>140</v>
      </c>
      <c r="Q28" s="9" t="s">
        <v>25</v>
      </c>
      <c r="R28" s="10">
        <v>0</v>
      </c>
      <c r="S28" s="9">
        <v>0.998</v>
      </c>
      <c r="T28" s="9" t="s">
        <v>141</v>
      </c>
      <c r="U28" s="9" t="s">
        <v>142</v>
      </c>
      <c r="Z28" s="12">
        <v>9.9990000000000006</v>
      </c>
      <c r="AA28" s="12">
        <v>1000</v>
      </c>
      <c r="AB28" s="12">
        <v>999</v>
      </c>
    </row>
    <row r="29" spans="13:28" x14ac:dyDescent="0.25">
      <c r="P29" s="9" t="s">
        <v>140</v>
      </c>
      <c r="Q29" s="9" t="s">
        <v>25</v>
      </c>
      <c r="R29" s="10">
        <v>0.99</v>
      </c>
      <c r="S29" s="9">
        <v>2.9980000000000002</v>
      </c>
      <c r="T29" s="9" t="s">
        <v>143</v>
      </c>
      <c r="U29" s="9" t="s">
        <v>144</v>
      </c>
      <c r="Z29" s="12"/>
      <c r="AA29" s="12"/>
      <c r="AB29" s="12"/>
    </row>
    <row r="30" spans="13:28" x14ac:dyDescent="0.25">
      <c r="P30" s="9" t="s">
        <v>145</v>
      </c>
      <c r="Q30" s="9" t="s">
        <v>25</v>
      </c>
      <c r="R30" s="10">
        <v>0</v>
      </c>
      <c r="S30" s="9">
        <v>0.998</v>
      </c>
      <c r="T30" s="9" t="s">
        <v>146</v>
      </c>
      <c r="U30" s="9" t="s">
        <v>147</v>
      </c>
      <c r="Z30" s="12"/>
      <c r="AA30" s="12"/>
      <c r="AB30" s="12"/>
    </row>
    <row r="31" spans="13:28" x14ac:dyDescent="0.25">
      <c r="P31" s="9" t="s">
        <v>145</v>
      </c>
      <c r="Q31" s="9" t="s">
        <v>25</v>
      </c>
      <c r="R31" s="10">
        <v>0.999</v>
      </c>
      <c r="S31" s="9">
        <v>2.9980000000000002</v>
      </c>
      <c r="T31" s="9" t="s">
        <v>148</v>
      </c>
      <c r="U31" s="9" t="s">
        <v>149</v>
      </c>
      <c r="Z31" s="12"/>
      <c r="AA31" s="12"/>
      <c r="AB31" s="12"/>
    </row>
    <row r="32" spans="13:28" x14ac:dyDescent="0.25">
      <c r="P32" s="9" t="s">
        <v>145</v>
      </c>
      <c r="Q32" s="9" t="s">
        <v>25</v>
      </c>
      <c r="R32" s="10">
        <v>2.9990000000000001</v>
      </c>
      <c r="S32" s="9">
        <v>4.9980000000000002</v>
      </c>
      <c r="T32" s="9" t="s">
        <v>150</v>
      </c>
      <c r="U32" s="9" t="s">
        <v>151</v>
      </c>
      <c r="Z32" s="12"/>
      <c r="AA32" s="12"/>
      <c r="AB32" s="12"/>
    </row>
    <row r="33" spans="16:28" x14ac:dyDescent="0.25">
      <c r="P33" s="9" t="s">
        <v>145</v>
      </c>
      <c r="Q33" s="9" t="s">
        <v>25</v>
      </c>
      <c r="R33" s="10">
        <v>4.9989999999999997</v>
      </c>
      <c r="S33" s="9">
        <v>100</v>
      </c>
      <c r="T33" s="9" t="s">
        <v>152</v>
      </c>
      <c r="U33" s="9" t="s">
        <v>153</v>
      </c>
      <c r="Z33" s="12"/>
      <c r="AA33" s="12"/>
      <c r="AB33" s="12"/>
    </row>
    <row r="34" spans="16:28" x14ac:dyDescent="0.25">
      <c r="P34" s="9" t="s">
        <v>145</v>
      </c>
      <c r="Q34" s="9" t="s">
        <v>71</v>
      </c>
      <c r="R34" s="10">
        <v>0</v>
      </c>
      <c r="S34" s="9">
        <v>0.998</v>
      </c>
      <c r="T34" s="9" t="s">
        <v>154</v>
      </c>
      <c r="U34" s="9" t="s">
        <v>155</v>
      </c>
      <c r="Z34" s="12"/>
      <c r="AA34" s="12"/>
      <c r="AB34" s="12"/>
    </row>
    <row r="35" spans="16:28" x14ac:dyDescent="0.25">
      <c r="P35" s="9" t="s">
        <v>145</v>
      </c>
      <c r="Q35" s="9" t="s">
        <v>71</v>
      </c>
      <c r="R35" s="10">
        <v>0.999</v>
      </c>
      <c r="S35" s="9">
        <v>2.9980000000000002</v>
      </c>
      <c r="T35" s="9" t="s">
        <v>156</v>
      </c>
      <c r="U35" s="9" t="s">
        <v>157</v>
      </c>
      <c r="Z35" s="12"/>
      <c r="AA35" s="12"/>
      <c r="AB35" s="12"/>
    </row>
    <row r="36" spans="16:28" x14ac:dyDescent="0.25">
      <c r="P36" s="9" t="s">
        <v>145</v>
      </c>
      <c r="Q36" s="9" t="s">
        <v>71</v>
      </c>
      <c r="R36" s="10">
        <v>2.9990000000000001</v>
      </c>
      <c r="S36" s="9">
        <v>4.9980000000000002</v>
      </c>
      <c r="T36" s="9" t="s">
        <v>158</v>
      </c>
      <c r="U36" s="9" t="s">
        <v>159</v>
      </c>
      <c r="Z36" s="12"/>
      <c r="AA36" s="12"/>
      <c r="AB36" s="12"/>
    </row>
    <row r="37" spans="16:28" x14ac:dyDescent="0.25">
      <c r="P37" s="9"/>
      <c r="Q37" s="9"/>
      <c r="R37" s="10"/>
      <c r="S37" s="9"/>
      <c r="T37" s="9" t="s">
        <v>160</v>
      </c>
      <c r="U37" s="9" t="s">
        <v>161</v>
      </c>
      <c r="Z37" s="12"/>
      <c r="AA37" s="12"/>
      <c r="AB37" s="12"/>
    </row>
  </sheetData>
  <sheetProtection algorithmName="SHA-512" hashValue="6/q2b1jpKc7ms+fVmy9E03nBywFy7JHGbfqmZk2/BoP5DhzRNSDohErB8hvE9Lv5grDvLZmBQXZDr8wBXCQpHQ==" saltValue="h3MlZhc3p/cotdKDt8nFWw==" spinCount="100000" sheet="1" objects="1" scenarios="1" autoFilter="0"/>
  <mergeCells count="1">
    <mergeCell ref="W1:X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AD42"/>
  <sheetViews>
    <sheetView topLeftCell="N1" workbookViewId="0">
      <selection activeCell="S25" sqref="S25"/>
    </sheetView>
  </sheetViews>
  <sheetFormatPr defaultRowHeight="15" x14ac:dyDescent="0.25"/>
  <cols>
    <col min="4" max="4" width="15.7109375" bestFit="1" customWidth="1"/>
    <col min="5" max="5" width="15.7109375" customWidth="1"/>
    <col min="6" max="6" width="11.7109375" customWidth="1"/>
    <col min="8" max="8" width="16.5703125" bestFit="1" customWidth="1"/>
    <col min="9" max="10" width="20.7109375" customWidth="1"/>
    <col min="11" max="11" width="11.28515625" customWidth="1"/>
    <col min="15" max="16" width="12.28515625" customWidth="1"/>
    <col min="17" max="17" width="10.7109375" customWidth="1"/>
    <col min="18" max="18" width="10.5703125" customWidth="1"/>
    <col min="20" max="21" width="16" customWidth="1"/>
    <col min="23" max="23" width="11.28515625" bestFit="1" customWidth="1"/>
    <col min="24" max="26" width="12.28515625" customWidth="1"/>
    <col min="27" max="30" width="13" customWidth="1"/>
  </cols>
  <sheetData>
    <row r="1" spans="2:30" thickBot="1" x14ac:dyDescent="0.35"/>
    <row r="2" spans="2:30" thickBot="1" x14ac:dyDescent="0.35">
      <c r="B2" s="14" t="s">
        <v>162</v>
      </c>
      <c r="C2" s="15" t="s">
        <v>163</v>
      </c>
      <c r="D2" s="15" t="s">
        <v>164</v>
      </c>
      <c r="E2" s="15" t="s">
        <v>165</v>
      </c>
      <c r="F2" s="824" t="s">
        <v>3</v>
      </c>
      <c r="G2" s="824" t="s">
        <v>167</v>
      </c>
      <c r="H2" s="823" t="s">
        <v>168</v>
      </c>
      <c r="I2" s="823" t="s">
        <v>169</v>
      </c>
      <c r="J2" s="823" t="s">
        <v>1174</v>
      </c>
      <c r="K2" s="823" t="s">
        <v>170</v>
      </c>
      <c r="L2" s="822" t="s">
        <v>170</v>
      </c>
      <c r="M2" s="823" t="s">
        <v>171</v>
      </c>
      <c r="N2" s="15" t="s">
        <v>905</v>
      </c>
      <c r="O2" s="823" t="s">
        <v>1311</v>
      </c>
      <c r="P2" s="823" t="s">
        <v>1312</v>
      </c>
      <c r="Q2" s="823" t="s">
        <v>1316</v>
      </c>
      <c r="R2" s="823" t="s">
        <v>174</v>
      </c>
      <c r="S2" s="823" t="s">
        <v>175</v>
      </c>
      <c r="T2" s="823" t="s">
        <v>177</v>
      </c>
      <c r="U2" s="823" t="s">
        <v>178</v>
      </c>
      <c r="V2" s="823" t="s">
        <v>179</v>
      </c>
      <c r="W2" s="823" t="s">
        <v>180</v>
      </c>
      <c r="X2" s="15" t="s">
        <v>904</v>
      </c>
      <c r="Y2" s="16" t="s">
        <v>181</v>
      </c>
      <c r="Z2" s="16" t="s">
        <v>182</v>
      </c>
      <c r="AA2" s="824" t="s">
        <v>13</v>
      </c>
      <c r="AB2" s="824" t="s">
        <v>211</v>
      </c>
      <c r="AC2" s="824" t="s">
        <v>224</v>
      </c>
      <c r="AD2" s="824" t="s">
        <v>197</v>
      </c>
    </row>
    <row r="3" spans="2:30" ht="14.45" x14ac:dyDescent="0.3">
      <c r="B3" t="s">
        <v>184</v>
      </c>
      <c r="C3" t="s">
        <v>185</v>
      </c>
      <c r="D3" t="s">
        <v>186</v>
      </c>
      <c r="E3" t="s">
        <v>187</v>
      </c>
      <c r="F3" t="s">
        <v>22</v>
      </c>
      <c r="G3" t="s">
        <v>188</v>
      </c>
      <c r="H3" t="s">
        <v>189</v>
      </c>
      <c r="I3" t="s">
        <v>1179</v>
      </c>
      <c r="J3" t="s">
        <v>1179</v>
      </c>
      <c r="K3" t="s">
        <v>1179</v>
      </c>
      <c r="L3" t="s">
        <v>194</v>
      </c>
      <c r="M3" t="s">
        <v>1179</v>
      </c>
      <c r="N3" t="s">
        <v>223</v>
      </c>
      <c r="O3" t="s">
        <v>1179</v>
      </c>
      <c r="P3" t="s">
        <v>1179</v>
      </c>
      <c r="Q3" s="18" t="s">
        <v>1179</v>
      </c>
      <c r="R3" s="17" t="s">
        <v>860</v>
      </c>
      <c r="S3" t="s">
        <v>1179</v>
      </c>
      <c r="T3" t="s">
        <v>1179</v>
      </c>
      <c r="U3" t="s">
        <v>1179</v>
      </c>
      <c r="V3" s="697" t="s">
        <v>860</v>
      </c>
      <c r="W3" s="697" t="s">
        <v>860</v>
      </c>
      <c r="X3" s="697" t="s">
        <v>860</v>
      </c>
      <c r="AA3" t="s">
        <v>196</v>
      </c>
      <c r="AB3" t="s">
        <v>1179</v>
      </c>
      <c r="AC3" t="s">
        <v>1179</v>
      </c>
      <c r="AD3" t="s">
        <v>1179</v>
      </c>
    </row>
    <row r="4" spans="2:30" ht="14.45" x14ac:dyDescent="0.3">
      <c r="B4" t="s">
        <v>198</v>
      </c>
      <c r="C4" t="s">
        <v>199</v>
      </c>
      <c r="D4" t="s">
        <v>200</v>
      </c>
      <c r="E4" t="s">
        <v>201</v>
      </c>
      <c r="F4" t="s">
        <v>36</v>
      </c>
      <c r="G4" t="s">
        <v>202</v>
      </c>
      <c r="H4" t="s">
        <v>203</v>
      </c>
      <c r="I4" t="s">
        <v>1431</v>
      </c>
      <c r="J4" t="s">
        <v>1175</v>
      </c>
      <c r="K4" t="s">
        <v>192</v>
      </c>
      <c r="L4" t="s">
        <v>208</v>
      </c>
      <c r="M4" t="s">
        <v>1156</v>
      </c>
      <c r="N4" t="s">
        <v>220</v>
      </c>
      <c r="O4" t="s">
        <v>1279</v>
      </c>
      <c r="P4" t="s">
        <v>1288</v>
      </c>
      <c r="Q4" s="694" t="s">
        <v>1317</v>
      </c>
      <c r="R4" s="17" t="s">
        <v>748</v>
      </c>
      <c r="S4" t="s">
        <v>1192</v>
      </c>
      <c r="T4" t="s">
        <v>1477</v>
      </c>
      <c r="U4" t="s">
        <v>195</v>
      </c>
      <c r="V4" s="33" t="s">
        <v>748</v>
      </c>
      <c r="W4" s="33" t="s">
        <v>748</v>
      </c>
      <c r="X4" s="33" t="s">
        <v>748</v>
      </c>
      <c r="AA4" t="s">
        <v>210</v>
      </c>
      <c r="AB4" t="s">
        <v>1227</v>
      </c>
      <c r="AC4" t="s">
        <v>1228</v>
      </c>
      <c r="AD4" t="s">
        <v>1229</v>
      </c>
    </row>
    <row r="5" spans="2:30" ht="14.45" x14ac:dyDescent="0.3">
      <c r="B5" t="s">
        <v>212</v>
      </c>
      <c r="C5" t="s">
        <v>204</v>
      </c>
      <c r="D5" t="s">
        <v>213</v>
      </c>
      <c r="E5" t="s">
        <v>214</v>
      </c>
      <c r="F5" t="s">
        <v>58</v>
      </c>
      <c r="G5" t="s">
        <v>215</v>
      </c>
      <c r="H5" t="s">
        <v>228</v>
      </c>
      <c r="I5" t="s">
        <v>1432</v>
      </c>
      <c r="J5" t="s">
        <v>1176</v>
      </c>
      <c r="K5" t="s">
        <v>205</v>
      </c>
      <c r="L5" t="s">
        <v>221</v>
      </c>
      <c r="M5" t="s">
        <v>193</v>
      </c>
      <c r="O5" t="s">
        <v>1280</v>
      </c>
      <c r="P5" t="s">
        <v>1289</v>
      </c>
      <c r="Q5" s="18" t="s">
        <v>1318</v>
      </c>
      <c r="R5" s="18"/>
      <c r="S5" t="s">
        <v>1193</v>
      </c>
      <c r="T5" t="s">
        <v>1478</v>
      </c>
      <c r="U5" t="s">
        <v>209</v>
      </c>
      <c r="V5" s="17"/>
      <c r="W5" s="18"/>
      <c r="AA5" t="s">
        <v>235</v>
      </c>
      <c r="AB5" t="s">
        <v>1230</v>
      </c>
      <c r="AC5" t="s">
        <v>1231</v>
      </c>
      <c r="AD5" t="s">
        <v>1232</v>
      </c>
    </row>
    <row r="6" spans="2:30" ht="14.45" x14ac:dyDescent="0.3">
      <c r="B6" t="s">
        <v>225</v>
      </c>
      <c r="C6" t="s">
        <v>219</v>
      </c>
      <c r="D6" t="s">
        <v>226</v>
      </c>
      <c r="E6" t="s">
        <v>227</v>
      </c>
      <c r="F6" t="s">
        <v>69</v>
      </c>
      <c r="H6" t="s">
        <v>234</v>
      </c>
      <c r="I6" t="s">
        <v>1473</v>
      </c>
      <c r="J6" t="s">
        <v>1177</v>
      </c>
      <c r="K6" t="s">
        <v>217</v>
      </c>
      <c r="L6" t="s">
        <v>251</v>
      </c>
      <c r="M6" t="s">
        <v>206</v>
      </c>
      <c r="O6" t="s">
        <v>1281</v>
      </c>
      <c r="P6" t="s">
        <v>1290</v>
      </c>
      <c r="Q6" s="18" t="s">
        <v>1319</v>
      </c>
      <c r="R6" s="18"/>
      <c r="S6" t="s">
        <v>1194</v>
      </c>
      <c r="T6" t="s">
        <v>1479</v>
      </c>
      <c r="U6" t="s">
        <v>1157</v>
      </c>
      <c r="V6" s="18"/>
      <c r="AA6" t="s">
        <v>240</v>
      </c>
      <c r="AB6" t="s">
        <v>1233</v>
      </c>
      <c r="AC6" t="s">
        <v>1234</v>
      </c>
      <c r="AD6" t="s">
        <v>1235</v>
      </c>
    </row>
    <row r="7" spans="2:30" ht="14.45" x14ac:dyDescent="0.3">
      <c r="B7" t="s">
        <v>231</v>
      </c>
      <c r="C7" t="s">
        <v>222</v>
      </c>
      <c r="D7" t="s">
        <v>232</v>
      </c>
      <c r="E7" t="s">
        <v>233</v>
      </c>
      <c r="F7" t="s">
        <v>90</v>
      </c>
      <c r="H7" t="s">
        <v>239</v>
      </c>
      <c r="I7" t="s">
        <v>1433</v>
      </c>
      <c r="J7" t="s">
        <v>1178</v>
      </c>
      <c r="K7" t="s">
        <v>251</v>
      </c>
      <c r="L7" t="s">
        <v>255</v>
      </c>
      <c r="M7" t="s">
        <v>218</v>
      </c>
      <c r="O7" t="s">
        <v>1310</v>
      </c>
      <c r="P7" t="s">
        <v>1282</v>
      </c>
      <c r="Q7" s="18" t="s">
        <v>1320</v>
      </c>
      <c r="S7" t="s">
        <v>266</v>
      </c>
      <c r="AA7" t="s">
        <v>919</v>
      </c>
      <c r="AB7" t="s">
        <v>1236</v>
      </c>
      <c r="AC7" t="s">
        <v>1237</v>
      </c>
      <c r="AD7" t="s">
        <v>1238</v>
      </c>
    </row>
    <row r="8" spans="2:30" ht="14.45" x14ac:dyDescent="0.3">
      <c r="B8" t="s">
        <v>236</v>
      </c>
      <c r="D8" t="s">
        <v>237</v>
      </c>
      <c r="E8" t="s">
        <v>238</v>
      </c>
      <c r="H8" t="s">
        <v>243</v>
      </c>
      <c r="I8" t="s">
        <v>1434</v>
      </c>
      <c r="K8" t="s">
        <v>255</v>
      </c>
      <c r="L8" t="s">
        <v>259</v>
      </c>
      <c r="Q8" s="18" t="s">
        <v>1321</v>
      </c>
      <c r="S8" t="s">
        <v>270</v>
      </c>
      <c r="AA8" t="s">
        <v>967</v>
      </c>
    </row>
    <row r="9" spans="2:30" ht="14.45" x14ac:dyDescent="0.3">
      <c r="B9" t="s">
        <v>241</v>
      </c>
      <c r="D9" t="s">
        <v>215</v>
      </c>
      <c r="E9" t="s">
        <v>242</v>
      </c>
      <c r="H9" t="s">
        <v>918</v>
      </c>
      <c r="I9" t="s">
        <v>1435</v>
      </c>
      <c r="K9" t="s">
        <v>259</v>
      </c>
      <c r="L9" t="s">
        <v>1179</v>
      </c>
      <c r="Q9" s="18" t="s">
        <v>1322</v>
      </c>
      <c r="S9" t="s">
        <v>1195</v>
      </c>
      <c r="AA9" t="s">
        <v>968</v>
      </c>
    </row>
    <row r="10" spans="2:30" ht="14.45" x14ac:dyDescent="0.3">
      <c r="B10" t="s">
        <v>244</v>
      </c>
      <c r="D10" t="s">
        <v>245</v>
      </c>
      <c r="E10" t="s">
        <v>246</v>
      </c>
      <c r="H10" t="s">
        <v>188</v>
      </c>
      <c r="K10" t="s">
        <v>1275</v>
      </c>
      <c r="Q10" s="18" t="s">
        <v>1323</v>
      </c>
      <c r="S10" t="s">
        <v>1424</v>
      </c>
      <c r="AA10" t="s">
        <v>969</v>
      </c>
    </row>
    <row r="11" spans="2:30" ht="14.45" x14ac:dyDescent="0.3">
      <c r="B11" t="s">
        <v>248</v>
      </c>
      <c r="D11" t="s">
        <v>249</v>
      </c>
      <c r="E11" t="s">
        <v>250</v>
      </c>
      <c r="H11" t="s">
        <v>202</v>
      </c>
      <c r="K11" t="s">
        <v>1276</v>
      </c>
      <c r="Q11" s="18" t="s">
        <v>1324</v>
      </c>
      <c r="S11" t="s">
        <v>1425</v>
      </c>
      <c r="AA11" t="s">
        <v>970</v>
      </c>
    </row>
    <row r="12" spans="2:30" ht="14.45" x14ac:dyDescent="0.3">
      <c r="B12" t="s">
        <v>252</v>
      </c>
      <c r="D12" t="s">
        <v>253</v>
      </c>
      <c r="E12" t="s">
        <v>254</v>
      </c>
      <c r="K12" t="s">
        <v>1277</v>
      </c>
      <c r="Q12" s="18" t="s">
        <v>1436</v>
      </c>
      <c r="S12" t="s">
        <v>1426</v>
      </c>
    </row>
    <row r="13" spans="2:30" ht="14.45" x14ac:dyDescent="0.3">
      <c r="B13" t="s">
        <v>256</v>
      </c>
      <c r="D13" t="s">
        <v>257</v>
      </c>
      <c r="E13" t="s">
        <v>258</v>
      </c>
      <c r="Q13" s="18" t="s">
        <v>1437</v>
      </c>
      <c r="S13" t="s">
        <v>1196</v>
      </c>
    </row>
    <row r="14" spans="2:30" ht="14.45" x14ac:dyDescent="0.3">
      <c r="B14" t="s">
        <v>260</v>
      </c>
      <c r="D14" t="s">
        <v>261</v>
      </c>
      <c r="E14" t="s">
        <v>262</v>
      </c>
      <c r="Q14" s="18" t="s">
        <v>1438</v>
      </c>
      <c r="S14" t="s">
        <v>1197</v>
      </c>
    </row>
    <row r="15" spans="2:30" ht="14.45" x14ac:dyDescent="0.3">
      <c r="B15" t="s">
        <v>263</v>
      </c>
      <c r="D15" t="s">
        <v>264</v>
      </c>
      <c r="E15" t="s">
        <v>265</v>
      </c>
      <c r="S15" t="s">
        <v>1198</v>
      </c>
    </row>
    <row r="16" spans="2:30" ht="14.45" x14ac:dyDescent="0.3">
      <c r="B16" t="s">
        <v>267</v>
      </c>
      <c r="D16" t="s">
        <v>268</v>
      </c>
      <c r="E16" t="s">
        <v>269</v>
      </c>
      <c r="S16" t="s">
        <v>1427</v>
      </c>
    </row>
    <row r="17" spans="2:19" ht="14.45" x14ac:dyDescent="0.3">
      <c r="B17" t="s">
        <v>271</v>
      </c>
      <c r="D17" t="s">
        <v>272</v>
      </c>
      <c r="E17" t="s">
        <v>273</v>
      </c>
      <c r="S17" t="s">
        <v>1428</v>
      </c>
    </row>
    <row r="18" spans="2:19" ht="14.45" x14ac:dyDescent="0.3">
      <c r="B18" t="s">
        <v>274</v>
      </c>
      <c r="D18" t="s">
        <v>275</v>
      </c>
      <c r="E18" t="s">
        <v>276</v>
      </c>
      <c r="S18" t="s">
        <v>1429</v>
      </c>
    </row>
    <row r="19" spans="2:19" ht="14.45" x14ac:dyDescent="0.3">
      <c r="B19" t="s">
        <v>277</v>
      </c>
      <c r="D19" t="s">
        <v>278</v>
      </c>
      <c r="E19" t="s">
        <v>279</v>
      </c>
      <c r="S19" t="s">
        <v>1430</v>
      </c>
    </row>
    <row r="20" spans="2:19" ht="14.45" x14ac:dyDescent="0.3">
      <c r="B20" t="s">
        <v>280</v>
      </c>
      <c r="D20" t="s">
        <v>281</v>
      </c>
      <c r="E20" t="s">
        <v>282</v>
      </c>
    </row>
    <row r="21" spans="2:19" ht="14.45" x14ac:dyDescent="0.3">
      <c r="B21" t="s">
        <v>283</v>
      </c>
      <c r="D21" t="s">
        <v>284</v>
      </c>
      <c r="E21" t="s">
        <v>285</v>
      </c>
    </row>
    <row r="22" spans="2:19" ht="14.45" x14ac:dyDescent="0.3">
      <c r="B22" t="s">
        <v>286</v>
      </c>
      <c r="D22" t="s">
        <v>761</v>
      </c>
      <c r="E22" t="s">
        <v>287</v>
      </c>
    </row>
    <row r="23" spans="2:19" ht="14.45" x14ac:dyDescent="0.3">
      <c r="B23" t="s">
        <v>288</v>
      </c>
      <c r="D23" t="s">
        <v>748</v>
      </c>
      <c r="E23" t="s">
        <v>289</v>
      </c>
    </row>
    <row r="24" spans="2:19" ht="14.45" x14ac:dyDescent="0.3">
      <c r="B24" t="s">
        <v>290</v>
      </c>
      <c r="D24" t="s">
        <v>749</v>
      </c>
      <c r="E24" t="s">
        <v>291</v>
      </c>
    </row>
    <row r="25" spans="2:19" ht="14.45" x14ac:dyDescent="0.3">
      <c r="B25" t="s">
        <v>222</v>
      </c>
      <c r="D25" t="s">
        <v>1158</v>
      </c>
      <c r="E25" t="s">
        <v>292</v>
      </c>
    </row>
    <row r="26" spans="2:19" ht="14.45" x14ac:dyDescent="0.3">
      <c r="D26" t="s">
        <v>1159</v>
      </c>
    </row>
    <row r="27" spans="2:19" ht="14.45" x14ac:dyDescent="0.3">
      <c r="D27" t="s">
        <v>1160</v>
      </c>
    </row>
    <row r="28" spans="2:19" x14ac:dyDescent="0.25">
      <c r="D28" t="s">
        <v>1161</v>
      </c>
    </row>
    <row r="29" spans="2:19" x14ac:dyDescent="0.25">
      <c r="D29" t="s">
        <v>1162</v>
      </c>
    </row>
    <row r="30" spans="2:19" x14ac:dyDescent="0.25">
      <c r="D30" t="s">
        <v>1163</v>
      </c>
    </row>
    <row r="31" spans="2:19" x14ac:dyDescent="0.25">
      <c r="D31" t="s">
        <v>1164</v>
      </c>
    </row>
    <row r="32" spans="2:19" x14ac:dyDescent="0.25">
      <c r="D32" t="s">
        <v>1165</v>
      </c>
    </row>
    <row r="33" spans="4:4" x14ac:dyDescent="0.25">
      <c r="D33" t="s">
        <v>1166</v>
      </c>
    </row>
    <row r="34" spans="4:4" x14ac:dyDescent="0.25">
      <c r="D34" t="s">
        <v>1167</v>
      </c>
    </row>
    <row r="35" spans="4:4" x14ac:dyDescent="0.25">
      <c r="D35" t="s">
        <v>860</v>
      </c>
    </row>
    <row r="36" spans="4:4" x14ac:dyDescent="0.25">
      <c r="D36" t="s">
        <v>1167</v>
      </c>
    </row>
    <row r="37" spans="4:4" x14ac:dyDescent="0.25">
      <c r="D37" t="s">
        <v>1168</v>
      </c>
    </row>
    <row r="38" spans="4:4" x14ac:dyDescent="0.25">
      <c r="D38" t="s">
        <v>1169</v>
      </c>
    </row>
    <row r="39" spans="4:4" x14ac:dyDescent="0.25">
      <c r="D39" t="s">
        <v>1170</v>
      </c>
    </row>
    <row r="40" spans="4:4" x14ac:dyDescent="0.25">
      <c r="D40" t="s">
        <v>1171</v>
      </c>
    </row>
    <row r="41" spans="4:4" x14ac:dyDescent="0.25">
      <c r="D41" t="s">
        <v>1172</v>
      </c>
    </row>
    <row r="42" spans="4:4" x14ac:dyDescent="0.25">
      <c r="D42" t="s">
        <v>1173</v>
      </c>
    </row>
  </sheetData>
  <sheetProtection algorithmName="SHA-512" hashValue="Gmku3Ywkxb/DpHr8FHK58a9IkcV4XUDML+jjveIrxr0F4mVjviQunz+JPY8fxGfaynCxwSqoh5/OacI8HMhxlw==" saltValue="o1sAuUyiZQbbfBqw3ef3ng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J3"/>
  <sheetViews>
    <sheetView tabSelected="1" workbookViewId="0">
      <selection activeCell="C3" sqref="C3"/>
    </sheetView>
  </sheetViews>
  <sheetFormatPr defaultColWidth="9.28515625" defaultRowHeight="15" x14ac:dyDescent="0.25"/>
  <cols>
    <col min="1" max="1" width="9.28515625" style="503"/>
    <col min="2" max="2" width="16.42578125" style="503" customWidth="1"/>
    <col min="3" max="6" width="11.42578125" style="503" customWidth="1"/>
    <col min="7" max="7" width="15.7109375" style="503" customWidth="1"/>
    <col min="8" max="8" width="9.5703125" style="503" bestFit="1" customWidth="1"/>
    <col min="9" max="9" width="9.28515625" style="503" customWidth="1"/>
    <col min="10" max="10" width="8" style="503" customWidth="1"/>
    <col min="11" max="11" width="8.5703125" style="503" customWidth="1"/>
    <col min="12" max="12" width="8.7109375" style="503" customWidth="1"/>
    <col min="13" max="13" width="10.42578125" style="517" customWidth="1"/>
    <col min="14" max="14" width="12.42578125" style="503" customWidth="1"/>
    <col min="15" max="15" width="9" style="509" customWidth="1"/>
    <col min="16" max="16" width="10.7109375" style="503" customWidth="1"/>
    <col min="17" max="17" width="10.28515625" style="517" customWidth="1"/>
    <col min="18" max="18" width="8.7109375" style="517" customWidth="1"/>
    <col min="19" max="19" width="7.5703125" style="517" customWidth="1"/>
    <col min="20" max="20" width="7.42578125" style="517" customWidth="1"/>
    <col min="21" max="21" width="7" style="509" customWidth="1"/>
    <col min="22" max="22" width="6.42578125" style="509" customWidth="1"/>
    <col min="23" max="23" width="6.28515625" style="509" customWidth="1"/>
    <col min="24" max="28" width="7" style="503" customWidth="1"/>
    <col min="29" max="29" width="9.28515625" style="503" customWidth="1"/>
    <col min="30" max="30" width="9.28515625" style="517" customWidth="1"/>
    <col min="31" max="31" width="11" style="517" customWidth="1"/>
    <col min="32" max="32" width="11.140625" style="517" customWidth="1"/>
    <col min="33" max="33" width="9.28515625" style="517" customWidth="1"/>
    <col min="34" max="34" width="11.42578125" style="517" customWidth="1"/>
    <col min="35" max="35" width="50.140625" bestFit="1" customWidth="1"/>
    <col min="36" max="36" width="28" customWidth="1"/>
    <col min="37" max="37" width="16.28515625" style="503" bestFit="1" customWidth="1"/>
    <col min="38" max="38" width="14.42578125" bestFit="1" customWidth="1"/>
    <col min="39" max="39" width="14.5703125" style="518" customWidth="1"/>
    <col min="40" max="40" width="23.28515625" style="503" bestFit="1" customWidth="1"/>
    <col min="41" max="41" width="8.85546875" style="503" bestFit="1" customWidth="1"/>
    <col min="42" max="42" width="10.85546875" style="503" customWidth="1"/>
    <col min="43" max="43" width="9.7109375" style="508" bestFit="1" customWidth="1"/>
    <col min="44" max="44" width="10.7109375" style="503" customWidth="1"/>
    <col min="45" max="45" width="8.42578125" style="508" customWidth="1"/>
    <col min="46" max="46" width="10.7109375" style="504" customWidth="1"/>
    <col min="47" max="48" width="11.140625" style="503" customWidth="1"/>
    <col min="49" max="49" width="12.42578125" style="509" customWidth="1"/>
    <col min="50" max="50" width="12.7109375" style="509" customWidth="1"/>
    <col min="51" max="51" width="10" style="503" customWidth="1"/>
    <col min="52" max="52" width="9.28515625" style="503" customWidth="1"/>
    <col min="53" max="53" width="10.7109375" style="503" customWidth="1"/>
    <col min="54" max="54" width="10.28515625" style="503" customWidth="1"/>
    <col min="55" max="55" width="11.28515625" style="503" customWidth="1"/>
    <col min="56" max="56" width="8.5703125" style="503" bestFit="1" customWidth="1"/>
    <col min="57" max="57" width="8.28515625" style="503" customWidth="1"/>
    <col min="58" max="58" width="7.85546875" style="503" customWidth="1"/>
    <col min="59" max="59" width="8.28515625" style="503" customWidth="1"/>
    <col min="60" max="60" width="9.28515625" style="503" customWidth="1"/>
    <col min="61" max="61" width="11.42578125" style="507" customWidth="1"/>
    <col min="62" max="62" width="11.42578125" style="503" customWidth="1"/>
    <col min="63" max="63" width="11.140625" style="503" customWidth="1"/>
    <col min="64" max="64" width="10.5703125" style="503" customWidth="1"/>
    <col min="65" max="67" width="9.28515625" style="503" customWidth="1"/>
    <col min="68" max="68" width="10.7109375" style="509" customWidth="1"/>
    <col min="69" max="69" width="10.7109375" style="503" customWidth="1"/>
    <col min="70" max="70" width="8.140625" style="503" customWidth="1"/>
    <col min="71" max="71" width="8" style="503" customWidth="1"/>
    <col min="72" max="72" width="9.28515625" style="509" bestFit="1" customWidth="1"/>
    <col min="73" max="73" width="13" style="509" hidden="1" customWidth="1"/>
    <col min="74" max="74" width="9.7109375" style="503" hidden="1" customWidth="1"/>
    <col min="75" max="75" width="8.7109375" style="509" hidden="1" customWidth="1"/>
    <col min="76" max="76" width="9.28515625" style="503" customWidth="1"/>
    <col min="77" max="77" width="12.7109375" style="507" customWidth="1"/>
    <col min="78" max="78" width="8.42578125" style="509" customWidth="1"/>
    <col min="79" max="79" width="9.28515625" style="507"/>
    <col min="80" max="80" width="8.28515625" style="509" customWidth="1"/>
    <col min="81" max="87" width="9.28515625" style="503" hidden="1" customWidth="1"/>
    <col min="88" max="92" width="9.28515625" style="503" customWidth="1"/>
    <col min="100" max="100" width="10" bestFit="1" customWidth="1"/>
    <col min="101" max="102" width="12.7109375" customWidth="1"/>
    <col min="108" max="108" width="38" customWidth="1"/>
    <col min="109" max="109" width="10.28515625" customWidth="1"/>
    <col min="110" max="110" width="14.28515625" customWidth="1"/>
    <col min="127" max="127" width="9.7109375" style="503" customWidth="1"/>
    <col min="128" max="130" width="10.28515625" style="503" customWidth="1"/>
    <col min="131" max="132" width="10.5703125" style="503" customWidth="1"/>
    <col min="133" max="133" width="11.7109375" style="503" customWidth="1"/>
    <col min="134" max="134" width="12.28515625" style="503" customWidth="1"/>
    <col min="135" max="135" width="8.42578125" style="503" customWidth="1"/>
    <col min="136" max="136" width="10.28515625" style="503" bestFit="1" customWidth="1"/>
    <col min="137" max="137" width="12" style="503" customWidth="1"/>
    <col min="138" max="140" width="12" style="735" customWidth="1"/>
    <col min="141" max="141" width="9.5703125" style="503" customWidth="1"/>
    <col min="142" max="142" width="10.7109375" style="503" customWidth="1"/>
    <col min="143" max="143" width="10.28515625" style="503" bestFit="1" customWidth="1"/>
    <col min="144" max="144" width="37.7109375" style="503" customWidth="1"/>
    <col min="145" max="16384" width="9.28515625" style="503"/>
  </cols>
  <sheetData>
    <row r="1" spans="1:140" customFormat="1" ht="16.149999999999999" thickBot="1" x14ac:dyDescent="0.35">
      <c r="A1" s="830" t="s">
        <v>823</v>
      </c>
      <c r="B1" s="830"/>
      <c r="C1" s="830"/>
      <c r="D1" s="830"/>
      <c r="E1" s="831"/>
      <c r="F1" s="725"/>
      <c r="G1" s="28" t="s">
        <v>1383</v>
      </c>
      <c r="AO1" s="832" t="s">
        <v>1472</v>
      </c>
      <c r="AP1" s="833"/>
      <c r="AQ1" s="833"/>
      <c r="AR1" s="834"/>
      <c r="AS1" s="510" t="s">
        <v>1003</v>
      </c>
      <c r="AT1" s="511"/>
      <c r="AU1" s="511"/>
      <c r="AV1" s="511"/>
      <c r="AW1" s="511"/>
      <c r="AX1" s="511"/>
      <c r="AY1" s="511"/>
      <c r="AZ1" s="511"/>
      <c r="BA1" s="511"/>
      <c r="BB1" s="511"/>
      <c r="BC1" s="511"/>
      <c r="BD1" s="511"/>
      <c r="BE1" s="511"/>
      <c r="BF1" s="511"/>
      <c r="BG1" s="511"/>
      <c r="BH1" s="511"/>
      <c r="BI1" s="511"/>
      <c r="BJ1" s="511"/>
      <c r="BK1" s="511"/>
      <c r="BL1" s="511"/>
      <c r="BM1" s="511"/>
      <c r="BN1" s="511"/>
      <c r="BO1" s="511"/>
      <c r="BP1" s="511"/>
      <c r="BQ1" s="511"/>
      <c r="BR1" s="511"/>
      <c r="BS1" s="511"/>
      <c r="BT1" s="511"/>
      <c r="BU1" s="511"/>
      <c r="BV1" s="511"/>
      <c r="BW1" s="511"/>
      <c r="BX1" s="511"/>
      <c r="BY1" s="511"/>
      <c r="BZ1" s="511"/>
      <c r="CA1" s="511"/>
      <c r="CB1" s="511"/>
      <c r="CC1" s="511"/>
      <c r="CD1" s="511"/>
      <c r="CE1" s="511"/>
      <c r="CF1" s="511"/>
      <c r="CG1" s="511"/>
      <c r="CH1" s="511"/>
      <c r="CI1" s="511"/>
      <c r="CJ1" s="511"/>
      <c r="CK1" s="522"/>
      <c r="CL1" s="435"/>
      <c r="CM1" s="828" t="s">
        <v>1365</v>
      </c>
      <c r="CN1" s="828"/>
      <c r="CO1" s="828"/>
      <c r="CP1" s="828"/>
      <c r="CQ1" s="828"/>
      <c r="CR1" s="828"/>
      <c r="CS1" s="828"/>
      <c r="CT1" s="828"/>
      <c r="CU1" s="828"/>
      <c r="CV1" s="828"/>
      <c r="CW1" s="829" t="s">
        <v>1101</v>
      </c>
      <c r="CX1" s="829"/>
      <c r="CY1" s="829"/>
      <c r="CZ1" s="829"/>
      <c r="DA1" s="829"/>
      <c r="DB1" s="829"/>
      <c r="DC1" s="829"/>
      <c r="DD1" s="820" t="s">
        <v>1471</v>
      </c>
      <c r="DE1" s="821"/>
      <c r="DF1" s="821"/>
      <c r="DG1" s="821"/>
      <c r="DH1" s="821"/>
    </row>
    <row r="2" spans="1:140" customFormat="1" ht="39.75" customHeight="1" thickBot="1" x14ac:dyDescent="0.3">
      <c r="A2" s="523" t="s">
        <v>824</v>
      </c>
      <c r="B2" s="524" t="s">
        <v>163</v>
      </c>
      <c r="C2" s="524" t="s">
        <v>825</v>
      </c>
      <c r="D2" s="524" t="s">
        <v>965</v>
      </c>
      <c r="E2" s="524" t="s">
        <v>966</v>
      </c>
      <c r="F2" s="524" t="s">
        <v>12</v>
      </c>
      <c r="G2" s="544" t="s">
        <v>1366</v>
      </c>
      <c r="H2" s="544" t="s">
        <v>868</v>
      </c>
      <c r="I2" s="545" t="s">
        <v>869</v>
      </c>
      <c r="J2" s="545" t="s">
        <v>870</v>
      </c>
      <c r="K2" s="545" t="s">
        <v>871</v>
      </c>
      <c r="L2" s="545" t="s">
        <v>345</v>
      </c>
      <c r="M2" s="512" t="s">
        <v>890</v>
      </c>
      <c r="N2" s="512" t="s">
        <v>891</v>
      </c>
      <c r="O2" s="512" t="s">
        <v>166</v>
      </c>
      <c r="P2" s="512" t="s">
        <v>872</v>
      </c>
      <c r="Q2" s="546" t="s">
        <v>873</v>
      </c>
      <c r="R2" s="546" t="s">
        <v>874</v>
      </c>
      <c r="S2" s="546" t="s">
        <v>875</v>
      </c>
      <c r="T2" s="546" t="s">
        <v>972</v>
      </c>
      <c r="U2" s="546" t="s">
        <v>876</v>
      </c>
      <c r="V2" s="546" t="s">
        <v>877</v>
      </c>
      <c r="W2" s="546" t="s">
        <v>878</v>
      </c>
      <c r="X2" s="546" t="s">
        <v>879</v>
      </c>
      <c r="Y2" s="546" t="s">
        <v>880</v>
      </c>
      <c r="Z2" s="546" t="s">
        <v>881</v>
      </c>
      <c r="AA2" s="546" t="s">
        <v>882</v>
      </c>
      <c r="AB2" s="547" t="s">
        <v>883</v>
      </c>
      <c r="AC2" s="547" t="s">
        <v>884</v>
      </c>
      <c r="AD2" s="547" t="s">
        <v>885</v>
      </c>
      <c r="AE2" s="512" t="s">
        <v>886</v>
      </c>
      <c r="AF2" s="512" t="s">
        <v>887</v>
      </c>
      <c r="AG2" s="512" t="s">
        <v>888</v>
      </c>
      <c r="AH2" s="512" t="s">
        <v>889</v>
      </c>
      <c r="AI2" s="545" t="s">
        <v>892</v>
      </c>
      <c r="AJ2" s="545" t="s">
        <v>893</v>
      </c>
      <c r="AK2" s="545" t="s">
        <v>894</v>
      </c>
      <c r="AL2" s="545" t="s">
        <v>895</v>
      </c>
      <c r="AM2" s="545" t="s">
        <v>896</v>
      </c>
      <c r="AN2" s="545" t="s">
        <v>897</v>
      </c>
      <c r="AO2" s="530" t="s">
        <v>835</v>
      </c>
      <c r="AP2" s="531" t="s">
        <v>836</v>
      </c>
      <c r="AQ2" s="532" t="s">
        <v>837</v>
      </c>
      <c r="AR2" s="533" t="s">
        <v>838</v>
      </c>
      <c r="AS2" s="537" t="s">
        <v>162</v>
      </c>
      <c r="AT2" s="537" t="s">
        <v>1356</v>
      </c>
      <c r="AU2" s="537" t="s">
        <v>1343</v>
      </c>
      <c r="AV2" s="537" t="s">
        <v>1344</v>
      </c>
      <c r="AW2" s="537" t="s">
        <v>840</v>
      </c>
      <c r="AX2" s="537" t="s">
        <v>169</v>
      </c>
      <c r="AY2" s="537" t="s">
        <v>1174</v>
      </c>
      <c r="AZ2" s="537" t="s">
        <v>175</v>
      </c>
      <c r="BA2" s="537" t="s">
        <v>178</v>
      </c>
      <c r="BB2" s="537" t="s">
        <v>177</v>
      </c>
      <c r="BC2" s="537" t="s">
        <v>197</v>
      </c>
      <c r="BD2" s="537" t="s">
        <v>211</v>
      </c>
      <c r="BE2" s="537" t="s">
        <v>224</v>
      </c>
      <c r="BF2" s="536" t="s">
        <v>843</v>
      </c>
      <c r="BG2" s="538" t="s">
        <v>170</v>
      </c>
      <c r="BH2" s="538" t="s">
        <v>171</v>
      </c>
      <c r="BI2" s="536" t="s">
        <v>844</v>
      </c>
      <c r="BJ2" s="539" t="s">
        <v>1311</v>
      </c>
      <c r="BK2" s="539" t="s">
        <v>1312</v>
      </c>
      <c r="BL2" s="539" t="s">
        <v>1316</v>
      </c>
      <c r="BM2" s="536" t="s">
        <v>846</v>
      </c>
      <c r="BN2" s="696" t="s">
        <v>174</v>
      </c>
      <c r="BO2" s="696" t="s">
        <v>180</v>
      </c>
      <c r="BP2" s="696" t="s">
        <v>179</v>
      </c>
      <c r="BQ2" s="536" t="s">
        <v>847</v>
      </c>
      <c r="BR2" s="541" t="s">
        <v>848</v>
      </c>
      <c r="BS2" s="541" t="s">
        <v>849</v>
      </c>
      <c r="BT2" s="541" t="s">
        <v>850</v>
      </c>
      <c r="BU2" s="541" t="s">
        <v>851</v>
      </c>
      <c r="BV2" s="541" t="s">
        <v>852</v>
      </c>
      <c r="BW2" s="541" t="s">
        <v>853</v>
      </c>
      <c r="BX2" s="542" t="s">
        <v>854</v>
      </c>
      <c r="BY2" s="542" t="s">
        <v>855</v>
      </c>
      <c r="BZ2" s="542" t="s">
        <v>856</v>
      </c>
      <c r="CA2" s="542" t="s">
        <v>857</v>
      </c>
      <c r="CB2" s="542" t="s">
        <v>267</v>
      </c>
      <c r="CC2" s="542" t="s">
        <v>858</v>
      </c>
      <c r="CD2" s="542" t="s">
        <v>859</v>
      </c>
      <c r="CE2" s="542" t="s">
        <v>861</v>
      </c>
      <c r="CF2" s="542" t="s">
        <v>862</v>
      </c>
      <c r="CG2" s="542" t="s">
        <v>863</v>
      </c>
      <c r="CH2" s="542" t="s">
        <v>864</v>
      </c>
      <c r="CI2" s="542" t="s">
        <v>865</v>
      </c>
      <c r="CJ2" s="542" t="s">
        <v>866</v>
      </c>
      <c r="CK2" s="543" t="s">
        <v>867</v>
      </c>
      <c r="CL2" s="548" t="s">
        <v>315</v>
      </c>
      <c r="CM2" s="548" t="s">
        <v>898</v>
      </c>
      <c r="CN2" s="548" t="s">
        <v>1102</v>
      </c>
      <c r="CO2" s="548" t="s">
        <v>1145</v>
      </c>
      <c r="CP2" s="548" t="s">
        <v>1345</v>
      </c>
      <c r="CQ2" s="548" t="s">
        <v>1099</v>
      </c>
      <c r="CR2" s="548" t="s">
        <v>1097</v>
      </c>
      <c r="CS2" s="548" t="s">
        <v>1098</v>
      </c>
      <c r="CT2" s="549" t="s">
        <v>1100</v>
      </c>
      <c r="CU2" s="548" t="s">
        <v>899</v>
      </c>
      <c r="CV2" s="550" t="s">
        <v>900</v>
      </c>
      <c r="CW2" s="736" t="s">
        <v>901</v>
      </c>
      <c r="CX2" s="736" t="s">
        <v>1003</v>
      </c>
      <c r="CY2" s="736" t="s">
        <v>1363</v>
      </c>
      <c r="CZ2" s="736" t="s">
        <v>1362</v>
      </c>
      <c r="DA2" s="737" t="s">
        <v>1364</v>
      </c>
      <c r="DB2" s="737" t="s">
        <v>902</v>
      </c>
      <c r="DC2" s="737" t="s">
        <v>903</v>
      </c>
      <c r="DD2" s="545" t="s">
        <v>1152</v>
      </c>
      <c r="DE2" s="545" t="s">
        <v>294</v>
      </c>
      <c r="DF2" s="545" t="s">
        <v>1367</v>
      </c>
      <c r="DG2" s="545" t="s">
        <v>1382</v>
      </c>
      <c r="DH2" s="742" t="s">
        <v>304</v>
      </c>
    </row>
    <row r="3" spans="1:140" ht="14.45" x14ac:dyDescent="0.3">
      <c r="C3" t="s">
        <v>1483</v>
      </c>
      <c r="D3" s="572"/>
      <c r="E3" s="572"/>
      <c r="F3" s="744" t="s">
        <v>24</v>
      </c>
      <c r="G3" s="743"/>
      <c r="H3" s="504">
        <v>0.87</v>
      </c>
      <c r="I3" s="509" t="s">
        <v>196</v>
      </c>
      <c r="J3" s="509" t="s">
        <v>186</v>
      </c>
      <c r="K3" s="574" t="s">
        <v>265</v>
      </c>
      <c r="L3" s="509" t="s">
        <v>188</v>
      </c>
      <c r="M3" s="517" t="s">
        <v>188</v>
      </c>
      <c r="N3" s="503" t="s">
        <v>188</v>
      </c>
      <c r="O3" s="509" t="s">
        <v>58</v>
      </c>
      <c r="P3" s="575" t="s">
        <v>1484</v>
      </c>
      <c r="Q3" s="517">
        <v>6.22</v>
      </c>
      <c r="R3" s="517">
        <v>6.21</v>
      </c>
      <c r="S3" s="517">
        <v>3.72</v>
      </c>
      <c r="T3" s="517">
        <v>6.2149999999999999</v>
      </c>
      <c r="U3" s="517">
        <f>Grading[[#This Row],[LENGTH]]/Grading[[#This Row],[WIDTH]]</f>
        <v>1.0016103059581321</v>
      </c>
      <c r="V3" s="517">
        <v>33.5</v>
      </c>
      <c r="W3" s="517">
        <v>13.5</v>
      </c>
      <c r="X3" s="517">
        <v>41</v>
      </c>
      <c r="Y3" s="517">
        <v>43</v>
      </c>
      <c r="Z3" s="517">
        <v>59.8</v>
      </c>
      <c r="AA3" s="503">
        <v>59</v>
      </c>
      <c r="AB3" s="503">
        <v>50</v>
      </c>
      <c r="AC3" s="503">
        <v>80</v>
      </c>
      <c r="AD3" s="518">
        <v>3</v>
      </c>
      <c r="AE3" s="517" t="s">
        <v>45</v>
      </c>
      <c r="AF3" s="517" t="s">
        <v>66</v>
      </c>
      <c r="AG3" s="517" t="s">
        <v>22</v>
      </c>
      <c r="AI3" s="826" t="s">
        <v>1486</v>
      </c>
      <c r="AJ3" s="826" t="s">
        <v>1485</v>
      </c>
      <c r="AK3" s="518"/>
      <c r="AL3" s="826" t="s">
        <v>1487</v>
      </c>
      <c r="AM3" s="503"/>
      <c r="AO3" s="573" cm="1">
        <f t="array" ref="AO3">IF(AQ3="N/A","",GetRapPrice(I3,H3,J3,K3))</f>
        <v>3900</v>
      </c>
      <c r="AP3" s="509">
        <f t="shared" ref="AP3" si="0">IF(AQ3="N/A","",IF(AO3=0,0,-1+AQ3/AO3))</f>
        <v>-0.4</v>
      </c>
      <c r="AQ3" s="508" cm="1">
        <f t="array" ref="AQ3">GetFMP(I3,H3,J3,K3,L3,M3,N3,O3,(Q3+R3)/2,Z3,AJ3,"Y")</f>
        <v>2340</v>
      </c>
      <c r="AR3" s="504">
        <f>IF(AQ3="N/A","",AQ3*H3)</f>
        <v>2035.8</v>
      </c>
      <c r="AS3" s="503"/>
      <c r="AT3" s="503"/>
      <c r="AU3" s="503" t="s">
        <v>186</v>
      </c>
      <c r="AV3" s="503" t="s">
        <v>265</v>
      </c>
      <c r="AW3" s="503" t="s">
        <v>203</v>
      </c>
      <c r="AX3" s="503"/>
      <c r="BF3" s="509">
        <f>NaturalRelatedDisc(I3,H3,J3,K3,AX3,"Y",L3,M3,N3,O3)+NaturalRelatedDisc(I3,H3,J3,K3,AY3,"Y",L3,M3,N3,O3)+OpenRelatedDisc(I3,H3,J3,K3,AZ3,"Y",L3,M3,N3,O3)+GrainingRelatedDisc(I3,H3,J3,K3,BA3,"Surface","Y",L3,M3,N3,O3)+GrainingRelatedDisc(I3,H3,J3,K3,BB3,"Internal","Y",L3,M3,N3,O3)+OthersRelatedDisc(I3,H3,J3,K3,BC3,"Y",L3,M3,N3,O3)+OthersRelatedDisc(I3,H3,J3,K3,BD3,"Y",L3,M3,N3,O3)+OthersRelatedDisc(I3,H3,J3,K3,BE3,"Y",L3,M3,N3,O3)+cutrelatedDisc(I3,H3,J3,K3,L3,M3,N3,AW3,"Y",O3)+GetColClarupgDwg(I3,H3,J3,K3,AU3,AV3,"Y",L3)</f>
        <v>0</v>
      </c>
      <c r="BG3" s="507"/>
      <c r="BI3" s="509">
        <f>BGMRelatedDisc(I3,H3,J3,K3,BG3,BH3,"Y",L3,M3,N3,O3)</f>
        <v>0</v>
      </c>
      <c r="BM3" s="509" cm="1">
        <f t="array" ref="BM3">OverallBlackRelatedDisc(I3,H3,J3,K3,BJ3,BK3,"Y",L3,M3,N3,O3)</f>
        <v>0</v>
      </c>
      <c r="BN3" s="695"/>
      <c r="BO3" s="695"/>
      <c r="BP3" s="695"/>
      <c r="BQ3" s="509">
        <f>cleanrelateddisc(I3, H3, J3, K3, BN3, BO3, "Y", L3, M3, N3,O3)+HARelatedDisc(I3, H3, J3, K3,BP3, "Y", L3,O3)</f>
        <v>0</v>
      </c>
      <c r="BR3" s="509"/>
      <c r="BS3" s="509"/>
      <c r="BT3" s="503"/>
      <c r="BW3" s="507"/>
      <c r="BX3" s="509"/>
      <c r="CA3" s="503"/>
      <c r="CB3" s="503"/>
      <c r="CK3" s="515"/>
      <c r="CL3" s="503" cm="1">
        <f t="array" ref="CL3">getSection(I3,J3,K3)</f>
        <v>7</v>
      </c>
      <c r="CM3" s="508" cm="1">
        <f t="array" ref="CM3">IF(AQ3="N/A","",IF(CU3="N/A",0,GetRapPrice(I3,H3,J3,K3)))</f>
        <v>3900</v>
      </c>
      <c r="CN3" s="509">
        <f>IF(AQ3="N/A","",IF(CU3="N/A",0,AP3-SUM(CO3+CQ3+CR3+CS3+CP3)))</f>
        <v>-0.41000000000000003</v>
      </c>
      <c r="CO3" s="509" cm="1">
        <f t="array" ref="CO3">IF(AQ3="N/A","",IF(CU3="N/A",0,IF(ISBLANK(G3),0,GetPolSymmDiscount(I3,H3,J3,K3,L3,M3,N3,O3))))</f>
        <v>0</v>
      </c>
      <c r="CP3" s="509" cm="1">
        <f t="array" ref="CP3">IF(AQ3="N/A","",Depthdisc(I3,H3,L3,J3,K3,Z3,"Y"))</f>
        <v>0</v>
      </c>
      <c r="CQ3" s="509" cm="1">
        <f t="array" ref="CQ3">IF(AQ3="N/A","",IF(CU3="N/A",0,GetSizePremiums(I3,H3,J3,K3,L3,M3,N3,O3,getSection(G3,J3,K3))))</f>
        <v>0.01</v>
      </c>
      <c r="CR3" s="509" cm="1">
        <f t="array" ref="CR3">IF(AQ3="N/A","",IF(CU3="N/A",0,IF(ISBLANK(G3),0,GetDiameterPremiums(I3,H3,L3,M3,N3,O3,J3,K3,T3))))</f>
        <v>0</v>
      </c>
      <c r="CS3" s="509" cm="1">
        <f t="array" ref="CS3">IF(AQ3="N/A","",IF(CU3="N/A",0,IF(ISBLANK(G3),0,GetKtoSPremiums(I3,H3,J3,K3,AJ3))))</f>
        <v>0</v>
      </c>
      <c r="CT3" s="509">
        <f>IF(AQ3="N/A","",IF(CU3="N/A",0,IF(OR(CM3=0,CU3=0,CM3=""),"",-1+CU3/CM3)))</f>
        <v>-0.4</v>
      </c>
      <c r="CU3" s="508" cm="1">
        <f t="array" ref="CU3">IF(AQ3="N/A","",GetFMP(I3, H3, J3, K3, L3, M3, N3, O3, (Q3+R3)/2,Z3,AJ3,"Y"))</f>
        <v>2340</v>
      </c>
      <c r="CV3" s="504">
        <f>IF(AQ3="N/A","",IF(CU3="N/A",0,CU3*H3))</f>
        <v>2035.8</v>
      </c>
      <c r="CW3" s="508">
        <f t="shared" ref="CW3" si="1">IF(CX3="","",CM3)</f>
        <v>3900</v>
      </c>
      <c r="CX3" s="735">
        <f>IF(OR(AQ3="N/A",BM3="N/A",BI3="N/A"),"",BF3+BI3+BM3+BQ3)</f>
        <v>0</v>
      </c>
      <c r="CY3" s="735">
        <f>IF(OR(AQ3="N/A",BM3="N/A",BI3="N/A"),"",IF(AND(H3&lt;1,H3&gt;=0.3,I2="ROUND"),IF(CT3&gt;=-0.4,-0.2,-0.15),MAX(CX3,IF(OR(AQ3="N/A",BM3="N/A",BI3="N/A"),"",GetFinalDiscount("Y", I3, H3, J3, K3, L3, M3, N3, O3, AS3, AT3,AU3,AV3, AW3, AX3,AY3, AZ3, BA3, BB3,BC3,BD3, BE3,BG3, BH3, BJ3, BK3, BN3, BO3, BP3)))))</f>
        <v>0</v>
      </c>
      <c r="CZ3" s="735">
        <f t="shared" ref="CZ3" si="2">IF(CX3="","",CT3)</f>
        <v>-0.4</v>
      </c>
      <c r="DA3" s="509">
        <f>IF(OR(AQ3="N/A",BM3="N/A",BI3="N/A"),"",CZ3+MAX(CX3,CY3))</f>
        <v>-0.4</v>
      </c>
      <c r="DB3" s="504">
        <f>IF(OR(AQ3="N/A",BM3="N/A",BI3="N/A"),"",CW3*(1+DA3))</f>
        <v>2340</v>
      </c>
      <c r="DC3" s="504">
        <f>IF(OR(AQ3="N/A",BM3="N/A",BI3="N/A"),"",DB3*H3)</f>
        <v>2035.8</v>
      </c>
      <c r="DD3" s="504" t="str">
        <f t="shared" ref="DD3" si="3">IF(BM3="N/A","Strong Black not allowed in Fancy",IF(BI3="N/A","BGM Not Allowed in Fancies nor 3Cts+",IF(AQ3="N/A","No Price Available in Pricelist","")))</f>
        <v/>
      </c>
      <c r="DE3" s="504" cm="1">
        <f t="array" ref="DE3">IF(OR(AQ3="N/A",BM3="N/A",BI3="N/A"),"",GetCertCharge(H3,"Y",AL3))</f>
        <v>63</v>
      </c>
      <c r="DF3" s="504">
        <f>IF(OR(AQ3="N/A",BM3="N/A",BI3="N/A"),"",DC3*Parameters!$L$3)</f>
        <v>81.432000000000002</v>
      </c>
      <c r="DG3" s="504">
        <f>IF(OR(AQ3="N/A",BM3="N/A",BI3="N/A"),"",DC3-DE3-DF3)</f>
        <v>1891.3679999999999</v>
      </c>
      <c r="DH3" s="504">
        <f>IF(OR(AQ3="N/A",BM3="N/A",BI3="N/A"),"",DG3/H3)</f>
        <v>2173.9862068965517</v>
      </c>
      <c r="DI3" s="503"/>
      <c r="DJ3" s="503"/>
      <c r="DK3" s="503"/>
      <c r="DL3" s="503"/>
      <c r="DM3" s="503"/>
      <c r="DN3" s="503"/>
      <c r="DO3" s="503"/>
      <c r="DP3" s="503"/>
      <c r="DQ3" s="503"/>
      <c r="DR3" s="503"/>
      <c r="DS3" s="503"/>
      <c r="DT3" s="503"/>
      <c r="DU3" s="503"/>
      <c r="DV3" s="503"/>
      <c r="EH3" s="503"/>
      <c r="EI3" s="503"/>
      <c r="EJ3" s="503"/>
    </row>
  </sheetData>
  <sheetProtection autoFilter="0"/>
  <mergeCells count="4">
    <mergeCell ref="CM1:CV1"/>
    <mergeCell ref="CW1:DC1"/>
    <mergeCell ref="A1:E1"/>
    <mergeCell ref="AO1:AR1"/>
  </mergeCells>
  <phoneticPr fontId="48" type="noConversion"/>
  <conditionalFormatting sqref="G3">
    <cfRule type="duplicateValues" dxfId="326" priority="117"/>
  </conditionalFormatting>
  <dataValidations count="6">
    <dataValidation type="list" allowBlank="1" showInputMessage="1" showErrorMessage="1" sqref="E3">
      <formula1>"Yes,No"</formula1>
    </dataValidation>
    <dataValidation type="list" allowBlank="1" showInputMessage="1" showErrorMessage="1" sqref="J3">
      <formula1>"D,E,F,G,H,I,J,K,L,M,N,O"</formula1>
    </dataValidation>
    <dataValidation type="list" allowBlank="1" showInputMessage="1" showErrorMessage="1" sqref="K3">
      <formula1>"IF,VVS1,VVS2,VS1,VS2,SI1,SI2,I1,I2"</formula1>
    </dataValidation>
    <dataValidation type="list" allowBlank="1" showInputMessage="1" showErrorMessage="1" sqref="AH3">
      <formula1>"FAC"</formula1>
    </dataValidation>
    <dataValidation type="list" allowBlank="1" showInputMessage="1" showErrorMessage="1" sqref="AG3">
      <formula1>"NON,SM"</formula1>
    </dataValidation>
    <dataValidation type="list" allowBlank="1" showInputMessage="1" showErrorMessage="1" sqref="F3">
      <formula1>"GIA"</formula1>
    </dataValidation>
  </dataValidations>
  <pageMargins left="0.7" right="0.7" top="0.75" bottom="0.75" header="0.3" footer="0.3"/>
  <pageSetup paperSize="9" orientation="portrait" r:id="rId1"/>
  <ignoredErrors>
    <ignoredError sqref="BI3 AO3:AP3 AR3 BF3 CX3:DC3 DE3:DH3 CL3:CV3" unlockedFormula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>
          <x14:formula1>
            <xm:f>'Field Validations'!$V$3:$V$4</xm:f>
          </x14:formula1>
          <xm:sqref>BP3</xm:sqref>
        </x14:dataValidation>
        <x14:dataValidation type="list" allowBlank="1" showInputMessage="1" showErrorMessage="1">
          <x14:formula1>
            <xm:f>'Field Validations'!$T$3:$T$6</xm:f>
          </x14:formula1>
          <xm:sqref>BB3</xm:sqref>
        </x14:dataValidation>
        <x14:dataValidation type="list" allowBlank="1" showInputMessage="1" showErrorMessage="1">
          <x14:formula1>
            <xm:f>'Field Validations'!$R$3:$R$4</xm:f>
          </x14:formula1>
          <xm:sqref>BN3</xm:sqref>
        </x14:dataValidation>
        <x14:dataValidation type="list" allowBlank="1" showInputMessage="1" showErrorMessage="1">
          <x14:formula1>
            <xm:f>'Field Validations'!$C$3:$C$7</xm:f>
          </x14:formula1>
          <xm:sqref>AT3</xm:sqref>
        </x14:dataValidation>
        <x14:dataValidation type="list" allowBlank="1" showInputMessage="1" showErrorMessage="1">
          <x14:formula1>
            <xm:f>'Field Validations'!$B$3:$B$25</xm:f>
          </x14:formula1>
          <xm:sqref>AS3</xm:sqref>
        </x14:dataValidation>
        <x14:dataValidation type="list" allowBlank="1" showInputMessage="1" showErrorMessage="1">
          <x14:formula1>
            <xm:f>'Field Validations'!$O$3:$O$7</xm:f>
          </x14:formula1>
          <xm:sqref>BJ3</xm:sqref>
        </x14:dataValidation>
        <x14:dataValidation type="list" allowBlank="1" showInputMessage="1" showErrorMessage="1">
          <x14:formula1>
            <xm:f>'Field Validations'!$X$3:$X$4</xm:f>
          </x14:formula1>
          <xm:sqref>BR3:CJ3</xm:sqref>
        </x14:dataValidation>
        <x14:dataValidation type="list" allowBlank="1" showInputMessage="1" showErrorMessage="1">
          <x14:formula1>
            <xm:f>'Field Validations'!$K$3:$K$12</xm:f>
          </x14:formula1>
          <xm:sqref>BG3</xm:sqref>
        </x14:dataValidation>
        <x14:dataValidation type="list" allowBlank="1" showInputMessage="1" showErrorMessage="1">
          <x14:formula1>
            <xm:f>'Field Validations'!$M$3:$M$7</xm:f>
          </x14:formula1>
          <xm:sqref>BH3</xm:sqref>
        </x14:dataValidation>
        <x14:dataValidation type="list" allowBlank="1" showInputMessage="1" showErrorMessage="1">
          <x14:formula1>
            <xm:f>'Field Validations'!$P$3:$P$7</xm:f>
          </x14:formula1>
          <xm:sqref>BK3</xm:sqref>
        </x14:dataValidation>
        <x14:dataValidation type="list" allowBlank="1" showInputMessage="1" showErrorMessage="1">
          <x14:formula1>
            <xm:f>'Field Validations'!$W$3:$W$4</xm:f>
          </x14:formula1>
          <xm:sqref>BO3</xm:sqref>
        </x14:dataValidation>
        <x14:dataValidation type="list" allowBlank="1" showInputMessage="1" showErrorMessage="1">
          <x14:formula1>
            <xm:f>'Field Validations'!$J$3:$J$7</xm:f>
          </x14:formula1>
          <xm:sqref>AY3</xm:sqref>
        </x14:dataValidation>
        <x14:dataValidation type="list" allowBlank="1" showInputMessage="1" showErrorMessage="1">
          <x14:formula1>
            <xm:f>'Field Validations'!$U$3:$U$6</xm:f>
          </x14:formula1>
          <xm:sqref>BA3</xm:sqref>
        </x14:dataValidation>
        <x14:dataValidation type="list" allowBlank="1" showInputMessage="1" showErrorMessage="1">
          <x14:formula1>
            <xm:f>'Field Validations'!$AB$3:$AB$7</xm:f>
          </x14:formula1>
          <xm:sqref>BD3</xm:sqref>
        </x14:dataValidation>
        <x14:dataValidation type="list" allowBlank="1" showInputMessage="1" showErrorMessage="1">
          <x14:formula1>
            <xm:f>'Field Validations'!$AD$3:$AD$7</xm:f>
          </x14:formula1>
          <xm:sqref>BC3</xm:sqref>
        </x14:dataValidation>
        <x14:dataValidation type="list" allowBlank="1" showInputMessage="1" showErrorMessage="1">
          <x14:formula1>
            <xm:f>'Field Validations'!$AC$3:$AC$7</xm:f>
          </x14:formula1>
          <xm:sqref>BE3</xm:sqref>
        </x14:dataValidation>
        <x14:dataValidation type="list" allowBlank="1" showInputMessage="1" showErrorMessage="1">
          <x14:formula1>
            <xm:f>'Field Validations'!$Q$3:$Q$14</xm:f>
          </x14:formula1>
          <xm:sqref>BL3</xm:sqref>
        </x14:dataValidation>
        <x14:dataValidation type="list" allowBlank="1" showInputMessage="1" showErrorMessage="1">
          <x14:formula1>
            <xm:f>'Field Validations'!$F$3:$F$7</xm:f>
          </x14:formula1>
          <xm:sqref>O3</xm:sqref>
        </x14:dataValidation>
        <x14:dataValidation type="list" allowBlank="1" showInputMessage="1" showErrorMessage="1">
          <x14:formula1>
            <xm:f>'GIA Parameters'!$E$4:$E$11</xm:f>
          </x14:formula1>
          <xm:sqref>AE3:AF3</xm:sqref>
        </x14:dataValidation>
        <x14:dataValidation type="list" allowBlank="1" showInputMessage="1" showErrorMessage="1">
          <x14:formula1>
            <xm:f>'Field Validations'!$D$3:$D$24</xm:f>
          </x14:formula1>
          <xm:sqref>AU3</xm:sqref>
        </x14:dataValidation>
        <x14:dataValidation type="list" allowBlank="1" showInputMessage="1" showErrorMessage="1">
          <x14:formula1>
            <xm:f>'Field Validations'!$AA$3:$AA$11</xm:f>
          </x14:formula1>
          <xm:sqref>I3</xm:sqref>
        </x14:dataValidation>
        <x14:dataValidation type="list" allowBlank="1" showInputMessage="1" showErrorMessage="1">
          <x14:formula1>
            <xm:f>'Field Validations'!$S$3:$S$19</xm:f>
          </x14:formula1>
          <xm:sqref>AZ3</xm:sqref>
        </x14:dataValidation>
        <x14:dataValidation type="list" allowBlank="1" showInputMessage="1" showErrorMessage="1">
          <x14:formula1>
            <xm:f>'Field Validations'!$I$3:$I$9</xm:f>
          </x14:formula1>
          <xm:sqref>AX3</xm:sqref>
        </x14:dataValidation>
        <x14:dataValidation type="list" allowBlank="1" showInputMessage="1" showErrorMessage="1">
          <x14:formula1>
            <xm:f>'Field Validations'!$E$3:$E$19</xm:f>
          </x14:formula1>
          <xm:sqref>AV3</xm:sqref>
        </x14:dataValidation>
        <x14:dataValidation type="list" allowBlank="1" showInputMessage="1" showErrorMessage="1">
          <x14:formula1>
            <xm:f>'Field Validations'!$H$3:$H$11</xm:f>
          </x14:formula1>
          <xm:sqref>AW3</xm:sqref>
        </x14:dataValidation>
        <x14:dataValidation type="list" allowBlank="1" showInputMessage="1" showErrorMessage="1">
          <x14:formula1>
            <xm:f>'Field Validations'!$G$3:$G$5</xm:f>
          </x14:formula1>
          <xm:sqref>L3:N3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F3"/>
  <sheetViews>
    <sheetView workbookViewId="0">
      <selection sqref="A1:E1"/>
    </sheetView>
  </sheetViews>
  <sheetFormatPr defaultColWidth="9.28515625" defaultRowHeight="15" x14ac:dyDescent="0.25"/>
  <cols>
    <col min="1" max="1" width="9.28515625" style="503"/>
    <col min="2" max="2" width="16.42578125" style="503" customWidth="1"/>
    <col min="3" max="5" width="11.42578125" style="503" customWidth="1"/>
    <col min="6" max="6" width="9.28515625" style="503"/>
    <col min="7" max="7" width="10.28515625" style="504" customWidth="1"/>
    <col min="8" max="8" width="8.28515625" style="503" customWidth="1"/>
    <col min="9" max="9" width="9.28515625" style="503" customWidth="1"/>
    <col min="10" max="10" width="9.28515625" style="503"/>
    <col min="11" max="11" width="9.28515625" style="503" customWidth="1"/>
    <col min="12" max="12" width="11.7109375" style="503" customWidth="1"/>
    <col min="13" max="13" width="9.28515625" style="503"/>
    <col min="14" max="14" width="9.5703125" style="505" customWidth="1"/>
    <col min="15" max="15" width="16.28515625" style="506" customWidth="1"/>
    <col min="16" max="16" width="12.7109375" style="503" customWidth="1"/>
    <col min="17" max="17" width="8.7109375" style="503" bestFit="1" customWidth="1"/>
    <col min="18" max="18" width="19.7109375" style="503" customWidth="1"/>
    <col min="19" max="19" width="20.7109375" style="503" customWidth="1"/>
    <col min="20" max="20" width="18" style="503" customWidth="1"/>
    <col min="21" max="21" width="10.28515625" style="503" customWidth="1"/>
    <col min="22" max="22" width="8.42578125" style="503" bestFit="1" customWidth="1"/>
    <col min="23" max="23" width="11.28515625" style="503" customWidth="1"/>
    <col min="24" max="24" width="8.5703125" style="503" bestFit="1" customWidth="1"/>
    <col min="25" max="25" width="10.5703125" style="503" bestFit="1" customWidth="1"/>
    <col min="26" max="26" width="12.5703125" style="503" customWidth="1"/>
    <col min="27" max="28" width="11.42578125" style="507" customWidth="1"/>
    <col min="29" max="29" width="9.28515625" style="503"/>
    <col min="30" max="30" width="8.7109375" style="503" customWidth="1"/>
    <col min="31" max="31" width="9" style="503" customWidth="1"/>
    <col min="32" max="32" width="9.28515625" style="503"/>
    <col min="33" max="33" width="13" style="509" customWidth="1"/>
    <col min="34" max="34" width="14" style="503" customWidth="1"/>
    <col min="35" max="35" width="12.5703125" style="503" customWidth="1"/>
    <col min="36" max="36" width="9.28515625" style="509" bestFit="1" customWidth="1"/>
    <col min="37" max="37" width="13" style="509" customWidth="1"/>
    <col min="38" max="38" width="9.7109375" style="503" customWidth="1"/>
    <col min="39" max="39" width="8.7109375" style="509" customWidth="1"/>
    <col min="40" max="40" width="9.28515625" style="503" hidden="1" customWidth="1"/>
    <col min="41" max="41" width="12.7109375" style="507" hidden="1" customWidth="1"/>
    <col min="42" max="42" width="8.42578125" style="509" customWidth="1"/>
    <col min="43" max="43" width="9.28515625" style="507"/>
    <col min="44" max="44" width="8.28515625" style="509" customWidth="1"/>
    <col min="45" max="46" width="9.28515625" style="503" customWidth="1"/>
    <col min="47" max="53" width="9.28515625" style="503" hidden="1" customWidth="1"/>
    <col min="54" max="54" width="9.28515625" style="503" customWidth="1"/>
    <col min="55" max="55" width="38.28515625" style="503" customWidth="1"/>
    <col min="56" max="56" width="11.5703125" style="503" customWidth="1"/>
    <col min="57" max="57" width="9.28515625" style="508" customWidth="1"/>
    <col min="58" max="58" width="10.7109375" style="504" customWidth="1"/>
    <col min="59" max="16384" width="9.28515625" style="503"/>
  </cols>
  <sheetData>
    <row r="1" spans="1:57" customFormat="1" thickBot="1" x14ac:dyDescent="0.35">
      <c r="A1" s="830" t="s">
        <v>823</v>
      </c>
      <c r="B1" s="830"/>
      <c r="C1" s="830"/>
      <c r="D1" s="830"/>
      <c r="E1" s="831"/>
      <c r="F1" s="519" t="s">
        <v>993</v>
      </c>
      <c r="G1" s="520"/>
      <c r="H1" s="520"/>
      <c r="I1" s="520"/>
      <c r="J1" s="520"/>
      <c r="K1" s="520"/>
      <c r="L1" s="520"/>
      <c r="M1" s="520"/>
      <c r="N1" s="520"/>
      <c r="O1" s="521"/>
      <c r="P1" s="510" t="s">
        <v>1003</v>
      </c>
      <c r="Q1" s="511"/>
      <c r="R1" s="511"/>
      <c r="S1" s="511"/>
      <c r="T1" s="511"/>
      <c r="U1" s="511"/>
      <c r="V1" s="511"/>
      <c r="W1" s="511"/>
      <c r="X1" s="511"/>
      <c r="Y1" s="511"/>
      <c r="Z1" s="511"/>
      <c r="AA1" s="511"/>
      <c r="AB1" s="511"/>
      <c r="AC1" s="511"/>
      <c r="AD1" s="511"/>
      <c r="AE1" s="511"/>
      <c r="AF1" s="511"/>
      <c r="AG1" s="511"/>
      <c r="AH1" s="511"/>
      <c r="AI1" s="511"/>
      <c r="AJ1" s="511"/>
      <c r="AK1" s="511"/>
      <c r="AL1" s="511"/>
      <c r="AM1" s="511"/>
      <c r="AN1" s="511"/>
      <c r="AO1" s="511"/>
      <c r="AP1" s="511"/>
      <c r="AQ1" s="511"/>
      <c r="AR1" s="511"/>
      <c r="AS1" s="511"/>
      <c r="AT1" s="511"/>
      <c r="AU1" s="511"/>
      <c r="AV1" s="511"/>
      <c r="AW1" s="511"/>
      <c r="AX1" s="511"/>
      <c r="AY1" s="511"/>
      <c r="AZ1" s="511"/>
      <c r="BA1" s="511"/>
      <c r="BB1" s="511"/>
      <c r="BC1" s="522"/>
    </row>
    <row r="2" spans="1:57" customFormat="1" ht="39.75" customHeight="1" thickBot="1" x14ac:dyDescent="0.35">
      <c r="A2" s="523" t="s">
        <v>824</v>
      </c>
      <c r="B2" s="524" t="s">
        <v>163</v>
      </c>
      <c r="C2" s="524" t="s">
        <v>825</v>
      </c>
      <c r="D2" s="524" t="s">
        <v>965</v>
      </c>
      <c r="E2" s="524" t="s">
        <v>966</v>
      </c>
      <c r="F2" s="525" t="s">
        <v>826</v>
      </c>
      <c r="G2" s="526" t="s">
        <v>827</v>
      </c>
      <c r="H2" s="525" t="s">
        <v>828</v>
      </c>
      <c r="I2" s="525" t="s">
        <v>829</v>
      </c>
      <c r="J2" s="525" t="s">
        <v>830</v>
      </c>
      <c r="K2" s="525" t="s">
        <v>831</v>
      </c>
      <c r="L2" s="525" t="s">
        <v>832</v>
      </c>
      <c r="M2" s="527" t="s">
        <v>833</v>
      </c>
      <c r="N2" s="528" t="s">
        <v>971</v>
      </c>
      <c r="O2" s="529" t="s">
        <v>834</v>
      </c>
      <c r="P2" s="534" t="s">
        <v>162</v>
      </c>
      <c r="Q2" s="535" t="s">
        <v>839</v>
      </c>
      <c r="R2" s="537" t="s">
        <v>840</v>
      </c>
      <c r="S2" s="537" t="s">
        <v>169</v>
      </c>
      <c r="T2" s="537" t="s">
        <v>841</v>
      </c>
      <c r="U2" s="537" t="s">
        <v>175</v>
      </c>
      <c r="V2" s="537" t="s">
        <v>176</v>
      </c>
      <c r="W2" s="537" t="s">
        <v>178</v>
      </c>
      <c r="X2" s="537" t="s">
        <v>177</v>
      </c>
      <c r="Y2" s="537" t="s">
        <v>183</v>
      </c>
      <c r="Z2" s="537" t="s">
        <v>842</v>
      </c>
      <c r="AA2" s="538" t="s">
        <v>804</v>
      </c>
      <c r="AB2" s="538" t="s">
        <v>805</v>
      </c>
      <c r="AC2" s="538" t="s">
        <v>171</v>
      </c>
      <c r="AD2" s="539" t="s">
        <v>172</v>
      </c>
      <c r="AE2" s="539" t="s">
        <v>845</v>
      </c>
      <c r="AF2" s="539" t="s">
        <v>173</v>
      </c>
      <c r="AG2" s="540" t="s">
        <v>174</v>
      </c>
      <c r="AH2" s="540" t="s">
        <v>180</v>
      </c>
      <c r="AI2" s="540" t="s">
        <v>179</v>
      </c>
      <c r="AJ2" s="541" t="s">
        <v>848</v>
      </c>
      <c r="AK2" s="541" t="s">
        <v>849</v>
      </c>
      <c r="AL2" s="541" t="s">
        <v>850</v>
      </c>
      <c r="AM2" s="541" t="s">
        <v>851</v>
      </c>
      <c r="AN2" s="541" t="s">
        <v>852</v>
      </c>
      <c r="AO2" s="541" t="s">
        <v>853</v>
      </c>
      <c r="AP2" s="542" t="s">
        <v>854</v>
      </c>
      <c r="AQ2" s="542" t="s">
        <v>855</v>
      </c>
      <c r="AR2" s="542" t="s">
        <v>856</v>
      </c>
      <c r="AS2" s="542" t="s">
        <v>857</v>
      </c>
      <c r="AT2" s="542" t="s">
        <v>267</v>
      </c>
      <c r="AU2" s="542" t="s">
        <v>858</v>
      </c>
      <c r="AV2" s="542" t="s">
        <v>859</v>
      </c>
      <c r="AW2" s="542" t="s">
        <v>861</v>
      </c>
      <c r="AX2" s="542" t="s">
        <v>862</v>
      </c>
      <c r="AY2" s="542" t="s">
        <v>863</v>
      </c>
      <c r="AZ2" s="542" t="s">
        <v>864</v>
      </c>
      <c r="BA2" s="542" t="s">
        <v>865</v>
      </c>
      <c r="BB2" s="542" t="s">
        <v>866</v>
      </c>
      <c r="BC2" s="543" t="s">
        <v>867</v>
      </c>
    </row>
    <row r="3" spans="1:57" s="503" customFormat="1" ht="14.45" x14ac:dyDescent="0.3">
      <c r="A3" s="503">
        <v>1</v>
      </c>
      <c r="C3" s="503" t="s">
        <v>1080</v>
      </c>
      <c r="D3" s="513"/>
      <c r="E3" s="513"/>
      <c r="F3" s="503" t="s">
        <v>196</v>
      </c>
      <c r="G3" s="504">
        <v>1.55</v>
      </c>
      <c r="H3" s="503" t="s">
        <v>215</v>
      </c>
      <c r="I3" s="503" t="s">
        <v>265</v>
      </c>
      <c r="J3" s="503" t="s">
        <v>188</v>
      </c>
      <c r="K3" s="503" t="s">
        <v>188</v>
      </c>
      <c r="L3" s="503" t="s">
        <v>188</v>
      </c>
      <c r="M3" s="503" t="s">
        <v>36</v>
      </c>
      <c r="N3" s="505"/>
      <c r="O3" s="506" t="s">
        <v>748</v>
      </c>
      <c r="P3" s="503" t="s">
        <v>288</v>
      </c>
      <c r="Q3" s="503" t="s">
        <v>185</v>
      </c>
      <c r="S3" s="503" t="s">
        <v>169</v>
      </c>
      <c r="T3" s="503" t="s">
        <v>216</v>
      </c>
      <c r="U3" s="503" t="s">
        <v>222</v>
      </c>
      <c r="V3" s="503" t="s">
        <v>222</v>
      </c>
      <c r="W3" s="503" t="s">
        <v>222</v>
      </c>
      <c r="X3" s="503" t="s">
        <v>222</v>
      </c>
      <c r="Y3" s="503" t="s">
        <v>222</v>
      </c>
      <c r="AA3" s="503" t="s">
        <v>192</v>
      </c>
      <c r="AB3" s="503" t="s">
        <v>222</v>
      </c>
      <c r="AC3" s="503" t="s">
        <v>222</v>
      </c>
      <c r="AD3" s="503" t="s">
        <v>223</v>
      </c>
      <c r="AE3" s="503" t="s">
        <v>199</v>
      </c>
      <c r="AF3" s="503">
        <v>3</v>
      </c>
      <c r="AG3" s="514">
        <v>1</v>
      </c>
      <c r="AH3" s="514" t="s">
        <v>220</v>
      </c>
      <c r="AI3" s="514" t="s">
        <v>220</v>
      </c>
      <c r="AJ3" s="503" t="s">
        <v>220</v>
      </c>
      <c r="AK3" s="503" t="s">
        <v>220</v>
      </c>
      <c r="AL3" s="503" t="s">
        <v>220</v>
      </c>
      <c r="AM3" s="503" t="s">
        <v>220</v>
      </c>
      <c r="AQ3" s="503" t="s">
        <v>220</v>
      </c>
      <c r="AT3" s="503" t="s">
        <v>220</v>
      </c>
      <c r="AZ3" s="503" t="s">
        <v>220</v>
      </c>
      <c r="BC3" s="515"/>
      <c r="BE3" s="516"/>
    </row>
  </sheetData>
  <sheetProtection algorithmName="SHA-512" hashValue="OSnPlQwmJPnIbRQGWSSGwIJSqPpt32E8iSBCXo3dXCKHUZCx/xyMh9Fb9+hNUXxPdEvH1ewi75DHZ43w9ZsBKA==" saltValue="iOtDDYY1RuE/xm2bJJwjxg==" spinCount="100000" sheet="1" objects="1" scenarios="1" autoFilter="0"/>
  <mergeCells count="1">
    <mergeCell ref="A1:E1"/>
  </mergeCells>
  <dataValidations count="5">
    <dataValidation type="list" allowBlank="1" showInputMessage="1" showErrorMessage="1" sqref="AD3">
      <formula1>"Yes, No"</formula1>
    </dataValidation>
    <dataValidation type="list" allowBlank="1" showInputMessage="1" showErrorMessage="1" sqref="E3">
      <formula1>"Yes,No"</formula1>
    </dataValidation>
    <dataValidation type="list" allowBlank="1" showInputMessage="1" showErrorMessage="1" sqref="M3">
      <formula1>"NON,FNT,MED,STR,VST"</formula1>
    </dataValidation>
    <dataValidation type="list" allowBlank="1" showInputMessage="1" showErrorMessage="1" sqref="O3">
      <formula1>"Y,N"</formula1>
    </dataValidation>
    <dataValidation type="list" allowBlank="1" showInputMessage="1" showErrorMessage="1" sqref="J3:L3">
      <formula1>"IDEAL,EX,VG,G,F,P"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>
          <x14:formula1>
            <xm:f>'Field Validations'!$E$3:$E$25</xm:f>
          </x14:formula1>
          <xm:sqref>I3</xm:sqref>
        </x14:dataValidation>
        <x14:dataValidation type="list" allowBlank="1" showInputMessage="1" showErrorMessage="1">
          <x14:formula1>
            <xm:f>'Field Validations'!$X$3:$X$7</xm:f>
          </x14:formula1>
          <xm:sqref>AJ3:BB3</xm:sqref>
        </x14:dataValidation>
        <x14:dataValidation type="list" allowBlank="1" showInputMessage="1" showErrorMessage="1">
          <x14:formula1>
            <xm:f>'Field Validations'!$AA$3:$AA$11</xm:f>
          </x14:formula1>
          <xm:sqref>F3</xm:sqref>
        </x14:dataValidation>
        <x14:dataValidation type="list" allowBlank="1" showInputMessage="1" showErrorMessage="1">
          <x14:formula1>
            <xm:f>'Field Validations'!$O$3:$O$6</xm:f>
          </x14:formula1>
          <xm:sqref>AE3</xm:sqref>
        </x14:dataValidation>
        <x14:dataValidation type="list" allowBlank="1" showInputMessage="1" showErrorMessage="1">
          <x14:formula1>
            <xm:f>'Field Validations'!$B$3:$B$25</xm:f>
          </x14:formula1>
          <xm:sqref>P3</xm:sqref>
        </x14:dataValidation>
        <x14:dataValidation type="list" allowBlank="1" showInputMessage="1" showErrorMessage="1">
          <x14:formula1>
            <xm:f>'Field Validations'!$C$3:$C$7</xm:f>
          </x14:formula1>
          <xm:sqref>Q3</xm:sqref>
        </x14:dataValidation>
        <x14:dataValidation type="list" allowBlank="1" showInputMessage="1" showErrorMessage="1">
          <x14:formula1>
            <xm:f>'Field Validations'!$S$3:$S$7</xm:f>
          </x14:formula1>
          <xm:sqref>U3</xm:sqref>
        </x14:dataValidation>
        <x14:dataValidation type="list" allowBlank="1" showInputMessage="1" showErrorMessage="1">
          <x14:formula1>
            <xm:f>'Field Validations'!$R$3:$R$5</xm:f>
          </x14:formula1>
          <xm:sqref>AG3</xm:sqref>
        </x14:dataValidation>
        <x14:dataValidation type="list" allowBlank="1" showInputMessage="1" showErrorMessage="1">
          <x14:formula1>
            <xm:f>'Field Validations'!$T$3:$T$6</xm:f>
          </x14:formula1>
          <xm:sqref>X3</xm:sqref>
        </x14:dataValidation>
        <x14:dataValidation type="list" allowBlank="1" showInputMessage="1" showErrorMessage="1">
          <x14:formula1>
            <xm:f>'Field Validations'!$V$3:$V$6</xm:f>
          </x14:formula1>
          <xm:sqref>AI3</xm:sqref>
        </x14:dataValidation>
        <x14:dataValidation type="list" allowBlank="1" showInputMessage="1" showErrorMessage="1">
          <x14:formula1>
            <xm:f>'Field Validations'!$D$3:$D$42</xm:f>
          </x14:formula1>
          <xm:sqref>H3</xm:sqref>
        </x14:dataValidation>
        <x14:dataValidation type="list" allowBlank="1" showInputMessage="1" showErrorMessage="1">
          <x14:formula1>
            <xm:f>'Field Validations'!$L$3:$L$9</xm:f>
          </x14:formula1>
          <xm:sqref>AB3</xm:sqref>
        </x14:dataValidation>
        <x14:dataValidation type="list" allowBlank="1" showInputMessage="1" showErrorMessage="1">
          <x14:formula1>
            <xm:f>'Field Validations'!$K$3:$K$6</xm:f>
          </x14:formula1>
          <xm:sqref>AA3</xm:sqref>
        </x14:dataValidation>
        <x14:dataValidation type="list" allowBlank="1" showInputMessage="1" showErrorMessage="1">
          <x14:formula1>
            <xm:f>'Field Validations'!$M$3:$M$6</xm:f>
          </x14:formula1>
          <xm:sqref>AC3</xm:sqref>
        </x14:dataValidation>
        <x14:dataValidation type="list" allowBlank="1" showInputMessage="1" showErrorMessage="1">
          <x14:formula1>
            <xm:f>'Field Validations'!$Q$3:$Q$8</xm:f>
          </x14:formula1>
          <xm:sqref>AF3</xm:sqref>
        </x14:dataValidation>
        <x14:dataValidation type="list" allowBlank="1" showInputMessage="1" showErrorMessage="1">
          <x14:formula1>
            <xm:f>'Field Validations'!$W$3:$W$5</xm:f>
          </x14:formula1>
          <xm:sqref>AH3</xm:sqref>
        </x14:dataValidation>
        <x14:dataValidation type="list" allowBlank="1" showInputMessage="1" showErrorMessage="1">
          <x14:formula1>
            <xm:f>'Field Validations'!#REF!</xm:f>
          </x14:formula1>
          <xm:sqref>T3 Y3:Z3 V3</xm:sqref>
        </x14:dataValidation>
        <x14:dataValidation type="list" allowBlank="1" showInputMessage="1" showErrorMessage="1">
          <x14:formula1>
            <xm:f>'Field Validations'!$U$3:$U$6</xm:f>
          </x14:formula1>
          <xm:sqref>W3</xm:sqref>
        </x14:dataValidation>
        <x14:dataValidation type="list" allowBlank="1" showInputMessage="1" showErrorMessage="1">
          <x14:formula1>
            <xm:f>'Field Validations'!$I$3:$I$12</xm:f>
          </x14:formula1>
          <xm:sqref>S3</xm:sqref>
        </x14:dataValidation>
        <x14:dataValidation type="list" allowBlank="1" showInputMessage="1" showErrorMessage="1">
          <x14:formula1>
            <xm:f>'Field Validations'!$H$3:$H$11</xm:f>
          </x14:formula1>
          <xm:sqref>R3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1"/>
  <dimension ref="A1:AP1567"/>
  <sheetViews>
    <sheetView topLeftCell="D1" workbookViewId="0">
      <selection activeCell="E12" sqref="E12"/>
    </sheetView>
  </sheetViews>
  <sheetFormatPr defaultColWidth="9.28515625" defaultRowHeight="15" x14ac:dyDescent="0.25"/>
  <cols>
    <col min="1" max="1" width="9.28515625" style="34" hidden="1" customWidth="1"/>
    <col min="2" max="2" width="8.7109375" style="33" hidden="1" customWidth="1"/>
    <col min="3" max="3" width="9.28515625" style="33" hidden="1" customWidth="1"/>
    <col min="4" max="4" width="9" style="33" customWidth="1"/>
    <col min="5" max="5" width="13.5703125" customWidth="1"/>
    <col min="7" max="10" width="9.28515625" style="25" hidden="1" customWidth="1"/>
    <col min="11" max="11" width="5.5703125" style="25" hidden="1" customWidth="1"/>
    <col min="12" max="12" width="10.28515625" style="25" customWidth="1"/>
    <col min="13" max="13" width="9.7109375" style="25" customWidth="1"/>
    <col min="14" max="14" width="5.28515625" style="25" customWidth="1"/>
    <col min="15" max="15" width="27.7109375" style="25" hidden="1" customWidth="1"/>
    <col min="16" max="16" width="15.28515625" style="25" hidden="1" customWidth="1"/>
    <col min="17" max="17" width="9.28515625" style="25" hidden="1" customWidth="1"/>
    <col min="18" max="18" width="7.5703125" style="25" hidden="1" customWidth="1"/>
    <col min="19" max="19" width="13" style="24" hidden="1" customWidth="1"/>
    <col min="20" max="20" width="5.28515625" style="24" hidden="1" customWidth="1"/>
    <col min="21" max="21" width="3.5703125" style="25" hidden="1" customWidth="1"/>
    <col min="22" max="22" width="15.7109375" style="25" hidden="1" customWidth="1"/>
    <col min="23" max="23" width="15" style="25" hidden="1" customWidth="1"/>
    <col min="24" max="24" width="3.28515625" style="25" hidden="1" customWidth="1"/>
    <col min="25" max="25" width="14.42578125" style="25" hidden="1" customWidth="1"/>
    <col min="26" max="26" width="13" style="25" hidden="1" customWidth="1"/>
    <col min="27" max="27" width="3.7109375" style="25" hidden="1" customWidth="1"/>
    <col min="28" max="28" width="10.42578125" style="25" hidden="1" customWidth="1"/>
    <col min="29" max="29" width="12" style="25" hidden="1" customWidth="1"/>
    <col min="30" max="30" width="6.28515625" style="25" hidden="1" customWidth="1"/>
    <col min="31" max="31" width="19.42578125" style="25" customWidth="1"/>
    <col min="32" max="32" width="11.28515625" style="25" customWidth="1"/>
    <col min="33" max="33" width="12.28515625" style="25" customWidth="1"/>
    <col min="34" max="34" width="10.28515625" style="25" customWidth="1"/>
    <col min="35" max="35" width="9.28515625" style="25"/>
    <col min="36" max="37" width="9.28515625" style="25" hidden="1" customWidth="1"/>
    <col min="38" max="38" width="16.7109375" style="25" hidden="1" customWidth="1"/>
    <col min="39" max="39" width="13.28515625" style="25" hidden="1" customWidth="1"/>
    <col min="40" max="40" width="30.85546875" style="25" customWidth="1"/>
    <col min="41" max="41" width="9.28515625" style="25"/>
    <col min="42" max="42" width="37.7109375" style="25" customWidth="1"/>
    <col min="43" max="16384" width="9.28515625" style="25"/>
  </cols>
  <sheetData>
    <row r="1" spans="1:42" ht="30.75" customHeight="1" x14ac:dyDescent="0.3">
      <c r="A1" s="19"/>
      <c r="B1" s="19"/>
      <c r="C1" s="19"/>
      <c r="D1" s="20"/>
      <c r="E1" s="21" t="s">
        <v>293</v>
      </c>
      <c r="F1" s="22"/>
      <c r="G1"/>
      <c r="H1"/>
      <c r="I1"/>
      <c r="J1"/>
      <c r="K1" s="23"/>
      <c r="L1" s="21" t="s">
        <v>295</v>
      </c>
      <c r="M1" s="21"/>
      <c r="N1" s="23"/>
      <c r="O1"/>
      <c r="P1"/>
      <c r="R1" s="836" t="s">
        <v>1026</v>
      </c>
      <c r="S1" s="836"/>
      <c r="U1" s="23"/>
      <c r="V1" s="836" t="s">
        <v>296</v>
      </c>
      <c r="W1" s="836"/>
      <c r="X1" s="23"/>
      <c r="Y1" s="837" t="s">
        <v>297</v>
      </c>
      <c r="Z1" s="838"/>
      <c r="AE1" s="849" t="s">
        <v>998</v>
      </c>
      <c r="AF1" s="849"/>
      <c r="AG1" s="849"/>
      <c r="AH1" s="849"/>
      <c r="AL1" s="21" t="s">
        <v>1096</v>
      </c>
      <c r="AN1" s="835" t="s">
        <v>1357</v>
      </c>
      <c r="AO1" s="835"/>
      <c r="AP1" s="835"/>
    </row>
    <row r="2" spans="1:42" ht="14.45" x14ac:dyDescent="0.3">
      <c r="A2" s="19"/>
      <c r="B2" s="19"/>
      <c r="C2" s="19"/>
      <c r="D2" s="25"/>
      <c r="E2">
        <v>20221028</v>
      </c>
      <c r="G2"/>
      <c r="H2"/>
      <c r="I2"/>
      <c r="J2"/>
      <c r="L2"/>
      <c r="M2"/>
      <c r="P2" s="26"/>
      <c r="R2" s="27">
        <f>VALUE(MID(S2,1,4))</f>
        <v>0.5</v>
      </c>
      <c r="S2" s="12" t="s">
        <v>1027</v>
      </c>
      <c r="V2" s="27">
        <f>VALUE(LEFT(W2,4))</f>
        <v>1</v>
      </c>
      <c r="W2" s="12" t="s">
        <v>300</v>
      </c>
      <c r="Y2" s="27">
        <v>0</v>
      </c>
      <c r="Z2" s="12" t="s">
        <v>301</v>
      </c>
      <c r="AE2" s="481" t="s">
        <v>298</v>
      </c>
      <c r="AF2" s="481" t="s">
        <v>299</v>
      </c>
      <c r="AG2" s="481" t="s">
        <v>299</v>
      </c>
      <c r="AH2" s="481" t="s">
        <v>299</v>
      </c>
      <c r="AJ2" s="29"/>
      <c r="AL2" s="25" t="s">
        <v>1105</v>
      </c>
    </row>
    <row r="3" spans="1:42" ht="30" x14ac:dyDescent="0.25">
      <c r="A3" s="19"/>
      <c r="B3" s="19"/>
      <c r="C3" s="19"/>
      <c r="D3" s="25"/>
      <c r="G3"/>
      <c r="H3"/>
      <c r="I3"/>
      <c r="J3"/>
      <c r="L3" s="28">
        <v>0.04</v>
      </c>
      <c r="M3"/>
      <c r="Q3" s="29"/>
      <c r="R3" s="27">
        <f t="shared" ref="R3:R23" si="0">VALUE(MID(S3,1,4))</f>
        <v>0.6</v>
      </c>
      <c r="S3" s="12" t="s">
        <v>1028</v>
      </c>
      <c r="V3" s="27">
        <f>VALUE(LEFT(W3,4))</f>
        <v>1.2</v>
      </c>
      <c r="W3" s="12" t="s">
        <v>765</v>
      </c>
      <c r="Y3" s="27">
        <v>1</v>
      </c>
      <c r="Z3" s="12" t="s">
        <v>305</v>
      </c>
      <c r="AE3" s="483" t="s">
        <v>1000</v>
      </c>
      <c r="AF3" s="488">
        <v>-0.2</v>
      </c>
      <c r="AG3" s="839">
        <v>-0.15</v>
      </c>
      <c r="AH3" s="841">
        <v>-0.2</v>
      </c>
      <c r="AN3" s="726" t="s">
        <v>1358</v>
      </c>
      <c r="AP3" s="726" t="s">
        <v>1359</v>
      </c>
    </row>
    <row r="4" spans="1:42" x14ac:dyDescent="0.25">
      <c r="A4" s="19"/>
      <c r="B4" s="19"/>
      <c r="C4" s="19"/>
      <c r="D4" s="25"/>
      <c r="G4"/>
      <c r="H4"/>
      <c r="I4"/>
      <c r="J4"/>
      <c r="L4" s="28"/>
      <c r="M4"/>
      <c r="O4" s="30"/>
      <c r="Q4" s="29"/>
      <c r="R4" s="27">
        <f t="shared" si="0"/>
        <v>0.7</v>
      </c>
      <c r="S4" s="12" t="s">
        <v>1029</v>
      </c>
      <c r="V4" s="27">
        <f>VALUE(LEFT(W4,4))</f>
        <v>1.5</v>
      </c>
      <c r="W4" s="12" t="s">
        <v>306</v>
      </c>
      <c r="Y4" s="27">
        <v>1.5</v>
      </c>
      <c r="Z4" s="12" t="s">
        <v>307</v>
      </c>
      <c r="AE4" s="484" t="s">
        <v>171</v>
      </c>
      <c r="AF4" s="489">
        <v>-0.2</v>
      </c>
      <c r="AG4" s="840"/>
      <c r="AH4" s="842"/>
      <c r="AN4" s="731" t="s">
        <v>1102</v>
      </c>
      <c r="AP4" s="732" t="s">
        <v>162</v>
      </c>
    </row>
    <row r="5" spans="1:42" x14ac:dyDescent="0.25">
      <c r="A5" s="19"/>
      <c r="B5" s="19"/>
      <c r="C5" s="19"/>
      <c r="D5" s="25"/>
      <c r="G5"/>
      <c r="H5"/>
      <c r="I5"/>
      <c r="J5"/>
      <c r="L5" s="353"/>
      <c r="Q5" s="29"/>
      <c r="R5" s="27">
        <f t="shared" si="0"/>
        <v>0.8</v>
      </c>
      <c r="S5" s="12" t="s">
        <v>1030</v>
      </c>
      <c r="V5" s="27">
        <f>VALUE(LEFT(W5,4))</f>
        <v>1.7</v>
      </c>
      <c r="W5" s="12" t="s">
        <v>309</v>
      </c>
      <c r="Y5" s="27">
        <v>2</v>
      </c>
      <c r="Z5" s="12" t="s">
        <v>310</v>
      </c>
      <c r="AE5" s="487" t="s">
        <v>994</v>
      </c>
      <c r="AF5" s="490">
        <v>-7.4999999999999997E-2</v>
      </c>
      <c r="AG5" s="844">
        <v>-7.0000000000000007E-2</v>
      </c>
      <c r="AH5" s="842"/>
      <c r="AN5" s="731" t="s">
        <v>1145</v>
      </c>
      <c r="AP5" s="733" t="s">
        <v>1356</v>
      </c>
    </row>
    <row r="6" spans="1:42" x14ac:dyDescent="0.25">
      <c r="A6" s="19"/>
      <c r="B6" s="19"/>
      <c r="C6" s="19"/>
      <c r="D6" s="25"/>
      <c r="G6"/>
      <c r="H6"/>
      <c r="I6"/>
      <c r="J6"/>
      <c r="L6" s="353"/>
      <c r="Q6" s="31"/>
      <c r="R6" s="27">
        <f t="shared" si="0"/>
        <v>0.9</v>
      </c>
      <c r="S6" s="12" t="s">
        <v>1031</v>
      </c>
      <c r="V6" s="27">
        <f>VALUE(LEFT(W6,4))</f>
        <v>2</v>
      </c>
      <c r="W6" s="12" t="s">
        <v>311</v>
      </c>
      <c r="Y6" s="27">
        <v>3</v>
      </c>
      <c r="Z6" s="12" t="s">
        <v>1107</v>
      </c>
      <c r="AE6" s="487" t="s">
        <v>162</v>
      </c>
      <c r="AF6" s="490">
        <v>-0.02</v>
      </c>
      <c r="AG6" s="844"/>
      <c r="AH6" s="842"/>
      <c r="AN6" s="731" t="s">
        <v>1345</v>
      </c>
      <c r="AP6" s="733" t="s">
        <v>1343</v>
      </c>
    </row>
    <row r="7" spans="1:42" x14ac:dyDescent="0.25">
      <c r="A7" s="19"/>
      <c r="B7" s="19"/>
      <c r="C7" s="19"/>
      <c r="D7" s="25"/>
      <c r="G7"/>
      <c r="H7"/>
      <c r="I7"/>
      <c r="J7"/>
      <c r="L7" s="353"/>
      <c r="Q7" s="31"/>
      <c r="R7" s="27">
        <f t="shared" si="0"/>
        <v>0.98</v>
      </c>
      <c r="S7" s="12" t="s">
        <v>1032</v>
      </c>
      <c r="V7" s="27">
        <v>2.2000000000000002</v>
      </c>
      <c r="W7" s="12" t="s">
        <v>312</v>
      </c>
      <c r="Y7" s="27">
        <v>4</v>
      </c>
      <c r="Z7" s="12" t="s">
        <v>1108</v>
      </c>
      <c r="AE7" s="487" t="s">
        <v>1002</v>
      </c>
      <c r="AF7" s="490">
        <v>-0.03</v>
      </c>
      <c r="AG7" s="844"/>
      <c r="AH7" s="842"/>
      <c r="AN7" s="731" t="s">
        <v>1099</v>
      </c>
      <c r="AP7" s="733" t="s">
        <v>1344</v>
      </c>
    </row>
    <row r="8" spans="1:42" x14ac:dyDescent="0.25">
      <c r="A8" s="19"/>
      <c r="B8" s="19"/>
      <c r="C8" s="19"/>
      <c r="D8" s="25"/>
      <c r="G8"/>
      <c r="H8"/>
      <c r="I8"/>
      <c r="J8"/>
      <c r="L8" s="353"/>
      <c r="O8" s="30"/>
      <c r="Q8" s="29"/>
      <c r="R8" s="27">
        <f t="shared" si="0"/>
        <v>1</v>
      </c>
      <c r="S8" s="12" t="s">
        <v>1033</v>
      </c>
      <c r="Y8" s="27">
        <v>5</v>
      </c>
      <c r="Z8" s="12" t="s">
        <v>1109</v>
      </c>
      <c r="AE8" s="487" t="s">
        <v>995</v>
      </c>
      <c r="AF8" s="490">
        <v>-0.09</v>
      </c>
      <c r="AG8" s="844"/>
      <c r="AH8" s="842"/>
      <c r="AN8" s="731" t="s">
        <v>1097</v>
      </c>
      <c r="AP8" s="733" t="s">
        <v>1354</v>
      </c>
    </row>
    <row r="9" spans="1:42" x14ac:dyDescent="0.25">
      <c r="A9" s="19"/>
      <c r="B9" s="19"/>
      <c r="C9" s="19"/>
      <c r="D9" s="25"/>
      <c r="G9"/>
      <c r="H9"/>
      <c r="I9"/>
      <c r="J9"/>
      <c r="L9" s="353"/>
      <c r="Q9" s="29"/>
      <c r="R9" s="27">
        <f t="shared" si="0"/>
        <v>1.1000000000000001</v>
      </c>
      <c r="S9" s="12" t="s">
        <v>1034</v>
      </c>
      <c r="Y9" s="27">
        <v>6</v>
      </c>
      <c r="Z9" s="12" t="s">
        <v>1110</v>
      </c>
      <c r="AE9" s="487" t="s">
        <v>211</v>
      </c>
      <c r="AF9" s="490">
        <v>-0.04</v>
      </c>
      <c r="AG9" s="844"/>
      <c r="AH9" s="842"/>
      <c r="AN9" s="731" t="s">
        <v>1098</v>
      </c>
      <c r="AP9" s="733" t="s">
        <v>1355</v>
      </c>
    </row>
    <row r="10" spans="1:42" x14ac:dyDescent="0.25">
      <c r="A10" s="19"/>
      <c r="B10" s="19"/>
      <c r="C10" s="19"/>
      <c r="D10" s="25"/>
      <c r="G10"/>
      <c r="H10"/>
      <c r="I10"/>
      <c r="J10"/>
      <c r="L10" s="353"/>
      <c r="Q10" s="31"/>
      <c r="R10" s="27">
        <f t="shared" si="0"/>
        <v>1.2</v>
      </c>
      <c r="S10" s="12" t="s">
        <v>1035</v>
      </c>
      <c r="U10" s="24"/>
      <c r="Y10" s="27"/>
      <c r="Z10" s="12"/>
      <c r="AE10" s="485" t="s">
        <v>1325</v>
      </c>
      <c r="AF10" s="491">
        <v>-0.05</v>
      </c>
      <c r="AG10" s="845">
        <v>-0.03</v>
      </c>
      <c r="AH10" s="842"/>
      <c r="AN10" s="295"/>
      <c r="AP10" s="733" t="s">
        <v>840</v>
      </c>
    </row>
    <row r="11" spans="1:42" x14ac:dyDescent="0.25">
      <c r="A11" s="19"/>
      <c r="B11" s="19"/>
      <c r="C11" s="19"/>
      <c r="D11" s="25"/>
      <c r="G11"/>
      <c r="H11"/>
      <c r="I11"/>
      <c r="J11"/>
      <c r="L11" s="353"/>
      <c r="Q11" s="31"/>
      <c r="R11" s="27">
        <f t="shared" si="0"/>
        <v>1.3</v>
      </c>
      <c r="S11" s="12" t="s">
        <v>1036</v>
      </c>
      <c r="U11" s="24"/>
      <c r="Y11" s="27"/>
      <c r="Z11" s="12"/>
      <c r="AE11" s="485" t="s">
        <v>197</v>
      </c>
      <c r="AF11" s="491">
        <v>-0.01</v>
      </c>
      <c r="AG11" s="845"/>
      <c r="AH11" s="842"/>
      <c r="AN11" s="295"/>
      <c r="AP11" s="733" t="s">
        <v>169</v>
      </c>
    </row>
    <row r="12" spans="1:42" x14ac:dyDescent="0.25">
      <c r="A12" s="19"/>
      <c r="B12" s="19"/>
      <c r="C12" s="19"/>
      <c r="D12" s="25"/>
      <c r="G12"/>
      <c r="H12"/>
      <c r="I12"/>
      <c r="J12"/>
      <c r="L12" s="353"/>
      <c r="R12" s="27">
        <f t="shared" si="0"/>
        <v>1.4</v>
      </c>
      <c r="S12" s="12" t="s">
        <v>1037</v>
      </c>
      <c r="U12" s="24"/>
      <c r="Y12" s="27"/>
      <c r="Z12" s="12"/>
      <c r="AE12" s="485" t="s">
        <v>169</v>
      </c>
      <c r="AF12" s="491">
        <v>-0.04</v>
      </c>
      <c r="AG12" s="845"/>
      <c r="AH12" s="842"/>
      <c r="AP12" s="733" t="s">
        <v>1174</v>
      </c>
    </row>
    <row r="13" spans="1:42" x14ac:dyDescent="0.25">
      <c r="A13" s="19"/>
      <c r="B13" s="19"/>
      <c r="C13" s="19"/>
      <c r="D13" s="25"/>
      <c r="G13"/>
      <c r="H13"/>
      <c r="I13"/>
      <c r="J13"/>
      <c r="K13" s="353"/>
      <c r="L13" s="353"/>
      <c r="Q13" s="29"/>
      <c r="R13" s="27">
        <f t="shared" si="0"/>
        <v>1.5</v>
      </c>
      <c r="S13" s="12" t="s">
        <v>1038</v>
      </c>
      <c r="U13" s="24"/>
      <c r="Y13" s="27"/>
      <c r="Z13" s="12"/>
      <c r="AE13" s="485" t="s">
        <v>996</v>
      </c>
      <c r="AF13" s="491">
        <v>-0.02</v>
      </c>
      <c r="AG13" s="845"/>
      <c r="AH13" s="842"/>
      <c r="AP13" s="733" t="s">
        <v>175</v>
      </c>
    </row>
    <row r="14" spans="1:42" x14ac:dyDescent="0.25">
      <c r="A14" s="19"/>
      <c r="B14" s="19"/>
      <c r="C14" s="19"/>
      <c r="D14" s="25"/>
      <c r="G14"/>
      <c r="H14"/>
      <c r="I14"/>
      <c r="J14"/>
      <c r="L14" s="353"/>
      <c r="Q14" s="29"/>
      <c r="R14" s="27">
        <f t="shared" si="0"/>
        <v>1.6</v>
      </c>
      <c r="S14" s="12" t="s">
        <v>1039</v>
      </c>
      <c r="U14" s="24"/>
      <c r="Y14" s="27"/>
      <c r="Z14" s="12"/>
      <c r="AE14" s="485" t="s">
        <v>224</v>
      </c>
      <c r="AF14" s="491">
        <v>-0.02</v>
      </c>
      <c r="AG14" s="845"/>
      <c r="AH14" s="842"/>
      <c r="AP14" s="733" t="s">
        <v>178</v>
      </c>
    </row>
    <row r="15" spans="1:42" x14ac:dyDescent="0.25">
      <c r="A15" s="19"/>
      <c r="B15" s="19"/>
      <c r="C15" s="19"/>
      <c r="D15" s="25"/>
      <c r="G15"/>
      <c r="H15"/>
      <c r="I15"/>
      <c r="J15"/>
      <c r="L15" s="353"/>
      <c r="Q15" s="29"/>
      <c r="R15" s="27">
        <f t="shared" si="0"/>
        <v>1.7</v>
      </c>
      <c r="S15" s="12" t="s">
        <v>1040</v>
      </c>
      <c r="U15" s="24"/>
      <c r="Y15" s="27"/>
      <c r="Z15" s="12"/>
      <c r="AE15" s="486" t="s">
        <v>313</v>
      </c>
      <c r="AF15" s="492">
        <v>-0.03</v>
      </c>
      <c r="AG15" s="846"/>
      <c r="AH15" s="843"/>
      <c r="AP15" s="733" t="s">
        <v>177</v>
      </c>
    </row>
    <row r="16" spans="1:42" ht="14.45" x14ac:dyDescent="0.3">
      <c r="A16" s="19"/>
      <c r="B16" s="19"/>
      <c r="C16" s="19"/>
      <c r="D16" s="25"/>
      <c r="G16"/>
      <c r="H16"/>
      <c r="I16"/>
      <c r="J16"/>
      <c r="L16" s="353"/>
      <c r="Q16" s="29"/>
      <c r="R16" s="27">
        <f t="shared" si="0"/>
        <v>1.8</v>
      </c>
      <c r="S16" s="12" t="s">
        <v>1041</v>
      </c>
      <c r="U16" s="24"/>
      <c r="Y16" s="27"/>
      <c r="Z16" s="12"/>
      <c r="AF16" s="482"/>
      <c r="AP16" s="733" t="s">
        <v>197</v>
      </c>
    </row>
    <row r="17" spans="1:42" ht="14.45" x14ac:dyDescent="0.3">
      <c r="A17" s="19"/>
      <c r="B17" s="19"/>
      <c r="C17" s="19"/>
      <c r="D17" s="25"/>
      <c r="G17"/>
      <c r="H17"/>
      <c r="I17"/>
      <c r="J17"/>
      <c r="L17" s="353"/>
      <c r="R17" s="27">
        <f t="shared" si="0"/>
        <v>1.9</v>
      </c>
      <c r="S17" s="12" t="s">
        <v>1042</v>
      </c>
      <c r="U17" s="24"/>
      <c r="Y17" s="27"/>
      <c r="Z17" s="12"/>
      <c r="AH17" s="32"/>
      <c r="AP17" s="733" t="s">
        <v>211</v>
      </c>
    </row>
    <row r="18" spans="1:42" ht="14.45" x14ac:dyDescent="0.3">
      <c r="A18" s="19"/>
      <c r="B18" s="25"/>
      <c r="C18" s="25"/>
      <c r="D18" s="25"/>
      <c r="G18"/>
      <c r="H18"/>
      <c r="I18"/>
      <c r="J18"/>
      <c r="L18" s="353"/>
      <c r="Q18" s="29"/>
      <c r="R18" s="27">
        <f t="shared" si="0"/>
        <v>2</v>
      </c>
      <c r="S18" s="12" t="s">
        <v>1043</v>
      </c>
      <c r="U18" s="24"/>
      <c r="AE18" s="850" t="s">
        <v>999</v>
      </c>
      <c r="AF18" s="850"/>
      <c r="AG18" s="850"/>
      <c r="AH18" s="850"/>
      <c r="AP18" s="733" t="s">
        <v>224</v>
      </c>
    </row>
    <row r="19" spans="1:42" ht="14.45" x14ac:dyDescent="0.3">
      <c r="A19" s="19"/>
      <c r="B19" s="25"/>
      <c r="C19" s="25"/>
      <c r="D19" s="25"/>
      <c r="G19"/>
      <c r="H19"/>
      <c r="I19"/>
      <c r="J19"/>
      <c r="L19" s="353"/>
      <c r="Q19" s="29"/>
      <c r="R19" s="27">
        <f t="shared" si="0"/>
        <v>2.1</v>
      </c>
      <c r="S19" s="12" t="s">
        <v>1044</v>
      </c>
      <c r="U19" s="24"/>
      <c r="AE19" s="494" t="s">
        <v>298</v>
      </c>
      <c r="AF19" s="493" t="s">
        <v>299</v>
      </c>
      <c r="AG19" s="493" t="s">
        <v>299</v>
      </c>
      <c r="AH19" s="493" t="s">
        <v>299</v>
      </c>
      <c r="AP19" s="727" t="s">
        <v>170</v>
      </c>
    </row>
    <row r="20" spans="1:42" x14ac:dyDescent="0.25">
      <c r="A20" s="19"/>
      <c r="B20" s="25"/>
      <c r="C20" s="25"/>
      <c r="D20" s="25"/>
      <c r="G20"/>
      <c r="H20"/>
      <c r="I20"/>
      <c r="J20"/>
      <c r="Q20" s="31"/>
      <c r="R20" s="27">
        <f t="shared" si="0"/>
        <v>2.2000000000000002</v>
      </c>
      <c r="S20" s="12" t="s">
        <v>1045</v>
      </c>
      <c r="U20" s="24"/>
      <c r="AE20" s="495" t="s">
        <v>840</v>
      </c>
      <c r="AF20" s="498">
        <v>0.02</v>
      </c>
      <c r="AG20" s="847">
        <v>2.5000000000000001E-2</v>
      </c>
      <c r="AH20" s="851"/>
      <c r="AP20" s="727" t="s">
        <v>171</v>
      </c>
    </row>
    <row r="21" spans="1:42" x14ac:dyDescent="0.25">
      <c r="A21" s="19"/>
      <c r="B21" s="25"/>
      <c r="C21" s="25"/>
      <c r="D21" s="25"/>
      <c r="J21" s="24"/>
      <c r="Q21" s="31"/>
      <c r="R21" s="27">
        <f t="shared" si="0"/>
        <v>2.5</v>
      </c>
      <c r="S21" s="12" t="s">
        <v>1046</v>
      </c>
      <c r="U21" s="24"/>
      <c r="AE21" s="495" t="s">
        <v>993</v>
      </c>
      <c r="AF21" s="498">
        <v>0.03</v>
      </c>
      <c r="AG21" s="847"/>
      <c r="AH21" s="852"/>
      <c r="AP21" s="728" t="s">
        <v>1311</v>
      </c>
    </row>
    <row r="22" spans="1:42" x14ac:dyDescent="0.25">
      <c r="A22" s="19"/>
      <c r="B22" s="25"/>
      <c r="C22" s="25"/>
      <c r="D22" s="25"/>
      <c r="J22" s="24"/>
      <c r="Q22" s="31"/>
      <c r="R22" s="27">
        <f t="shared" si="0"/>
        <v>2.7</v>
      </c>
      <c r="S22" s="12" t="s">
        <v>1047</v>
      </c>
      <c r="U22" s="24"/>
      <c r="AE22" s="495" t="s">
        <v>1001</v>
      </c>
      <c r="AF22" s="498">
        <v>0.01</v>
      </c>
      <c r="AG22" s="847"/>
      <c r="AH22" s="852"/>
      <c r="AP22" s="728" t="s">
        <v>1312</v>
      </c>
    </row>
    <row r="23" spans="1:42" x14ac:dyDescent="0.25">
      <c r="A23" s="19"/>
      <c r="B23" s="25"/>
      <c r="C23" s="25"/>
      <c r="D23" s="25"/>
      <c r="J23" s="24"/>
      <c r="R23" s="27">
        <f t="shared" si="0"/>
        <v>2.8</v>
      </c>
      <c r="S23" s="12" t="s">
        <v>1071</v>
      </c>
      <c r="U23" s="24"/>
      <c r="AE23" s="496" t="s">
        <v>179</v>
      </c>
      <c r="AF23" s="499">
        <v>2.5000000000000001E-2</v>
      </c>
      <c r="AG23" s="847">
        <v>2.5000000000000001E-2</v>
      </c>
      <c r="AH23" s="852"/>
      <c r="AP23" s="728" t="s">
        <v>1316</v>
      </c>
    </row>
    <row r="24" spans="1:42" x14ac:dyDescent="0.25">
      <c r="A24" s="19"/>
      <c r="B24" s="25"/>
      <c r="C24" s="25"/>
      <c r="D24" s="25"/>
      <c r="J24" s="24"/>
      <c r="Q24" s="29"/>
      <c r="R24" s="27">
        <v>3</v>
      </c>
      <c r="S24" s="12" t="s">
        <v>1107</v>
      </c>
      <c r="U24" s="24"/>
      <c r="AE24" s="496" t="s">
        <v>313</v>
      </c>
      <c r="AF24" s="499">
        <v>0.01</v>
      </c>
      <c r="AG24" s="847"/>
      <c r="AH24" s="852"/>
      <c r="AP24" s="729" t="s">
        <v>174</v>
      </c>
    </row>
    <row r="25" spans="1:42" x14ac:dyDescent="0.25">
      <c r="A25" s="19"/>
      <c r="B25" s="25"/>
      <c r="C25" s="25"/>
      <c r="D25" s="25"/>
      <c r="J25" s="24"/>
      <c r="Q25" s="29"/>
      <c r="R25" s="27">
        <v>4</v>
      </c>
      <c r="S25" s="12" t="s">
        <v>1108</v>
      </c>
      <c r="U25" s="24"/>
      <c r="AE25" s="496" t="s">
        <v>997</v>
      </c>
      <c r="AF25" s="499">
        <v>1.4999999999999999E-2</v>
      </c>
      <c r="AG25" s="847"/>
      <c r="AH25" s="852"/>
      <c r="AP25" s="729" t="s">
        <v>180</v>
      </c>
    </row>
    <row r="26" spans="1:42" x14ac:dyDescent="0.25">
      <c r="A26" s="19"/>
      <c r="B26" s="25"/>
      <c r="C26" s="25"/>
      <c r="D26" s="25"/>
      <c r="J26" s="24"/>
      <c r="R26" s="27">
        <v>5</v>
      </c>
      <c r="S26" s="12" t="s">
        <v>1109</v>
      </c>
      <c r="U26" s="24"/>
      <c r="AE26" s="497" t="s">
        <v>180</v>
      </c>
      <c r="AF26" s="500">
        <v>1.4999999999999999E-2</v>
      </c>
      <c r="AG26" s="848"/>
      <c r="AH26" s="853"/>
      <c r="AP26" s="730" t="s">
        <v>179</v>
      </c>
    </row>
    <row r="27" spans="1:42" x14ac:dyDescent="0.25">
      <c r="A27" s="19"/>
      <c r="B27" s="25"/>
      <c r="C27" s="25"/>
      <c r="D27" s="25"/>
      <c r="J27" s="24"/>
      <c r="R27" s="27">
        <v>6</v>
      </c>
      <c r="S27" s="12"/>
      <c r="U27" s="24"/>
    </row>
    <row r="28" spans="1:42" x14ac:dyDescent="0.25">
      <c r="A28" s="19"/>
      <c r="B28" s="25"/>
      <c r="C28" s="25"/>
      <c r="D28" s="25"/>
      <c r="J28" s="24"/>
      <c r="U28" s="24"/>
    </row>
    <row r="29" spans="1:42" x14ac:dyDescent="0.25">
      <c r="A29" s="19"/>
      <c r="B29" s="25"/>
      <c r="C29" s="25"/>
      <c r="D29" s="25"/>
      <c r="J29" s="24"/>
      <c r="U29" s="24"/>
      <c r="AN29" s="734" t="s">
        <v>1360</v>
      </c>
    </row>
    <row r="30" spans="1:42" x14ac:dyDescent="0.25">
      <c r="A30" s="19"/>
      <c r="B30" s="25"/>
      <c r="C30" s="25"/>
      <c r="D30" s="25"/>
      <c r="J30" s="24"/>
      <c r="U30" s="24"/>
      <c r="AN30" s="734" t="s">
        <v>1361</v>
      </c>
    </row>
    <row r="31" spans="1:42" x14ac:dyDescent="0.25">
      <c r="A31" s="19"/>
      <c r="B31" s="25"/>
      <c r="C31" s="25"/>
      <c r="D31" s="25"/>
      <c r="J31" s="24"/>
      <c r="U31" s="24"/>
    </row>
    <row r="32" spans="1:42" x14ac:dyDescent="0.25">
      <c r="A32" s="19"/>
      <c r="B32" s="25"/>
      <c r="C32" s="25"/>
      <c r="D32" s="25"/>
      <c r="J32" s="24"/>
      <c r="U32" s="24"/>
    </row>
    <row r="33" spans="1:21" x14ac:dyDescent="0.25">
      <c r="A33" s="19"/>
      <c r="B33" s="25"/>
      <c r="C33" s="25"/>
      <c r="D33" s="25"/>
      <c r="J33" s="24"/>
      <c r="U33" s="24"/>
    </row>
    <row r="34" spans="1:21" x14ac:dyDescent="0.25">
      <c r="A34" s="19"/>
      <c r="B34" s="25"/>
      <c r="C34" s="25"/>
      <c r="D34" s="25"/>
      <c r="J34" s="24"/>
      <c r="U34" s="24"/>
    </row>
    <row r="35" spans="1:21" x14ac:dyDescent="0.25">
      <c r="A35" s="19"/>
      <c r="B35" s="25"/>
      <c r="C35" s="25"/>
      <c r="D35" s="25"/>
      <c r="J35" s="24"/>
      <c r="U35" s="24"/>
    </row>
    <row r="36" spans="1:21" x14ac:dyDescent="0.25">
      <c r="A36" s="19"/>
      <c r="B36" s="25"/>
      <c r="C36" s="25"/>
      <c r="D36" s="25"/>
      <c r="J36" s="24"/>
      <c r="U36" s="24"/>
    </row>
    <row r="37" spans="1:21" x14ac:dyDescent="0.25">
      <c r="A37" s="19"/>
      <c r="B37" s="25"/>
      <c r="C37" s="25"/>
      <c r="D37" s="25"/>
      <c r="J37" s="24"/>
      <c r="U37" s="24"/>
    </row>
    <row r="38" spans="1:21" x14ac:dyDescent="0.25">
      <c r="A38" s="19"/>
      <c r="B38" s="25"/>
      <c r="C38" s="25"/>
      <c r="D38" s="25"/>
      <c r="J38" s="24"/>
      <c r="U38" s="24"/>
    </row>
    <row r="39" spans="1:21" x14ac:dyDescent="0.25">
      <c r="A39" s="19"/>
      <c r="B39" s="25"/>
      <c r="C39" s="25"/>
      <c r="D39" s="25"/>
      <c r="J39" s="24"/>
      <c r="U39" s="24"/>
    </row>
    <row r="40" spans="1:21" x14ac:dyDescent="0.25">
      <c r="A40" s="19"/>
      <c r="B40" s="25"/>
      <c r="C40" s="25"/>
      <c r="D40" s="25"/>
      <c r="J40" s="24"/>
      <c r="U40" s="24"/>
    </row>
    <row r="41" spans="1:21" x14ac:dyDescent="0.25">
      <c r="A41" s="19"/>
      <c r="B41" s="25"/>
      <c r="C41" s="25"/>
      <c r="D41" s="25"/>
      <c r="J41" s="24"/>
      <c r="U41" s="24"/>
    </row>
    <row r="42" spans="1:21" x14ac:dyDescent="0.25">
      <c r="A42" s="19"/>
      <c r="B42" s="25"/>
      <c r="C42" s="25"/>
      <c r="D42" s="25"/>
      <c r="J42" s="24"/>
      <c r="U42" s="24"/>
    </row>
    <row r="43" spans="1:21" x14ac:dyDescent="0.25">
      <c r="A43" s="19"/>
      <c r="B43" s="25"/>
      <c r="C43" s="25"/>
      <c r="D43" s="25"/>
      <c r="J43" s="24"/>
      <c r="U43" s="24"/>
    </row>
    <row r="44" spans="1:21" x14ac:dyDescent="0.25">
      <c r="A44" s="19"/>
      <c r="B44" s="25"/>
      <c r="C44" s="25"/>
      <c r="D44" s="25"/>
      <c r="J44" s="24"/>
      <c r="U44" s="24"/>
    </row>
    <row r="45" spans="1:21" x14ac:dyDescent="0.25">
      <c r="A45" s="19"/>
      <c r="B45" s="25"/>
      <c r="C45" s="25"/>
      <c r="D45" s="25"/>
      <c r="J45" s="24"/>
      <c r="U45" s="24"/>
    </row>
    <row r="46" spans="1:21" x14ac:dyDescent="0.25">
      <c r="A46" s="19"/>
      <c r="B46" s="25"/>
      <c r="C46" s="25"/>
      <c r="D46" s="25"/>
      <c r="J46" s="24"/>
      <c r="U46" s="24"/>
    </row>
    <row r="47" spans="1:21" x14ac:dyDescent="0.25">
      <c r="A47" s="19"/>
      <c r="B47" s="25"/>
      <c r="C47" s="25"/>
      <c r="D47" s="25"/>
      <c r="J47" s="24"/>
      <c r="U47" s="24"/>
    </row>
    <row r="48" spans="1:21" x14ac:dyDescent="0.25">
      <c r="A48" s="19"/>
      <c r="B48" s="25"/>
      <c r="C48" s="25"/>
      <c r="D48" s="25"/>
      <c r="J48" s="24"/>
      <c r="U48" s="24"/>
    </row>
    <row r="49" spans="1:21" x14ac:dyDescent="0.25">
      <c r="A49" s="19"/>
      <c r="B49" s="25"/>
      <c r="C49" s="25"/>
      <c r="D49" s="25"/>
      <c r="J49" s="24"/>
      <c r="U49" s="24"/>
    </row>
    <row r="50" spans="1:21" x14ac:dyDescent="0.25">
      <c r="A50" s="19"/>
      <c r="B50" s="25"/>
      <c r="C50" s="25"/>
      <c r="D50" s="25"/>
      <c r="J50" s="24"/>
      <c r="U50" s="24"/>
    </row>
    <row r="51" spans="1:21" x14ac:dyDescent="0.25">
      <c r="A51" s="19"/>
      <c r="B51" s="25"/>
      <c r="C51" s="25"/>
      <c r="D51" s="25"/>
      <c r="J51" s="24"/>
      <c r="U51" s="24"/>
    </row>
    <row r="52" spans="1:21" x14ac:dyDescent="0.25">
      <c r="A52" s="19"/>
      <c r="B52" s="25"/>
      <c r="C52" s="25"/>
      <c r="D52" s="25"/>
      <c r="J52" s="24"/>
      <c r="U52" s="24"/>
    </row>
    <row r="53" spans="1:21" x14ac:dyDescent="0.25">
      <c r="A53" s="19"/>
      <c r="B53" s="25"/>
      <c r="C53" s="25"/>
      <c r="D53" s="25"/>
      <c r="J53" s="24"/>
      <c r="U53" s="24"/>
    </row>
    <row r="54" spans="1:21" x14ac:dyDescent="0.25">
      <c r="A54" s="19"/>
      <c r="B54" s="25"/>
      <c r="C54" s="25"/>
      <c r="D54" s="25"/>
      <c r="J54" s="24"/>
      <c r="U54" s="24"/>
    </row>
    <row r="55" spans="1:21" x14ac:dyDescent="0.25">
      <c r="A55" s="19"/>
      <c r="B55" s="25"/>
      <c r="C55" s="25"/>
      <c r="D55" s="25"/>
      <c r="J55" s="24"/>
      <c r="U55" s="24"/>
    </row>
    <row r="56" spans="1:21" x14ac:dyDescent="0.25">
      <c r="A56" s="19"/>
      <c r="B56" s="25"/>
      <c r="C56" s="25"/>
      <c r="D56" s="25"/>
      <c r="J56" s="24"/>
      <c r="U56" s="24"/>
    </row>
    <row r="57" spans="1:21" x14ac:dyDescent="0.25">
      <c r="A57" s="19"/>
      <c r="B57" s="25"/>
      <c r="C57" s="25"/>
      <c r="D57" s="25"/>
      <c r="J57" s="24"/>
      <c r="U57" s="24"/>
    </row>
    <row r="58" spans="1:21" x14ac:dyDescent="0.25">
      <c r="A58" s="19"/>
      <c r="B58" s="25"/>
      <c r="C58" s="25"/>
      <c r="D58" s="25"/>
      <c r="J58" s="24"/>
      <c r="U58" s="24"/>
    </row>
    <row r="59" spans="1:21" x14ac:dyDescent="0.25">
      <c r="A59" s="19"/>
      <c r="B59" s="25"/>
      <c r="C59" s="25"/>
      <c r="D59" s="25"/>
      <c r="J59" s="24"/>
      <c r="U59" s="24"/>
    </row>
    <row r="60" spans="1:21" x14ac:dyDescent="0.25">
      <c r="A60" s="19"/>
      <c r="B60" s="25"/>
      <c r="C60" s="25"/>
      <c r="D60" s="25"/>
      <c r="J60" s="24"/>
      <c r="U60" s="24"/>
    </row>
    <row r="61" spans="1:21" x14ac:dyDescent="0.25">
      <c r="A61" s="19"/>
      <c r="B61" s="25"/>
      <c r="C61" s="25"/>
      <c r="D61" s="25"/>
      <c r="J61" s="24"/>
      <c r="U61" s="24"/>
    </row>
    <row r="62" spans="1:21" x14ac:dyDescent="0.25">
      <c r="A62" s="19"/>
      <c r="B62" s="25"/>
      <c r="C62" s="25"/>
      <c r="D62" s="25"/>
      <c r="J62" s="24"/>
      <c r="U62" s="24"/>
    </row>
    <row r="63" spans="1:21" x14ac:dyDescent="0.25">
      <c r="A63" s="19"/>
      <c r="B63" s="25"/>
      <c r="C63" s="25"/>
      <c r="D63" s="25"/>
      <c r="J63" s="24"/>
      <c r="U63" s="24"/>
    </row>
    <row r="64" spans="1:21" x14ac:dyDescent="0.25">
      <c r="A64" s="19"/>
      <c r="B64" s="25"/>
      <c r="C64" s="25"/>
      <c r="D64" s="25"/>
      <c r="J64" s="24"/>
      <c r="U64" s="24"/>
    </row>
    <row r="65" spans="1:21" x14ac:dyDescent="0.25">
      <c r="A65" s="19"/>
      <c r="B65" s="25"/>
      <c r="C65" s="25"/>
      <c r="D65" s="25"/>
      <c r="J65" s="24"/>
      <c r="U65" s="24"/>
    </row>
    <row r="66" spans="1:21" x14ac:dyDescent="0.25">
      <c r="A66" s="19"/>
      <c r="B66" s="25"/>
      <c r="C66" s="25"/>
      <c r="D66" s="25"/>
      <c r="J66" s="24"/>
      <c r="U66" s="24"/>
    </row>
    <row r="67" spans="1:21" x14ac:dyDescent="0.25">
      <c r="A67" s="19"/>
      <c r="B67" s="25"/>
      <c r="C67" s="25"/>
      <c r="D67" s="25"/>
      <c r="J67" s="24"/>
      <c r="U67" s="24"/>
    </row>
    <row r="68" spans="1:21" x14ac:dyDescent="0.25">
      <c r="A68" s="19"/>
      <c r="B68" s="25"/>
      <c r="C68" s="25"/>
      <c r="D68" s="25"/>
      <c r="J68" s="24"/>
      <c r="U68" s="24"/>
    </row>
    <row r="69" spans="1:21" x14ac:dyDescent="0.25">
      <c r="A69" s="19"/>
      <c r="B69" s="25"/>
      <c r="C69" s="25"/>
      <c r="D69" s="25"/>
      <c r="J69" s="24"/>
      <c r="U69" s="24"/>
    </row>
    <row r="70" spans="1:21" x14ac:dyDescent="0.25">
      <c r="A70" s="19"/>
      <c r="B70" s="25"/>
      <c r="C70" s="25"/>
      <c r="D70" s="25"/>
      <c r="J70" s="24"/>
      <c r="U70" s="24"/>
    </row>
    <row r="71" spans="1:21" x14ac:dyDescent="0.25">
      <c r="A71" s="19"/>
      <c r="B71" s="25"/>
      <c r="C71" s="25"/>
      <c r="D71" s="25"/>
      <c r="J71" s="24"/>
      <c r="U71" s="24"/>
    </row>
    <row r="72" spans="1:21" x14ac:dyDescent="0.25">
      <c r="A72" s="19"/>
      <c r="B72" s="25"/>
      <c r="C72" s="25"/>
      <c r="D72" s="25"/>
      <c r="J72" s="24"/>
      <c r="U72" s="24"/>
    </row>
    <row r="73" spans="1:21" x14ac:dyDescent="0.25">
      <c r="A73" s="19"/>
      <c r="B73" s="25"/>
      <c r="C73" s="25"/>
      <c r="D73" s="25"/>
      <c r="J73" s="24"/>
      <c r="U73" s="24"/>
    </row>
    <row r="74" spans="1:21" x14ac:dyDescent="0.25">
      <c r="A74" s="19"/>
      <c r="B74" s="25"/>
      <c r="C74" s="25"/>
      <c r="D74" s="25"/>
      <c r="J74" s="24"/>
      <c r="U74" s="24"/>
    </row>
    <row r="75" spans="1:21" x14ac:dyDescent="0.25">
      <c r="A75" s="19"/>
      <c r="B75" s="25"/>
      <c r="C75" s="25"/>
      <c r="D75" s="25"/>
      <c r="J75" s="24"/>
      <c r="U75" s="24"/>
    </row>
    <row r="76" spans="1:21" x14ac:dyDescent="0.25">
      <c r="A76" s="19"/>
      <c r="B76" s="25"/>
      <c r="C76" s="25"/>
      <c r="D76" s="25"/>
      <c r="J76" s="24"/>
      <c r="U76" s="24"/>
    </row>
    <row r="77" spans="1:21" x14ac:dyDescent="0.25">
      <c r="A77" s="19"/>
      <c r="B77" s="25"/>
      <c r="C77" s="25"/>
      <c r="D77" s="25"/>
      <c r="J77" s="24"/>
      <c r="U77" s="24"/>
    </row>
    <row r="78" spans="1:21" x14ac:dyDescent="0.25">
      <c r="A78" s="19"/>
      <c r="B78" s="25"/>
      <c r="C78" s="25"/>
      <c r="D78" s="25"/>
      <c r="J78" s="24"/>
      <c r="U78" s="24"/>
    </row>
    <row r="79" spans="1:21" x14ac:dyDescent="0.25">
      <c r="A79" s="19"/>
      <c r="B79" s="25"/>
      <c r="C79" s="25"/>
      <c r="D79" s="25"/>
      <c r="J79" s="24"/>
      <c r="U79" s="24"/>
    </row>
    <row r="80" spans="1:21" x14ac:dyDescent="0.25">
      <c r="A80" s="19"/>
      <c r="B80" s="25"/>
      <c r="C80" s="25"/>
      <c r="D80" s="25"/>
      <c r="J80" s="24"/>
      <c r="U80" s="24"/>
    </row>
    <row r="81" spans="1:21" x14ac:dyDescent="0.25">
      <c r="A81" s="19"/>
      <c r="B81" s="25"/>
      <c r="C81" s="25"/>
      <c r="D81" s="25"/>
      <c r="J81" s="24"/>
      <c r="U81" s="24"/>
    </row>
    <row r="82" spans="1:21" x14ac:dyDescent="0.25">
      <c r="A82" s="19"/>
      <c r="B82" s="25"/>
      <c r="C82" s="25"/>
      <c r="D82" s="25"/>
      <c r="J82" s="24"/>
      <c r="U82" s="24"/>
    </row>
    <row r="83" spans="1:21" x14ac:dyDescent="0.25">
      <c r="A83" s="19"/>
      <c r="B83" s="25"/>
      <c r="C83" s="25"/>
      <c r="D83" s="25"/>
      <c r="J83" s="24"/>
      <c r="U83" s="24"/>
    </row>
    <row r="84" spans="1:21" x14ac:dyDescent="0.25">
      <c r="A84" s="19"/>
      <c r="B84" s="25"/>
      <c r="C84" s="25"/>
      <c r="D84" s="25"/>
      <c r="J84" s="24"/>
      <c r="U84" s="24"/>
    </row>
    <row r="85" spans="1:21" x14ac:dyDescent="0.25">
      <c r="A85" s="19"/>
      <c r="B85" s="25"/>
      <c r="C85" s="25"/>
      <c r="D85" s="25"/>
      <c r="J85" s="24"/>
      <c r="U85" s="24"/>
    </row>
    <row r="86" spans="1:21" x14ac:dyDescent="0.25">
      <c r="A86" s="19"/>
      <c r="B86" s="25"/>
      <c r="C86" s="25"/>
      <c r="D86" s="25"/>
      <c r="J86" s="24"/>
      <c r="U86" s="24"/>
    </row>
    <row r="87" spans="1:21" x14ac:dyDescent="0.25">
      <c r="A87" s="19"/>
      <c r="B87" s="25"/>
      <c r="C87" s="25"/>
      <c r="D87" s="25"/>
      <c r="J87" s="24"/>
      <c r="U87" s="24"/>
    </row>
    <row r="88" spans="1:21" x14ac:dyDescent="0.25">
      <c r="A88" s="19"/>
      <c r="B88" s="25"/>
      <c r="C88" s="25"/>
      <c r="D88" s="25"/>
      <c r="J88" s="24"/>
      <c r="U88" s="24"/>
    </row>
    <row r="89" spans="1:21" x14ac:dyDescent="0.25">
      <c r="A89" s="19"/>
      <c r="B89" s="25"/>
      <c r="C89" s="25"/>
      <c r="D89" s="25"/>
      <c r="J89" s="24"/>
      <c r="U89" s="24"/>
    </row>
    <row r="90" spans="1:21" x14ac:dyDescent="0.25">
      <c r="A90" s="19"/>
      <c r="B90" s="25"/>
      <c r="C90" s="25"/>
      <c r="D90" s="25"/>
      <c r="J90" s="24"/>
      <c r="U90" s="24"/>
    </row>
    <row r="91" spans="1:21" x14ac:dyDescent="0.25">
      <c r="A91" s="19"/>
      <c r="B91" s="25"/>
      <c r="C91" s="25"/>
      <c r="D91" s="25"/>
      <c r="J91" s="24"/>
      <c r="U91" s="24"/>
    </row>
    <row r="92" spans="1:21" x14ac:dyDescent="0.25">
      <c r="A92" s="19"/>
      <c r="B92" s="25"/>
      <c r="C92" s="25"/>
      <c r="D92" s="25"/>
      <c r="J92" s="24"/>
      <c r="U92" s="24"/>
    </row>
    <row r="93" spans="1:21" x14ac:dyDescent="0.25">
      <c r="A93" s="19"/>
      <c r="B93" s="25"/>
      <c r="C93" s="25"/>
      <c r="D93" s="25"/>
      <c r="J93" s="24"/>
      <c r="U93" s="24"/>
    </row>
    <row r="94" spans="1:21" x14ac:dyDescent="0.25">
      <c r="A94" s="19"/>
      <c r="B94" s="25"/>
      <c r="C94" s="25"/>
      <c r="D94" s="25"/>
      <c r="J94" s="24"/>
      <c r="U94" s="24"/>
    </row>
    <row r="95" spans="1:21" x14ac:dyDescent="0.25">
      <c r="A95" s="19"/>
      <c r="B95" s="25"/>
      <c r="C95" s="25"/>
      <c r="D95" s="25"/>
      <c r="J95" s="24"/>
      <c r="U95" s="24"/>
    </row>
    <row r="96" spans="1:21" x14ac:dyDescent="0.25">
      <c r="A96" s="19"/>
      <c r="B96" s="25"/>
      <c r="C96" s="25"/>
      <c r="D96" s="25"/>
      <c r="J96" s="24"/>
      <c r="U96" s="24"/>
    </row>
    <row r="97" spans="1:21" x14ac:dyDescent="0.25">
      <c r="A97" s="19"/>
      <c r="B97" s="25"/>
      <c r="C97" s="25"/>
      <c r="D97" s="25"/>
      <c r="J97" s="24"/>
      <c r="U97" s="24"/>
    </row>
    <row r="98" spans="1:21" x14ac:dyDescent="0.25">
      <c r="A98" s="19"/>
      <c r="B98" s="25"/>
      <c r="C98" s="25"/>
      <c r="D98" s="25"/>
      <c r="J98" s="24"/>
      <c r="U98" s="24"/>
    </row>
    <row r="99" spans="1:21" x14ac:dyDescent="0.25">
      <c r="A99" s="19"/>
      <c r="B99" s="25"/>
      <c r="C99" s="25"/>
      <c r="D99" s="25"/>
      <c r="J99" s="24"/>
      <c r="U99" s="24"/>
    </row>
    <row r="100" spans="1:21" x14ac:dyDescent="0.25">
      <c r="A100" s="19"/>
      <c r="B100" s="25"/>
      <c r="C100" s="25"/>
      <c r="D100" s="25"/>
      <c r="J100" s="24"/>
      <c r="U100" s="24"/>
    </row>
    <row r="101" spans="1:21" x14ac:dyDescent="0.25">
      <c r="A101" s="19"/>
      <c r="B101" s="25"/>
      <c r="C101" s="25"/>
      <c r="D101" s="25"/>
      <c r="J101" s="24"/>
      <c r="U101" s="24"/>
    </row>
    <row r="102" spans="1:21" x14ac:dyDescent="0.25">
      <c r="A102" s="19"/>
      <c r="B102" s="25"/>
      <c r="C102" s="25"/>
      <c r="D102" s="25"/>
      <c r="J102" s="24"/>
      <c r="U102" s="24"/>
    </row>
    <row r="103" spans="1:21" x14ac:dyDescent="0.25">
      <c r="A103" s="19"/>
      <c r="B103" s="25"/>
      <c r="C103" s="25"/>
      <c r="D103" s="25"/>
      <c r="J103" s="24"/>
      <c r="U103" s="24"/>
    </row>
    <row r="104" spans="1:21" x14ac:dyDescent="0.25">
      <c r="A104" s="19"/>
      <c r="B104" s="25"/>
      <c r="C104" s="25"/>
      <c r="D104" s="25"/>
      <c r="J104" s="24"/>
      <c r="U104" s="24"/>
    </row>
    <row r="105" spans="1:21" x14ac:dyDescent="0.25">
      <c r="A105" s="19"/>
      <c r="B105" s="25"/>
      <c r="C105" s="25"/>
      <c r="D105" s="25"/>
      <c r="J105" s="24"/>
      <c r="U105" s="24"/>
    </row>
    <row r="106" spans="1:21" x14ac:dyDescent="0.25">
      <c r="A106" s="19"/>
      <c r="B106" s="25"/>
      <c r="C106" s="25"/>
      <c r="D106" s="25"/>
      <c r="J106" s="24"/>
      <c r="U106" s="24"/>
    </row>
    <row r="107" spans="1:21" x14ac:dyDescent="0.25">
      <c r="A107" s="19"/>
      <c r="B107" s="25"/>
      <c r="C107" s="25"/>
      <c r="D107" s="25"/>
      <c r="J107" s="24"/>
      <c r="U107" s="24"/>
    </row>
    <row r="108" spans="1:21" x14ac:dyDescent="0.25">
      <c r="A108" s="19"/>
      <c r="B108" s="25"/>
      <c r="C108" s="25"/>
      <c r="D108" s="25"/>
      <c r="J108" s="24"/>
      <c r="U108" s="24"/>
    </row>
    <row r="109" spans="1:21" x14ac:dyDescent="0.25">
      <c r="A109" s="19"/>
      <c r="B109" s="25"/>
      <c r="C109" s="25"/>
      <c r="D109" s="25"/>
      <c r="J109" s="24"/>
      <c r="U109" s="24"/>
    </row>
    <row r="110" spans="1:21" x14ac:dyDescent="0.25">
      <c r="A110" s="19"/>
      <c r="B110" s="25"/>
      <c r="C110" s="25"/>
      <c r="D110" s="25"/>
      <c r="J110" s="24"/>
      <c r="U110" s="24"/>
    </row>
    <row r="111" spans="1:21" x14ac:dyDescent="0.25">
      <c r="A111" s="19"/>
      <c r="B111" s="25"/>
      <c r="C111" s="25"/>
      <c r="D111" s="25"/>
      <c r="J111" s="24"/>
      <c r="U111" s="24"/>
    </row>
    <row r="112" spans="1:21" x14ac:dyDescent="0.25">
      <c r="A112" s="19"/>
      <c r="B112" s="25"/>
      <c r="C112" s="25"/>
      <c r="D112" s="25"/>
      <c r="J112" s="24"/>
      <c r="U112" s="24"/>
    </row>
    <row r="113" spans="1:21" x14ac:dyDescent="0.25">
      <c r="A113" s="19"/>
      <c r="B113" s="25"/>
      <c r="C113" s="25"/>
      <c r="D113" s="25"/>
      <c r="J113" s="24"/>
      <c r="U113" s="24"/>
    </row>
    <row r="114" spans="1:21" x14ac:dyDescent="0.25">
      <c r="A114" s="19"/>
      <c r="B114" s="25"/>
      <c r="C114" s="25"/>
      <c r="D114" s="25"/>
      <c r="J114" s="24"/>
      <c r="U114" s="24"/>
    </row>
    <row r="115" spans="1:21" x14ac:dyDescent="0.25">
      <c r="A115" s="19"/>
      <c r="B115" s="25"/>
      <c r="C115" s="25"/>
      <c r="D115" s="25"/>
      <c r="J115" s="24"/>
      <c r="U115" s="24"/>
    </row>
    <row r="116" spans="1:21" x14ac:dyDescent="0.25">
      <c r="A116" s="19"/>
      <c r="B116" s="25"/>
      <c r="C116" s="25"/>
      <c r="D116" s="25"/>
      <c r="J116" s="24"/>
      <c r="U116" s="24"/>
    </row>
    <row r="117" spans="1:21" x14ac:dyDescent="0.25">
      <c r="A117" s="19"/>
      <c r="B117" s="25"/>
      <c r="C117" s="25"/>
      <c r="D117" s="25"/>
      <c r="J117" s="24"/>
      <c r="U117" s="24"/>
    </row>
    <row r="118" spans="1:21" x14ac:dyDescent="0.25">
      <c r="A118" s="19"/>
      <c r="B118" s="25"/>
      <c r="C118" s="25"/>
      <c r="D118" s="25"/>
      <c r="J118" s="24"/>
      <c r="U118" s="24"/>
    </row>
    <row r="119" spans="1:21" x14ac:dyDescent="0.25">
      <c r="A119" s="19"/>
      <c r="B119" s="25"/>
      <c r="C119" s="25"/>
      <c r="D119" s="25"/>
      <c r="J119" s="24"/>
      <c r="U119" s="24"/>
    </row>
    <row r="120" spans="1:21" x14ac:dyDescent="0.25">
      <c r="A120" s="19"/>
      <c r="B120" s="25"/>
      <c r="C120" s="25"/>
      <c r="D120" s="25"/>
      <c r="J120" s="24"/>
      <c r="U120" s="24"/>
    </row>
    <row r="121" spans="1:21" x14ac:dyDescent="0.25">
      <c r="A121" s="19"/>
      <c r="B121" s="25"/>
      <c r="C121" s="25"/>
      <c r="D121" s="25"/>
      <c r="J121" s="24"/>
      <c r="U121" s="24"/>
    </row>
    <row r="122" spans="1:21" x14ac:dyDescent="0.25">
      <c r="A122" s="19"/>
      <c r="B122" s="25"/>
      <c r="C122" s="25"/>
      <c r="D122" s="25"/>
      <c r="J122" s="24"/>
      <c r="U122" s="24"/>
    </row>
    <row r="123" spans="1:21" x14ac:dyDescent="0.25">
      <c r="A123" s="19"/>
      <c r="B123" s="25"/>
      <c r="C123" s="25"/>
      <c r="D123" s="25"/>
      <c r="J123" s="24"/>
      <c r="U123" s="24"/>
    </row>
    <row r="124" spans="1:21" x14ac:dyDescent="0.25">
      <c r="A124" s="19"/>
      <c r="B124" s="25"/>
      <c r="C124" s="25"/>
      <c r="D124" s="25"/>
      <c r="J124" s="24"/>
      <c r="U124" s="24"/>
    </row>
    <row r="125" spans="1:21" x14ac:dyDescent="0.25">
      <c r="A125" s="19"/>
      <c r="B125" s="25"/>
      <c r="C125" s="25"/>
      <c r="D125" s="25"/>
      <c r="J125" s="24"/>
      <c r="U125" s="24"/>
    </row>
    <row r="126" spans="1:21" x14ac:dyDescent="0.25">
      <c r="A126" s="19"/>
      <c r="B126" s="25"/>
      <c r="C126" s="25"/>
      <c r="D126" s="25"/>
      <c r="J126" s="24"/>
      <c r="U126" s="24"/>
    </row>
    <row r="127" spans="1:21" x14ac:dyDescent="0.25">
      <c r="A127" s="19"/>
      <c r="B127" s="25"/>
      <c r="C127" s="25"/>
      <c r="D127" s="25"/>
      <c r="J127" s="24"/>
      <c r="U127" s="24"/>
    </row>
    <row r="128" spans="1:21" x14ac:dyDescent="0.25">
      <c r="A128" s="19"/>
      <c r="B128" s="25"/>
      <c r="C128" s="25"/>
      <c r="D128" s="25"/>
      <c r="J128" s="24"/>
      <c r="U128" s="24"/>
    </row>
    <row r="129" spans="1:21" x14ac:dyDescent="0.25">
      <c r="A129" s="19"/>
      <c r="B129" s="25"/>
      <c r="C129" s="25"/>
      <c r="D129" s="25"/>
      <c r="J129" s="24"/>
      <c r="U129" s="24"/>
    </row>
    <row r="130" spans="1:21" x14ac:dyDescent="0.25">
      <c r="A130" s="19"/>
      <c r="B130" s="25"/>
      <c r="C130" s="25"/>
      <c r="D130" s="25"/>
      <c r="J130" s="24"/>
      <c r="U130" s="24"/>
    </row>
    <row r="131" spans="1:21" x14ac:dyDescent="0.25">
      <c r="A131" s="19"/>
      <c r="B131" s="25"/>
      <c r="C131" s="25"/>
      <c r="D131" s="25"/>
      <c r="J131" s="24"/>
      <c r="U131" s="24"/>
    </row>
    <row r="132" spans="1:21" x14ac:dyDescent="0.25">
      <c r="A132" s="19"/>
      <c r="B132" s="25"/>
      <c r="C132" s="25"/>
      <c r="D132" s="25"/>
      <c r="J132" s="24"/>
      <c r="U132" s="24"/>
    </row>
    <row r="133" spans="1:21" x14ac:dyDescent="0.25">
      <c r="A133" s="19"/>
      <c r="B133" s="25"/>
      <c r="C133" s="25"/>
      <c r="D133" s="25"/>
      <c r="J133" s="24"/>
      <c r="U133" s="24"/>
    </row>
    <row r="134" spans="1:21" x14ac:dyDescent="0.25">
      <c r="A134" s="19"/>
      <c r="B134" s="25"/>
      <c r="C134" s="25"/>
      <c r="D134" s="25"/>
      <c r="J134" s="24"/>
      <c r="U134" s="24"/>
    </row>
    <row r="135" spans="1:21" x14ac:dyDescent="0.25">
      <c r="A135" s="19"/>
      <c r="B135" s="25"/>
      <c r="C135" s="25"/>
      <c r="D135" s="25"/>
      <c r="J135" s="24"/>
      <c r="U135" s="24"/>
    </row>
    <row r="136" spans="1:21" x14ac:dyDescent="0.25">
      <c r="A136" s="19"/>
      <c r="B136" s="25"/>
      <c r="C136" s="25"/>
      <c r="D136" s="25"/>
      <c r="J136" s="24"/>
      <c r="U136" s="24"/>
    </row>
    <row r="137" spans="1:21" x14ac:dyDescent="0.25">
      <c r="A137" s="19"/>
      <c r="B137" s="25"/>
      <c r="C137" s="25"/>
      <c r="D137" s="25"/>
      <c r="J137" s="24"/>
      <c r="U137" s="24"/>
    </row>
    <row r="138" spans="1:21" x14ac:dyDescent="0.25">
      <c r="A138" s="19"/>
      <c r="B138" s="25"/>
      <c r="C138" s="25"/>
      <c r="D138" s="25"/>
      <c r="J138" s="24"/>
      <c r="U138" s="24"/>
    </row>
    <row r="139" spans="1:21" x14ac:dyDescent="0.25">
      <c r="A139" s="19"/>
      <c r="B139" s="25"/>
      <c r="C139" s="25"/>
      <c r="D139" s="25"/>
      <c r="J139" s="24"/>
      <c r="U139" s="24"/>
    </row>
    <row r="140" spans="1:21" x14ac:dyDescent="0.25">
      <c r="A140" s="19"/>
      <c r="B140" s="25"/>
      <c r="C140" s="25"/>
      <c r="J140" s="24"/>
      <c r="U140" s="24"/>
    </row>
    <row r="141" spans="1:21" x14ac:dyDescent="0.25">
      <c r="J141" s="24"/>
      <c r="U141" s="24"/>
    </row>
    <row r="142" spans="1:21" x14ac:dyDescent="0.25">
      <c r="J142" s="24"/>
      <c r="U142" s="24"/>
    </row>
    <row r="143" spans="1:21" x14ac:dyDescent="0.25">
      <c r="J143" s="24"/>
      <c r="U143" s="24"/>
    </row>
    <row r="144" spans="1:21" x14ac:dyDescent="0.25">
      <c r="J144" s="24"/>
      <c r="U144" s="24"/>
    </row>
    <row r="145" spans="1:21" ht="12.75" x14ac:dyDescent="0.2">
      <c r="A145" s="25"/>
      <c r="B145" s="25"/>
      <c r="C145" s="25"/>
      <c r="D145" s="25"/>
      <c r="E145" s="25"/>
      <c r="F145" s="25"/>
      <c r="J145" s="24"/>
      <c r="U145" s="24"/>
    </row>
    <row r="146" spans="1:21" ht="12.75" x14ac:dyDescent="0.2">
      <c r="A146" s="25"/>
      <c r="B146" s="25"/>
      <c r="C146" s="25"/>
      <c r="D146" s="25"/>
      <c r="E146" s="25"/>
      <c r="F146" s="25"/>
      <c r="J146" s="24"/>
      <c r="U146" s="24"/>
    </row>
    <row r="147" spans="1:21" ht="12.75" x14ac:dyDescent="0.2">
      <c r="A147" s="25"/>
      <c r="B147" s="25"/>
      <c r="C147" s="25"/>
      <c r="D147" s="25"/>
      <c r="E147" s="25"/>
      <c r="F147" s="25"/>
      <c r="J147" s="24"/>
      <c r="U147" s="24"/>
    </row>
    <row r="148" spans="1:21" ht="12.75" x14ac:dyDescent="0.2">
      <c r="A148" s="25"/>
      <c r="B148" s="25"/>
      <c r="C148" s="25"/>
      <c r="D148" s="25"/>
      <c r="E148" s="25"/>
      <c r="F148" s="25"/>
      <c r="J148" s="24"/>
      <c r="U148" s="24"/>
    </row>
    <row r="149" spans="1:21" ht="12.75" x14ac:dyDescent="0.2">
      <c r="A149" s="25"/>
      <c r="B149" s="25"/>
      <c r="C149" s="25"/>
      <c r="D149" s="25"/>
      <c r="E149" s="25"/>
      <c r="F149" s="25"/>
      <c r="J149" s="24"/>
      <c r="U149" s="24"/>
    </row>
    <row r="150" spans="1:21" ht="12.75" x14ac:dyDescent="0.2">
      <c r="A150" s="25"/>
      <c r="B150" s="25"/>
      <c r="C150" s="25"/>
      <c r="D150" s="25"/>
      <c r="E150" s="25"/>
      <c r="F150" s="25"/>
      <c r="J150" s="24"/>
      <c r="U150" s="24"/>
    </row>
    <row r="151" spans="1:21" ht="12.75" x14ac:dyDescent="0.2">
      <c r="A151" s="25"/>
      <c r="B151" s="25"/>
      <c r="C151" s="25"/>
      <c r="D151" s="25"/>
      <c r="E151" s="25"/>
      <c r="F151" s="25"/>
      <c r="J151" s="24"/>
      <c r="U151" s="24"/>
    </row>
    <row r="152" spans="1:21" ht="12.75" x14ac:dyDescent="0.2">
      <c r="A152" s="25"/>
      <c r="B152" s="25"/>
      <c r="C152" s="25"/>
      <c r="D152" s="25"/>
      <c r="E152" s="25"/>
      <c r="F152" s="25"/>
      <c r="J152" s="24"/>
      <c r="U152" s="24"/>
    </row>
    <row r="153" spans="1:21" ht="12.75" x14ac:dyDescent="0.2">
      <c r="A153" s="25"/>
      <c r="B153" s="25"/>
      <c r="C153" s="25"/>
      <c r="D153" s="25"/>
      <c r="E153" s="25"/>
      <c r="F153" s="25"/>
      <c r="J153" s="24"/>
      <c r="U153" s="24"/>
    </row>
    <row r="154" spans="1:21" ht="12.75" x14ac:dyDescent="0.2">
      <c r="A154" s="25"/>
      <c r="B154" s="25"/>
      <c r="C154" s="25"/>
      <c r="D154" s="25"/>
      <c r="E154" s="25"/>
      <c r="F154" s="25"/>
      <c r="J154" s="24"/>
      <c r="U154" s="24"/>
    </row>
    <row r="155" spans="1:21" ht="12.75" x14ac:dyDescent="0.2">
      <c r="A155" s="25"/>
      <c r="B155" s="25"/>
      <c r="C155" s="25"/>
      <c r="D155" s="25"/>
      <c r="E155" s="25"/>
      <c r="F155" s="25"/>
      <c r="J155" s="24"/>
      <c r="U155" s="24"/>
    </row>
    <row r="156" spans="1:21" ht="12.75" x14ac:dyDescent="0.2">
      <c r="A156" s="25"/>
      <c r="B156" s="25"/>
      <c r="C156" s="25"/>
      <c r="D156" s="25"/>
      <c r="E156" s="25"/>
      <c r="F156" s="25"/>
      <c r="J156" s="24"/>
      <c r="U156" s="24"/>
    </row>
    <row r="157" spans="1:21" ht="12.75" x14ac:dyDescent="0.2">
      <c r="A157" s="25"/>
      <c r="B157" s="25"/>
      <c r="C157" s="25"/>
      <c r="D157" s="25"/>
      <c r="E157" s="25"/>
      <c r="F157" s="25"/>
      <c r="J157" s="24"/>
      <c r="U157" s="24"/>
    </row>
    <row r="158" spans="1:21" ht="12.75" x14ac:dyDescent="0.2">
      <c r="A158" s="25"/>
      <c r="B158" s="25"/>
      <c r="C158" s="25"/>
      <c r="D158" s="25"/>
      <c r="E158" s="25"/>
      <c r="F158" s="25"/>
      <c r="J158" s="24"/>
      <c r="U158" s="24"/>
    </row>
    <row r="159" spans="1:21" ht="12.75" x14ac:dyDescent="0.2">
      <c r="A159" s="25"/>
      <c r="B159" s="25"/>
      <c r="C159" s="25"/>
      <c r="D159" s="25"/>
      <c r="E159" s="25"/>
      <c r="F159" s="25"/>
      <c r="J159" s="24"/>
      <c r="U159" s="24"/>
    </row>
    <row r="160" spans="1:21" ht="12.75" x14ac:dyDescent="0.2">
      <c r="A160" s="25"/>
      <c r="B160" s="25"/>
      <c r="C160" s="25"/>
      <c r="D160" s="25"/>
      <c r="E160" s="25"/>
      <c r="F160" s="25"/>
      <c r="J160" s="24"/>
      <c r="U160" s="24"/>
    </row>
    <row r="161" spans="1:21" ht="12.75" x14ac:dyDescent="0.2">
      <c r="A161" s="25"/>
      <c r="B161" s="25"/>
      <c r="C161" s="25"/>
      <c r="D161" s="25"/>
      <c r="E161" s="25"/>
      <c r="F161" s="25"/>
      <c r="J161" s="24"/>
      <c r="U161" s="24"/>
    </row>
    <row r="162" spans="1:21" ht="12.75" x14ac:dyDescent="0.2">
      <c r="A162" s="25"/>
      <c r="B162" s="25"/>
      <c r="C162" s="25"/>
      <c r="D162" s="25"/>
      <c r="E162" s="25"/>
      <c r="F162" s="25"/>
      <c r="J162" s="24"/>
      <c r="U162" s="24"/>
    </row>
    <row r="163" spans="1:21" ht="12.75" x14ac:dyDescent="0.2">
      <c r="A163" s="25"/>
      <c r="B163" s="25"/>
      <c r="C163" s="25"/>
      <c r="D163" s="25"/>
      <c r="E163" s="25"/>
      <c r="F163" s="25"/>
      <c r="J163" s="24"/>
      <c r="U163" s="24"/>
    </row>
    <row r="164" spans="1:21" ht="12.75" x14ac:dyDescent="0.2">
      <c r="A164" s="25"/>
      <c r="B164" s="25"/>
      <c r="C164" s="25"/>
      <c r="D164" s="25"/>
      <c r="E164" s="25"/>
      <c r="F164" s="25"/>
      <c r="J164" s="24"/>
      <c r="U164" s="24"/>
    </row>
    <row r="165" spans="1:21" ht="12.75" x14ac:dyDescent="0.2">
      <c r="A165" s="25"/>
      <c r="B165" s="25"/>
      <c r="C165" s="25"/>
      <c r="D165" s="25"/>
      <c r="E165" s="25"/>
      <c r="F165" s="25"/>
      <c r="J165" s="24"/>
      <c r="U165" s="24"/>
    </row>
    <row r="166" spans="1:21" ht="12.75" x14ac:dyDescent="0.2">
      <c r="A166" s="25"/>
      <c r="B166" s="25"/>
      <c r="C166" s="25"/>
      <c r="D166" s="25"/>
      <c r="E166" s="25"/>
      <c r="F166" s="25"/>
      <c r="J166" s="24"/>
      <c r="U166" s="24"/>
    </row>
    <row r="167" spans="1:21" ht="12.75" x14ac:dyDescent="0.2">
      <c r="A167" s="25"/>
      <c r="B167" s="25"/>
      <c r="C167" s="25"/>
      <c r="D167" s="25"/>
      <c r="E167" s="25"/>
      <c r="F167" s="25"/>
      <c r="J167" s="24"/>
      <c r="U167" s="24"/>
    </row>
    <row r="168" spans="1:21" ht="12.75" x14ac:dyDescent="0.2">
      <c r="A168" s="25"/>
      <c r="B168" s="25"/>
      <c r="C168" s="25"/>
      <c r="D168" s="25"/>
      <c r="E168" s="25"/>
      <c r="F168" s="25"/>
      <c r="J168" s="24"/>
      <c r="U168" s="24"/>
    </row>
    <row r="169" spans="1:21" ht="12.75" x14ac:dyDescent="0.2">
      <c r="A169" s="25"/>
      <c r="B169" s="25"/>
      <c r="C169" s="25"/>
      <c r="D169" s="25"/>
      <c r="E169" s="25"/>
      <c r="F169" s="25"/>
      <c r="J169" s="24"/>
      <c r="U169" s="24"/>
    </row>
    <row r="170" spans="1:21" ht="12.75" x14ac:dyDescent="0.2">
      <c r="A170" s="25"/>
      <c r="B170" s="25"/>
      <c r="C170" s="25"/>
      <c r="D170" s="25"/>
      <c r="E170" s="25"/>
      <c r="F170" s="25"/>
      <c r="J170" s="24"/>
      <c r="U170" s="24"/>
    </row>
    <row r="171" spans="1:21" ht="12.75" x14ac:dyDescent="0.2">
      <c r="A171" s="25"/>
      <c r="B171" s="25"/>
      <c r="C171" s="25"/>
      <c r="D171" s="25"/>
      <c r="E171" s="25"/>
      <c r="F171" s="25"/>
      <c r="J171" s="24"/>
      <c r="U171" s="24"/>
    </row>
    <row r="172" spans="1:21" ht="12.75" x14ac:dyDescent="0.2">
      <c r="A172" s="25"/>
      <c r="B172" s="25"/>
      <c r="C172" s="25"/>
      <c r="D172" s="25"/>
      <c r="E172" s="25"/>
      <c r="F172" s="25"/>
      <c r="J172" s="24"/>
      <c r="U172" s="24"/>
    </row>
    <row r="173" spans="1:21" ht="12.75" x14ac:dyDescent="0.2">
      <c r="A173" s="25"/>
      <c r="B173" s="25"/>
      <c r="C173" s="25"/>
      <c r="D173" s="25"/>
      <c r="E173" s="25"/>
      <c r="F173" s="25"/>
      <c r="J173" s="24"/>
      <c r="U173" s="24"/>
    </row>
    <row r="174" spans="1:21" ht="12.75" x14ac:dyDescent="0.2">
      <c r="A174" s="25"/>
      <c r="B174" s="25"/>
      <c r="C174" s="25"/>
      <c r="D174" s="25"/>
      <c r="E174" s="25"/>
      <c r="F174" s="25"/>
      <c r="J174" s="24"/>
      <c r="U174" s="24"/>
    </row>
    <row r="175" spans="1:21" ht="12.75" x14ac:dyDescent="0.2">
      <c r="A175" s="25"/>
      <c r="B175" s="25"/>
      <c r="C175" s="25"/>
      <c r="D175" s="25"/>
      <c r="E175" s="25"/>
      <c r="F175" s="25"/>
      <c r="J175" s="24"/>
      <c r="U175" s="24"/>
    </row>
    <row r="176" spans="1:21" ht="12.75" x14ac:dyDescent="0.2">
      <c r="A176" s="25"/>
      <c r="B176" s="25"/>
      <c r="C176" s="25"/>
      <c r="D176" s="25"/>
      <c r="E176" s="25"/>
      <c r="F176" s="25"/>
      <c r="J176" s="24"/>
      <c r="U176" s="24"/>
    </row>
    <row r="177" spans="1:21" ht="12.75" x14ac:dyDescent="0.2">
      <c r="A177" s="25"/>
      <c r="B177" s="25"/>
      <c r="C177" s="25"/>
      <c r="D177" s="25"/>
      <c r="E177" s="25"/>
      <c r="F177" s="25"/>
      <c r="J177" s="24"/>
      <c r="U177" s="24"/>
    </row>
    <row r="178" spans="1:21" ht="12.75" x14ac:dyDescent="0.2">
      <c r="A178" s="25"/>
      <c r="B178" s="25"/>
      <c r="C178" s="25"/>
      <c r="D178" s="25"/>
      <c r="E178" s="25"/>
      <c r="F178" s="25"/>
      <c r="J178" s="24"/>
      <c r="U178" s="24"/>
    </row>
    <row r="179" spans="1:21" ht="12.75" x14ac:dyDescent="0.2">
      <c r="A179" s="25"/>
      <c r="B179" s="25"/>
      <c r="C179" s="25"/>
      <c r="D179" s="25"/>
      <c r="E179" s="25"/>
      <c r="F179" s="25"/>
      <c r="J179" s="24"/>
      <c r="U179" s="24"/>
    </row>
    <row r="180" spans="1:21" ht="12.75" x14ac:dyDescent="0.2">
      <c r="A180" s="25"/>
      <c r="B180" s="25"/>
      <c r="C180" s="25"/>
      <c r="D180" s="25"/>
      <c r="E180" s="25"/>
      <c r="F180" s="25"/>
      <c r="J180" s="24"/>
      <c r="U180" s="24"/>
    </row>
    <row r="181" spans="1:21" ht="12.75" x14ac:dyDescent="0.2">
      <c r="A181" s="25"/>
      <c r="B181" s="25"/>
      <c r="C181" s="25"/>
      <c r="D181" s="25"/>
      <c r="E181" s="25"/>
      <c r="F181" s="25"/>
      <c r="J181" s="24"/>
      <c r="U181" s="24"/>
    </row>
    <row r="182" spans="1:21" ht="12.75" x14ac:dyDescent="0.2">
      <c r="A182" s="25"/>
      <c r="B182" s="25"/>
      <c r="C182" s="25"/>
      <c r="D182" s="25"/>
      <c r="E182" s="25"/>
      <c r="F182" s="25"/>
      <c r="J182" s="24"/>
      <c r="U182" s="24"/>
    </row>
    <row r="183" spans="1:21" ht="12.75" x14ac:dyDescent="0.2">
      <c r="A183" s="25"/>
      <c r="B183" s="25"/>
      <c r="C183" s="25"/>
      <c r="D183" s="25"/>
      <c r="E183" s="25"/>
      <c r="F183" s="25"/>
      <c r="J183" s="24"/>
      <c r="U183" s="24"/>
    </row>
    <row r="184" spans="1:21" ht="12.75" x14ac:dyDescent="0.2">
      <c r="A184" s="25"/>
      <c r="B184" s="25"/>
      <c r="C184" s="25"/>
      <c r="D184" s="25"/>
      <c r="E184" s="25"/>
      <c r="F184" s="25"/>
      <c r="J184" s="24"/>
      <c r="U184" s="24"/>
    </row>
    <row r="185" spans="1:21" ht="12.75" x14ac:dyDescent="0.2">
      <c r="A185" s="25"/>
      <c r="B185" s="25"/>
      <c r="C185" s="25"/>
      <c r="D185" s="25"/>
      <c r="E185" s="25"/>
      <c r="F185" s="25"/>
      <c r="J185" s="24"/>
      <c r="U185" s="24"/>
    </row>
    <row r="186" spans="1:21" ht="12.75" x14ac:dyDescent="0.2">
      <c r="A186" s="25"/>
      <c r="B186" s="25"/>
      <c r="C186" s="25"/>
      <c r="D186" s="25"/>
      <c r="E186" s="25"/>
      <c r="F186" s="25"/>
      <c r="J186" s="24"/>
      <c r="U186" s="24"/>
    </row>
    <row r="187" spans="1:21" ht="12.75" x14ac:dyDescent="0.2">
      <c r="A187" s="25"/>
      <c r="B187" s="25"/>
      <c r="C187" s="25"/>
      <c r="D187" s="25"/>
      <c r="E187" s="25"/>
      <c r="F187" s="25"/>
      <c r="J187" s="24"/>
      <c r="U187" s="24"/>
    </row>
    <row r="188" spans="1:21" ht="12.75" x14ac:dyDescent="0.2">
      <c r="A188" s="25"/>
      <c r="B188" s="25"/>
      <c r="C188" s="25"/>
      <c r="D188" s="25"/>
      <c r="E188" s="25"/>
      <c r="F188" s="25"/>
      <c r="J188" s="24"/>
      <c r="U188" s="24"/>
    </row>
    <row r="189" spans="1:21" ht="12.75" x14ac:dyDescent="0.2">
      <c r="A189" s="25"/>
      <c r="B189" s="25"/>
      <c r="C189" s="25"/>
      <c r="D189" s="25"/>
      <c r="E189" s="25"/>
      <c r="F189" s="25"/>
      <c r="J189" s="24"/>
      <c r="U189" s="24"/>
    </row>
    <row r="190" spans="1:21" ht="12.75" x14ac:dyDescent="0.2">
      <c r="A190" s="25"/>
      <c r="B190" s="25"/>
      <c r="C190" s="25"/>
      <c r="D190" s="25"/>
      <c r="E190" s="25"/>
      <c r="F190" s="25"/>
      <c r="J190" s="24"/>
      <c r="U190" s="24"/>
    </row>
    <row r="191" spans="1:21" ht="12.75" x14ac:dyDescent="0.2">
      <c r="A191" s="25"/>
      <c r="B191" s="25"/>
      <c r="C191" s="25"/>
      <c r="D191" s="25"/>
      <c r="E191" s="25"/>
      <c r="F191" s="25"/>
      <c r="J191" s="24"/>
      <c r="U191" s="24"/>
    </row>
    <row r="192" spans="1:21" ht="12.75" x14ac:dyDescent="0.2">
      <c r="A192" s="25"/>
      <c r="B192" s="25"/>
      <c r="C192" s="25"/>
      <c r="D192" s="25"/>
      <c r="E192" s="25"/>
      <c r="F192" s="25"/>
      <c r="J192" s="24"/>
      <c r="U192" s="24"/>
    </row>
    <row r="193" spans="1:21" ht="12.75" x14ac:dyDescent="0.2">
      <c r="A193" s="25"/>
      <c r="B193" s="25"/>
      <c r="C193" s="25"/>
      <c r="D193" s="25"/>
      <c r="E193" s="25"/>
      <c r="F193" s="25"/>
      <c r="J193" s="24"/>
      <c r="U193" s="24"/>
    </row>
    <row r="194" spans="1:21" ht="12.75" x14ac:dyDescent="0.2">
      <c r="A194" s="25"/>
      <c r="B194" s="25"/>
      <c r="C194" s="25"/>
      <c r="D194" s="25"/>
      <c r="E194" s="25"/>
      <c r="F194" s="25"/>
      <c r="J194" s="24"/>
      <c r="U194" s="24"/>
    </row>
    <row r="195" spans="1:21" ht="12.75" x14ac:dyDescent="0.2">
      <c r="A195" s="25"/>
      <c r="B195" s="25"/>
      <c r="C195" s="25"/>
      <c r="D195" s="25"/>
      <c r="E195" s="25"/>
      <c r="F195" s="25"/>
      <c r="J195" s="24"/>
      <c r="U195" s="24"/>
    </row>
    <row r="196" spans="1:21" ht="12.75" x14ac:dyDescent="0.2">
      <c r="A196" s="25"/>
      <c r="B196" s="25"/>
      <c r="C196" s="25"/>
      <c r="D196" s="25"/>
      <c r="E196" s="25"/>
      <c r="F196" s="25"/>
      <c r="J196" s="24"/>
      <c r="U196" s="24"/>
    </row>
    <row r="197" spans="1:21" ht="12.75" x14ac:dyDescent="0.2">
      <c r="A197" s="25"/>
      <c r="B197" s="25"/>
      <c r="C197" s="25"/>
      <c r="D197" s="25"/>
      <c r="E197" s="25"/>
      <c r="F197" s="25"/>
      <c r="J197" s="24"/>
      <c r="U197" s="24"/>
    </row>
    <row r="198" spans="1:21" ht="12.75" x14ac:dyDescent="0.2">
      <c r="A198" s="25"/>
      <c r="B198" s="25"/>
      <c r="C198" s="25"/>
      <c r="D198" s="25"/>
      <c r="E198" s="25"/>
      <c r="F198" s="25"/>
      <c r="J198" s="24"/>
      <c r="U198" s="24"/>
    </row>
    <row r="199" spans="1:21" ht="12.75" x14ac:dyDescent="0.2">
      <c r="A199" s="25"/>
      <c r="B199" s="25"/>
      <c r="C199" s="25"/>
      <c r="D199" s="25"/>
      <c r="E199" s="25"/>
      <c r="F199" s="25"/>
      <c r="J199" s="24"/>
      <c r="U199" s="24"/>
    </row>
    <row r="200" spans="1:21" ht="12.75" x14ac:dyDescent="0.2">
      <c r="A200" s="25"/>
      <c r="B200" s="25"/>
      <c r="C200" s="25"/>
      <c r="D200" s="25"/>
      <c r="E200" s="25"/>
      <c r="F200" s="25"/>
      <c r="J200" s="24"/>
      <c r="U200" s="24"/>
    </row>
    <row r="201" spans="1:21" ht="12.75" x14ac:dyDescent="0.2">
      <c r="A201" s="25"/>
      <c r="B201" s="25"/>
      <c r="C201" s="25"/>
      <c r="D201" s="25"/>
      <c r="E201" s="25"/>
      <c r="F201" s="25"/>
      <c r="J201" s="24"/>
      <c r="U201" s="24"/>
    </row>
    <row r="202" spans="1:21" ht="12.75" x14ac:dyDescent="0.2">
      <c r="A202" s="25"/>
      <c r="B202" s="25"/>
      <c r="C202" s="25"/>
      <c r="D202" s="25"/>
      <c r="E202" s="25"/>
      <c r="F202" s="25"/>
      <c r="J202" s="24"/>
      <c r="U202" s="24"/>
    </row>
    <row r="203" spans="1:21" ht="12.75" x14ac:dyDescent="0.2">
      <c r="A203" s="25"/>
      <c r="B203" s="25"/>
      <c r="C203" s="25"/>
      <c r="D203" s="25"/>
      <c r="E203" s="25"/>
      <c r="F203" s="25"/>
      <c r="J203" s="24"/>
      <c r="U203" s="24"/>
    </row>
    <row r="204" spans="1:21" ht="12.75" x14ac:dyDescent="0.2">
      <c r="A204" s="25"/>
      <c r="B204" s="25"/>
      <c r="C204" s="25"/>
      <c r="D204" s="25"/>
      <c r="E204" s="25"/>
      <c r="F204" s="25"/>
      <c r="J204" s="24"/>
      <c r="U204" s="24"/>
    </row>
    <row r="205" spans="1:21" ht="12.75" x14ac:dyDescent="0.2">
      <c r="A205" s="25"/>
      <c r="B205" s="25"/>
      <c r="C205" s="25"/>
      <c r="D205" s="25"/>
      <c r="E205" s="25"/>
      <c r="F205" s="25"/>
      <c r="J205" s="24"/>
      <c r="U205" s="24"/>
    </row>
    <row r="206" spans="1:21" ht="12.75" x14ac:dyDescent="0.2">
      <c r="A206" s="25"/>
      <c r="B206" s="25"/>
      <c r="C206" s="25"/>
      <c r="D206" s="25"/>
      <c r="E206" s="25"/>
      <c r="F206" s="25"/>
      <c r="J206" s="24"/>
      <c r="U206" s="24"/>
    </row>
    <row r="207" spans="1:21" ht="12.75" x14ac:dyDescent="0.2">
      <c r="A207" s="25"/>
      <c r="B207" s="25"/>
      <c r="C207" s="25"/>
      <c r="D207" s="25"/>
      <c r="E207" s="25"/>
      <c r="F207" s="25"/>
      <c r="J207" s="24"/>
      <c r="U207" s="24"/>
    </row>
    <row r="208" spans="1:21" ht="12.75" x14ac:dyDescent="0.2">
      <c r="A208" s="25"/>
      <c r="B208" s="25"/>
      <c r="C208" s="25"/>
      <c r="D208" s="25"/>
      <c r="E208" s="25"/>
      <c r="F208" s="25"/>
      <c r="J208" s="24"/>
      <c r="U208" s="24"/>
    </row>
    <row r="209" spans="1:21" ht="12.75" x14ac:dyDescent="0.2">
      <c r="A209" s="25"/>
      <c r="B209" s="25"/>
      <c r="C209" s="25"/>
      <c r="D209" s="25"/>
      <c r="E209" s="25"/>
      <c r="F209" s="25"/>
      <c r="J209" s="24"/>
      <c r="U209" s="24"/>
    </row>
    <row r="210" spans="1:21" ht="12.75" x14ac:dyDescent="0.2">
      <c r="A210" s="25"/>
      <c r="B210" s="25"/>
      <c r="C210" s="25"/>
      <c r="D210" s="25"/>
      <c r="E210" s="25"/>
      <c r="F210" s="25"/>
      <c r="J210" s="24"/>
      <c r="U210" s="24"/>
    </row>
    <row r="211" spans="1:21" ht="12.75" x14ac:dyDescent="0.2">
      <c r="A211" s="25"/>
      <c r="B211" s="25"/>
      <c r="C211" s="25"/>
      <c r="D211" s="25"/>
      <c r="E211" s="25"/>
      <c r="F211" s="25"/>
      <c r="J211" s="24"/>
      <c r="U211" s="24"/>
    </row>
    <row r="212" spans="1:21" ht="12.75" x14ac:dyDescent="0.2">
      <c r="A212" s="25"/>
      <c r="B212" s="25"/>
      <c r="C212" s="25"/>
      <c r="D212" s="25"/>
      <c r="E212" s="25"/>
      <c r="F212" s="25"/>
      <c r="J212" s="24"/>
      <c r="U212" s="24"/>
    </row>
    <row r="213" spans="1:21" ht="12.75" x14ac:dyDescent="0.2">
      <c r="A213" s="25"/>
      <c r="B213" s="25"/>
      <c r="C213" s="25"/>
      <c r="D213" s="25"/>
      <c r="E213" s="25"/>
      <c r="F213" s="25"/>
      <c r="J213" s="24"/>
      <c r="U213" s="24"/>
    </row>
    <row r="214" spans="1:21" ht="12.75" x14ac:dyDescent="0.2">
      <c r="A214" s="25"/>
      <c r="B214" s="25"/>
      <c r="C214" s="25"/>
      <c r="D214" s="25"/>
      <c r="E214" s="25"/>
      <c r="F214" s="25"/>
      <c r="J214" s="24"/>
      <c r="U214" s="24"/>
    </row>
    <row r="215" spans="1:21" ht="12.75" x14ac:dyDescent="0.2">
      <c r="A215" s="25"/>
      <c r="B215" s="25"/>
      <c r="C215" s="25"/>
      <c r="D215" s="25"/>
      <c r="E215" s="25"/>
      <c r="F215" s="25"/>
      <c r="J215" s="24"/>
      <c r="U215" s="24"/>
    </row>
    <row r="216" spans="1:21" ht="12.75" x14ac:dyDescent="0.2">
      <c r="A216" s="25"/>
      <c r="B216" s="25"/>
      <c r="C216" s="25"/>
      <c r="D216" s="25"/>
      <c r="E216" s="25"/>
      <c r="F216" s="25"/>
      <c r="J216" s="24"/>
      <c r="U216" s="24"/>
    </row>
    <row r="217" spans="1:21" ht="12.75" x14ac:dyDescent="0.2">
      <c r="A217" s="25"/>
      <c r="B217" s="25"/>
      <c r="C217" s="25"/>
      <c r="D217" s="25"/>
      <c r="E217" s="25"/>
      <c r="F217" s="25"/>
      <c r="J217" s="24"/>
      <c r="U217" s="24"/>
    </row>
    <row r="218" spans="1:21" ht="12.75" x14ac:dyDescent="0.2">
      <c r="A218" s="25"/>
      <c r="B218" s="25"/>
      <c r="C218" s="25"/>
      <c r="D218" s="25"/>
      <c r="E218" s="25"/>
      <c r="F218" s="25"/>
      <c r="J218" s="24"/>
      <c r="U218" s="24"/>
    </row>
    <row r="219" spans="1:21" ht="12.75" x14ac:dyDescent="0.2">
      <c r="A219" s="25"/>
      <c r="B219" s="25"/>
      <c r="C219" s="25"/>
      <c r="D219" s="25"/>
      <c r="E219" s="25"/>
      <c r="F219" s="25"/>
      <c r="J219" s="24"/>
      <c r="U219" s="24"/>
    </row>
    <row r="220" spans="1:21" ht="12.75" x14ac:dyDescent="0.2">
      <c r="A220" s="25"/>
      <c r="B220" s="25"/>
      <c r="C220" s="25"/>
      <c r="D220" s="25"/>
      <c r="E220" s="25"/>
      <c r="F220" s="25"/>
      <c r="J220" s="24"/>
      <c r="U220" s="24"/>
    </row>
    <row r="221" spans="1:21" ht="12.75" x14ac:dyDescent="0.2">
      <c r="A221" s="25"/>
      <c r="B221" s="25"/>
      <c r="C221" s="25"/>
      <c r="D221" s="25"/>
      <c r="E221" s="25"/>
      <c r="F221" s="25"/>
      <c r="J221" s="24"/>
      <c r="U221" s="24"/>
    </row>
    <row r="222" spans="1:21" ht="12.75" x14ac:dyDescent="0.2">
      <c r="A222" s="25"/>
      <c r="B222" s="25"/>
      <c r="C222" s="25"/>
      <c r="D222" s="25"/>
      <c r="E222" s="25"/>
      <c r="F222" s="25"/>
      <c r="J222" s="24"/>
      <c r="U222" s="24"/>
    </row>
    <row r="223" spans="1:21" ht="12.75" x14ac:dyDescent="0.2">
      <c r="A223" s="25"/>
      <c r="B223" s="25"/>
      <c r="C223" s="25"/>
      <c r="D223" s="25"/>
      <c r="E223" s="25"/>
      <c r="F223" s="25"/>
      <c r="J223" s="24"/>
      <c r="U223" s="24"/>
    </row>
    <row r="224" spans="1:21" ht="12.75" x14ac:dyDescent="0.2">
      <c r="A224" s="25"/>
      <c r="B224" s="25"/>
      <c r="C224" s="25"/>
      <c r="D224" s="25"/>
      <c r="E224" s="25"/>
      <c r="F224" s="25"/>
      <c r="J224" s="24"/>
      <c r="U224" s="24"/>
    </row>
    <row r="225" spans="1:21" ht="12.75" x14ac:dyDescent="0.2">
      <c r="A225" s="25"/>
      <c r="B225" s="25"/>
      <c r="C225" s="25"/>
      <c r="D225" s="25"/>
      <c r="E225" s="25"/>
      <c r="F225" s="25"/>
      <c r="J225" s="24"/>
      <c r="U225" s="24"/>
    </row>
    <row r="226" spans="1:21" ht="12.75" x14ac:dyDescent="0.2">
      <c r="A226" s="25"/>
      <c r="B226" s="25"/>
      <c r="C226" s="25"/>
      <c r="D226" s="25"/>
      <c r="E226" s="25"/>
      <c r="F226" s="25"/>
      <c r="J226" s="24"/>
      <c r="U226" s="24"/>
    </row>
    <row r="227" spans="1:21" ht="12.75" x14ac:dyDescent="0.2">
      <c r="A227" s="25"/>
      <c r="B227" s="25"/>
      <c r="C227" s="25"/>
      <c r="D227" s="25"/>
      <c r="E227" s="25"/>
      <c r="F227" s="25"/>
      <c r="J227" s="24"/>
      <c r="U227" s="24"/>
    </row>
    <row r="228" spans="1:21" ht="12.75" x14ac:dyDescent="0.2">
      <c r="A228" s="25"/>
      <c r="B228" s="25"/>
      <c r="C228" s="25"/>
      <c r="D228" s="25"/>
      <c r="E228" s="25"/>
      <c r="F228" s="25"/>
      <c r="J228" s="24"/>
      <c r="U228" s="24"/>
    </row>
    <row r="229" spans="1:21" ht="12.75" x14ac:dyDescent="0.2">
      <c r="A229" s="25"/>
      <c r="B229" s="25"/>
      <c r="C229" s="25"/>
      <c r="D229" s="25"/>
      <c r="E229" s="25"/>
      <c r="F229" s="25"/>
      <c r="J229" s="24"/>
      <c r="U229" s="24"/>
    </row>
    <row r="230" spans="1:21" ht="12.75" x14ac:dyDescent="0.2">
      <c r="A230" s="25"/>
      <c r="B230" s="25"/>
      <c r="C230" s="25"/>
      <c r="D230" s="25"/>
      <c r="E230" s="25"/>
      <c r="F230" s="25"/>
      <c r="J230" s="24"/>
      <c r="U230" s="24"/>
    </row>
    <row r="231" spans="1:21" ht="12.75" x14ac:dyDescent="0.2">
      <c r="A231" s="25"/>
      <c r="B231" s="25"/>
      <c r="C231" s="25"/>
      <c r="D231" s="25"/>
      <c r="E231" s="25"/>
      <c r="F231" s="25"/>
      <c r="J231" s="24"/>
      <c r="U231" s="24"/>
    </row>
    <row r="232" spans="1:21" ht="12.75" x14ac:dyDescent="0.2">
      <c r="A232" s="25"/>
      <c r="B232" s="25"/>
      <c r="C232" s="25"/>
      <c r="D232" s="25"/>
      <c r="E232" s="25"/>
      <c r="F232" s="25"/>
      <c r="J232" s="24"/>
      <c r="U232" s="24"/>
    </row>
    <row r="233" spans="1:21" ht="12.75" x14ac:dyDescent="0.2">
      <c r="A233" s="25"/>
      <c r="B233" s="25"/>
      <c r="C233" s="25"/>
      <c r="D233" s="25"/>
      <c r="E233" s="25"/>
      <c r="F233" s="25"/>
      <c r="J233" s="24"/>
      <c r="U233" s="24"/>
    </row>
    <row r="234" spans="1:21" ht="12.75" x14ac:dyDescent="0.2">
      <c r="A234" s="25"/>
      <c r="B234" s="25"/>
      <c r="C234" s="25"/>
      <c r="D234" s="25"/>
      <c r="E234" s="25"/>
      <c r="F234" s="25"/>
      <c r="J234" s="24"/>
      <c r="U234" s="24"/>
    </row>
    <row r="235" spans="1:21" ht="12.75" x14ac:dyDescent="0.2">
      <c r="A235" s="25"/>
      <c r="B235" s="25"/>
      <c r="C235" s="25"/>
      <c r="D235" s="25"/>
      <c r="E235" s="25"/>
      <c r="F235" s="25"/>
      <c r="J235" s="24"/>
      <c r="U235" s="24"/>
    </row>
    <row r="236" spans="1:21" ht="12.75" x14ac:dyDescent="0.2">
      <c r="A236" s="25"/>
      <c r="B236" s="25"/>
      <c r="C236" s="25"/>
      <c r="D236" s="25"/>
      <c r="E236" s="25"/>
      <c r="F236" s="25"/>
      <c r="J236" s="24"/>
      <c r="U236" s="24"/>
    </row>
    <row r="237" spans="1:21" ht="12.75" x14ac:dyDescent="0.2">
      <c r="A237" s="25"/>
      <c r="B237" s="25"/>
      <c r="C237" s="25"/>
      <c r="D237" s="25"/>
      <c r="E237" s="25"/>
      <c r="F237" s="25"/>
      <c r="J237" s="24"/>
      <c r="U237" s="24"/>
    </row>
    <row r="238" spans="1:21" ht="12.75" x14ac:dyDescent="0.2">
      <c r="A238" s="25"/>
      <c r="B238" s="25"/>
      <c r="C238" s="25"/>
      <c r="D238" s="25"/>
      <c r="E238" s="25"/>
      <c r="F238" s="25"/>
      <c r="J238" s="24"/>
      <c r="U238" s="24"/>
    </row>
    <row r="239" spans="1:21" ht="12.75" x14ac:dyDescent="0.2">
      <c r="A239" s="25"/>
      <c r="B239" s="25"/>
      <c r="C239" s="25"/>
      <c r="D239" s="25"/>
      <c r="E239" s="25"/>
      <c r="F239" s="25"/>
      <c r="J239" s="24"/>
      <c r="U239" s="24"/>
    </row>
    <row r="240" spans="1:21" ht="12.75" x14ac:dyDescent="0.2">
      <c r="A240" s="25"/>
      <c r="B240" s="25"/>
      <c r="C240" s="25"/>
      <c r="D240" s="25"/>
      <c r="E240" s="25"/>
      <c r="F240" s="25"/>
      <c r="J240" s="24"/>
      <c r="U240" s="24"/>
    </row>
    <row r="241" spans="1:21" ht="12.75" x14ac:dyDescent="0.2">
      <c r="A241" s="25"/>
      <c r="B241" s="25"/>
      <c r="C241" s="25"/>
      <c r="D241" s="25"/>
      <c r="E241" s="25"/>
      <c r="F241" s="25"/>
      <c r="J241" s="24"/>
      <c r="U241" s="24"/>
    </row>
    <row r="242" spans="1:21" ht="12.75" x14ac:dyDescent="0.2">
      <c r="A242" s="25"/>
      <c r="B242" s="25"/>
      <c r="C242" s="25"/>
      <c r="D242" s="25"/>
      <c r="E242" s="25"/>
      <c r="F242" s="25"/>
      <c r="J242" s="24"/>
      <c r="U242" s="24"/>
    </row>
    <row r="243" spans="1:21" ht="12.75" x14ac:dyDescent="0.2">
      <c r="A243" s="25"/>
      <c r="B243" s="25"/>
      <c r="C243" s="25"/>
      <c r="D243" s="25"/>
      <c r="E243" s="25"/>
      <c r="F243" s="25"/>
      <c r="J243" s="24"/>
      <c r="U243" s="24"/>
    </row>
    <row r="244" spans="1:21" ht="12.75" x14ac:dyDescent="0.2">
      <c r="A244" s="25"/>
      <c r="B244" s="25"/>
      <c r="C244" s="25"/>
      <c r="D244" s="25"/>
      <c r="E244" s="25"/>
      <c r="F244" s="25"/>
      <c r="J244" s="24"/>
      <c r="U244" s="24"/>
    </row>
    <row r="245" spans="1:21" ht="12.75" x14ac:dyDescent="0.2">
      <c r="A245" s="25"/>
      <c r="B245" s="25"/>
      <c r="C245" s="25"/>
      <c r="D245" s="25"/>
      <c r="E245" s="25"/>
      <c r="F245" s="25"/>
      <c r="J245" s="24"/>
      <c r="U245" s="24"/>
    </row>
    <row r="246" spans="1:21" ht="12.75" x14ac:dyDescent="0.2">
      <c r="A246" s="25"/>
      <c r="B246" s="25"/>
      <c r="C246" s="25"/>
      <c r="D246" s="25"/>
      <c r="E246" s="25"/>
      <c r="F246" s="25"/>
      <c r="J246" s="24"/>
      <c r="U246" s="24"/>
    </row>
    <row r="247" spans="1:21" ht="12.75" x14ac:dyDescent="0.2">
      <c r="A247" s="25"/>
      <c r="B247" s="25"/>
      <c r="C247" s="25"/>
      <c r="D247" s="25"/>
      <c r="E247" s="25"/>
      <c r="F247" s="25"/>
      <c r="J247" s="24"/>
      <c r="U247" s="24"/>
    </row>
    <row r="248" spans="1:21" ht="12.75" x14ac:dyDescent="0.2">
      <c r="A248" s="25"/>
      <c r="B248" s="25"/>
      <c r="C248" s="25"/>
      <c r="D248" s="25"/>
      <c r="E248" s="25"/>
      <c r="F248" s="25"/>
      <c r="J248" s="24"/>
      <c r="U248" s="24"/>
    </row>
    <row r="249" spans="1:21" ht="12.75" x14ac:dyDescent="0.2">
      <c r="A249" s="25"/>
      <c r="B249" s="25"/>
      <c r="C249" s="25"/>
      <c r="D249" s="25"/>
      <c r="E249" s="25"/>
      <c r="F249" s="25"/>
      <c r="J249" s="24"/>
      <c r="U249" s="24"/>
    </row>
    <row r="250" spans="1:21" ht="12.75" x14ac:dyDescent="0.2">
      <c r="A250" s="25"/>
      <c r="B250" s="25"/>
      <c r="C250" s="25"/>
      <c r="D250" s="25"/>
      <c r="E250" s="25"/>
      <c r="F250" s="25"/>
      <c r="J250" s="24"/>
      <c r="U250" s="24"/>
    </row>
    <row r="251" spans="1:21" ht="12.75" x14ac:dyDescent="0.2">
      <c r="A251" s="25"/>
      <c r="B251" s="25"/>
      <c r="C251" s="25"/>
      <c r="D251" s="25"/>
      <c r="E251" s="25"/>
      <c r="F251" s="25"/>
      <c r="J251" s="24"/>
      <c r="U251" s="24"/>
    </row>
    <row r="252" spans="1:21" ht="12.75" x14ac:dyDescent="0.2">
      <c r="A252" s="25"/>
      <c r="B252" s="25"/>
      <c r="C252" s="25"/>
      <c r="D252" s="25"/>
      <c r="E252" s="25"/>
      <c r="F252" s="25"/>
      <c r="J252" s="24"/>
      <c r="U252" s="24"/>
    </row>
    <row r="253" spans="1:21" ht="12.75" x14ac:dyDescent="0.2">
      <c r="A253" s="25"/>
      <c r="B253" s="25"/>
      <c r="C253" s="25"/>
      <c r="D253" s="25"/>
      <c r="E253" s="25"/>
      <c r="F253" s="25"/>
      <c r="J253" s="24"/>
      <c r="U253" s="24"/>
    </row>
    <row r="254" spans="1:21" ht="12.75" x14ac:dyDescent="0.2">
      <c r="A254" s="25"/>
      <c r="B254" s="25"/>
      <c r="C254" s="25"/>
      <c r="D254" s="25"/>
      <c r="E254" s="25"/>
      <c r="F254" s="25"/>
      <c r="J254" s="24"/>
      <c r="U254" s="24"/>
    </row>
    <row r="255" spans="1:21" ht="12.75" x14ac:dyDescent="0.2">
      <c r="A255" s="25"/>
      <c r="B255" s="25"/>
      <c r="C255" s="25"/>
      <c r="D255" s="25"/>
      <c r="E255" s="25"/>
      <c r="F255" s="25"/>
      <c r="J255" s="24"/>
      <c r="U255" s="24"/>
    </row>
    <row r="256" spans="1:21" ht="12.75" x14ac:dyDescent="0.2">
      <c r="A256" s="25"/>
      <c r="B256" s="25"/>
      <c r="C256" s="25"/>
      <c r="D256" s="25"/>
      <c r="E256" s="25"/>
      <c r="F256" s="25"/>
      <c r="J256" s="24"/>
      <c r="U256" s="24"/>
    </row>
    <row r="257" spans="1:21" ht="12.75" x14ac:dyDescent="0.2">
      <c r="A257" s="25"/>
      <c r="B257" s="25"/>
      <c r="C257" s="25"/>
      <c r="D257" s="25"/>
      <c r="E257" s="25"/>
      <c r="F257" s="25"/>
      <c r="J257" s="24"/>
      <c r="U257" s="24"/>
    </row>
    <row r="258" spans="1:21" ht="12.75" x14ac:dyDescent="0.2">
      <c r="A258" s="25"/>
      <c r="B258" s="25"/>
      <c r="C258" s="25"/>
      <c r="D258" s="25"/>
      <c r="E258" s="25"/>
      <c r="F258" s="25"/>
      <c r="J258" s="24"/>
      <c r="U258" s="24"/>
    </row>
    <row r="259" spans="1:21" ht="12.75" x14ac:dyDescent="0.2">
      <c r="A259" s="25"/>
      <c r="B259" s="25"/>
      <c r="C259" s="25"/>
      <c r="D259" s="25"/>
      <c r="E259" s="25"/>
      <c r="F259" s="25"/>
      <c r="J259" s="24"/>
      <c r="U259" s="24"/>
    </row>
    <row r="260" spans="1:21" ht="12.75" x14ac:dyDescent="0.2">
      <c r="A260" s="25"/>
      <c r="B260" s="25"/>
      <c r="C260" s="25"/>
      <c r="D260" s="25"/>
      <c r="E260" s="25"/>
      <c r="F260" s="25"/>
      <c r="J260" s="24"/>
      <c r="U260" s="24"/>
    </row>
    <row r="261" spans="1:21" ht="12.75" x14ac:dyDescent="0.2">
      <c r="A261" s="25"/>
      <c r="B261" s="25"/>
      <c r="C261" s="25"/>
      <c r="D261" s="25"/>
      <c r="E261" s="25"/>
      <c r="F261" s="25"/>
      <c r="J261" s="24"/>
      <c r="U261" s="24"/>
    </row>
    <row r="262" spans="1:21" ht="12.75" x14ac:dyDescent="0.2">
      <c r="A262" s="25"/>
      <c r="B262" s="25"/>
      <c r="C262" s="25"/>
      <c r="D262" s="25"/>
      <c r="E262" s="25"/>
      <c r="F262" s="25"/>
      <c r="J262" s="24"/>
      <c r="U262" s="24"/>
    </row>
    <row r="263" spans="1:21" ht="12.75" x14ac:dyDescent="0.2">
      <c r="A263" s="25"/>
      <c r="B263" s="25"/>
      <c r="C263" s="25"/>
      <c r="D263" s="25"/>
      <c r="E263" s="25"/>
      <c r="F263" s="25"/>
      <c r="J263" s="24"/>
      <c r="U263" s="24"/>
    </row>
    <row r="264" spans="1:21" ht="12.75" x14ac:dyDescent="0.2">
      <c r="A264" s="25"/>
      <c r="B264" s="25"/>
      <c r="C264" s="25"/>
      <c r="D264" s="25"/>
      <c r="E264" s="25"/>
      <c r="F264" s="25"/>
      <c r="J264" s="24"/>
      <c r="U264" s="24"/>
    </row>
    <row r="265" spans="1:21" ht="12.75" x14ac:dyDescent="0.2">
      <c r="A265" s="25"/>
      <c r="B265" s="25"/>
      <c r="C265" s="25"/>
      <c r="D265" s="25"/>
      <c r="E265" s="25"/>
      <c r="F265" s="25"/>
      <c r="J265" s="24"/>
      <c r="U265" s="24"/>
    </row>
    <row r="266" spans="1:21" ht="12.75" x14ac:dyDescent="0.2">
      <c r="A266" s="25"/>
      <c r="B266" s="25"/>
      <c r="C266" s="25"/>
      <c r="D266" s="25"/>
      <c r="E266" s="25"/>
      <c r="F266" s="25"/>
      <c r="J266" s="24"/>
      <c r="U266" s="24"/>
    </row>
    <row r="267" spans="1:21" ht="12.75" x14ac:dyDescent="0.2">
      <c r="A267" s="25"/>
      <c r="B267" s="25"/>
      <c r="C267" s="25"/>
      <c r="D267" s="25"/>
      <c r="E267" s="25"/>
      <c r="F267" s="25"/>
      <c r="J267" s="24"/>
      <c r="U267" s="24"/>
    </row>
    <row r="268" spans="1:21" ht="12.75" x14ac:dyDescent="0.2">
      <c r="A268" s="25"/>
      <c r="B268" s="25"/>
      <c r="C268" s="25"/>
      <c r="D268" s="25"/>
      <c r="E268" s="25"/>
      <c r="F268" s="25"/>
      <c r="J268" s="24"/>
      <c r="U268" s="24"/>
    </row>
    <row r="269" spans="1:21" ht="12.75" x14ac:dyDescent="0.2">
      <c r="A269" s="25"/>
      <c r="B269" s="25"/>
      <c r="C269" s="25"/>
      <c r="D269" s="25"/>
      <c r="E269" s="25"/>
      <c r="F269" s="25"/>
      <c r="J269" s="24"/>
      <c r="U269" s="24"/>
    </row>
    <row r="270" spans="1:21" ht="12.75" x14ac:dyDescent="0.2">
      <c r="A270" s="25"/>
      <c r="B270" s="25"/>
      <c r="C270" s="25"/>
      <c r="D270" s="25"/>
      <c r="E270" s="25"/>
      <c r="F270" s="25"/>
      <c r="J270" s="24"/>
      <c r="U270" s="24"/>
    </row>
    <row r="271" spans="1:21" ht="12.75" x14ac:dyDescent="0.2">
      <c r="A271" s="25"/>
      <c r="B271" s="25"/>
      <c r="C271" s="25"/>
      <c r="D271" s="25"/>
      <c r="E271" s="25"/>
      <c r="F271" s="25"/>
      <c r="J271" s="24"/>
      <c r="U271" s="24"/>
    </row>
    <row r="272" spans="1:21" ht="12.75" x14ac:dyDescent="0.2">
      <c r="A272" s="25"/>
      <c r="B272" s="25"/>
      <c r="C272" s="25"/>
      <c r="D272" s="25"/>
      <c r="E272" s="25"/>
      <c r="F272" s="25"/>
      <c r="J272" s="24"/>
      <c r="U272" s="24"/>
    </row>
    <row r="273" spans="1:21" ht="12.75" x14ac:dyDescent="0.2">
      <c r="A273" s="25"/>
      <c r="B273" s="25"/>
      <c r="C273" s="25"/>
      <c r="D273" s="25"/>
      <c r="E273" s="25"/>
      <c r="F273" s="25"/>
      <c r="J273" s="24"/>
      <c r="U273" s="24"/>
    </row>
    <row r="274" spans="1:21" ht="12.75" x14ac:dyDescent="0.2">
      <c r="A274" s="25"/>
      <c r="B274" s="25"/>
      <c r="C274" s="25"/>
      <c r="D274" s="25"/>
      <c r="E274" s="25"/>
      <c r="F274" s="25"/>
      <c r="J274" s="24"/>
      <c r="U274" s="24"/>
    </row>
    <row r="275" spans="1:21" ht="12.75" x14ac:dyDescent="0.2">
      <c r="A275" s="25"/>
      <c r="B275" s="25"/>
      <c r="C275" s="25"/>
      <c r="D275" s="25"/>
      <c r="E275" s="25"/>
      <c r="F275" s="25"/>
      <c r="J275" s="24"/>
      <c r="U275" s="24"/>
    </row>
    <row r="276" spans="1:21" ht="12.75" x14ac:dyDescent="0.2">
      <c r="A276" s="25"/>
      <c r="B276" s="25"/>
      <c r="C276" s="25"/>
      <c r="D276" s="25"/>
      <c r="E276" s="25"/>
      <c r="F276" s="25"/>
      <c r="J276" s="24"/>
      <c r="U276" s="24"/>
    </row>
    <row r="277" spans="1:21" ht="12.75" x14ac:dyDescent="0.2">
      <c r="A277" s="25"/>
      <c r="B277" s="25"/>
      <c r="C277" s="25"/>
      <c r="D277" s="25"/>
      <c r="E277" s="25"/>
      <c r="F277" s="25"/>
      <c r="J277" s="24"/>
      <c r="U277" s="24"/>
    </row>
    <row r="278" spans="1:21" ht="12.75" x14ac:dyDescent="0.2">
      <c r="A278" s="25"/>
      <c r="B278" s="25"/>
      <c r="C278" s="25"/>
      <c r="D278" s="25"/>
      <c r="E278" s="25"/>
      <c r="F278" s="25"/>
      <c r="J278" s="24"/>
      <c r="U278" s="24"/>
    </row>
    <row r="279" spans="1:21" ht="12.75" x14ac:dyDescent="0.2">
      <c r="A279" s="25"/>
      <c r="B279" s="25"/>
      <c r="C279" s="25"/>
      <c r="D279" s="25"/>
      <c r="E279" s="25"/>
      <c r="F279" s="25"/>
      <c r="J279" s="24"/>
      <c r="U279" s="24"/>
    </row>
    <row r="280" spans="1:21" ht="12.75" x14ac:dyDescent="0.2">
      <c r="A280" s="25"/>
      <c r="B280" s="25"/>
      <c r="C280" s="25"/>
      <c r="D280" s="25"/>
      <c r="E280" s="25"/>
      <c r="F280" s="25"/>
      <c r="J280" s="24"/>
      <c r="U280" s="24"/>
    </row>
    <row r="281" spans="1:21" ht="12.75" x14ac:dyDescent="0.2">
      <c r="A281" s="25"/>
      <c r="B281" s="25"/>
      <c r="C281" s="25"/>
      <c r="D281" s="25"/>
      <c r="E281" s="25"/>
      <c r="F281" s="25"/>
      <c r="J281" s="24"/>
      <c r="U281" s="24"/>
    </row>
    <row r="282" spans="1:21" ht="12.75" x14ac:dyDescent="0.2">
      <c r="A282" s="25"/>
      <c r="B282" s="25"/>
      <c r="C282" s="25"/>
      <c r="D282" s="25"/>
      <c r="E282" s="25"/>
      <c r="F282" s="25"/>
      <c r="J282" s="24"/>
      <c r="U282" s="24"/>
    </row>
    <row r="283" spans="1:21" ht="12.75" x14ac:dyDescent="0.2">
      <c r="A283" s="25"/>
      <c r="B283" s="25"/>
      <c r="C283" s="25"/>
      <c r="D283" s="25"/>
      <c r="E283" s="25"/>
      <c r="F283" s="25"/>
      <c r="J283" s="24"/>
      <c r="U283" s="24"/>
    </row>
    <row r="284" spans="1:21" ht="12.75" x14ac:dyDescent="0.2">
      <c r="A284" s="25"/>
      <c r="B284" s="25"/>
      <c r="C284" s="25"/>
      <c r="D284" s="25"/>
      <c r="E284" s="25"/>
      <c r="F284" s="25"/>
      <c r="J284" s="24"/>
      <c r="U284" s="24"/>
    </row>
    <row r="285" spans="1:21" ht="12.75" x14ac:dyDescent="0.2">
      <c r="A285" s="25"/>
      <c r="B285" s="25"/>
      <c r="C285" s="25"/>
      <c r="D285" s="25"/>
      <c r="E285" s="25"/>
      <c r="F285" s="25"/>
      <c r="J285" s="24"/>
      <c r="U285" s="24"/>
    </row>
    <row r="286" spans="1:21" ht="12.75" x14ac:dyDescent="0.2">
      <c r="A286" s="25"/>
      <c r="B286" s="25"/>
      <c r="C286" s="25"/>
      <c r="D286" s="25"/>
      <c r="E286" s="25"/>
      <c r="F286" s="25"/>
      <c r="J286" s="24"/>
      <c r="U286" s="24"/>
    </row>
    <row r="287" spans="1:21" ht="12.75" x14ac:dyDescent="0.2">
      <c r="A287" s="25"/>
      <c r="B287" s="25"/>
      <c r="C287" s="25"/>
      <c r="D287" s="25"/>
      <c r="E287" s="25"/>
      <c r="F287" s="25"/>
      <c r="J287" s="24"/>
      <c r="U287" s="24"/>
    </row>
    <row r="288" spans="1:21" ht="12.75" x14ac:dyDescent="0.2">
      <c r="A288" s="25"/>
      <c r="B288" s="25"/>
      <c r="C288" s="25"/>
      <c r="D288" s="25"/>
      <c r="E288" s="25"/>
      <c r="F288" s="25"/>
      <c r="J288" s="24"/>
      <c r="U288" s="24"/>
    </row>
    <row r="289" spans="1:21" ht="12.75" x14ac:dyDescent="0.2">
      <c r="A289" s="25"/>
      <c r="B289" s="25"/>
      <c r="C289" s="25"/>
      <c r="D289" s="25"/>
      <c r="E289" s="25"/>
      <c r="F289" s="25"/>
      <c r="J289" s="24"/>
      <c r="U289" s="24"/>
    </row>
    <row r="290" spans="1:21" ht="12.75" x14ac:dyDescent="0.2">
      <c r="A290" s="25"/>
      <c r="B290" s="25"/>
      <c r="C290" s="25"/>
      <c r="D290" s="25"/>
      <c r="E290" s="25"/>
      <c r="F290" s="25"/>
      <c r="J290" s="24"/>
      <c r="U290" s="24"/>
    </row>
    <row r="291" spans="1:21" ht="12.75" x14ac:dyDescent="0.2">
      <c r="A291" s="25"/>
      <c r="B291" s="25"/>
      <c r="C291" s="25"/>
      <c r="D291" s="25"/>
      <c r="E291" s="25"/>
      <c r="F291" s="25"/>
      <c r="J291" s="24"/>
      <c r="U291" s="24"/>
    </row>
    <row r="292" spans="1:21" ht="12.75" x14ac:dyDescent="0.2">
      <c r="A292" s="25"/>
      <c r="B292" s="25"/>
      <c r="C292" s="25"/>
      <c r="D292" s="25"/>
      <c r="E292" s="25"/>
      <c r="F292" s="25"/>
      <c r="J292" s="24"/>
      <c r="U292" s="24"/>
    </row>
    <row r="293" spans="1:21" ht="12.75" x14ac:dyDescent="0.2">
      <c r="A293" s="25"/>
      <c r="B293" s="25"/>
      <c r="C293" s="25"/>
      <c r="D293" s="25"/>
      <c r="E293" s="25"/>
      <c r="F293" s="25"/>
      <c r="J293" s="24"/>
      <c r="U293" s="24"/>
    </row>
    <row r="294" spans="1:21" ht="12.75" x14ac:dyDescent="0.2">
      <c r="A294" s="25"/>
      <c r="B294" s="25"/>
      <c r="C294" s="25"/>
      <c r="D294" s="25"/>
      <c r="E294" s="25"/>
      <c r="F294" s="25"/>
      <c r="J294" s="24"/>
      <c r="U294" s="24"/>
    </row>
    <row r="295" spans="1:21" ht="12.75" x14ac:dyDescent="0.2">
      <c r="A295" s="25"/>
      <c r="B295" s="25"/>
      <c r="C295" s="25"/>
      <c r="D295" s="25"/>
      <c r="E295" s="25"/>
      <c r="F295" s="25"/>
      <c r="J295" s="24"/>
      <c r="U295" s="24"/>
    </row>
    <row r="296" spans="1:21" ht="12.75" x14ac:dyDescent="0.2">
      <c r="A296" s="25"/>
      <c r="B296" s="25"/>
      <c r="C296" s="25"/>
      <c r="D296" s="25"/>
      <c r="E296" s="25"/>
      <c r="F296" s="25"/>
      <c r="J296" s="24"/>
      <c r="U296" s="24"/>
    </row>
    <row r="297" spans="1:21" ht="12.75" x14ac:dyDescent="0.2">
      <c r="A297" s="25"/>
      <c r="B297" s="25"/>
      <c r="C297" s="25"/>
      <c r="D297" s="25"/>
      <c r="E297" s="25"/>
      <c r="F297" s="25"/>
      <c r="J297" s="24"/>
      <c r="U297" s="24"/>
    </row>
    <row r="298" spans="1:21" ht="12.75" x14ac:dyDescent="0.2">
      <c r="A298" s="25"/>
      <c r="B298" s="25"/>
      <c r="C298" s="25"/>
      <c r="D298" s="25"/>
      <c r="E298" s="25"/>
      <c r="F298" s="25"/>
      <c r="J298" s="24"/>
      <c r="U298" s="24"/>
    </row>
    <row r="299" spans="1:21" ht="12.75" x14ac:dyDescent="0.2">
      <c r="A299" s="25"/>
      <c r="B299" s="25"/>
      <c r="C299" s="25"/>
      <c r="D299" s="25"/>
      <c r="E299" s="25"/>
      <c r="F299" s="25"/>
      <c r="J299" s="24"/>
      <c r="U299" s="24"/>
    </row>
    <row r="300" spans="1:21" ht="12.75" x14ac:dyDescent="0.2">
      <c r="A300" s="25"/>
      <c r="B300" s="25"/>
      <c r="C300" s="25"/>
      <c r="D300" s="25"/>
      <c r="E300" s="25"/>
      <c r="F300" s="25"/>
      <c r="J300" s="24"/>
      <c r="U300" s="24"/>
    </row>
    <row r="301" spans="1:21" ht="12.75" x14ac:dyDescent="0.2">
      <c r="A301" s="25"/>
      <c r="B301" s="25"/>
      <c r="C301" s="25"/>
      <c r="D301" s="25"/>
      <c r="E301" s="25"/>
      <c r="F301" s="25"/>
      <c r="J301" s="24"/>
      <c r="U301" s="24"/>
    </row>
    <row r="302" spans="1:21" ht="12.75" x14ac:dyDescent="0.2">
      <c r="A302" s="25"/>
      <c r="B302" s="25"/>
      <c r="C302" s="25"/>
      <c r="D302" s="25"/>
      <c r="E302" s="25"/>
      <c r="F302" s="25"/>
      <c r="J302" s="24"/>
      <c r="U302" s="24"/>
    </row>
    <row r="303" spans="1:21" ht="12.75" x14ac:dyDescent="0.2">
      <c r="A303" s="25"/>
      <c r="B303" s="25"/>
      <c r="C303" s="25"/>
      <c r="D303" s="25"/>
      <c r="E303" s="25"/>
      <c r="F303" s="25"/>
      <c r="J303" s="24"/>
      <c r="U303" s="24"/>
    </row>
    <row r="304" spans="1:21" ht="12.75" x14ac:dyDescent="0.2">
      <c r="A304" s="25"/>
      <c r="B304" s="25"/>
      <c r="C304" s="25"/>
      <c r="D304" s="25"/>
      <c r="E304" s="25"/>
      <c r="F304" s="25"/>
      <c r="J304" s="24"/>
      <c r="U304" s="24"/>
    </row>
    <row r="305" spans="1:21" ht="12.75" x14ac:dyDescent="0.2">
      <c r="A305" s="25"/>
      <c r="B305" s="25"/>
      <c r="C305" s="25"/>
      <c r="D305" s="25"/>
      <c r="E305" s="25"/>
      <c r="F305" s="25"/>
      <c r="J305" s="24"/>
      <c r="U305" s="24"/>
    </row>
    <row r="306" spans="1:21" ht="12.75" x14ac:dyDescent="0.2">
      <c r="A306" s="25"/>
      <c r="B306" s="25"/>
      <c r="C306" s="25"/>
      <c r="D306" s="25"/>
      <c r="E306" s="25"/>
      <c r="F306" s="25"/>
      <c r="J306" s="24"/>
      <c r="U306" s="24"/>
    </row>
    <row r="307" spans="1:21" ht="12.75" x14ac:dyDescent="0.2">
      <c r="A307" s="25"/>
      <c r="B307" s="25"/>
      <c r="C307" s="25"/>
      <c r="D307" s="25"/>
      <c r="E307" s="25"/>
      <c r="F307" s="25"/>
      <c r="J307" s="24"/>
      <c r="U307" s="24"/>
    </row>
    <row r="308" spans="1:21" ht="12.75" x14ac:dyDescent="0.2">
      <c r="A308" s="25"/>
      <c r="B308" s="25"/>
      <c r="C308" s="25"/>
      <c r="D308" s="25"/>
      <c r="E308" s="25"/>
      <c r="F308" s="25"/>
      <c r="J308" s="24"/>
      <c r="U308" s="24"/>
    </row>
    <row r="309" spans="1:21" ht="12.75" x14ac:dyDescent="0.2">
      <c r="A309" s="25"/>
      <c r="B309" s="25"/>
      <c r="C309" s="25"/>
      <c r="D309" s="25"/>
      <c r="E309" s="25"/>
      <c r="F309" s="25"/>
      <c r="J309" s="24"/>
      <c r="U309" s="24"/>
    </row>
    <row r="310" spans="1:21" ht="12.75" x14ac:dyDescent="0.2">
      <c r="A310" s="25"/>
      <c r="B310" s="25"/>
      <c r="C310" s="25"/>
      <c r="D310" s="25"/>
      <c r="E310" s="25"/>
      <c r="F310" s="25"/>
      <c r="J310" s="24"/>
      <c r="U310" s="24"/>
    </row>
    <row r="311" spans="1:21" ht="12.75" x14ac:dyDescent="0.2">
      <c r="A311" s="25"/>
      <c r="B311" s="25"/>
      <c r="C311" s="25"/>
      <c r="D311" s="25"/>
      <c r="E311" s="25"/>
      <c r="F311" s="25"/>
      <c r="J311" s="24"/>
      <c r="U311" s="24"/>
    </row>
    <row r="312" spans="1:21" ht="12.75" x14ac:dyDescent="0.2">
      <c r="A312" s="25"/>
      <c r="B312" s="25"/>
      <c r="C312" s="25"/>
      <c r="D312" s="25"/>
      <c r="E312" s="25"/>
      <c r="F312" s="25"/>
      <c r="J312" s="24"/>
      <c r="U312" s="24"/>
    </row>
    <row r="313" spans="1:21" ht="12.75" x14ac:dyDescent="0.2">
      <c r="A313" s="25"/>
      <c r="B313" s="25"/>
      <c r="C313" s="25"/>
      <c r="D313" s="25"/>
      <c r="E313" s="25"/>
      <c r="F313" s="25"/>
      <c r="J313" s="24"/>
      <c r="U313" s="24"/>
    </row>
    <row r="314" spans="1:21" ht="12.75" x14ac:dyDescent="0.2">
      <c r="A314" s="25"/>
      <c r="B314" s="25"/>
      <c r="C314" s="25"/>
      <c r="D314" s="25"/>
      <c r="E314" s="25"/>
      <c r="F314" s="25"/>
      <c r="J314" s="24"/>
      <c r="U314" s="24"/>
    </row>
    <row r="315" spans="1:21" ht="12.75" x14ac:dyDescent="0.2">
      <c r="A315" s="25"/>
      <c r="B315" s="25"/>
      <c r="C315" s="25"/>
      <c r="D315" s="25"/>
      <c r="E315" s="25"/>
      <c r="F315" s="25"/>
      <c r="J315" s="24"/>
      <c r="U315" s="24"/>
    </row>
    <row r="316" spans="1:21" ht="12.75" x14ac:dyDescent="0.2">
      <c r="A316" s="25"/>
      <c r="B316" s="25"/>
      <c r="C316" s="25"/>
      <c r="D316" s="25"/>
      <c r="E316" s="25"/>
      <c r="F316" s="25"/>
      <c r="J316" s="24"/>
      <c r="U316" s="24"/>
    </row>
    <row r="317" spans="1:21" ht="12.75" x14ac:dyDescent="0.2">
      <c r="A317" s="25"/>
      <c r="B317" s="25"/>
      <c r="C317" s="25"/>
      <c r="D317" s="25"/>
      <c r="E317" s="25"/>
      <c r="F317" s="25"/>
      <c r="J317" s="24"/>
      <c r="U317" s="24"/>
    </row>
    <row r="318" spans="1:21" ht="12.75" x14ac:dyDescent="0.2">
      <c r="A318" s="25"/>
      <c r="B318" s="25"/>
      <c r="C318" s="25"/>
      <c r="D318" s="25"/>
      <c r="E318" s="25"/>
      <c r="F318" s="25"/>
      <c r="J318" s="24"/>
      <c r="U318" s="24"/>
    </row>
    <row r="319" spans="1:21" ht="12.75" x14ac:dyDescent="0.2">
      <c r="A319" s="25"/>
      <c r="B319" s="25"/>
      <c r="C319" s="25"/>
      <c r="D319" s="25"/>
      <c r="E319" s="25"/>
      <c r="F319" s="25"/>
      <c r="J319" s="24"/>
      <c r="U319" s="24"/>
    </row>
    <row r="320" spans="1:21" ht="12.75" x14ac:dyDescent="0.2">
      <c r="A320" s="25"/>
      <c r="B320" s="25"/>
      <c r="C320" s="25"/>
      <c r="D320" s="25"/>
      <c r="E320" s="25"/>
      <c r="F320" s="25"/>
      <c r="J320" s="24"/>
      <c r="U320" s="24"/>
    </row>
    <row r="321" spans="1:21" ht="12.75" x14ac:dyDescent="0.2">
      <c r="A321" s="25"/>
      <c r="B321" s="25"/>
      <c r="C321" s="25"/>
      <c r="D321" s="25"/>
      <c r="E321" s="25"/>
      <c r="F321" s="25"/>
      <c r="J321" s="24"/>
      <c r="U321" s="24"/>
    </row>
    <row r="322" spans="1:21" ht="12.75" x14ac:dyDescent="0.2">
      <c r="A322" s="25"/>
      <c r="B322" s="25"/>
      <c r="C322" s="25"/>
      <c r="D322" s="25"/>
      <c r="E322" s="25"/>
      <c r="F322" s="25"/>
      <c r="J322" s="24"/>
      <c r="U322" s="24"/>
    </row>
    <row r="323" spans="1:21" ht="12.75" x14ac:dyDescent="0.2">
      <c r="A323" s="25"/>
      <c r="B323" s="25"/>
      <c r="C323" s="25"/>
      <c r="D323" s="25"/>
      <c r="E323" s="25"/>
      <c r="F323" s="25"/>
      <c r="J323" s="24"/>
      <c r="U323" s="24"/>
    </row>
    <row r="324" spans="1:21" ht="12.75" x14ac:dyDescent="0.2">
      <c r="A324" s="25"/>
      <c r="B324" s="25"/>
      <c r="C324" s="25"/>
      <c r="D324" s="25"/>
      <c r="E324" s="25"/>
      <c r="F324" s="25"/>
      <c r="J324" s="24"/>
      <c r="U324" s="24"/>
    </row>
    <row r="325" spans="1:21" ht="12.75" x14ac:dyDescent="0.2">
      <c r="A325" s="25"/>
      <c r="B325" s="25"/>
      <c r="C325" s="25"/>
      <c r="D325" s="25"/>
      <c r="E325" s="25"/>
      <c r="F325" s="25"/>
      <c r="J325" s="24"/>
      <c r="U325" s="24"/>
    </row>
    <row r="326" spans="1:21" ht="12.75" x14ac:dyDescent="0.2">
      <c r="A326" s="25"/>
      <c r="B326" s="25"/>
      <c r="C326" s="25"/>
      <c r="D326" s="25"/>
      <c r="E326" s="25"/>
      <c r="F326" s="25"/>
      <c r="J326" s="24"/>
      <c r="U326" s="24"/>
    </row>
    <row r="327" spans="1:21" ht="12.75" x14ac:dyDescent="0.2">
      <c r="A327" s="25"/>
      <c r="B327" s="25"/>
      <c r="C327" s="25"/>
      <c r="D327" s="25"/>
      <c r="E327" s="25"/>
      <c r="F327" s="25"/>
      <c r="J327" s="24"/>
      <c r="U327" s="24"/>
    </row>
    <row r="328" spans="1:21" ht="12.75" x14ac:dyDescent="0.2">
      <c r="A328" s="25"/>
      <c r="B328" s="25"/>
      <c r="C328" s="25"/>
      <c r="D328" s="25"/>
      <c r="E328" s="25"/>
      <c r="F328" s="25"/>
      <c r="J328" s="24"/>
      <c r="U328" s="24"/>
    </row>
    <row r="329" spans="1:21" ht="12.75" x14ac:dyDescent="0.2">
      <c r="A329" s="25"/>
      <c r="B329" s="25"/>
      <c r="C329" s="25"/>
      <c r="D329" s="25"/>
      <c r="E329" s="25"/>
      <c r="F329" s="25"/>
      <c r="J329" s="24"/>
      <c r="U329" s="24"/>
    </row>
    <row r="330" spans="1:21" ht="12.75" x14ac:dyDescent="0.2">
      <c r="A330" s="25"/>
      <c r="B330" s="25"/>
      <c r="C330" s="25"/>
      <c r="D330" s="25"/>
      <c r="E330" s="25"/>
      <c r="F330" s="25"/>
      <c r="J330" s="24"/>
      <c r="U330" s="24"/>
    </row>
    <row r="331" spans="1:21" ht="12.75" x14ac:dyDescent="0.2">
      <c r="A331" s="25"/>
      <c r="B331" s="25"/>
      <c r="C331" s="25"/>
      <c r="D331" s="25"/>
      <c r="E331" s="25"/>
      <c r="F331" s="25"/>
      <c r="J331" s="24"/>
      <c r="U331" s="24"/>
    </row>
    <row r="332" spans="1:21" ht="12.75" x14ac:dyDescent="0.2">
      <c r="A332" s="25"/>
      <c r="B332" s="25"/>
      <c r="C332" s="25"/>
      <c r="D332" s="25"/>
      <c r="E332" s="25"/>
      <c r="F332" s="25"/>
      <c r="J332" s="24"/>
      <c r="U332" s="24"/>
    </row>
    <row r="333" spans="1:21" ht="12.75" x14ac:dyDescent="0.2">
      <c r="A333" s="25"/>
      <c r="B333" s="25"/>
      <c r="C333" s="25"/>
      <c r="D333" s="25"/>
      <c r="E333" s="25"/>
      <c r="F333" s="25"/>
      <c r="J333" s="24"/>
      <c r="U333" s="24"/>
    </row>
    <row r="334" spans="1:21" ht="12.75" x14ac:dyDescent="0.2">
      <c r="A334" s="25"/>
      <c r="B334" s="25"/>
      <c r="C334" s="25"/>
      <c r="D334" s="25"/>
      <c r="E334" s="25"/>
      <c r="F334" s="25"/>
      <c r="J334" s="24"/>
      <c r="U334" s="24"/>
    </row>
    <row r="335" spans="1:21" ht="12.75" x14ac:dyDescent="0.2">
      <c r="A335" s="25"/>
      <c r="B335" s="25"/>
      <c r="C335" s="25"/>
      <c r="D335" s="25"/>
      <c r="E335" s="25"/>
      <c r="F335" s="25"/>
      <c r="J335" s="24"/>
      <c r="U335" s="24"/>
    </row>
    <row r="336" spans="1:21" ht="12.75" x14ac:dyDescent="0.2">
      <c r="A336" s="25"/>
      <c r="B336" s="25"/>
      <c r="C336" s="25"/>
      <c r="D336" s="25"/>
      <c r="E336" s="25"/>
      <c r="F336" s="25"/>
      <c r="J336" s="24"/>
      <c r="U336" s="24"/>
    </row>
    <row r="337" spans="1:21" ht="12.75" x14ac:dyDescent="0.2">
      <c r="A337" s="25"/>
      <c r="B337" s="25"/>
      <c r="C337" s="25"/>
      <c r="D337" s="25"/>
      <c r="E337" s="25"/>
      <c r="F337" s="25"/>
      <c r="J337" s="24"/>
      <c r="U337" s="24"/>
    </row>
    <row r="338" spans="1:21" ht="12.75" x14ac:dyDescent="0.2">
      <c r="A338" s="25"/>
      <c r="B338" s="25"/>
      <c r="C338" s="25"/>
      <c r="D338" s="25"/>
      <c r="E338" s="25"/>
      <c r="F338" s="25"/>
      <c r="J338" s="24"/>
      <c r="U338" s="24"/>
    </row>
    <row r="339" spans="1:21" ht="12.75" x14ac:dyDescent="0.2">
      <c r="A339" s="25"/>
      <c r="B339" s="25"/>
      <c r="C339" s="25"/>
      <c r="D339" s="25"/>
      <c r="E339" s="25"/>
      <c r="F339" s="25"/>
      <c r="J339" s="24"/>
      <c r="U339" s="24"/>
    </row>
    <row r="340" spans="1:21" ht="12.75" x14ac:dyDescent="0.2">
      <c r="A340" s="25"/>
      <c r="B340" s="25"/>
      <c r="C340" s="25"/>
      <c r="D340" s="25"/>
      <c r="E340" s="25"/>
      <c r="F340" s="25"/>
      <c r="J340" s="24"/>
      <c r="U340" s="24"/>
    </row>
    <row r="341" spans="1:21" ht="12.75" x14ac:dyDescent="0.2">
      <c r="A341" s="25"/>
      <c r="B341" s="25"/>
      <c r="C341" s="25"/>
      <c r="D341" s="25"/>
      <c r="E341" s="25"/>
      <c r="F341" s="25"/>
      <c r="J341" s="24"/>
      <c r="U341" s="24"/>
    </row>
    <row r="342" spans="1:21" ht="12.75" x14ac:dyDescent="0.2">
      <c r="A342" s="25"/>
      <c r="B342" s="25"/>
      <c r="C342" s="25"/>
      <c r="D342" s="25"/>
      <c r="E342" s="25"/>
      <c r="F342" s="25"/>
      <c r="J342" s="24"/>
      <c r="U342" s="24"/>
    </row>
    <row r="343" spans="1:21" ht="12.75" x14ac:dyDescent="0.2">
      <c r="A343" s="25"/>
      <c r="B343" s="25"/>
      <c r="C343" s="25"/>
      <c r="D343" s="25"/>
      <c r="E343" s="25"/>
      <c r="F343" s="25"/>
      <c r="J343" s="24"/>
      <c r="U343" s="24"/>
    </row>
    <row r="344" spans="1:21" ht="12.75" x14ac:dyDescent="0.2">
      <c r="A344" s="25"/>
      <c r="B344" s="25"/>
      <c r="C344" s="25"/>
      <c r="D344" s="25"/>
      <c r="E344" s="25"/>
      <c r="F344" s="25"/>
      <c r="J344" s="24"/>
      <c r="U344" s="24"/>
    </row>
    <row r="345" spans="1:21" ht="12.75" x14ac:dyDescent="0.2">
      <c r="A345" s="25"/>
      <c r="B345" s="25"/>
      <c r="C345" s="25"/>
      <c r="D345" s="25"/>
      <c r="E345" s="25"/>
      <c r="F345" s="25"/>
      <c r="J345" s="24"/>
      <c r="U345" s="24"/>
    </row>
    <row r="346" spans="1:21" ht="12.75" x14ac:dyDescent="0.2">
      <c r="A346" s="25"/>
      <c r="B346" s="25"/>
      <c r="C346" s="25"/>
      <c r="D346" s="25"/>
      <c r="E346" s="25"/>
      <c r="F346" s="25"/>
      <c r="J346" s="24"/>
      <c r="U346" s="24"/>
    </row>
    <row r="347" spans="1:21" ht="12.75" x14ac:dyDescent="0.2">
      <c r="A347" s="25"/>
      <c r="B347" s="25"/>
      <c r="C347" s="25"/>
      <c r="D347" s="25"/>
      <c r="E347" s="25"/>
      <c r="F347" s="25"/>
      <c r="J347" s="24"/>
      <c r="U347" s="24"/>
    </row>
    <row r="348" spans="1:21" ht="12.75" x14ac:dyDescent="0.2">
      <c r="A348" s="25"/>
      <c r="B348" s="25"/>
      <c r="C348" s="25"/>
      <c r="D348" s="25"/>
      <c r="E348" s="25"/>
      <c r="F348" s="25"/>
      <c r="J348" s="24"/>
      <c r="U348" s="24"/>
    </row>
    <row r="349" spans="1:21" ht="12.75" x14ac:dyDescent="0.2">
      <c r="A349" s="25"/>
      <c r="B349" s="25"/>
      <c r="C349" s="25"/>
      <c r="D349" s="25"/>
      <c r="E349" s="25"/>
      <c r="F349" s="25"/>
      <c r="J349" s="24"/>
      <c r="U349" s="24"/>
    </row>
    <row r="350" spans="1:21" ht="12.75" x14ac:dyDescent="0.2">
      <c r="A350" s="25"/>
      <c r="B350" s="25"/>
      <c r="C350" s="25"/>
      <c r="D350" s="25"/>
      <c r="E350" s="25"/>
      <c r="F350" s="25"/>
      <c r="J350" s="24"/>
      <c r="U350" s="24"/>
    </row>
    <row r="351" spans="1:21" ht="12.75" x14ac:dyDescent="0.2">
      <c r="A351" s="25"/>
      <c r="B351" s="25"/>
      <c r="C351" s="25"/>
      <c r="D351" s="25"/>
      <c r="E351" s="25"/>
      <c r="F351" s="25"/>
      <c r="J351" s="24"/>
      <c r="U351" s="24"/>
    </row>
    <row r="352" spans="1:21" ht="12.75" x14ac:dyDescent="0.2">
      <c r="A352" s="25"/>
      <c r="B352" s="25"/>
      <c r="C352" s="25"/>
      <c r="D352" s="25"/>
      <c r="E352" s="25"/>
      <c r="F352" s="25"/>
      <c r="J352" s="24"/>
      <c r="U352" s="24"/>
    </row>
    <row r="353" spans="1:21" ht="12.75" x14ac:dyDescent="0.2">
      <c r="A353" s="25"/>
      <c r="B353" s="25"/>
      <c r="C353" s="25"/>
      <c r="D353" s="25"/>
      <c r="E353" s="25"/>
      <c r="F353" s="25"/>
      <c r="J353" s="24"/>
      <c r="U353" s="24"/>
    </row>
    <row r="354" spans="1:21" ht="12.75" x14ac:dyDescent="0.2">
      <c r="A354" s="25"/>
      <c r="B354" s="25"/>
      <c r="C354" s="25"/>
      <c r="D354" s="25"/>
      <c r="E354" s="25"/>
      <c r="F354" s="25"/>
      <c r="J354" s="24"/>
      <c r="U354" s="24"/>
    </row>
    <row r="355" spans="1:21" ht="12.75" x14ac:dyDescent="0.2">
      <c r="A355" s="25"/>
      <c r="B355" s="25"/>
      <c r="C355" s="25"/>
      <c r="D355" s="25"/>
      <c r="E355" s="25"/>
      <c r="F355" s="25"/>
      <c r="J355" s="24"/>
      <c r="U355" s="24"/>
    </row>
    <row r="356" spans="1:21" ht="12.75" x14ac:dyDescent="0.2">
      <c r="A356" s="25"/>
      <c r="B356" s="25"/>
      <c r="C356" s="25"/>
      <c r="D356" s="25"/>
      <c r="E356" s="25"/>
      <c r="F356" s="25"/>
      <c r="J356" s="24"/>
      <c r="U356" s="24"/>
    </row>
    <row r="357" spans="1:21" ht="12.75" x14ac:dyDescent="0.2">
      <c r="A357" s="25"/>
      <c r="B357" s="25"/>
      <c r="C357" s="25"/>
      <c r="D357" s="25"/>
      <c r="E357" s="25"/>
      <c r="F357" s="25"/>
      <c r="J357" s="24"/>
      <c r="U357" s="24"/>
    </row>
    <row r="358" spans="1:21" ht="12.75" x14ac:dyDescent="0.2">
      <c r="A358" s="25"/>
      <c r="B358" s="25"/>
      <c r="C358" s="25"/>
      <c r="D358" s="25"/>
      <c r="E358" s="25"/>
      <c r="F358" s="25"/>
      <c r="J358" s="24"/>
      <c r="U358" s="24"/>
    </row>
    <row r="359" spans="1:21" ht="12.75" x14ac:dyDescent="0.2">
      <c r="A359" s="25"/>
      <c r="B359" s="25"/>
      <c r="C359" s="25"/>
      <c r="D359" s="25"/>
      <c r="E359" s="25"/>
      <c r="F359" s="25"/>
      <c r="J359" s="24"/>
      <c r="U359" s="24"/>
    </row>
    <row r="360" spans="1:21" ht="12.75" x14ac:dyDescent="0.2">
      <c r="A360" s="25"/>
      <c r="B360" s="25"/>
      <c r="C360" s="25"/>
      <c r="D360" s="25"/>
      <c r="E360" s="25"/>
      <c r="F360" s="25"/>
      <c r="J360" s="24"/>
      <c r="U360" s="24"/>
    </row>
    <row r="361" spans="1:21" ht="12.75" x14ac:dyDescent="0.2">
      <c r="A361" s="25"/>
      <c r="B361" s="25"/>
      <c r="C361" s="25"/>
      <c r="D361" s="25"/>
      <c r="E361" s="25"/>
      <c r="F361" s="25"/>
      <c r="J361" s="24"/>
      <c r="U361" s="24"/>
    </row>
    <row r="362" spans="1:21" ht="12.75" x14ac:dyDescent="0.2">
      <c r="A362" s="25"/>
      <c r="B362" s="25"/>
      <c r="C362" s="25"/>
      <c r="D362" s="25"/>
      <c r="E362" s="25"/>
      <c r="F362" s="25"/>
      <c r="J362" s="24"/>
      <c r="U362" s="24"/>
    </row>
    <row r="363" spans="1:21" ht="12.75" x14ac:dyDescent="0.2">
      <c r="A363" s="25"/>
      <c r="B363" s="25"/>
      <c r="C363" s="25"/>
      <c r="D363" s="25"/>
      <c r="E363" s="25"/>
      <c r="F363" s="25"/>
      <c r="J363" s="24"/>
      <c r="U363" s="24"/>
    </row>
    <row r="364" spans="1:21" ht="12.75" x14ac:dyDescent="0.2">
      <c r="A364" s="25"/>
      <c r="B364" s="25"/>
      <c r="C364" s="25"/>
      <c r="D364" s="25"/>
      <c r="E364" s="25"/>
      <c r="F364" s="25"/>
      <c r="J364" s="24"/>
      <c r="U364" s="24"/>
    </row>
    <row r="365" spans="1:21" ht="12.75" x14ac:dyDescent="0.2">
      <c r="A365" s="25"/>
      <c r="B365" s="25"/>
      <c r="C365" s="25"/>
      <c r="D365" s="25"/>
      <c r="E365" s="25"/>
      <c r="F365" s="25"/>
      <c r="J365" s="24"/>
      <c r="U365" s="24"/>
    </row>
    <row r="366" spans="1:21" ht="12.75" x14ac:dyDescent="0.2">
      <c r="A366" s="25"/>
      <c r="B366" s="25"/>
      <c r="C366" s="25"/>
      <c r="D366" s="25"/>
      <c r="E366" s="25"/>
      <c r="F366" s="25"/>
      <c r="J366" s="24"/>
      <c r="U366" s="24"/>
    </row>
    <row r="367" spans="1:21" ht="12.75" x14ac:dyDescent="0.2">
      <c r="A367" s="25"/>
      <c r="B367" s="25"/>
      <c r="C367" s="25"/>
      <c r="D367" s="25"/>
      <c r="E367" s="25"/>
      <c r="F367" s="25"/>
      <c r="J367" s="24"/>
      <c r="U367" s="24"/>
    </row>
    <row r="368" spans="1:21" ht="12.75" x14ac:dyDescent="0.2">
      <c r="A368" s="25"/>
      <c r="B368" s="25"/>
      <c r="C368" s="25"/>
      <c r="D368" s="25"/>
      <c r="E368" s="25"/>
      <c r="F368" s="25"/>
      <c r="J368" s="24"/>
      <c r="U368" s="24"/>
    </row>
    <row r="369" spans="1:21" ht="12.75" x14ac:dyDescent="0.2">
      <c r="A369" s="25"/>
      <c r="B369" s="25"/>
      <c r="C369" s="25"/>
      <c r="D369" s="25"/>
      <c r="E369" s="25"/>
      <c r="F369" s="25"/>
      <c r="J369" s="24"/>
      <c r="U369" s="24"/>
    </row>
    <row r="370" spans="1:21" ht="12.75" x14ac:dyDescent="0.2">
      <c r="A370" s="25"/>
      <c r="B370" s="25"/>
      <c r="C370" s="25"/>
      <c r="D370" s="25"/>
      <c r="E370" s="25"/>
      <c r="F370" s="25"/>
      <c r="J370" s="24"/>
      <c r="U370" s="24"/>
    </row>
    <row r="371" spans="1:21" ht="12.75" x14ac:dyDescent="0.2">
      <c r="A371" s="25"/>
      <c r="B371" s="25"/>
      <c r="C371" s="25"/>
      <c r="D371" s="25"/>
      <c r="E371" s="25"/>
      <c r="F371" s="25"/>
      <c r="J371" s="24"/>
      <c r="U371" s="24"/>
    </row>
    <row r="372" spans="1:21" ht="12.75" x14ac:dyDescent="0.2">
      <c r="A372" s="25"/>
      <c r="B372" s="25"/>
      <c r="C372" s="25"/>
      <c r="D372" s="25"/>
      <c r="E372" s="25"/>
      <c r="F372" s="25"/>
      <c r="J372" s="24"/>
      <c r="U372" s="24"/>
    </row>
    <row r="373" spans="1:21" ht="12.75" x14ac:dyDescent="0.2">
      <c r="A373" s="25"/>
      <c r="B373" s="25"/>
      <c r="C373" s="25"/>
      <c r="D373" s="25"/>
      <c r="E373" s="25"/>
      <c r="F373" s="25"/>
      <c r="J373" s="24"/>
      <c r="U373" s="24"/>
    </row>
    <row r="374" spans="1:21" ht="12.75" x14ac:dyDescent="0.2">
      <c r="A374" s="25"/>
      <c r="B374" s="25"/>
      <c r="C374" s="25"/>
      <c r="D374" s="25"/>
      <c r="E374" s="25"/>
      <c r="F374" s="25"/>
      <c r="J374" s="24"/>
      <c r="U374" s="24"/>
    </row>
    <row r="375" spans="1:21" ht="12.75" x14ac:dyDescent="0.2">
      <c r="A375" s="25"/>
      <c r="B375" s="25"/>
      <c r="C375" s="25"/>
      <c r="D375" s="25"/>
      <c r="E375" s="25"/>
      <c r="F375" s="25"/>
      <c r="J375" s="24"/>
      <c r="U375" s="24"/>
    </row>
    <row r="376" spans="1:21" ht="12.75" x14ac:dyDescent="0.2">
      <c r="A376" s="25"/>
      <c r="B376" s="25"/>
      <c r="C376" s="25"/>
      <c r="D376" s="25"/>
      <c r="E376" s="25"/>
      <c r="F376" s="25"/>
      <c r="J376" s="24"/>
      <c r="U376" s="24"/>
    </row>
    <row r="377" spans="1:21" ht="12.75" x14ac:dyDescent="0.2">
      <c r="A377" s="25"/>
      <c r="B377" s="25"/>
      <c r="C377" s="25"/>
      <c r="D377" s="25"/>
      <c r="E377" s="25"/>
      <c r="F377" s="25"/>
      <c r="J377" s="24"/>
      <c r="U377" s="24"/>
    </row>
    <row r="378" spans="1:21" ht="12.75" x14ac:dyDescent="0.2">
      <c r="A378" s="25"/>
      <c r="B378" s="25"/>
      <c r="C378" s="25"/>
      <c r="D378" s="25"/>
      <c r="E378" s="25"/>
      <c r="F378" s="25"/>
      <c r="J378" s="24"/>
      <c r="U378" s="24"/>
    </row>
    <row r="379" spans="1:21" ht="12.75" x14ac:dyDescent="0.2">
      <c r="A379" s="25"/>
      <c r="B379" s="25"/>
      <c r="C379" s="25"/>
      <c r="D379" s="25"/>
      <c r="E379" s="25"/>
      <c r="F379" s="25"/>
      <c r="J379" s="24"/>
      <c r="U379" s="24"/>
    </row>
    <row r="380" spans="1:21" ht="12.75" x14ac:dyDescent="0.2">
      <c r="A380" s="25"/>
      <c r="B380" s="25"/>
      <c r="C380" s="25"/>
      <c r="D380" s="25"/>
      <c r="E380" s="25"/>
      <c r="F380" s="25"/>
      <c r="J380" s="24"/>
      <c r="U380" s="24"/>
    </row>
    <row r="381" spans="1:21" ht="12.75" x14ac:dyDescent="0.2">
      <c r="A381" s="25"/>
      <c r="B381" s="25"/>
      <c r="C381" s="25"/>
      <c r="D381" s="25"/>
      <c r="E381" s="25"/>
      <c r="F381" s="25"/>
      <c r="J381" s="24"/>
      <c r="U381" s="24"/>
    </row>
    <row r="382" spans="1:21" ht="12.75" x14ac:dyDescent="0.2">
      <c r="A382" s="25"/>
      <c r="B382" s="25"/>
      <c r="C382" s="25"/>
      <c r="D382" s="25"/>
      <c r="E382" s="25"/>
      <c r="F382" s="25"/>
      <c r="J382" s="24"/>
      <c r="U382" s="24"/>
    </row>
    <row r="383" spans="1:21" ht="12.75" x14ac:dyDescent="0.2">
      <c r="A383" s="25"/>
      <c r="B383" s="25"/>
      <c r="C383" s="25"/>
      <c r="D383" s="25"/>
      <c r="E383" s="25"/>
      <c r="F383" s="25"/>
      <c r="J383" s="24"/>
      <c r="U383" s="24"/>
    </row>
    <row r="384" spans="1:21" ht="12.75" x14ac:dyDescent="0.2">
      <c r="A384" s="25"/>
      <c r="B384" s="25"/>
      <c r="C384" s="25"/>
      <c r="D384" s="25"/>
      <c r="E384" s="25"/>
      <c r="F384" s="25"/>
      <c r="J384" s="24"/>
      <c r="U384" s="24"/>
    </row>
    <row r="385" spans="1:21" ht="12.75" x14ac:dyDescent="0.2">
      <c r="A385" s="25"/>
      <c r="B385" s="25"/>
      <c r="C385" s="25"/>
      <c r="D385" s="25"/>
      <c r="E385" s="25"/>
      <c r="F385" s="25"/>
      <c r="J385" s="24"/>
      <c r="U385" s="24"/>
    </row>
    <row r="386" spans="1:21" ht="12.75" x14ac:dyDescent="0.2">
      <c r="A386" s="25"/>
      <c r="B386" s="25"/>
      <c r="C386" s="25"/>
      <c r="D386" s="25"/>
      <c r="E386" s="25"/>
      <c r="F386" s="25"/>
      <c r="J386" s="24"/>
      <c r="U386" s="24"/>
    </row>
    <row r="387" spans="1:21" ht="12.75" x14ac:dyDescent="0.2">
      <c r="A387" s="25"/>
      <c r="B387" s="25"/>
      <c r="C387" s="25"/>
      <c r="D387" s="25"/>
      <c r="E387" s="25"/>
      <c r="F387" s="25"/>
      <c r="J387" s="24"/>
      <c r="U387" s="24"/>
    </row>
    <row r="388" spans="1:21" ht="12.75" x14ac:dyDescent="0.2">
      <c r="A388" s="25"/>
      <c r="B388" s="25"/>
      <c r="C388" s="25"/>
      <c r="D388" s="25"/>
      <c r="E388" s="25"/>
      <c r="F388" s="25"/>
      <c r="J388" s="24"/>
      <c r="U388" s="24"/>
    </row>
    <row r="389" spans="1:21" ht="12.75" x14ac:dyDescent="0.2">
      <c r="A389" s="25"/>
      <c r="B389" s="25"/>
      <c r="C389" s="25"/>
      <c r="D389" s="25"/>
      <c r="E389" s="25"/>
      <c r="F389" s="25"/>
      <c r="J389" s="24"/>
      <c r="U389" s="24"/>
    </row>
    <row r="390" spans="1:21" ht="12.75" x14ac:dyDescent="0.2">
      <c r="A390" s="25"/>
      <c r="B390" s="25"/>
      <c r="C390" s="25"/>
      <c r="D390" s="25"/>
      <c r="E390" s="25"/>
      <c r="F390" s="25"/>
      <c r="J390" s="24"/>
      <c r="U390" s="24"/>
    </row>
    <row r="391" spans="1:21" ht="12.75" x14ac:dyDescent="0.2">
      <c r="A391" s="25"/>
      <c r="B391" s="25"/>
      <c r="C391" s="25"/>
      <c r="D391" s="25"/>
      <c r="E391" s="25"/>
      <c r="F391" s="25"/>
      <c r="J391" s="24"/>
      <c r="U391" s="24"/>
    </row>
    <row r="392" spans="1:21" ht="12.75" x14ac:dyDescent="0.2">
      <c r="A392" s="25"/>
      <c r="B392" s="25"/>
      <c r="C392" s="25"/>
      <c r="D392" s="25"/>
      <c r="E392" s="25"/>
      <c r="F392" s="25"/>
      <c r="J392" s="24"/>
      <c r="U392" s="24"/>
    </row>
    <row r="393" spans="1:21" ht="12.75" x14ac:dyDescent="0.2">
      <c r="A393" s="25"/>
      <c r="B393" s="25"/>
      <c r="C393" s="25"/>
      <c r="D393" s="25"/>
      <c r="E393" s="25"/>
      <c r="F393" s="25"/>
      <c r="J393" s="24"/>
      <c r="U393" s="24"/>
    </row>
    <row r="394" spans="1:21" ht="12.75" x14ac:dyDescent="0.2">
      <c r="A394" s="25"/>
      <c r="B394" s="25"/>
      <c r="C394" s="25"/>
      <c r="D394" s="25"/>
      <c r="E394" s="25"/>
      <c r="F394" s="25"/>
      <c r="J394" s="24"/>
      <c r="U394" s="24"/>
    </row>
    <row r="395" spans="1:21" ht="12.75" x14ac:dyDescent="0.2">
      <c r="A395" s="25"/>
      <c r="B395" s="25"/>
      <c r="C395" s="25"/>
      <c r="D395" s="25"/>
      <c r="E395" s="25"/>
      <c r="F395" s="25"/>
      <c r="J395" s="24"/>
      <c r="U395" s="24"/>
    </row>
    <row r="396" spans="1:21" ht="12.75" x14ac:dyDescent="0.2">
      <c r="A396" s="25"/>
      <c r="B396" s="25"/>
      <c r="C396" s="25"/>
      <c r="D396" s="25"/>
      <c r="E396" s="25"/>
      <c r="F396" s="25"/>
      <c r="J396" s="24"/>
      <c r="U396" s="24"/>
    </row>
    <row r="397" spans="1:21" ht="12.75" x14ac:dyDescent="0.2">
      <c r="A397" s="25"/>
      <c r="B397" s="25"/>
      <c r="C397" s="25"/>
      <c r="D397" s="25"/>
      <c r="E397" s="25"/>
      <c r="F397" s="25"/>
      <c r="J397" s="24"/>
      <c r="U397" s="24"/>
    </row>
    <row r="398" spans="1:21" ht="12.75" x14ac:dyDescent="0.2">
      <c r="A398" s="25"/>
      <c r="B398" s="25"/>
      <c r="C398" s="25"/>
      <c r="D398" s="25"/>
      <c r="E398" s="25"/>
      <c r="F398" s="25"/>
      <c r="J398" s="24"/>
      <c r="U398" s="24"/>
    </row>
    <row r="399" spans="1:21" ht="12.75" x14ac:dyDescent="0.2">
      <c r="A399" s="25"/>
      <c r="B399" s="25"/>
      <c r="C399" s="25"/>
      <c r="D399" s="25"/>
      <c r="E399" s="25"/>
      <c r="F399" s="25"/>
      <c r="J399" s="24"/>
      <c r="U399" s="24"/>
    </row>
    <row r="400" spans="1:21" ht="12.75" x14ac:dyDescent="0.2">
      <c r="A400" s="25"/>
      <c r="B400" s="25"/>
      <c r="C400" s="25"/>
      <c r="D400" s="25"/>
      <c r="E400" s="25"/>
      <c r="F400" s="25"/>
      <c r="J400" s="24"/>
      <c r="U400" s="24"/>
    </row>
    <row r="401" spans="1:21" ht="12.75" x14ac:dyDescent="0.2">
      <c r="A401" s="25"/>
      <c r="B401" s="25"/>
      <c r="C401" s="25"/>
      <c r="D401" s="25"/>
      <c r="E401" s="25"/>
      <c r="F401" s="25"/>
      <c r="J401" s="24"/>
      <c r="U401" s="24"/>
    </row>
    <row r="402" spans="1:21" ht="12.75" x14ac:dyDescent="0.2">
      <c r="A402" s="25"/>
      <c r="B402" s="25"/>
      <c r="C402" s="25"/>
      <c r="D402" s="25"/>
      <c r="E402" s="25"/>
      <c r="F402" s="25"/>
      <c r="J402" s="24"/>
      <c r="U402" s="24"/>
    </row>
    <row r="403" spans="1:21" ht="12.75" x14ac:dyDescent="0.2">
      <c r="A403" s="25"/>
      <c r="B403" s="25"/>
      <c r="C403" s="25"/>
      <c r="D403" s="25"/>
      <c r="E403" s="25"/>
      <c r="F403" s="25"/>
      <c r="J403" s="24"/>
      <c r="U403" s="24"/>
    </row>
    <row r="404" spans="1:21" ht="12.75" x14ac:dyDescent="0.2">
      <c r="A404" s="25"/>
      <c r="B404" s="25"/>
      <c r="C404" s="25"/>
      <c r="D404" s="25"/>
      <c r="E404" s="25"/>
      <c r="F404" s="25"/>
      <c r="J404" s="24"/>
      <c r="U404" s="24"/>
    </row>
    <row r="405" spans="1:21" ht="12.75" x14ac:dyDescent="0.2">
      <c r="A405" s="25"/>
      <c r="B405" s="25"/>
      <c r="C405" s="25"/>
      <c r="D405" s="25"/>
      <c r="E405" s="25"/>
      <c r="F405" s="25"/>
      <c r="J405" s="24"/>
      <c r="U405" s="24"/>
    </row>
    <row r="406" spans="1:21" ht="12.75" x14ac:dyDescent="0.2">
      <c r="A406" s="25"/>
      <c r="B406" s="25"/>
      <c r="C406" s="25"/>
      <c r="D406" s="25"/>
      <c r="E406" s="25"/>
      <c r="F406" s="25"/>
      <c r="J406" s="24"/>
      <c r="U406" s="24"/>
    </row>
    <row r="407" spans="1:21" ht="12.75" x14ac:dyDescent="0.2">
      <c r="A407" s="25"/>
      <c r="B407" s="25"/>
      <c r="C407" s="25"/>
      <c r="D407" s="25"/>
      <c r="E407" s="25"/>
      <c r="F407" s="25"/>
      <c r="J407" s="24"/>
      <c r="U407" s="24"/>
    </row>
    <row r="408" spans="1:21" ht="12.75" x14ac:dyDescent="0.2">
      <c r="A408" s="25"/>
      <c r="B408" s="25"/>
      <c r="C408" s="25"/>
      <c r="D408" s="25"/>
      <c r="E408" s="25"/>
      <c r="F408" s="25"/>
      <c r="J408" s="24"/>
      <c r="U408" s="24"/>
    </row>
    <row r="409" spans="1:21" ht="12.75" x14ac:dyDescent="0.2">
      <c r="A409" s="25"/>
      <c r="B409" s="25"/>
      <c r="C409" s="25"/>
      <c r="D409" s="25"/>
      <c r="E409" s="25"/>
      <c r="F409" s="25"/>
      <c r="J409" s="24"/>
      <c r="U409" s="24"/>
    </row>
    <row r="410" spans="1:21" ht="12.75" x14ac:dyDescent="0.2">
      <c r="A410" s="25"/>
      <c r="B410" s="25"/>
      <c r="C410" s="25"/>
      <c r="D410" s="25"/>
      <c r="E410" s="25"/>
      <c r="F410" s="25"/>
      <c r="J410" s="24"/>
      <c r="U410" s="24"/>
    </row>
    <row r="411" spans="1:21" ht="12.75" x14ac:dyDescent="0.2">
      <c r="A411" s="25"/>
      <c r="B411" s="25"/>
      <c r="C411" s="25"/>
      <c r="D411" s="25"/>
      <c r="E411" s="25"/>
      <c r="F411" s="25"/>
      <c r="J411" s="24"/>
      <c r="U411" s="24"/>
    </row>
    <row r="412" spans="1:21" ht="12.75" x14ac:dyDescent="0.2">
      <c r="A412" s="25"/>
      <c r="B412" s="25"/>
      <c r="C412" s="25"/>
      <c r="D412" s="25"/>
      <c r="E412" s="25"/>
      <c r="F412" s="25"/>
      <c r="J412" s="24"/>
      <c r="U412" s="24"/>
    </row>
    <row r="413" spans="1:21" ht="12.75" x14ac:dyDescent="0.2">
      <c r="A413" s="25"/>
      <c r="B413" s="25"/>
      <c r="C413" s="25"/>
      <c r="D413" s="25"/>
      <c r="E413" s="25"/>
      <c r="F413" s="25"/>
      <c r="J413" s="24"/>
      <c r="U413" s="24"/>
    </row>
    <row r="414" spans="1:21" ht="12.75" x14ac:dyDescent="0.2">
      <c r="A414" s="25"/>
      <c r="B414" s="25"/>
      <c r="C414" s="25"/>
      <c r="D414" s="25"/>
      <c r="E414" s="25"/>
      <c r="F414" s="25"/>
      <c r="J414" s="24"/>
      <c r="U414" s="24"/>
    </row>
    <row r="415" spans="1:21" ht="12.75" x14ac:dyDescent="0.2">
      <c r="A415" s="25"/>
      <c r="B415" s="25"/>
      <c r="C415" s="25"/>
      <c r="D415" s="25"/>
      <c r="E415" s="25"/>
      <c r="F415" s="25"/>
      <c r="J415" s="24"/>
      <c r="U415" s="24"/>
    </row>
    <row r="416" spans="1:21" ht="12.75" x14ac:dyDescent="0.2">
      <c r="A416" s="25"/>
      <c r="B416" s="25"/>
      <c r="C416" s="25"/>
      <c r="D416" s="25"/>
      <c r="E416" s="25"/>
      <c r="F416" s="25"/>
      <c r="J416" s="24"/>
      <c r="U416" s="24"/>
    </row>
    <row r="417" spans="1:21" ht="12.75" x14ac:dyDescent="0.2">
      <c r="A417" s="25"/>
      <c r="B417" s="25"/>
      <c r="C417" s="25"/>
      <c r="D417" s="25"/>
      <c r="E417" s="25"/>
      <c r="F417" s="25"/>
      <c r="J417" s="24"/>
      <c r="U417" s="24"/>
    </row>
    <row r="418" spans="1:21" ht="12.75" x14ac:dyDescent="0.2">
      <c r="A418" s="25"/>
      <c r="B418" s="25"/>
      <c r="C418" s="25"/>
      <c r="D418" s="25"/>
      <c r="E418" s="25"/>
      <c r="F418" s="25"/>
      <c r="J418" s="24"/>
      <c r="U418" s="24"/>
    </row>
    <row r="419" spans="1:21" ht="12.75" x14ac:dyDescent="0.2">
      <c r="A419" s="25"/>
      <c r="B419" s="25"/>
      <c r="C419" s="25"/>
      <c r="D419" s="25"/>
      <c r="E419" s="25"/>
      <c r="F419" s="25"/>
      <c r="J419" s="24"/>
      <c r="U419" s="24"/>
    </row>
    <row r="420" spans="1:21" ht="12.75" x14ac:dyDescent="0.2">
      <c r="A420" s="25"/>
      <c r="B420" s="25"/>
      <c r="C420" s="25"/>
      <c r="D420" s="25"/>
      <c r="E420" s="25"/>
      <c r="F420" s="25"/>
      <c r="J420" s="24"/>
      <c r="U420" s="24"/>
    </row>
    <row r="421" spans="1:21" ht="12.75" x14ac:dyDescent="0.2">
      <c r="A421" s="25"/>
      <c r="B421" s="25"/>
      <c r="C421" s="25"/>
      <c r="D421" s="25"/>
      <c r="E421" s="25"/>
      <c r="F421" s="25"/>
      <c r="J421" s="24"/>
      <c r="U421" s="24"/>
    </row>
    <row r="422" spans="1:21" ht="12.75" x14ac:dyDescent="0.2">
      <c r="A422" s="25"/>
      <c r="B422" s="25"/>
      <c r="C422" s="25"/>
      <c r="D422" s="25"/>
      <c r="E422" s="25"/>
      <c r="F422" s="25"/>
      <c r="J422" s="24"/>
      <c r="U422" s="24"/>
    </row>
    <row r="423" spans="1:21" ht="12.75" x14ac:dyDescent="0.2">
      <c r="A423" s="25"/>
      <c r="B423" s="25"/>
      <c r="C423" s="25"/>
      <c r="D423" s="25"/>
      <c r="E423" s="25"/>
      <c r="F423" s="25"/>
      <c r="J423" s="24"/>
      <c r="U423" s="24"/>
    </row>
    <row r="424" spans="1:21" ht="12.75" x14ac:dyDescent="0.2">
      <c r="A424" s="25"/>
      <c r="B424" s="25"/>
      <c r="C424" s="25"/>
      <c r="D424" s="25"/>
      <c r="E424" s="25"/>
      <c r="F424" s="25"/>
      <c r="J424" s="24"/>
      <c r="U424" s="24"/>
    </row>
    <row r="425" spans="1:21" ht="12.75" x14ac:dyDescent="0.2">
      <c r="A425" s="25"/>
      <c r="B425" s="25"/>
      <c r="C425" s="25"/>
      <c r="D425" s="25"/>
      <c r="E425" s="25"/>
      <c r="F425" s="25"/>
      <c r="J425" s="24"/>
      <c r="U425" s="24"/>
    </row>
    <row r="426" spans="1:21" ht="12.75" x14ac:dyDescent="0.2">
      <c r="A426" s="25"/>
      <c r="B426" s="25"/>
      <c r="C426" s="25"/>
      <c r="D426" s="25"/>
      <c r="E426" s="25"/>
      <c r="F426" s="25"/>
      <c r="J426" s="24"/>
      <c r="U426" s="24"/>
    </row>
    <row r="427" spans="1:21" ht="12.75" x14ac:dyDescent="0.2">
      <c r="A427" s="25"/>
      <c r="B427" s="25"/>
      <c r="C427" s="25"/>
      <c r="D427" s="25"/>
      <c r="E427" s="25"/>
      <c r="F427" s="25"/>
      <c r="J427" s="24"/>
      <c r="U427" s="24"/>
    </row>
    <row r="428" spans="1:21" ht="12.75" x14ac:dyDescent="0.2">
      <c r="A428" s="25"/>
      <c r="B428" s="25"/>
      <c r="C428" s="25"/>
      <c r="D428" s="25"/>
      <c r="E428" s="25"/>
      <c r="F428" s="25"/>
      <c r="J428" s="24"/>
      <c r="U428" s="24"/>
    </row>
    <row r="429" spans="1:21" ht="12.75" x14ac:dyDescent="0.2">
      <c r="A429" s="25"/>
      <c r="B429" s="25"/>
      <c r="C429" s="25"/>
      <c r="D429" s="25"/>
      <c r="E429" s="25"/>
      <c r="F429" s="25"/>
      <c r="J429" s="24"/>
      <c r="U429" s="24"/>
    </row>
    <row r="430" spans="1:21" ht="12.75" x14ac:dyDescent="0.2">
      <c r="A430" s="25"/>
      <c r="B430" s="25"/>
      <c r="C430" s="25"/>
      <c r="D430" s="25"/>
      <c r="E430" s="25"/>
      <c r="F430" s="25"/>
      <c r="J430" s="24"/>
      <c r="U430" s="24"/>
    </row>
    <row r="431" spans="1:21" ht="12.75" x14ac:dyDescent="0.2">
      <c r="A431" s="25"/>
      <c r="B431" s="25"/>
      <c r="C431" s="25"/>
      <c r="D431" s="25"/>
      <c r="E431" s="25"/>
      <c r="F431" s="25"/>
      <c r="J431" s="24"/>
      <c r="U431" s="24"/>
    </row>
    <row r="432" spans="1:21" ht="12.75" x14ac:dyDescent="0.2">
      <c r="A432" s="25"/>
      <c r="B432" s="25"/>
      <c r="C432" s="25"/>
      <c r="D432" s="25"/>
      <c r="E432" s="25"/>
      <c r="F432" s="25"/>
      <c r="J432" s="24"/>
      <c r="U432" s="24"/>
    </row>
    <row r="433" spans="1:21" ht="12.75" x14ac:dyDescent="0.2">
      <c r="A433" s="25"/>
      <c r="B433" s="25"/>
      <c r="C433" s="25"/>
      <c r="D433" s="25"/>
      <c r="E433" s="25"/>
      <c r="F433" s="25"/>
      <c r="J433" s="24"/>
      <c r="U433" s="24"/>
    </row>
    <row r="434" spans="1:21" ht="12.75" x14ac:dyDescent="0.2">
      <c r="A434" s="25"/>
      <c r="B434" s="25"/>
      <c r="C434" s="25"/>
      <c r="D434" s="25"/>
      <c r="E434" s="25"/>
      <c r="F434" s="25"/>
      <c r="J434" s="24"/>
      <c r="U434" s="24"/>
    </row>
    <row r="435" spans="1:21" ht="12.75" x14ac:dyDescent="0.2">
      <c r="A435" s="25"/>
      <c r="B435" s="25"/>
      <c r="C435" s="25"/>
      <c r="D435" s="25"/>
      <c r="E435" s="25"/>
      <c r="F435" s="25"/>
      <c r="J435" s="24"/>
      <c r="U435" s="24"/>
    </row>
    <row r="436" spans="1:21" ht="12.75" x14ac:dyDescent="0.2">
      <c r="A436" s="25"/>
      <c r="B436" s="25"/>
      <c r="C436" s="25"/>
      <c r="D436" s="25"/>
      <c r="E436" s="25"/>
      <c r="F436" s="25"/>
      <c r="J436" s="24"/>
      <c r="U436" s="24"/>
    </row>
    <row r="437" spans="1:21" ht="12.75" x14ac:dyDescent="0.2">
      <c r="A437" s="25"/>
      <c r="B437" s="25"/>
      <c r="C437" s="25"/>
      <c r="D437" s="25"/>
      <c r="E437" s="25"/>
      <c r="F437" s="25"/>
      <c r="J437" s="24"/>
      <c r="U437" s="24"/>
    </row>
    <row r="438" spans="1:21" ht="12.75" x14ac:dyDescent="0.2">
      <c r="A438" s="25"/>
      <c r="B438" s="25"/>
      <c r="C438" s="25"/>
      <c r="D438" s="25"/>
      <c r="E438" s="25"/>
      <c r="F438" s="25"/>
      <c r="J438" s="24"/>
      <c r="U438" s="24"/>
    </row>
    <row r="439" spans="1:21" ht="12.75" x14ac:dyDescent="0.2">
      <c r="A439" s="25"/>
      <c r="B439" s="25"/>
      <c r="C439" s="25"/>
      <c r="D439" s="25"/>
      <c r="E439" s="25"/>
      <c r="F439" s="25"/>
      <c r="J439" s="24"/>
      <c r="U439" s="24"/>
    </row>
    <row r="440" spans="1:21" ht="12.75" x14ac:dyDescent="0.2">
      <c r="A440" s="25"/>
      <c r="B440" s="25"/>
      <c r="C440" s="25"/>
      <c r="D440" s="25"/>
      <c r="E440" s="25"/>
      <c r="F440" s="25"/>
      <c r="J440" s="24"/>
      <c r="U440" s="24"/>
    </row>
    <row r="441" spans="1:21" ht="12.75" x14ac:dyDescent="0.2">
      <c r="A441" s="25"/>
      <c r="B441" s="25"/>
      <c r="C441" s="25"/>
      <c r="D441" s="25"/>
      <c r="E441" s="25"/>
      <c r="F441" s="25"/>
      <c r="J441" s="24"/>
      <c r="U441" s="24"/>
    </row>
    <row r="442" spans="1:21" ht="12.75" x14ac:dyDescent="0.2">
      <c r="A442" s="25"/>
      <c r="B442" s="25"/>
      <c r="C442" s="25"/>
      <c r="D442" s="25"/>
      <c r="E442" s="25"/>
      <c r="F442" s="25"/>
      <c r="J442" s="24"/>
      <c r="U442" s="24"/>
    </row>
    <row r="443" spans="1:21" ht="12.75" x14ac:dyDescent="0.2">
      <c r="A443" s="25"/>
      <c r="B443" s="25"/>
      <c r="C443" s="25"/>
      <c r="D443" s="25"/>
      <c r="E443" s="25"/>
      <c r="F443" s="25"/>
      <c r="J443" s="24"/>
      <c r="U443" s="24"/>
    </row>
    <row r="444" spans="1:21" ht="12.75" x14ac:dyDescent="0.2">
      <c r="A444" s="25"/>
      <c r="B444" s="25"/>
      <c r="C444" s="25"/>
      <c r="D444" s="25"/>
      <c r="E444" s="25"/>
      <c r="F444" s="25"/>
      <c r="J444" s="24"/>
      <c r="U444" s="24"/>
    </row>
    <row r="445" spans="1:21" ht="12.75" x14ac:dyDescent="0.2">
      <c r="A445" s="25"/>
      <c r="B445" s="25"/>
      <c r="C445" s="25"/>
      <c r="D445" s="25"/>
      <c r="E445" s="25"/>
      <c r="F445" s="25"/>
      <c r="J445" s="24"/>
      <c r="U445" s="24"/>
    </row>
    <row r="446" spans="1:21" ht="12.75" x14ac:dyDescent="0.2">
      <c r="A446" s="25"/>
      <c r="B446" s="25"/>
      <c r="C446" s="25"/>
      <c r="D446" s="25"/>
      <c r="E446" s="25"/>
      <c r="F446" s="25"/>
      <c r="J446" s="24"/>
      <c r="U446" s="24"/>
    </row>
    <row r="447" spans="1:21" ht="12.75" x14ac:dyDescent="0.2">
      <c r="A447" s="25"/>
      <c r="B447" s="25"/>
      <c r="C447" s="25"/>
      <c r="D447" s="25"/>
      <c r="E447" s="25"/>
      <c r="F447" s="25"/>
      <c r="J447" s="24"/>
      <c r="U447" s="24"/>
    </row>
    <row r="448" spans="1:21" ht="12.75" x14ac:dyDescent="0.2">
      <c r="A448" s="25"/>
      <c r="B448" s="25"/>
      <c r="C448" s="25"/>
      <c r="D448" s="25"/>
      <c r="E448" s="25"/>
      <c r="F448" s="25"/>
      <c r="J448" s="24"/>
      <c r="U448" s="24"/>
    </row>
    <row r="449" spans="1:21" ht="12.75" x14ac:dyDescent="0.2">
      <c r="A449" s="25"/>
      <c r="B449" s="25"/>
      <c r="C449" s="25"/>
      <c r="D449" s="25"/>
      <c r="E449" s="25"/>
      <c r="F449" s="25"/>
      <c r="J449" s="24"/>
      <c r="U449" s="24"/>
    </row>
    <row r="450" spans="1:21" ht="12.75" x14ac:dyDescent="0.2">
      <c r="A450" s="25"/>
      <c r="B450" s="25"/>
      <c r="C450" s="25"/>
      <c r="D450" s="25"/>
      <c r="E450" s="25"/>
      <c r="F450" s="25"/>
      <c r="J450" s="24"/>
      <c r="U450" s="24"/>
    </row>
    <row r="451" spans="1:21" ht="12.75" x14ac:dyDescent="0.2">
      <c r="A451" s="25"/>
      <c r="B451" s="25"/>
      <c r="C451" s="25"/>
      <c r="D451" s="25"/>
      <c r="E451" s="25"/>
      <c r="F451" s="25"/>
      <c r="J451" s="24"/>
      <c r="U451" s="24"/>
    </row>
    <row r="452" spans="1:21" ht="12.75" x14ac:dyDescent="0.2">
      <c r="A452" s="25"/>
      <c r="B452" s="25"/>
      <c r="C452" s="25"/>
      <c r="D452" s="25"/>
      <c r="E452" s="25"/>
      <c r="F452" s="25"/>
      <c r="J452" s="24"/>
      <c r="U452" s="24"/>
    </row>
    <row r="453" spans="1:21" ht="12.75" x14ac:dyDescent="0.2">
      <c r="A453" s="25"/>
      <c r="B453" s="25"/>
      <c r="C453" s="25"/>
      <c r="D453" s="25"/>
      <c r="E453" s="25"/>
      <c r="F453" s="25"/>
      <c r="J453" s="24"/>
      <c r="U453" s="24"/>
    </row>
    <row r="454" spans="1:21" ht="12.75" x14ac:dyDescent="0.2">
      <c r="A454" s="25"/>
      <c r="B454" s="25"/>
      <c r="C454" s="25"/>
      <c r="D454" s="25"/>
      <c r="E454" s="25"/>
      <c r="F454" s="25"/>
      <c r="J454" s="24"/>
      <c r="U454" s="24"/>
    </row>
    <row r="455" spans="1:21" ht="12.75" x14ac:dyDescent="0.2">
      <c r="A455" s="25"/>
      <c r="B455" s="25"/>
      <c r="C455" s="25"/>
      <c r="D455" s="25"/>
      <c r="E455" s="25"/>
      <c r="F455" s="25"/>
      <c r="J455" s="24"/>
      <c r="U455" s="24"/>
    </row>
    <row r="456" spans="1:21" ht="12.75" x14ac:dyDescent="0.2">
      <c r="A456" s="25"/>
      <c r="B456" s="25"/>
      <c r="C456" s="25"/>
      <c r="D456" s="25"/>
      <c r="E456" s="25"/>
      <c r="F456" s="25"/>
      <c r="J456" s="24"/>
      <c r="U456" s="24"/>
    </row>
    <row r="457" spans="1:21" ht="12.75" x14ac:dyDescent="0.2">
      <c r="A457" s="25"/>
      <c r="B457" s="25"/>
      <c r="C457" s="25"/>
      <c r="D457" s="25"/>
      <c r="E457" s="25"/>
      <c r="F457" s="25"/>
      <c r="J457" s="24"/>
      <c r="U457" s="24"/>
    </row>
    <row r="458" spans="1:21" ht="12.75" x14ac:dyDescent="0.2">
      <c r="A458" s="25"/>
      <c r="B458" s="25"/>
      <c r="C458" s="25"/>
      <c r="D458" s="25"/>
      <c r="E458" s="25"/>
      <c r="F458" s="25"/>
      <c r="J458" s="24"/>
      <c r="U458" s="24"/>
    </row>
    <row r="459" spans="1:21" ht="12.75" x14ac:dyDescent="0.2">
      <c r="A459" s="25"/>
      <c r="B459" s="25"/>
      <c r="C459" s="25"/>
      <c r="D459" s="25"/>
      <c r="E459" s="25"/>
      <c r="F459" s="25"/>
      <c r="J459" s="24"/>
      <c r="U459" s="24"/>
    </row>
    <row r="460" spans="1:21" ht="12.75" x14ac:dyDescent="0.2">
      <c r="A460" s="25"/>
      <c r="B460" s="25"/>
      <c r="C460" s="25"/>
      <c r="D460" s="25"/>
      <c r="E460" s="25"/>
      <c r="F460" s="25"/>
      <c r="J460" s="24"/>
      <c r="U460" s="24"/>
    </row>
    <row r="461" spans="1:21" ht="12.75" x14ac:dyDescent="0.2">
      <c r="A461" s="25"/>
      <c r="B461" s="25"/>
      <c r="C461" s="25"/>
      <c r="D461" s="25"/>
      <c r="E461" s="25"/>
      <c r="F461" s="25"/>
      <c r="J461" s="24"/>
      <c r="U461" s="24"/>
    </row>
    <row r="462" spans="1:21" ht="12.75" x14ac:dyDescent="0.2">
      <c r="A462" s="25"/>
      <c r="B462" s="25"/>
      <c r="C462" s="25"/>
      <c r="D462" s="25"/>
      <c r="E462" s="25"/>
      <c r="F462" s="25"/>
      <c r="J462" s="24"/>
      <c r="U462" s="24"/>
    </row>
    <row r="463" spans="1:21" ht="12.75" x14ac:dyDescent="0.2">
      <c r="A463" s="25"/>
      <c r="B463" s="25"/>
      <c r="C463" s="25"/>
      <c r="D463" s="25"/>
      <c r="E463" s="25"/>
      <c r="F463" s="25"/>
      <c r="J463" s="24"/>
      <c r="U463" s="24"/>
    </row>
    <row r="464" spans="1:21" ht="12.75" x14ac:dyDescent="0.2">
      <c r="A464" s="25"/>
      <c r="B464" s="25"/>
      <c r="C464" s="25"/>
      <c r="D464" s="25"/>
      <c r="E464" s="25"/>
      <c r="F464" s="25"/>
      <c r="J464" s="24"/>
      <c r="U464" s="24"/>
    </row>
    <row r="465" spans="1:21" ht="12.75" x14ac:dyDescent="0.2">
      <c r="A465" s="25"/>
      <c r="B465" s="25"/>
      <c r="C465" s="25"/>
      <c r="D465" s="25"/>
      <c r="E465" s="25"/>
      <c r="F465" s="25"/>
      <c r="J465" s="24"/>
      <c r="U465" s="24"/>
    </row>
    <row r="466" spans="1:21" ht="12.75" x14ac:dyDescent="0.2">
      <c r="A466" s="25"/>
      <c r="B466" s="25"/>
      <c r="C466" s="25"/>
      <c r="D466" s="25"/>
      <c r="E466" s="25"/>
      <c r="F466" s="25"/>
      <c r="J466" s="24"/>
      <c r="U466" s="24"/>
    </row>
    <row r="467" spans="1:21" ht="12.75" x14ac:dyDescent="0.2">
      <c r="A467" s="25"/>
      <c r="B467" s="25"/>
      <c r="C467" s="25"/>
      <c r="D467" s="25"/>
      <c r="E467" s="25"/>
      <c r="F467" s="25"/>
      <c r="J467" s="24"/>
      <c r="U467" s="24"/>
    </row>
    <row r="468" spans="1:21" ht="12.75" x14ac:dyDescent="0.2">
      <c r="A468" s="25"/>
      <c r="B468" s="25"/>
      <c r="C468" s="25"/>
      <c r="D468" s="25"/>
      <c r="E468" s="25"/>
      <c r="F468" s="25"/>
      <c r="J468" s="24"/>
      <c r="U468" s="24"/>
    </row>
    <row r="469" spans="1:21" ht="12.75" x14ac:dyDescent="0.2">
      <c r="A469" s="25"/>
      <c r="B469" s="25"/>
      <c r="C469" s="25"/>
      <c r="D469" s="25"/>
      <c r="E469" s="25"/>
      <c r="F469" s="25"/>
      <c r="J469" s="24"/>
      <c r="U469" s="24"/>
    </row>
    <row r="470" spans="1:21" ht="12.75" x14ac:dyDescent="0.2">
      <c r="A470" s="25"/>
      <c r="B470" s="25"/>
      <c r="C470" s="25"/>
      <c r="D470" s="25"/>
      <c r="E470" s="25"/>
      <c r="F470" s="25"/>
      <c r="J470" s="24"/>
      <c r="U470" s="24"/>
    </row>
    <row r="471" spans="1:21" ht="12.75" x14ac:dyDescent="0.2">
      <c r="A471" s="25"/>
      <c r="B471" s="25"/>
      <c r="C471" s="25"/>
      <c r="D471" s="25"/>
      <c r="E471" s="25"/>
      <c r="F471" s="25"/>
      <c r="J471" s="24"/>
      <c r="U471" s="24"/>
    </row>
    <row r="472" spans="1:21" ht="12.75" x14ac:dyDescent="0.2">
      <c r="A472" s="25"/>
      <c r="B472" s="25"/>
      <c r="C472" s="25"/>
      <c r="D472" s="25"/>
      <c r="E472" s="25"/>
      <c r="F472" s="25"/>
      <c r="J472" s="24"/>
      <c r="U472" s="24"/>
    </row>
    <row r="473" spans="1:21" ht="12.75" x14ac:dyDescent="0.2">
      <c r="A473" s="25"/>
      <c r="B473" s="25"/>
      <c r="C473" s="25"/>
      <c r="D473" s="25"/>
      <c r="E473" s="25"/>
      <c r="F473" s="25"/>
      <c r="J473" s="24"/>
      <c r="U473" s="24"/>
    </row>
    <row r="474" spans="1:21" ht="12.75" x14ac:dyDescent="0.2">
      <c r="A474" s="25"/>
      <c r="B474" s="25"/>
      <c r="C474" s="25"/>
      <c r="D474" s="25"/>
      <c r="E474" s="25"/>
      <c r="F474" s="25"/>
      <c r="J474" s="24"/>
      <c r="U474" s="24"/>
    </row>
    <row r="475" spans="1:21" ht="12.75" x14ac:dyDescent="0.2">
      <c r="A475" s="25"/>
      <c r="B475" s="25"/>
      <c r="C475" s="25"/>
      <c r="D475" s="25"/>
      <c r="E475" s="25"/>
      <c r="F475" s="25"/>
      <c r="J475" s="24"/>
      <c r="U475" s="24"/>
    </row>
    <row r="476" spans="1:21" ht="12.75" x14ac:dyDescent="0.2">
      <c r="A476" s="25"/>
      <c r="B476" s="25"/>
      <c r="C476" s="25"/>
      <c r="D476" s="25"/>
      <c r="E476" s="25"/>
      <c r="F476" s="25"/>
      <c r="J476" s="24"/>
      <c r="U476" s="24"/>
    </row>
    <row r="477" spans="1:21" ht="12.75" x14ac:dyDescent="0.2">
      <c r="A477" s="25"/>
      <c r="B477" s="25"/>
      <c r="C477" s="25"/>
      <c r="D477" s="25"/>
      <c r="E477" s="25"/>
      <c r="F477" s="25"/>
      <c r="J477" s="24"/>
      <c r="U477" s="24"/>
    </row>
    <row r="478" spans="1:21" ht="12.75" x14ac:dyDescent="0.2">
      <c r="A478" s="25"/>
      <c r="B478" s="25"/>
      <c r="C478" s="25"/>
      <c r="D478" s="25"/>
      <c r="E478" s="25"/>
      <c r="F478" s="25"/>
      <c r="J478" s="24"/>
      <c r="U478" s="24"/>
    </row>
    <row r="479" spans="1:21" ht="12.75" x14ac:dyDescent="0.2">
      <c r="A479" s="25"/>
      <c r="B479" s="25"/>
      <c r="C479" s="25"/>
      <c r="D479" s="25"/>
      <c r="E479" s="25"/>
      <c r="F479" s="25"/>
      <c r="J479" s="24"/>
      <c r="U479" s="24"/>
    </row>
    <row r="480" spans="1:21" ht="12.75" x14ac:dyDescent="0.2">
      <c r="A480" s="25"/>
      <c r="B480" s="25"/>
      <c r="C480" s="25"/>
      <c r="D480" s="25"/>
      <c r="E480" s="25"/>
      <c r="F480" s="25"/>
      <c r="J480" s="24"/>
      <c r="U480" s="24"/>
    </row>
    <row r="481" spans="1:21" ht="12.75" x14ac:dyDescent="0.2">
      <c r="A481" s="25"/>
      <c r="B481" s="25"/>
      <c r="C481" s="25"/>
      <c r="D481" s="25"/>
      <c r="E481" s="25"/>
      <c r="F481" s="25"/>
      <c r="J481" s="24"/>
      <c r="U481" s="24"/>
    </row>
    <row r="482" spans="1:21" ht="12.75" x14ac:dyDescent="0.2">
      <c r="A482" s="25"/>
      <c r="B482" s="25"/>
      <c r="C482" s="25"/>
      <c r="D482" s="25"/>
      <c r="E482" s="25"/>
      <c r="F482" s="25"/>
      <c r="J482" s="24"/>
      <c r="U482" s="24"/>
    </row>
    <row r="483" spans="1:21" ht="12.75" x14ac:dyDescent="0.2">
      <c r="A483" s="25"/>
      <c r="B483" s="25"/>
      <c r="C483" s="25"/>
      <c r="D483" s="25"/>
      <c r="E483" s="25"/>
      <c r="F483" s="25"/>
      <c r="J483" s="24"/>
      <c r="U483" s="24"/>
    </row>
    <row r="484" spans="1:21" ht="12.75" x14ac:dyDescent="0.2">
      <c r="A484" s="25"/>
      <c r="B484" s="25"/>
      <c r="C484" s="25"/>
      <c r="D484" s="25"/>
      <c r="E484" s="25"/>
      <c r="F484" s="25"/>
      <c r="J484" s="24"/>
      <c r="U484" s="24"/>
    </row>
    <row r="485" spans="1:21" ht="12.75" x14ac:dyDescent="0.2">
      <c r="A485" s="25"/>
      <c r="B485" s="25"/>
      <c r="C485" s="25"/>
      <c r="D485" s="25"/>
      <c r="E485" s="25"/>
      <c r="F485" s="25"/>
      <c r="J485" s="24"/>
      <c r="U485" s="24"/>
    </row>
    <row r="486" spans="1:21" ht="12.75" x14ac:dyDescent="0.2">
      <c r="A486" s="25"/>
      <c r="B486" s="25"/>
      <c r="C486" s="25"/>
      <c r="D486" s="25"/>
      <c r="E486" s="25"/>
      <c r="F486" s="25"/>
      <c r="J486" s="24"/>
      <c r="U486" s="24"/>
    </row>
    <row r="487" spans="1:21" ht="12.75" x14ac:dyDescent="0.2">
      <c r="A487" s="25"/>
      <c r="B487" s="25"/>
      <c r="C487" s="25"/>
      <c r="D487" s="25"/>
      <c r="E487" s="25"/>
      <c r="F487" s="25"/>
      <c r="J487" s="24"/>
      <c r="U487" s="24"/>
    </row>
    <row r="488" spans="1:21" ht="12.75" x14ac:dyDescent="0.2">
      <c r="A488" s="25"/>
      <c r="B488" s="25"/>
      <c r="C488" s="25"/>
      <c r="D488" s="25"/>
      <c r="E488" s="25"/>
      <c r="F488" s="25"/>
      <c r="J488" s="24"/>
      <c r="U488" s="24"/>
    </row>
    <row r="489" spans="1:21" ht="12.75" x14ac:dyDescent="0.2">
      <c r="A489" s="25"/>
      <c r="B489" s="25"/>
      <c r="C489" s="25"/>
      <c r="D489" s="25"/>
      <c r="E489" s="25"/>
      <c r="F489" s="25"/>
      <c r="J489" s="24"/>
      <c r="U489" s="24"/>
    </row>
    <row r="490" spans="1:21" ht="12.75" x14ac:dyDescent="0.2">
      <c r="A490" s="25"/>
      <c r="B490" s="25"/>
      <c r="C490" s="25"/>
      <c r="D490" s="25"/>
      <c r="E490" s="25"/>
      <c r="F490" s="25"/>
      <c r="J490" s="24"/>
      <c r="U490" s="24"/>
    </row>
    <row r="491" spans="1:21" ht="12.75" x14ac:dyDescent="0.2">
      <c r="A491" s="25"/>
      <c r="B491" s="25"/>
      <c r="C491" s="25"/>
      <c r="D491" s="25"/>
      <c r="E491" s="25"/>
      <c r="F491" s="25"/>
      <c r="J491" s="24"/>
      <c r="U491" s="24"/>
    </row>
    <row r="492" spans="1:21" ht="12.75" x14ac:dyDescent="0.2">
      <c r="A492" s="25"/>
      <c r="B492" s="25"/>
      <c r="C492" s="25"/>
      <c r="D492" s="25"/>
      <c r="E492" s="25"/>
      <c r="F492" s="25"/>
      <c r="J492" s="24"/>
      <c r="U492" s="24"/>
    </row>
    <row r="493" spans="1:21" ht="12.75" x14ac:dyDescent="0.2">
      <c r="A493" s="25"/>
      <c r="B493" s="25"/>
      <c r="C493" s="25"/>
      <c r="D493" s="25"/>
      <c r="E493" s="25"/>
      <c r="F493" s="25"/>
      <c r="J493" s="24"/>
      <c r="U493" s="24"/>
    </row>
    <row r="494" spans="1:21" ht="12.75" x14ac:dyDescent="0.2">
      <c r="A494" s="25"/>
      <c r="B494" s="25"/>
      <c r="C494" s="25"/>
      <c r="D494" s="25"/>
      <c r="E494" s="25"/>
      <c r="F494" s="25"/>
      <c r="J494" s="24"/>
      <c r="U494" s="24"/>
    </row>
    <row r="495" spans="1:21" ht="12.75" x14ac:dyDescent="0.2">
      <c r="A495" s="25"/>
      <c r="B495" s="25"/>
      <c r="C495" s="25"/>
      <c r="D495" s="25"/>
      <c r="E495" s="25"/>
      <c r="F495" s="25"/>
      <c r="J495" s="24"/>
      <c r="U495" s="24"/>
    </row>
    <row r="496" spans="1:21" ht="12.75" x14ac:dyDescent="0.2">
      <c r="A496" s="25"/>
      <c r="B496" s="25"/>
      <c r="C496" s="25"/>
      <c r="D496" s="25"/>
      <c r="E496" s="25"/>
      <c r="F496" s="25"/>
      <c r="J496" s="24"/>
      <c r="U496" s="24"/>
    </row>
    <row r="497" spans="1:21" ht="12.75" x14ac:dyDescent="0.2">
      <c r="A497" s="25"/>
      <c r="B497" s="25"/>
      <c r="C497" s="25"/>
      <c r="D497" s="25"/>
      <c r="E497" s="25"/>
      <c r="F497" s="25"/>
      <c r="J497" s="24"/>
      <c r="U497" s="24"/>
    </row>
    <row r="498" spans="1:21" ht="12.75" x14ac:dyDescent="0.2">
      <c r="A498" s="25"/>
      <c r="B498" s="25"/>
      <c r="C498" s="25"/>
      <c r="D498" s="25"/>
      <c r="E498" s="25"/>
      <c r="F498" s="25"/>
      <c r="J498" s="24"/>
      <c r="U498" s="24"/>
    </row>
    <row r="499" spans="1:21" ht="12.75" x14ac:dyDescent="0.2">
      <c r="A499" s="25"/>
      <c r="B499" s="25"/>
      <c r="C499" s="25"/>
      <c r="D499" s="25"/>
      <c r="E499" s="25"/>
      <c r="F499" s="25"/>
      <c r="J499" s="24"/>
      <c r="U499" s="24"/>
    </row>
    <row r="500" spans="1:21" ht="12.75" x14ac:dyDescent="0.2">
      <c r="A500" s="25"/>
      <c r="B500" s="25"/>
      <c r="C500" s="25"/>
      <c r="D500" s="25"/>
      <c r="E500" s="25"/>
      <c r="F500" s="25"/>
      <c r="J500" s="24"/>
      <c r="U500" s="24"/>
    </row>
    <row r="501" spans="1:21" ht="12.75" x14ac:dyDescent="0.2">
      <c r="A501" s="25"/>
      <c r="B501" s="25"/>
      <c r="C501" s="25"/>
      <c r="D501" s="25"/>
      <c r="E501" s="25"/>
      <c r="F501" s="25"/>
      <c r="J501" s="24"/>
      <c r="U501" s="24"/>
    </row>
    <row r="502" spans="1:21" ht="12.75" x14ac:dyDescent="0.2">
      <c r="A502" s="25"/>
      <c r="B502" s="25"/>
      <c r="C502" s="25"/>
      <c r="D502" s="25"/>
      <c r="E502" s="25"/>
      <c r="F502" s="25"/>
      <c r="J502" s="24"/>
      <c r="U502" s="24"/>
    </row>
    <row r="503" spans="1:21" ht="12.75" x14ac:dyDescent="0.2">
      <c r="A503" s="25"/>
      <c r="B503" s="25"/>
      <c r="C503" s="25"/>
      <c r="D503" s="25"/>
      <c r="E503" s="25"/>
      <c r="F503" s="25"/>
      <c r="J503" s="24"/>
      <c r="U503" s="24"/>
    </row>
    <row r="504" spans="1:21" ht="12.75" x14ac:dyDescent="0.2">
      <c r="A504" s="25"/>
      <c r="B504" s="25"/>
      <c r="C504" s="25"/>
      <c r="D504" s="25"/>
      <c r="E504" s="25"/>
      <c r="F504" s="25"/>
      <c r="J504" s="24"/>
      <c r="U504" s="24"/>
    </row>
    <row r="505" spans="1:21" ht="12.75" x14ac:dyDescent="0.2">
      <c r="A505" s="25"/>
      <c r="B505" s="25"/>
      <c r="C505" s="25"/>
      <c r="D505" s="25"/>
      <c r="E505" s="25"/>
      <c r="F505" s="25"/>
      <c r="J505" s="24"/>
      <c r="U505" s="24"/>
    </row>
    <row r="506" spans="1:21" ht="12.75" x14ac:dyDescent="0.2">
      <c r="A506" s="25"/>
      <c r="B506" s="25"/>
      <c r="C506" s="25"/>
      <c r="D506" s="25"/>
      <c r="E506" s="25"/>
      <c r="F506" s="25"/>
      <c r="J506" s="24"/>
      <c r="U506" s="24"/>
    </row>
    <row r="507" spans="1:21" ht="12.75" x14ac:dyDescent="0.2">
      <c r="A507" s="25"/>
      <c r="B507" s="25"/>
      <c r="C507" s="25"/>
      <c r="D507" s="25"/>
      <c r="E507" s="25"/>
      <c r="F507" s="25"/>
      <c r="J507" s="24"/>
      <c r="U507" s="24"/>
    </row>
    <row r="508" spans="1:21" ht="12.75" x14ac:dyDescent="0.2">
      <c r="A508" s="25"/>
      <c r="B508" s="25"/>
      <c r="C508" s="25"/>
      <c r="D508" s="25"/>
      <c r="E508" s="25"/>
      <c r="F508" s="25"/>
      <c r="J508" s="24"/>
      <c r="U508" s="24"/>
    </row>
    <row r="509" spans="1:21" ht="12.75" x14ac:dyDescent="0.2">
      <c r="A509" s="25"/>
      <c r="B509" s="25"/>
      <c r="C509" s="25"/>
      <c r="D509" s="25"/>
      <c r="E509" s="25"/>
      <c r="F509" s="25"/>
      <c r="J509" s="24"/>
      <c r="U509" s="24"/>
    </row>
    <row r="510" spans="1:21" ht="12.75" x14ac:dyDescent="0.2">
      <c r="A510" s="25"/>
      <c r="B510" s="25"/>
      <c r="C510" s="25"/>
      <c r="D510" s="25"/>
      <c r="E510" s="25"/>
      <c r="F510" s="25"/>
      <c r="J510" s="24"/>
      <c r="U510" s="24"/>
    </row>
    <row r="511" spans="1:21" ht="12.75" x14ac:dyDescent="0.2">
      <c r="A511" s="25"/>
      <c r="B511" s="25"/>
      <c r="C511" s="25"/>
      <c r="D511" s="25"/>
      <c r="E511" s="25"/>
      <c r="F511" s="25"/>
      <c r="J511" s="24"/>
      <c r="U511" s="24"/>
    </row>
    <row r="512" spans="1:21" ht="12.75" x14ac:dyDescent="0.2">
      <c r="A512" s="25"/>
      <c r="B512" s="25"/>
      <c r="C512" s="25"/>
      <c r="D512" s="25"/>
      <c r="E512" s="25"/>
      <c r="F512" s="25"/>
      <c r="J512" s="24"/>
      <c r="U512" s="24"/>
    </row>
    <row r="513" spans="1:21" ht="12.75" x14ac:dyDescent="0.2">
      <c r="A513" s="25"/>
      <c r="B513" s="25"/>
      <c r="C513" s="25"/>
      <c r="D513" s="25"/>
      <c r="E513" s="25"/>
      <c r="F513" s="25"/>
      <c r="J513" s="24"/>
      <c r="U513" s="24"/>
    </row>
    <row r="514" spans="1:21" ht="12.75" x14ac:dyDescent="0.2">
      <c r="A514" s="25"/>
      <c r="B514" s="25"/>
      <c r="C514" s="25"/>
      <c r="D514" s="25"/>
      <c r="E514" s="25"/>
      <c r="F514" s="25"/>
      <c r="J514" s="24"/>
      <c r="U514" s="24"/>
    </row>
    <row r="515" spans="1:21" ht="12.75" x14ac:dyDescent="0.2">
      <c r="A515" s="25"/>
      <c r="B515" s="25"/>
      <c r="C515" s="25"/>
      <c r="D515" s="25"/>
      <c r="E515" s="25"/>
      <c r="F515" s="25"/>
      <c r="J515" s="24"/>
      <c r="U515" s="24"/>
    </row>
    <row r="516" spans="1:21" ht="12.75" x14ac:dyDescent="0.2">
      <c r="A516" s="25"/>
      <c r="B516" s="25"/>
      <c r="C516" s="25"/>
      <c r="D516" s="25"/>
      <c r="E516" s="25"/>
      <c r="F516" s="25"/>
      <c r="J516" s="24"/>
      <c r="U516" s="24"/>
    </row>
    <row r="517" spans="1:21" ht="12.75" x14ac:dyDescent="0.2">
      <c r="A517" s="25"/>
      <c r="B517" s="25"/>
      <c r="C517" s="25"/>
      <c r="D517" s="25"/>
      <c r="E517" s="25"/>
      <c r="F517" s="25"/>
      <c r="J517" s="24"/>
      <c r="U517" s="24"/>
    </row>
    <row r="518" spans="1:21" ht="12.75" x14ac:dyDescent="0.2">
      <c r="A518" s="25"/>
      <c r="B518" s="25"/>
      <c r="C518" s="25"/>
      <c r="D518" s="25"/>
      <c r="E518" s="25"/>
      <c r="F518" s="25"/>
      <c r="J518" s="24"/>
      <c r="U518" s="24"/>
    </row>
    <row r="519" spans="1:21" ht="12.75" x14ac:dyDescent="0.2">
      <c r="A519" s="25"/>
      <c r="B519" s="25"/>
      <c r="C519" s="25"/>
      <c r="D519" s="25"/>
      <c r="E519" s="25"/>
      <c r="F519" s="25"/>
      <c r="J519" s="24"/>
      <c r="U519" s="24"/>
    </row>
    <row r="520" spans="1:21" ht="12.75" x14ac:dyDescent="0.2">
      <c r="A520" s="25"/>
      <c r="B520" s="25"/>
      <c r="C520" s="25"/>
      <c r="D520" s="25"/>
      <c r="E520" s="25"/>
      <c r="F520" s="25"/>
      <c r="J520" s="24"/>
      <c r="U520" s="24"/>
    </row>
    <row r="521" spans="1:21" ht="12.75" x14ac:dyDescent="0.2">
      <c r="A521" s="25"/>
      <c r="B521" s="25"/>
      <c r="C521" s="25"/>
      <c r="D521" s="25"/>
      <c r="E521" s="25"/>
      <c r="F521" s="25"/>
      <c r="J521" s="24"/>
      <c r="U521" s="24"/>
    </row>
    <row r="522" spans="1:21" ht="12.75" x14ac:dyDescent="0.2">
      <c r="A522" s="25"/>
      <c r="B522" s="25"/>
      <c r="C522" s="25"/>
      <c r="D522" s="25"/>
      <c r="E522" s="25"/>
      <c r="F522" s="25"/>
      <c r="J522" s="24"/>
      <c r="U522" s="24"/>
    </row>
    <row r="523" spans="1:21" ht="12.75" x14ac:dyDescent="0.2">
      <c r="A523" s="25"/>
      <c r="B523" s="25"/>
      <c r="C523" s="25"/>
      <c r="D523" s="25"/>
      <c r="E523" s="25"/>
      <c r="F523" s="25"/>
      <c r="J523" s="24"/>
      <c r="U523" s="24"/>
    </row>
    <row r="524" spans="1:21" ht="12.75" x14ac:dyDescent="0.2">
      <c r="A524" s="25"/>
      <c r="B524" s="25"/>
      <c r="C524" s="25"/>
      <c r="D524" s="25"/>
      <c r="E524" s="25"/>
      <c r="F524" s="25"/>
      <c r="J524" s="24"/>
      <c r="U524" s="24"/>
    </row>
    <row r="525" spans="1:21" ht="12.75" x14ac:dyDescent="0.2">
      <c r="A525" s="25"/>
      <c r="B525" s="25"/>
      <c r="C525" s="25"/>
      <c r="D525" s="25"/>
      <c r="E525" s="25"/>
      <c r="F525" s="25"/>
      <c r="J525" s="24"/>
      <c r="U525" s="24"/>
    </row>
    <row r="526" spans="1:21" ht="12.75" x14ac:dyDescent="0.2">
      <c r="A526" s="25"/>
      <c r="B526" s="25"/>
      <c r="C526" s="25"/>
      <c r="D526" s="25"/>
      <c r="E526" s="25"/>
      <c r="F526" s="25"/>
      <c r="J526" s="24"/>
      <c r="U526" s="24"/>
    </row>
    <row r="527" spans="1:21" ht="12.75" x14ac:dyDescent="0.2">
      <c r="A527" s="25"/>
      <c r="B527" s="25"/>
      <c r="C527" s="25"/>
      <c r="D527" s="25"/>
      <c r="E527" s="25"/>
      <c r="F527" s="25"/>
      <c r="J527" s="24"/>
      <c r="U527" s="24"/>
    </row>
    <row r="528" spans="1:21" ht="12.75" x14ac:dyDescent="0.2">
      <c r="A528" s="25"/>
      <c r="B528" s="25"/>
      <c r="C528" s="25"/>
      <c r="D528" s="25"/>
      <c r="E528" s="25"/>
      <c r="F528" s="25"/>
      <c r="J528" s="24"/>
      <c r="U528" s="24"/>
    </row>
    <row r="529" spans="1:21" ht="12.75" x14ac:dyDescent="0.2">
      <c r="A529" s="25"/>
      <c r="B529" s="25"/>
      <c r="C529" s="25"/>
      <c r="D529" s="25"/>
      <c r="E529" s="25"/>
      <c r="F529" s="25"/>
      <c r="J529" s="24"/>
      <c r="U529" s="24"/>
    </row>
    <row r="530" spans="1:21" ht="12.75" x14ac:dyDescent="0.2">
      <c r="A530" s="25"/>
      <c r="B530" s="25"/>
      <c r="C530" s="25"/>
      <c r="D530" s="25"/>
      <c r="E530" s="25"/>
      <c r="F530" s="25"/>
      <c r="J530" s="24"/>
      <c r="U530" s="24"/>
    </row>
    <row r="531" spans="1:21" ht="12.75" x14ac:dyDescent="0.2">
      <c r="A531" s="25"/>
      <c r="B531" s="25"/>
      <c r="C531" s="25"/>
      <c r="D531" s="25"/>
      <c r="E531" s="25"/>
      <c r="F531" s="25"/>
      <c r="J531" s="24"/>
      <c r="U531" s="24"/>
    </row>
    <row r="532" spans="1:21" ht="12.75" x14ac:dyDescent="0.2">
      <c r="A532" s="25"/>
      <c r="B532" s="25"/>
      <c r="C532" s="25"/>
      <c r="D532" s="25"/>
      <c r="E532" s="25"/>
      <c r="F532" s="25"/>
      <c r="J532" s="24"/>
      <c r="U532" s="24"/>
    </row>
    <row r="533" spans="1:21" ht="12.75" x14ac:dyDescent="0.2">
      <c r="A533" s="25"/>
      <c r="B533" s="25"/>
      <c r="C533" s="25"/>
      <c r="D533" s="25"/>
      <c r="E533" s="25"/>
      <c r="F533" s="25"/>
      <c r="J533" s="24"/>
      <c r="U533" s="24"/>
    </row>
    <row r="534" spans="1:21" ht="12.75" x14ac:dyDescent="0.2">
      <c r="A534" s="25"/>
      <c r="B534" s="25"/>
      <c r="C534" s="25"/>
      <c r="D534" s="25"/>
      <c r="E534" s="25"/>
      <c r="F534" s="25"/>
      <c r="J534" s="24"/>
      <c r="U534" s="24"/>
    </row>
    <row r="535" spans="1:21" ht="12.75" x14ac:dyDescent="0.2">
      <c r="A535" s="25"/>
      <c r="B535" s="25"/>
      <c r="C535" s="25"/>
      <c r="D535" s="25"/>
      <c r="E535" s="25"/>
      <c r="F535" s="25"/>
      <c r="J535" s="24"/>
      <c r="U535" s="24"/>
    </row>
    <row r="536" spans="1:21" ht="12.75" x14ac:dyDescent="0.2">
      <c r="A536" s="25"/>
      <c r="B536" s="25"/>
      <c r="C536" s="25"/>
      <c r="D536" s="25"/>
      <c r="E536" s="25"/>
      <c r="F536" s="25"/>
      <c r="J536" s="24"/>
      <c r="U536" s="24"/>
    </row>
    <row r="537" spans="1:21" ht="12.75" x14ac:dyDescent="0.2">
      <c r="A537" s="25"/>
      <c r="B537" s="25"/>
      <c r="C537" s="25"/>
      <c r="D537" s="25"/>
      <c r="E537" s="25"/>
      <c r="F537" s="25"/>
      <c r="J537" s="24"/>
      <c r="U537" s="24"/>
    </row>
    <row r="538" spans="1:21" ht="12.75" x14ac:dyDescent="0.2">
      <c r="A538" s="25"/>
      <c r="B538" s="25"/>
      <c r="C538" s="25"/>
      <c r="D538" s="25"/>
      <c r="E538" s="25"/>
      <c r="F538" s="25"/>
      <c r="J538" s="24"/>
      <c r="U538" s="24"/>
    </row>
    <row r="539" spans="1:21" ht="12.75" x14ac:dyDescent="0.2">
      <c r="A539" s="25"/>
      <c r="B539" s="25"/>
      <c r="C539" s="25"/>
      <c r="D539" s="25"/>
      <c r="E539" s="25"/>
      <c r="F539" s="25"/>
      <c r="J539" s="24"/>
      <c r="U539" s="24"/>
    </row>
    <row r="540" spans="1:21" ht="12.75" x14ac:dyDescent="0.2">
      <c r="A540" s="25"/>
      <c r="B540" s="25"/>
      <c r="C540" s="25"/>
      <c r="D540" s="25"/>
      <c r="E540" s="25"/>
      <c r="F540" s="25"/>
      <c r="J540" s="24"/>
      <c r="U540" s="24"/>
    </row>
    <row r="541" spans="1:21" ht="12.75" x14ac:dyDescent="0.2">
      <c r="A541" s="25"/>
      <c r="B541" s="25"/>
      <c r="C541" s="25"/>
      <c r="D541" s="25"/>
      <c r="E541" s="25"/>
      <c r="F541" s="25"/>
      <c r="J541" s="24"/>
      <c r="U541" s="24"/>
    </row>
    <row r="542" spans="1:21" ht="12.75" x14ac:dyDescent="0.2">
      <c r="A542" s="25"/>
      <c r="B542" s="25"/>
      <c r="C542" s="25"/>
      <c r="D542" s="25"/>
      <c r="E542" s="25"/>
      <c r="F542" s="25"/>
      <c r="J542" s="24"/>
      <c r="U542" s="24"/>
    </row>
    <row r="543" spans="1:21" ht="12.75" x14ac:dyDescent="0.2">
      <c r="A543" s="25"/>
      <c r="B543" s="25"/>
      <c r="C543" s="25"/>
      <c r="D543" s="25"/>
      <c r="E543" s="25"/>
      <c r="F543" s="25"/>
      <c r="J543" s="24"/>
      <c r="U543" s="24"/>
    </row>
    <row r="544" spans="1:21" ht="12.75" x14ac:dyDescent="0.2">
      <c r="A544" s="25"/>
      <c r="B544" s="25"/>
      <c r="C544" s="25"/>
      <c r="D544" s="25"/>
      <c r="E544" s="25"/>
      <c r="F544" s="25"/>
      <c r="J544" s="24"/>
      <c r="U544" s="24"/>
    </row>
    <row r="545" spans="1:21" ht="12.75" x14ac:dyDescent="0.2">
      <c r="A545" s="25"/>
      <c r="B545" s="25"/>
      <c r="C545" s="25"/>
      <c r="D545" s="25"/>
      <c r="E545" s="25"/>
      <c r="F545" s="25"/>
      <c r="J545" s="24"/>
      <c r="U545" s="24"/>
    </row>
    <row r="546" spans="1:21" ht="12.75" x14ac:dyDescent="0.2">
      <c r="A546" s="25"/>
      <c r="B546" s="25"/>
      <c r="C546" s="25"/>
      <c r="D546" s="25"/>
      <c r="E546" s="25"/>
      <c r="F546" s="25"/>
      <c r="J546" s="24"/>
      <c r="U546" s="24"/>
    </row>
    <row r="547" spans="1:21" ht="12.75" x14ac:dyDescent="0.2">
      <c r="A547" s="25"/>
      <c r="B547" s="25"/>
      <c r="C547" s="25"/>
      <c r="D547" s="25"/>
      <c r="E547" s="25"/>
      <c r="F547" s="25"/>
      <c r="J547" s="24"/>
      <c r="U547" s="24"/>
    </row>
    <row r="548" spans="1:21" ht="12.75" x14ac:dyDescent="0.2">
      <c r="A548" s="25"/>
      <c r="B548" s="25"/>
      <c r="C548" s="25"/>
      <c r="D548" s="25"/>
      <c r="E548" s="25"/>
      <c r="F548" s="25"/>
      <c r="J548" s="24"/>
      <c r="U548" s="24"/>
    </row>
    <row r="549" spans="1:21" ht="12.75" x14ac:dyDescent="0.2">
      <c r="A549" s="25"/>
      <c r="B549" s="25"/>
      <c r="C549" s="25"/>
      <c r="D549" s="25"/>
      <c r="E549" s="25"/>
      <c r="F549" s="25"/>
      <c r="J549" s="24"/>
      <c r="U549" s="24"/>
    </row>
    <row r="550" spans="1:21" ht="12.75" x14ac:dyDescent="0.2">
      <c r="A550" s="25"/>
      <c r="B550" s="25"/>
      <c r="C550" s="25"/>
      <c r="D550" s="25"/>
      <c r="E550" s="25"/>
      <c r="F550" s="25"/>
      <c r="J550" s="24"/>
      <c r="U550" s="24"/>
    </row>
    <row r="551" spans="1:21" ht="12.75" x14ac:dyDescent="0.2">
      <c r="A551" s="25"/>
      <c r="B551" s="25"/>
      <c r="C551" s="25"/>
      <c r="D551" s="25"/>
      <c r="E551" s="25"/>
      <c r="F551" s="25"/>
      <c r="J551" s="24"/>
      <c r="U551" s="24"/>
    </row>
    <row r="552" spans="1:21" ht="12.75" x14ac:dyDescent="0.2">
      <c r="A552" s="25"/>
      <c r="B552" s="25"/>
      <c r="C552" s="25"/>
      <c r="D552" s="25"/>
      <c r="E552" s="25"/>
      <c r="F552" s="25"/>
      <c r="J552" s="24"/>
      <c r="U552" s="24"/>
    </row>
    <row r="553" spans="1:21" ht="12.75" x14ac:dyDescent="0.2">
      <c r="A553" s="25"/>
      <c r="B553" s="25"/>
      <c r="C553" s="25"/>
      <c r="D553" s="25"/>
      <c r="E553" s="25"/>
      <c r="F553" s="25"/>
      <c r="J553" s="24"/>
      <c r="U553" s="24"/>
    </row>
    <row r="554" spans="1:21" ht="12.75" x14ac:dyDescent="0.2">
      <c r="A554" s="25"/>
      <c r="B554" s="25"/>
      <c r="C554" s="25"/>
      <c r="D554" s="25"/>
      <c r="E554" s="25"/>
      <c r="F554" s="25"/>
      <c r="J554" s="24"/>
      <c r="U554" s="24"/>
    </row>
    <row r="555" spans="1:21" ht="12.75" x14ac:dyDescent="0.2">
      <c r="A555" s="25"/>
      <c r="B555" s="25"/>
      <c r="C555" s="25"/>
      <c r="D555" s="25"/>
      <c r="E555" s="25"/>
      <c r="F555" s="25"/>
      <c r="J555" s="24"/>
      <c r="U555" s="24"/>
    </row>
    <row r="556" spans="1:21" ht="12.75" x14ac:dyDescent="0.2">
      <c r="A556" s="25"/>
      <c r="B556" s="25"/>
      <c r="C556" s="25"/>
      <c r="D556" s="25"/>
      <c r="E556" s="25"/>
      <c r="F556" s="25"/>
      <c r="J556" s="24"/>
      <c r="U556" s="24"/>
    </row>
    <row r="557" spans="1:21" ht="12.75" x14ac:dyDescent="0.2">
      <c r="A557" s="25"/>
      <c r="B557" s="25"/>
      <c r="C557" s="25"/>
      <c r="D557" s="25"/>
      <c r="E557" s="25"/>
      <c r="F557" s="25"/>
      <c r="J557" s="24"/>
      <c r="U557" s="24"/>
    </row>
    <row r="558" spans="1:21" ht="12.75" x14ac:dyDescent="0.2">
      <c r="A558" s="25"/>
      <c r="B558" s="25"/>
      <c r="C558" s="25"/>
      <c r="D558" s="25"/>
      <c r="E558" s="25"/>
      <c r="F558" s="25"/>
      <c r="J558" s="24"/>
      <c r="U558" s="24"/>
    </row>
    <row r="559" spans="1:21" ht="12.75" x14ac:dyDescent="0.2">
      <c r="A559" s="25"/>
      <c r="B559" s="25"/>
      <c r="C559" s="25"/>
      <c r="D559" s="25"/>
      <c r="E559" s="25"/>
      <c r="F559" s="25"/>
      <c r="J559" s="24"/>
      <c r="U559" s="24"/>
    </row>
    <row r="560" spans="1:21" ht="12.75" x14ac:dyDescent="0.2">
      <c r="A560" s="25"/>
      <c r="B560" s="25"/>
      <c r="C560" s="25"/>
      <c r="D560" s="25"/>
      <c r="E560" s="25"/>
      <c r="F560" s="25"/>
      <c r="J560" s="24"/>
      <c r="U560" s="24"/>
    </row>
    <row r="561" spans="1:21" ht="12.75" x14ac:dyDescent="0.2">
      <c r="A561" s="25"/>
      <c r="B561" s="25"/>
      <c r="C561" s="25"/>
      <c r="D561" s="25"/>
      <c r="E561" s="25"/>
      <c r="F561" s="25"/>
      <c r="J561" s="24"/>
      <c r="U561" s="24"/>
    </row>
    <row r="562" spans="1:21" ht="12.75" x14ac:dyDescent="0.2">
      <c r="A562" s="25"/>
      <c r="B562" s="25"/>
      <c r="C562" s="25"/>
      <c r="D562" s="25"/>
      <c r="E562" s="25"/>
      <c r="F562" s="25"/>
      <c r="J562" s="24"/>
      <c r="U562" s="24"/>
    </row>
    <row r="563" spans="1:21" ht="12.75" x14ac:dyDescent="0.2">
      <c r="A563" s="25"/>
      <c r="B563" s="25"/>
      <c r="C563" s="25"/>
      <c r="D563" s="25"/>
      <c r="E563" s="25"/>
      <c r="F563" s="25"/>
      <c r="J563" s="24"/>
      <c r="U563" s="24"/>
    </row>
    <row r="564" spans="1:21" ht="12.75" x14ac:dyDescent="0.2">
      <c r="A564" s="25"/>
      <c r="B564" s="25"/>
      <c r="C564" s="25"/>
      <c r="D564" s="25"/>
      <c r="E564" s="25"/>
      <c r="F564" s="25"/>
      <c r="J564" s="24"/>
      <c r="U564" s="24"/>
    </row>
    <row r="565" spans="1:21" ht="12.75" x14ac:dyDescent="0.2">
      <c r="A565" s="25"/>
      <c r="B565" s="25"/>
      <c r="C565" s="25"/>
      <c r="D565" s="25"/>
      <c r="E565" s="25"/>
      <c r="F565" s="25"/>
      <c r="J565" s="24"/>
      <c r="U565" s="24"/>
    </row>
    <row r="566" spans="1:21" ht="12.75" x14ac:dyDescent="0.2">
      <c r="A566" s="25"/>
      <c r="B566" s="25"/>
      <c r="C566" s="25"/>
      <c r="D566" s="25"/>
      <c r="E566" s="25"/>
      <c r="F566" s="25"/>
      <c r="J566" s="24"/>
      <c r="U566" s="24"/>
    </row>
    <row r="567" spans="1:21" ht="12.75" x14ac:dyDescent="0.2">
      <c r="A567" s="25"/>
      <c r="B567" s="25"/>
      <c r="C567" s="25"/>
      <c r="D567" s="25"/>
      <c r="E567" s="25"/>
      <c r="F567" s="25"/>
      <c r="J567" s="24"/>
      <c r="U567" s="24"/>
    </row>
    <row r="568" spans="1:21" ht="12.75" x14ac:dyDescent="0.2">
      <c r="A568" s="25"/>
      <c r="B568" s="25"/>
      <c r="C568" s="25"/>
      <c r="D568" s="25"/>
      <c r="E568" s="25"/>
      <c r="F568" s="25"/>
      <c r="J568" s="24"/>
      <c r="U568" s="24"/>
    </row>
    <row r="569" spans="1:21" ht="12.75" x14ac:dyDescent="0.2">
      <c r="A569" s="25"/>
      <c r="B569" s="25"/>
      <c r="C569" s="25"/>
      <c r="D569" s="25"/>
      <c r="E569" s="25"/>
      <c r="F569" s="25"/>
      <c r="J569" s="24"/>
      <c r="U569" s="24"/>
    </row>
    <row r="570" spans="1:21" ht="12.75" x14ac:dyDescent="0.2">
      <c r="A570" s="25"/>
      <c r="B570" s="25"/>
      <c r="C570" s="25"/>
      <c r="D570" s="25"/>
      <c r="E570" s="25"/>
      <c r="F570" s="25"/>
      <c r="J570" s="24"/>
      <c r="U570" s="24"/>
    </row>
    <row r="571" spans="1:21" ht="12.75" x14ac:dyDescent="0.2">
      <c r="A571" s="25"/>
      <c r="B571" s="25"/>
      <c r="C571" s="25"/>
      <c r="D571" s="25"/>
      <c r="E571" s="25"/>
      <c r="F571" s="25"/>
      <c r="J571" s="24"/>
      <c r="U571" s="24"/>
    </row>
    <row r="572" spans="1:21" ht="12.75" x14ac:dyDescent="0.2">
      <c r="A572" s="25"/>
      <c r="B572" s="25"/>
      <c r="C572" s="25"/>
      <c r="D572" s="25"/>
      <c r="E572" s="25"/>
      <c r="F572" s="25"/>
      <c r="J572" s="24"/>
      <c r="U572" s="24"/>
    </row>
    <row r="573" spans="1:21" ht="12.75" x14ac:dyDescent="0.2">
      <c r="A573" s="25"/>
      <c r="B573" s="25"/>
      <c r="C573" s="25"/>
      <c r="D573" s="25"/>
      <c r="E573" s="25"/>
      <c r="F573" s="25"/>
      <c r="J573" s="24"/>
      <c r="U573" s="24"/>
    </row>
    <row r="574" spans="1:21" ht="12.75" x14ac:dyDescent="0.2">
      <c r="A574" s="25"/>
      <c r="B574" s="25"/>
      <c r="C574" s="25"/>
      <c r="D574" s="25"/>
      <c r="E574" s="25"/>
      <c r="F574" s="25"/>
      <c r="J574" s="24"/>
      <c r="U574" s="24"/>
    </row>
    <row r="575" spans="1:21" ht="12.75" x14ac:dyDescent="0.2">
      <c r="A575" s="25"/>
      <c r="B575" s="25"/>
      <c r="C575" s="25"/>
      <c r="D575" s="25"/>
      <c r="E575" s="25"/>
      <c r="F575" s="25"/>
      <c r="J575" s="24"/>
      <c r="U575" s="24"/>
    </row>
    <row r="576" spans="1:21" ht="12.75" x14ac:dyDescent="0.2">
      <c r="A576" s="25"/>
      <c r="B576" s="25"/>
      <c r="C576" s="25"/>
      <c r="D576" s="25"/>
      <c r="E576" s="25"/>
      <c r="F576" s="25"/>
      <c r="J576" s="24"/>
      <c r="U576" s="24"/>
    </row>
    <row r="577" spans="1:21" ht="12.75" x14ac:dyDescent="0.2">
      <c r="A577" s="25"/>
      <c r="B577" s="25"/>
      <c r="C577" s="25"/>
      <c r="D577" s="25"/>
      <c r="E577" s="25"/>
      <c r="F577" s="25"/>
      <c r="J577" s="24"/>
      <c r="U577" s="24"/>
    </row>
    <row r="578" spans="1:21" ht="12.75" x14ac:dyDescent="0.2">
      <c r="A578" s="25"/>
      <c r="B578" s="25"/>
      <c r="C578" s="25"/>
      <c r="D578" s="25"/>
      <c r="E578" s="25"/>
      <c r="F578" s="25"/>
      <c r="J578" s="24"/>
      <c r="U578" s="24"/>
    </row>
    <row r="579" spans="1:21" ht="12.75" x14ac:dyDescent="0.2">
      <c r="A579" s="25"/>
      <c r="B579" s="25"/>
      <c r="C579" s="25"/>
      <c r="D579" s="25"/>
      <c r="E579" s="25"/>
      <c r="F579" s="25"/>
      <c r="J579" s="24"/>
      <c r="U579" s="24"/>
    </row>
    <row r="580" spans="1:21" ht="12.75" x14ac:dyDescent="0.2">
      <c r="A580" s="25"/>
      <c r="B580" s="25"/>
      <c r="C580" s="25"/>
      <c r="D580" s="25"/>
      <c r="E580" s="25"/>
      <c r="F580" s="25"/>
      <c r="J580" s="24"/>
      <c r="U580" s="24"/>
    </row>
    <row r="581" spans="1:21" ht="12.75" x14ac:dyDescent="0.2">
      <c r="A581" s="25"/>
      <c r="B581" s="25"/>
      <c r="C581" s="25"/>
      <c r="D581" s="25"/>
      <c r="E581" s="25"/>
      <c r="F581" s="25"/>
      <c r="J581" s="24"/>
      <c r="U581" s="24"/>
    </row>
    <row r="582" spans="1:21" ht="12.75" x14ac:dyDescent="0.2">
      <c r="A582" s="25"/>
      <c r="B582" s="25"/>
      <c r="C582" s="25"/>
      <c r="D582" s="25"/>
      <c r="E582" s="25"/>
      <c r="F582" s="25"/>
      <c r="J582" s="24"/>
      <c r="U582" s="24"/>
    </row>
    <row r="583" spans="1:21" ht="12.75" x14ac:dyDescent="0.2">
      <c r="A583" s="25"/>
      <c r="B583" s="25"/>
      <c r="C583" s="25"/>
      <c r="D583" s="25"/>
      <c r="E583" s="25"/>
      <c r="F583" s="25"/>
      <c r="J583" s="24"/>
      <c r="U583" s="24"/>
    </row>
    <row r="584" spans="1:21" ht="12.75" x14ac:dyDescent="0.2">
      <c r="A584" s="25"/>
      <c r="B584" s="25"/>
      <c r="C584" s="25"/>
      <c r="D584" s="25"/>
      <c r="E584" s="25"/>
      <c r="F584" s="25"/>
      <c r="J584" s="24"/>
      <c r="U584" s="24"/>
    </row>
    <row r="585" spans="1:21" ht="12.75" x14ac:dyDescent="0.2">
      <c r="A585" s="25"/>
      <c r="B585" s="25"/>
      <c r="C585" s="25"/>
      <c r="D585" s="25"/>
      <c r="E585" s="25"/>
      <c r="F585" s="25"/>
      <c r="J585" s="24"/>
      <c r="U585" s="24"/>
    </row>
    <row r="586" spans="1:21" ht="12.75" x14ac:dyDescent="0.2">
      <c r="A586" s="25"/>
      <c r="B586" s="25"/>
      <c r="C586" s="25"/>
      <c r="D586" s="25"/>
      <c r="E586" s="25"/>
      <c r="F586" s="25"/>
      <c r="J586" s="24"/>
      <c r="U586" s="24"/>
    </row>
    <row r="587" spans="1:21" ht="12.75" x14ac:dyDescent="0.2">
      <c r="A587" s="25"/>
      <c r="B587" s="25"/>
      <c r="C587" s="25"/>
      <c r="D587" s="25"/>
      <c r="E587" s="25"/>
      <c r="F587" s="25"/>
      <c r="J587" s="24"/>
      <c r="U587" s="24"/>
    </row>
    <row r="588" spans="1:21" ht="12.75" x14ac:dyDescent="0.2">
      <c r="A588" s="25"/>
      <c r="B588" s="25"/>
      <c r="C588" s="25"/>
      <c r="D588" s="25"/>
      <c r="E588" s="25"/>
      <c r="F588" s="25"/>
      <c r="J588" s="24"/>
      <c r="U588" s="24"/>
    </row>
    <row r="589" spans="1:21" ht="12.75" x14ac:dyDescent="0.2">
      <c r="A589" s="25"/>
      <c r="B589" s="25"/>
      <c r="C589" s="25"/>
      <c r="D589" s="25"/>
      <c r="E589" s="25"/>
      <c r="F589" s="25"/>
      <c r="J589" s="24"/>
      <c r="U589" s="24"/>
    </row>
    <row r="590" spans="1:21" ht="12.75" x14ac:dyDescent="0.2">
      <c r="A590" s="25"/>
      <c r="B590" s="25"/>
      <c r="C590" s="25"/>
      <c r="D590" s="25"/>
      <c r="E590" s="25"/>
      <c r="F590" s="25"/>
      <c r="J590" s="24"/>
      <c r="U590" s="24"/>
    </row>
    <row r="591" spans="1:21" ht="12.75" x14ac:dyDescent="0.2">
      <c r="A591" s="25"/>
      <c r="B591" s="25"/>
      <c r="C591" s="25"/>
      <c r="D591" s="25"/>
      <c r="E591" s="25"/>
      <c r="F591" s="25"/>
      <c r="J591" s="24"/>
      <c r="U591" s="24"/>
    </row>
    <row r="592" spans="1:21" ht="12.75" x14ac:dyDescent="0.2">
      <c r="A592" s="25"/>
      <c r="B592" s="25"/>
      <c r="C592" s="25"/>
      <c r="D592" s="25"/>
      <c r="E592" s="25"/>
      <c r="F592" s="25"/>
      <c r="J592" s="24"/>
      <c r="U592" s="24"/>
    </row>
    <row r="593" spans="1:21" ht="12.75" x14ac:dyDescent="0.2">
      <c r="A593" s="25"/>
      <c r="B593" s="25"/>
      <c r="C593" s="25"/>
      <c r="D593" s="25"/>
      <c r="E593" s="25"/>
      <c r="F593" s="25"/>
      <c r="J593" s="24"/>
      <c r="U593" s="24"/>
    </row>
    <row r="594" spans="1:21" ht="12.75" x14ac:dyDescent="0.2">
      <c r="A594" s="25"/>
      <c r="B594" s="25"/>
      <c r="C594" s="25"/>
      <c r="D594" s="25"/>
      <c r="E594" s="25"/>
      <c r="F594" s="25"/>
      <c r="J594" s="24"/>
      <c r="U594" s="24"/>
    </row>
    <row r="595" spans="1:21" ht="12.75" x14ac:dyDescent="0.2">
      <c r="A595" s="25"/>
      <c r="B595" s="25"/>
      <c r="C595" s="25"/>
      <c r="D595" s="25"/>
      <c r="E595" s="25"/>
      <c r="F595" s="25"/>
      <c r="J595" s="24"/>
      <c r="U595" s="24"/>
    </row>
    <row r="596" spans="1:21" ht="12.75" x14ac:dyDescent="0.2">
      <c r="A596" s="25"/>
      <c r="B596" s="25"/>
      <c r="C596" s="25"/>
      <c r="D596" s="25"/>
      <c r="E596" s="25"/>
      <c r="F596" s="25"/>
      <c r="J596" s="24"/>
      <c r="U596" s="24"/>
    </row>
    <row r="597" spans="1:21" ht="12.75" x14ac:dyDescent="0.2">
      <c r="A597" s="25"/>
      <c r="B597" s="25"/>
      <c r="C597" s="25"/>
      <c r="D597" s="25"/>
      <c r="E597" s="25"/>
      <c r="F597" s="25"/>
      <c r="J597" s="24"/>
      <c r="U597" s="24"/>
    </row>
    <row r="598" spans="1:21" ht="12.75" x14ac:dyDescent="0.2">
      <c r="A598" s="25"/>
      <c r="B598" s="25"/>
      <c r="C598" s="25"/>
      <c r="D598" s="25"/>
      <c r="E598" s="25"/>
      <c r="F598" s="25"/>
      <c r="J598" s="24"/>
      <c r="U598" s="24"/>
    </row>
    <row r="599" spans="1:21" ht="12.75" x14ac:dyDescent="0.2">
      <c r="A599" s="25"/>
      <c r="B599" s="25"/>
      <c r="C599" s="25"/>
      <c r="D599" s="25"/>
      <c r="E599" s="25"/>
      <c r="F599" s="25"/>
      <c r="J599" s="24"/>
      <c r="U599" s="24"/>
    </row>
    <row r="600" spans="1:21" ht="12.75" x14ac:dyDescent="0.2">
      <c r="A600" s="25"/>
      <c r="B600" s="25"/>
      <c r="C600" s="25"/>
      <c r="D600" s="25"/>
      <c r="E600" s="25"/>
      <c r="F600" s="25"/>
      <c r="J600" s="24"/>
      <c r="U600" s="24"/>
    </row>
    <row r="601" spans="1:21" ht="12.75" x14ac:dyDescent="0.2">
      <c r="A601" s="25"/>
      <c r="B601" s="25"/>
      <c r="C601" s="25"/>
      <c r="D601" s="25"/>
      <c r="E601" s="25"/>
      <c r="F601" s="25"/>
      <c r="J601" s="24"/>
      <c r="U601" s="24"/>
    </row>
    <row r="602" spans="1:21" ht="12.75" x14ac:dyDescent="0.2">
      <c r="A602" s="25"/>
      <c r="B602" s="25"/>
      <c r="C602" s="25"/>
      <c r="D602" s="25"/>
      <c r="E602" s="25"/>
      <c r="F602" s="25"/>
      <c r="J602" s="24"/>
      <c r="U602" s="24"/>
    </row>
    <row r="603" spans="1:21" ht="12.75" x14ac:dyDescent="0.2">
      <c r="A603" s="25"/>
      <c r="B603" s="25"/>
      <c r="C603" s="25"/>
      <c r="D603" s="25"/>
      <c r="E603" s="25"/>
      <c r="F603" s="25"/>
      <c r="J603" s="24"/>
      <c r="U603" s="24"/>
    </row>
    <row r="604" spans="1:21" ht="12.75" x14ac:dyDescent="0.2">
      <c r="A604" s="25"/>
      <c r="B604" s="25"/>
      <c r="C604" s="25"/>
      <c r="D604" s="25"/>
      <c r="E604" s="25"/>
      <c r="F604" s="25"/>
      <c r="J604" s="24"/>
      <c r="U604" s="24"/>
    </row>
    <row r="605" spans="1:21" ht="12.75" x14ac:dyDescent="0.2">
      <c r="A605" s="25"/>
      <c r="B605" s="25"/>
      <c r="C605" s="25"/>
      <c r="D605" s="25"/>
      <c r="E605" s="25"/>
      <c r="F605" s="25"/>
      <c r="J605" s="24"/>
      <c r="U605" s="24"/>
    </row>
    <row r="606" spans="1:21" ht="12.75" x14ac:dyDescent="0.2">
      <c r="A606" s="25"/>
      <c r="B606" s="25"/>
      <c r="C606" s="25"/>
      <c r="D606" s="25"/>
      <c r="E606" s="25"/>
      <c r="F606" s="25"/>
      <c r="J606" s="24"/>
      <c r="U606" s="24"/>
    </row>
    <row r="607" spans="1:21" ht="12.75" x14ac:dyDescent="0.2">
      <c r="A607" s="25"/>
      <c r="B607" s="25"/>
      <c r="C607" s="25"/>
      <c r="D607" s="25"/>
      <c r="E607" s="25"/>
      <c r="F607" s="25"/>
      <c r="J607" s="24"/>
      <c r="U607" s="24"/>
    </row>
    <row r="608" spans="1:21" ht="12.75" x14ac:dyDescent="0.2">
      <c r="A608" s="25"/>
      <c r="B608" s="25"/>
      <c r="C608" s="25"/>
      <c r="D608" s="25"/>
      <c r="E608" s="25"/>
      <c r="F608" s="25"/>
      <c r="J608" s="24"/>
      <c r="U608" s="24"/>
    </row>
    <row r="609" spans="1:21" ht="12.75" x14ac:dyDescent="0.2">
      <c r="A609" s="25"/>
      <c r="B609" s="25"/>
      <c r="C609" s="25"/>
      <c r="D609" s="25"/>
      <c r="E609" s="25"/>
      <c r="F609" s="25"/>
      <c r="J609" s="24"/>
      <c r="U609" s="24"/>
    </row>
    <row r="610" spans="1:21" ht="12.75" x14ac:dyDescent="0.2">
      <c r="A610" s="25"/>
      <c r="B610" s="25"/>
      <c r="C610" s="25"/>
      <c r="D610" s="25"/>
      <c r="E610" s="25"/>
      <c r="F610" s="25"/>
      <c r="J610" s="24"/>
      <c r="U610" s="24"/>
    </row>
    <row r="611" spans="1:21" ht="12.75" x14ac:dyDescent="0.2">
      <c r="A611" s="25"/>
      <c r="B611" s="25"/>
      <c r="C611" s="25"/>
      <c r="D611" s="25"/>
      <c r="E611" s="25"/>
      <c r="F611" s="25"/>
      <c r="J611" s="24"/>
      <c r="U611" s="24"/>
    </row>
    <row r="612" spans="1:21" ht="12.75" x14ac:dyDescent="0.2">
      <c r="A612" s="25"/>
      <c r="B612" s="25"/>
      <c r="C612" s="25"/>
      <c r="D612" s="25"/>
      <c r="E612" s="25"/>
      <c r="F612" s="25"/>
      <c r="J612" s="24"/>
      <c r="U612" s="24"/>
    </row>
    <row r="613" spans="1:21" ht="12.75" x14ac:dyDescent="0.2">
      <c r="A613" s="25"/>
      <c r="B613" s="25"/>
      <c r="C613" s="25"/>
      <c r="D613" s="25"/>
      <c r="E613" s="25"/>
      <c r="F613" s="25"/>
      <c r="J613" s="24"/>
      <c r="U613" s="24"/>
    </row>
    <row r="614" spans="1:21" ht="12.75" x14ac:dyDescent="0.2">
      <c r="A614" s="25"/>
      <c r="B614" s="25"/>
      <c r="C614" s="25"/>
      <c r="D614" s="25"/>
      <c r="E614" s="25"/>
      <c r="F614" s="25"/>
      <c r="J614" s="24"/>
      <c r="U614" s="24"/>
    </row>
    <row r="615" spans="1:21" ht="12.75" x14ac:dyDescent="0.2">
      <c r="A615" s="25"/>
      <c r="B615" s="25"/>
      <c r="C615" s="25"/>
      <c r="D615" s="25"/>
      <c r="E615" s="25"/>
      <c r="F615" s="25"/>
      <c r="J615" s="24"/>
      <c r="U615" s="24"/>
    </row>
    <row r="616" spans="1:21" ht="12.75" x14ac:dyDescent="0.2">
      <c r="A616" s="25"/>
      <c r="B616" s="25"/>
      <c r="C616" s="25"/>
      <c r="D616" s="25"/>
      <c r="E616" s="25"/>
      <c r="F616" s="25"/>
      <c r="J616" s="24"/>
      <c r="U616" s="24"/>
    </row>
    <row r="617" spans="1:21" ht="12.75" x14ac:dyDescent="0.2">
      <c r="A617" s="25"/>
      <c r="B617" s="25"/>
      <c r="C617" s="25"/>
      <c r="D617" s="25"/>
      <c r="E617" s="25"/>
      <c r="F617" s="25"/>
      <c r="J617" s="24"/>
      <c r="U617" s="24"/>
    </row>
    <row r="618" spans="1:21" ht="12.75" x14ac:dyDescent="0.2">
      <c r="A618" s="25"/>
      <c r="B618" s="25"/>
      <c r="C618" s="25"/>
      <c r="D618" s="25"/>
      <c r="E618" s="25"/>
      <c r="F618" s="25"/>
      <c r="J618" s="24"/>
      <c r="U618" s="24"/>
    </row>
    <row r="619" spans="1:21" ht="12.75" x14ac:dyDescent="0.2">
      <c r="A619" s="25"/>
      <c r="B619" s="25"/>
      <c r="C619" s="25"/>
      <c r="D619" s="25"/>
      <c r="E619" s="25"/>
      <c r="F619" s="25"/>
      <c r="J619" s="24"/>
      <c r="U619" s="24"/>
    </row>
    <row r="620" spans="1:21" ht="12.75" x14ac:dyDescent="0.2">
      <c r="A620" s="25"/>
      <c r="B620" s="25"/>
      <c r="C620" s="25"/>
      <c r="D620" s="25"/>
      <c r="E620" s="25"/>
      <c r="F620" s="25"/>
      <c r="J620" s="24"/>
      <c r="U620" s="24"/>
    </row>
    <row r="621" spans="1:21" ht="12.75" x14ac:dyDescent="0.2">
      <c r="A621" s="25"/>
      <c r="B621" s="25"/>
      <c r="C621" s="25"/>
      <c r="D621" s="25"/>
      <c r="E621" s="25"/>
      <c r="F621" s="25"/>
      <c r="J621" s="24"/>
      <c r="U621" s="24"/>
    </row>
    <row r="622" spans="1:21" ht="12.75" x14ac:dyDescent="0.2">
      <c r="A622" s="25"/>
      <c r="B622" s="25"/>
      <c r="C622" s="25"/>
      <c r="D622" s="25"/>
      <c r="E622" s="25"/>
      <c r="F622" s="25"/>
      <c r="J622" s="24"/>
      <c r="U622" s="24"/>
    </row>
    <row r="623" spans="1:21" ht="12.75" x14ac:dyDescent="0.2">
      <c r="A623" s="25"/>
      <c r="B623" s="25"/>
      <c r="C623" s="25"/>
      <c r="D623" s="25"/>
      <c r="E623" s="25"/>
      <c r="F623" s="25"/>
      <c r="J623" s="24"/>
      <c r="U623" s="24"/>
    </row>
    <row r="624" spans="1:21" ht="12.75" x14ac:dyDescent="0.2">
      <c r="A624" s="25"/>
      <c r="B624" s="25"/>
      <c r="C624" s="25"/>
      <c r="D624" s="25"/>
      <c r="E624" s="25"/>
      <c r="F624" s="25"/>
      <c r="J624" s="24"/>
      <c r="U624" s="24"/>
    </row>
    <row r="625" spans="1:21" ht="12.75" x14ac:dyDescent="0.2">
      <c r="A625" s="25"/>
      <c r="B625" s="25"/>
      <c r="C625" s="25"/>
      <c r="D625" s="25"/>
      <c r="E625" s="25"/>
      <c r="F625" s="25"/>
      <c r="J625" s="24"/>
      <c r="U625" s="24"/>
    </row>
    <row r="626" spans="1:21" ht="12.75" x14ac:dyDescent="0.2">
      <c r="A626" s="25"/>
      <c r="B626" s="25"/>
      <c r="C626" s="25"/>
      <c r="D626" s="25"/>
      <c r="E626" s="25"/>
      <c r="F626" s="25"/>
      <c r="J626" s="24"/>
      <c r="U626" s="24"/>
    </row>
    <row r="627" spans="1:21" ht="12.75" x14ac:dyDescent="0.2">
      <c r="A627" s="25"/>
      <c r="B627" s="25"/>
      <c r="C627" s="25"/>
      <c r="D627" s="25"/>
      <c r="E627" s="25"/>
      <c r="F627" s="25"/>
      <c r="J627" s="24"/>
      <c r="U627" s="24"/>
    </row>
    <row r="628" spans="1:21" ht="12.75" x14ac:dyDescent="0.2">
      <c r="A628" s="25"/>
      <c r="B628" s="25"/>
      <c r="C628" s="25"/>
      <c r="D628" s="25"/>
      <c r="E628" s="25"/>
      <c r="F628" s="25"/>
      <c r="J628" s="24"/>
      <c r="U628" s="24"/>
    </row>
    <row r="629" spans="1:21" ht="12.75" x14ac:dyDescent="0.2">
      <c r="A629" s="25"/>
      <c r="B629" s="25"/>
      <c r="C629" s="25"/>
      <c r="D629" s="25"/>
      <c r="E629" s="25"/>
      <c r="F629" s="25"/>
      <c r="J629" s="24"/>
      <c r="U629" s="24"/>
    </row>
    <row r="630" spans="1:21" ht="12.75" x14ac:dyDescent="0.2">
      <c r="A630" s="25"/>
      <c r="B630" s="25"/>
      <c r="C630" s="25"/>
      <c r="D630" s="25"/>
      <c r="E630" s="25"/>
      <c r="F630" s="25"/>
      <c r="J630" s="24"/>
      <c r="U630" s="24"/>
    </row>
    <row r="631" spans="1:21" ht="12.75" x14ac:dyDescent="0.2">
      <c r="A631" s="25"/>
      <c r="B631" s="25"/>
      <c r="C631" s="25"/>
      <c r="D631" s="25"/>
      <c r="E631" s="25"/>
      <c r="F631" s="25"/>
      <c r="J631" s="24"/>
      <c r="U631" s="24"/>
    </row>
    <row r="632" spans="1:21" ht="12.75" x14ac:dyDescent="0.2">
      <c r="A632" s="25"/>
      <c r="B632" s="25"/>
      <c r="C632" s="25"/>
      <c r="D632" s="25"/>
      <c r="E632" s="25"/>
      <c r="F632" s="25"/>
      <c r="J632" s="24"/>
      <c r="U632" s="24"/>
    </row>
    <row r="633" spans="1:21" ht="12.75" x14ac:dyDescent="0.2">
      <c r="A633" s="25"/>
      <c r="B633" s="25"/>
      <c r="C633" s="25"/>
      <c r="D633" s="25"/>
      <c r="E633" s="25"/>
      <c r="F633" s="25"/>
      <c r="J633" s="24"/>
      <c r="U633" s="24"/>
    </row>
    <row r="634" spans="1:21" ht="12.75" x14ac:dyDescent="0.2">
      <c r="A634" s="25"/>
      <c r="B634" s="25"/>
      <c r="C634" s="25"/>
      <c r="D634" s="25"/>
      <c r="E634" s="25"/>
      <c r="F634" s="25"/>
      <c r="J634" s="24"/>
      <c r="U634" s="24"/>
    </row>
    <row r="635" spans="1:21" ht="12.75" x14ac:dyDescent="0.2">
      <c r="A635" s="25"/>
      <c r="B635" s="25"/>
      <c r="C635" s="25"/>
      <c r="D635" s="25"/>
      <c r="E635" s="25"/>
      <c r="F635" s="25"/>
      <c r="J635" s="24"/>
      <c r="U635" s="24"/>
    </row>
    <row r="636" spans="1:21" ht="12.75" x14ac:dyDescent="0.2">
      <c r="A636" s="25"/>
      <c r="B636" s="25"/>
      <c r="C636" s="25"/>
      <c r="D636" s="25"/>
      <c r="E636" s="25"/>
      <c r="F636" s="25"/>
      <c r="J636" s="24"/>
      <c r="U636" s="24"/>
    </row>
    <row r="637" spans="1:21" ht="12.75" x14ac:dyDescent="0.2">
      <c r="A637" s="25"/>
      <c r="B637" s="25"/>
      <c r="C637" s="25"/>
      <c r="D637" s="25"/>
      <c r="E637" s="25"/>
      <c r="F637" s="25"/>
      <c r="J637" s="24"/>
      <c r="U637" s="24"/>
    </row>
    <row r="638" spans="1:21" ht="12.75" x14ac:dyDescent="0.2">
      <c r="A638" s="25"/>
      <c r="B638" s="25"/>
      <c r="C638" s="25"/>
      <c r="D638" s="25"/>
      <c r="E638" s="25"/>
      <c r="F638" s="25"/>
      <c r="J638" s="24"/>
      <c r="U638" s="24"/>
    </row>
    <row r="639" spans="1:21" ht="12.75" x14ac:dyDescent="0.2">
      <c r="A639" s="25"/>
      <c r="B639" s="25"/>
      <c r="C639" s="25"/>
      <c r="D639" s="25"/>
      <c r="E639" s="25"/>
      <c r="F639" s="25"/>
      <c r="J639" s="24"/>
      <c r="U639" s="24"/>
    </row>
    <row r="640" spans="1:21" ht="12.75" x14ac:dyDescent="0.2">
      <c r="A640" s="25"/>
      <c r="B640" s="25"/>
      <c r="C640" s="25"/>
      <c r="D640" s="25"/>
      <c r="E640" s="25"/>
      <c r="F640" s="25"/>
      <c r="J640" s="24"/>
      <c r="U640" s="24"/>
    </row>
    <row r="641" spans="1:21" ht="12.75" x14ac:dyDescent="0.2">
      <c r="A641" s="25"/>
      <c r="B641" s="25"/>
      <c r="C641" s="25"/>
      <c r="D641" s="25"/>
      <c r="E641" s="25"/>
      <c r="F641" s="25"/>
      <c r="J641" s="24"/>
      <c r="U641" s="24"/>
    </row>
    <row r="642" spans="1:21" ht="12.75" x14ac:dyDescent="0.2">
      <c r="A642" s="25"/>
      <c r="B642" s="25"/>
      <c r="C642" s="25"/>
      <c r="D642" s="25"/>
      <c r="E642" s="25"/>
      <c r="F642" s="25"/>
      <c r="J642" s="24"/>
      <c r="U642" s="24"/>
    </row>
    <row r="643" spans="1:21" ht="12.75" x14ac:dyDescent="0.2">
      <c r="A643" s="25"/>
      <c r="B643" s="25"/>
      <c r="C643" s="25"/>
      <c r="D643" s="25"/>
      <c r="E643" s="25"/>
      <c r="F643" s="25"/>
      <c r="J643" s="24"/>
      <c r="U643" s="24"/>
    </row>
    <row r="644" spans="1:21" ht="12.75" x14ac:dyDescent="0.2">
      <c r="A644" s="25"/>
      <c r="B644" s="25"/>
      <c r="C644" s="25"/>
      <c r="D644" s="25"/>
      <c r="E644" s="25"/>
      <c r="F644" s="25"/>
      <c r="J644" s="24"/>
      <c r="U644" s="24"/>
    </row>
    <row r="645" spans="1:21" ht="12.75" x14ac:dyDescent="0.2">
      <c r="A645" s="25"/>
      <c r="B645" s="25"/>
      <c r="C645" s="25"/>
      <c r="D645" s="25"/>
      <c r="E645" s="25"/>
      <c r="F645" s="25"/>
      <c r="J645" s="24"/>
      <c r="U645" s="24"/>
    </row>
    <row r="646" spans="1:21" ht="12.75" x14ac:dyDescent="0.2">
      <c r="A646" s="25"/>
      <c r="B646" s="25"/>
      <c r="C646" s="25"/>
      <c r="D646" s="25"/>
      <c r="E646" s="25"/>
      <c r="F646" s="25"/>
      <c r="J646" s="24"/>
      <c r="U646" s="24"/>
    </row>
    <row r="647" spans="1:21" ht="12.75" x14ac:dyDescent="0.2">
      <c r="A647" s="25"/>
      <c r="B647" s="25"/>
      <c r="C647" s="25"/>
      <c r="D647" s="25"/>
      <c r="E647" s="25"/>
      <c r="F647" s="25"/>
      <c r="J647" s="24"/>
      <c r="U647" s="24"/>
    </row>
    <row r="648" spans="1:21" ht="12.75" x14ac:dyDescent="0.2">
      <c r="A648" s="25"/>
      <c r="B648" s="25"/>
      <c r="C648" s="25"/>
      <c r="D648" s="25"/>
      <c r="E648" s="25"/>
      <c r="F648" s="25"/>
      <c r="J648" s="24"/>
      <c r="U648" s="24"/>
    </row>
    <row r="649" spans="1:21" ht="12.75" x14ac:dyDescent="0.2">
      <c r="A649" s="25"/>
      <c r="B649" s="25"/>
      <c r="C649" s="25"/>
      <c r="D649" s="25"/>
      <c r="E649" s="25"/>
      <c r="F649" s="25"/>
      <c r="J649" s="24"/>
      <c r="U649" s="24"/>
    </row>
    <row r="650" spans="1:21" ht="12.75" x14ac:dyDescent="0.2">
      <c r="A650" s="25"/>
      <c r="B650" s="25"/>
      <c r="C650" s="25"/>
      <c r="D650" s="25"/>
      <c r="E650" s="25"/>
      <c r="F650" s="25"/>
      <c r="J650" s="24"/>
      <c r="U650" s="24"/>
    </row>
    <row r="651" spans="1:21" ht="12.75" x14ac:dyDescent="0.2">
      <c r="A651" s="25"/>
      <c r="B651" s="25"/>
      <c r="C651" s="25"/>
      <c r="D651" s="25"/>
      <c r="E651" s="25"/>
      <c r="F651" s="25"/>
      <c r="J651" s="24"/>
      <c r="U651" s="24"/>
    </row>
    <row r="652" spans="1:21" ht="12.75" x14ac:dyDescent="0.2">
      <c r="A652" s="25"/>
      <c r="B652" s="25"/>
      <c r="C652" s="25"/>
      <c r="D652" s="25"/>
      <c r="E652" s="25"/>
      <c r="F652" s="25"/>
      <c r="J652" s="24"/>
      <c r="U652" s="24"/>
    </row>
    <row r="653" spans="1:21" ht="12.75" x14ac:dyDescent="0.2">
      <c r="A653" s="25"/>
      <c r="B653" s="25"/>
      <c r="C653" s="25"/>
      <c r="D653" s="25"/>
      <c r="E653" s="25"/>
      <c r="F653" s="25"/>
      <c r="J653" s="24"/>
      <c r="U653" s="24"/>
    </row>
    <row r="654" spans="1:21" ht="12.75" x14ac:dyDescent="0.2">
      <c r="A654" s="25"/>
      <c r="B654" s="25"/>
      <c r="C654" s="25"/>
      <c r="D654" s="25"/>
      <c r="E654" s="25"/>
      <c r="F654" s="25"/>
      <c r="J654" s="24"/>
      <c r="U654" s="24"/>
    </row>
    <row r="655" spans="1:21" ht="12.75" x14ac:dyDescent="0.2">
      <c r="A655" s="25"/>
      <c r="B655" s="25"/>
      <c r="C655" s="25"/>
      <c r="D655" s="25"/>
      <c r="E655" s="25"/>
      <c r="F655" s="25"/>
      <c r="J655" s="24"/>
      <c r="U655" s="24"/>
    </row>
    <row r="656" spans="1:21" ht="12.75" x14ac:dyDescent="0.2">
      <c r="A656" s="25"/>
      <c r="B656" s="25"/>
      <c r="C656" s="25"/>
      <c r="D656" s="25"/>
      <c r="E656" s="25"/>
      <c r="F656" s="25"/>
      <c r="J656" s="24"/>
      <c r="U656" s="24"/>
    </row>
    <row r="657" spans="1:21" ht="12.75" x14ac:dyDescent="0.2">
      <c r="A657" s="25"/>
      <c r="B657" s="25"/>
      <c r="C657" s="25"/>
      <c r="D657" s="25"/>
      <c r="E657" s="25"/>
      <c r="F657" s="25"/>
      <c r="J657" s="24"/>
      <c r="U657" s="24"/>
    </row>
    <row r="658" spans="1:21" ht="12.75" x14ac:dyDescent="0.2">
      <c r="A658" s="25"/>
      <c r="B658" s="25"/>
      <c r="C658" s="25"/>
      <c r="D658" s="25"/>
      <c r="E658" s="25"/>
      <c r="F658" s="25"/>
      <c r="J658" s="24"/>
      <c r="U658" s="24"/>
    </row>
    <row r="659" spans="1:21" ht="12.75" x14ac:dyDescent="0.2">
      <c r="A659" s="25"/>
      <c r="B659" s="25"/>
      <c r="C659" s="25"/>
      <c r="D659" s="25"/>
      <c r="E659" s="25"/>
      <c r="F659" s="25"/>
      <c r="J659" s="24"/>
      <c r="U659" s="24"/>
    </row>
    <row r="660" spans="1:21" ht="12.75" x14ac:dyDescent="0.2">
      <c r="A660" s="25"/>
      <c r="B660" s="25"/>
      <c r="C660" s="25"/>
      <c r="D660" s="25"/>
      <c r="E660" s="25"/>
      <c r="F660" s="25"/>
      <c r="J660" s="24"/>
      <c r="U660" s="24"/>
    </row>
    <row r="661" spans="1:21" ht="12.75" x14ac:dyDescent="0.2">
      <c r="A661" s="25"/>
      <c r="B661" s="25"/>
      <c r="C661" s="25"/>
      <c r="D661" s="25"/>
      <c r="E661" s="25"/>
      <c r="F661" s="25"/>
      <c r="J661" s="24"/>
      <c r="U661" s="24"/>
    </row>
    <row r="662" spans="1:21" ht="12.75" x14ac:dyDescent="0.2">
      <c r="A662" s="25"/>
      <c r="B662" s="25"/>
      <c r="C662" s="25"/>
      <c r="D662" s="25"/>
      <c r="E662" s="25"/>
      <c r="F662" s="25"/>
      <c r="J662" s="24"/>
      <c r="U662" s="24"/>
    </row>
    <row r="663" spans="1:21" ht="12.75" x14ac:dyDescent="0.2">
      <c r="A663" s="25"/>
      <c r="B663" s="25"/>
      <c r="C663" s="25"/>
      <c r="D663" s="25"/>
      <c r="E663" s="25"/>
      <c r="F663" s="25"/>
      <c r="J663" s="24"/>
      <c r="U663" s="24"/>
    </row>
    <row r="664" spans="1:21" ht="12.75" x14ac:dyDescent="0.2">
      <c r="A664" s="25"/>
      <c r="B664" s="25"/>
      <c r="C664" s="25"/>
      <c r="D664" s="25"/>
      <c r="E664" s="25"/>
      <c r="F664" s="25"/>
      <c r="J664" s="24"/>
      <c r="U664" s="24"/>
    </row>
    <row r="665" spans="1:21" ht="12.75" x14ac:dyDescent="0.2">
      <c r="A665" s="25"/>
      <c r="B665" s="25"/>
      <c r="C665" s="25"/>
      <c r="D665" s="25"/>
      <c r="E665" s="25"/>
      <c r="F665" s="25"/>
      <c r="J665" s="24"/>
      <c r="U665" s="24"/>
    </row>
    <row r="666" spans="1:21" ht="12.75" x14ac:dyDescent="0.2">
      <c r="A666" s="25"/>
      <c r="B666" s="25"/>
      <c r="C666" s="25"/>
      <c r="D666" s="25"/>
      <c r="E666" s="25"/>
      <c r="F666" s="25"/>
      <c r="J666" s="24"/>
      <c r="U666" s="24"/>
    </row>
    <row r="667" spans="1:21" ht="12.75" x14ac:dyDescent="0.2">
      <c r="A667" s="25"/>
      <c r="B667" s="25"/>
      <c r="C667" s="25"/>
      <c r="D667" s="25"/>
      <c r="E667" s="25"/>
      <c r="F667" s="25"/>
      <c r="J667" s="24"/>
      <c r="U667" s="24"/>
    </row>
    <row r="668" spans="1:21" ht="12.75" x14ac:dyDescent="0.2">
      <c r="A668" s="25"/>
      <c r="B668" s="25"/>
      <c r="C668" s="25"/>
      <c r="D668" s="25"/>
      <c r="E668" s="25"/>
      <c r="F668" s="25"/>
      <c r="J668" s="24"/>
      <c r="U668" s="24"/>
    </row>
    <row r="669" spans="1:21" ht="12.75" x14ac:dyDescent="0.2">
      <c r="A669" s="25"/>
      <c r="B669" s="25"/>
      <c r="C669" s="25"/>
      <c r="D669" s="25"/>
      <c r="E669" s="25"/>
      <c r="F669" s="25"/>
      <c r="J669" s="24"/>
      <c r="U669" s="24"/>
    </row>
    <row r="670" spans="1:21" ht="12.75" x14ac:dyDescent="0.2">
      <c r="A670" s="25"/>
      <c r="B670" s="25"/>
      <c r="C670" s="25"/>
      <c r="D670" s="25"/>
      <c r="E670" s="25"/>
      <c r="F670" s="25"/>
      <c r="J670" s="24"/>
      <c r="U670" s="24"/>
    </row>
    <row r="671" spans="1:21" ht="12.75" x14ac:dyDescent="0.2">
      <c r="A671" s="25"/>
      <c r="B671" s="25"/>
      <c r="C671" s="25"/>
      <c r="D671" s="25"/>
      <c r="E671" s="25"/>
      <c r="F671" s="25"/>
      <c r="J671" s="24"/>
      <c r="U671" s="24"/>
    </row>
    <row r="672" spans="1:21" ht="12.75" x14ac:dyDescent="0.2">
      <c r="A672" s="25"/>
      <c r="B672" s="25"/>
      <c r="C672" s="25"/>
      <c r="D672" s="25"/>
      <c r="E672" s="25"/>
      <c r="F672" s="25"/>
      <c r="J672" s="24"/>
      <c r="U672" s="24"/>
    </row>
    <row r="673" spans="1:21" ht="12.75" x14ac:dyDescent="0.2">
      <c r="A673" s="25"/>
      <c r="B673" s="25"/>
      <c r="C673" s="25"/>
      <c r="D673" s="25"/>
      <c r="E673" s="25"/>
      <c r="F673" s="25"/>
      <c r="J673" s="24"/>
      <c r="U673" s="24"/>
    </row>
    <row r="674" spans="1:21" ht="12.75" x14ac:dyDescent="0.2">
      <c r="A674" s="25"/>
      <c r="B674" s="25"/>
      <c r="C674" s="25"/>
      <c r="D674" s="25"/>
      <c r="E674" s="25"/>
      <c r="F674" s="25"/>
      <c r="J674" s="24"/>
      <c r="U674" s="24"/>
    </row>
    <row r="675" spans="1:21" ht="12.75" x14ac:dyDescent="0.2">
      <c r="A675" s="25"/>
      <c r="B675" s="25"/>
      <c r="C675" s="25"/>
      <c r="D675" s="25"/>
      <c r="E675" s="25"/>
      <c r="F675" s="25"/>
      <c r="J675" s="24"/>
      <c r="U675" s="24"/>
    </row>
    <row r="676" spans="1:21" ht="12.75" x14ac:dyDescent="0.2">
      <c r="A676" s="25"/>
      <c r="B676" s="25"/>
      <c r="C676" s="25"/>
      <c r="D676" s="25"/>
      <c r="E676" s="25"/>
      <c r="F676" s="25"/>
      <c r="J676" s="24"/>
      <c r="U676" s="24"/>
    </row>
    <row r="677" spans="1:21" ht="12.75" x14ac:dyDescent="0.2">
      <c r="A677" s="25"/>
      <c r="B677" s="25"/>
      <c r="C677" s="25"/>
      <c r="D677" s="25"/>
      <c r="E677" s="25"/>
      <c r="F677" s="25"/>
      <c r="J677" s="24"/>
      <c r="U677" s="24"/>
    </row>
    <row r="678" spans="1:21" ht="12.75" x14ac:dyDescent="0.2">
      <c r="A678" s="25"/>
      <c r="B678" s="25"/>
      <c r="C678" s="25"/>
      <c r="D678" s="25"/>
      <c r="E678" s="25"/>
      <c r="F678" s="25"/>
      <c r="J678" s="24"/>
      <c r="U678" s="24"/>
    </row>
    <row r="679" spans="1:21" ht="12.75" x14ac:dyDescent="0.2">
      <c r="A679" s="25"/>
      <c r="B679" s="25"/>
      <c r="C679" s="25"/>
      <c r="D679" s="25"/>
      <c r="E679" s="25"/>
      <c r="F679" s="25"/>
      <c r="J679" s="24"/>
      <c r="U679" s="24"/>
    </row>
    <row r="680" spans="1:21" ht="12.75" x14ac:dyDescent="0.2">
      <c r="A680" s="25"/>
      <c r="B680" s="25"/>
      <c r="C680" s="25"/>
      <c r="D680" s="25"/>
      <c r="E680" s="25"/>
      <c r="F680" s="25"/>
      <c r="J680" s="24"/>
      <c r="U680" s="24"/>
    </row>
    <row r="681" spans="1:21" ht="12.75" x14ac:dyDescent="0.2">
      <c r="A681" s="25"/>
      <c r="B681" s="25"/>
      <c r="C681" s="25"/>
      <c r="D681" s="25"/>
      <c r="E681" s="25"/>
      <c r="F681" s="25"/>
      <c r="J681" s="24"/>
      <c r="U681" s="24"/>
    </row>
    <row r="682" spans="1:21" ht="12.75" x14ac:dyDescent="0.2">
      <c r="A682" s="25"/>
      <c r="B682" s="25"/>
      <c r="C682" s="25"/>
      <c r="D682" s="25"/>
      <c r="E682" s="25"/>
      <c r="F682" s="25"/>
      <c r="J682" s="24"/>
      <c r="U682" s="24"/>
    </row>
    <row r="683" spans="1:21" ht="12.75" x14ac:dyDescent="0.2">
      <c r="A683" s="25"/>
      <c r="B683" s="25"/>
      <c r="C683" s="25"/>
      <c r="D683" s="25"/>
      <c r="E683" s="25"/>
      <c r="F683" s="25"/>
      <c r="J683" s="24"/>
      <c r="U683" s="24"/>
    </row>
    <row r="684" spans="1:21" ht="12.75" x14ac:dyDescent="0.2">
      <c r="A684" s="25"/>
      <c r="B684" s="25"/>
      <c r="C684" s="25"/>
      <c r="D684" s="25"/>
      <c r="E684" s="25"/>
      <c r="F684" s="25"/>
      <c r="J684" s="24"/>
      <c r="U684" s="24"/>
    </row>
    <row r="685" spans="1:21" ht="12.75" x14ac:dyDescent="0.2">
      <c r="A685" s="25"/>
      <c r="B685" s="25"/>
      <c r="C685" s="25"/>
      <c r="D685" s="25"/>
      <c r="E685" s="25"/>
      <c r="F685" s="25"/>
      <c r="J685" s="24"/>
      <c r="U685" s="24"/>
    </row>
    <row r="686" spans="1:21" ht="12.75" x14ac:dyDescent="0.2">
      <c r="A686" s="25"/>
      <c r="B686" s="25"/>
      <c r="C686" s="25"/>
      <c r="D686" s="25"/>
      <c r="E686" s="25"/>
      <c r="F686" s="25"/>
      <c r="J686" s="24"/>
      <c r="U686" s="24"/>
    </row>
    <row r="687" spans="1:21" ht="12.75" x14ac:dyDescent="0.2">
      <c r="A687" s="25"/>
      <c r="B687" s="25"/>
      <c r="C687" s="25"/>
      <c r="D687" s="25"/>
      <c r="E687" s="25"/>
      <c r="F687" s="25"/>
      <c r="J687" s="24"/>
      <c r="U687" s="24"/>
    </row>
    <row r="688" spans="1:21" ht="12.75" x14ac:dyDescent="0.2">
      <c r="A688" s="25"/>
      <c r="B688" s="25"/>
      <c r="C688" s="25"/>
      <c r="D688" s="25"/>
      <c r="E688" s="25"/>
      <c r="F688" s="25"/>
      <c r="J688" s="24"/>
      <c r="U688" s="24"/>
    </row>
    <row r="689" spans="1:21" ht="12.75" x14ac:dyDescent="0.2">
      <c r="A689" s="25"/>
      <c r="B689" s="25"/>
      <c r="C689" s="25"/>
      <c r="D689" s="25"/>
      <c r="E689" s="25"/>
      <c r="F689" s="25"/>
      <c r="J689" s="24"/>
      <c r="U689" s="24"/>
    </row>
    <row r="690" spans="1:21" ht="12.75" x14ac:dyDescent="0.2">
      <c r="A690" s="25"/>
      <c r="B690" s="25"/>
      <c r="C690" s="25"/>
      <c r="D690" s="25"/>
      <c r="E690" s="25"/>
      <c r="F690" s="25"/>
      <c r="J690" s="24"/>
      <c r="U690" s="24"/>
    </row>
    <row r="691" spans="1:21" ht="12.75" x14ac:dyDescent="0.2">
      <c r="A691" s="25"/>
      <c r="B691" s="25"/>
      <c r="C691" s="25"/>
      <c r="D691" s="25"/>
      <c r="E691" s="25"/>
      <c r="F691" s="25"/>
      <c r="J691" s="24"/>
      <c r="U691" s="24"/>
    </row>
    <row r="692" spans="1:21" ht="12.75" x14ac:dyDescent="0.2">
      <c r="A692" s="25"/>
      <c r="B692" s="25"/>
      <c r="C692" s="25"/>
      <c r="D692" s="25"/>
      <c r="E692" s="25"/>
      <c r="F692" s="25"/>
      <c r="J692" s="24"/>
      <c r="U692" s="24"/>
    </row>
    <row r="693" spans="1:21" ht="12.75" x14ac:dyDescent="0.2">
      <c r="A693" s="25"/>
      <c r="B693" s="25"/>
      <c r="C693" s="25"/>
      <c r="D693" s="25"/>
      <c r="E693" s="25"/>
      <c r="F693" s="25"/>
      <c r="J693" s="24"/>
      <c r="U693" s="24"/>
    </row>
    <row r="694" spans="1:21" ht="12.75" x14ac:dyDescent="0.2">
      <c r="A694" s="25"/>
      <c r="B694" s="25"/>
      <c r="C694" s="25"/>
      <c r="D694" s="25"/>
      <c r="E694" s="25"/>
      <c r="F694" s="25"/>
      <c r="J694" s="24"/>
      <c r="U694" s="24"/>
    </row>
    <row r="695" spans="1:21" ht="12.75" x14ac:dyDescent="0.2">
      <c r="A695" s="25"/>
      <c r="B695" s="25"/>
      <c r="C695" s="25"/>
      <c r="D695" s="25"/>
      <c r="E695" s="25"/>
      <c r="F695" s="25"/>
      <c r="J695" s="24"/>
      <c r="U695" s="24"/>
    </row>
    <row r="696" spans="1:21" ht="12.75" x14ac:dyDescent="0.2">
      <c r="A696" s="25"/>
      <c r="B696" s="25"/>
      <c r="C696" s="25"/>
      <c r="D696" s="25"/>
      <c r="E696" s="25"/>
      <c r="F696" s="25"/>
      <c r="J696" s="24"/>
      <c r="U696" s="24"/>
    </row>
    <row r="697" spans="1:21" ht="12.75" x14ac:dyDescent="0.2">
      <c r="A697" s="25"/>
      <c r="B697" s="25"/>
      <c r="C697" s="25"/>
      <c r="D697" s="25"/>
      <c r="E697" s="25"/>
      <c r="F697" s="25"/>
      <c r="J697" s="24"/>
      <c r="U697" s="24"/>
    </row>
    <row r="698" spans="1:21" ht="12.75" x14ac:dyDescent="0.2">
      <c r="A698" s="25"/>
      <c r="B698" s="25"/>
      <c r="C698" s="25"/>
      <c r="D698" s="25"/>
      <c r="E698" s="25"/>
      <c r="F698" s="25"/>
      <c r="J698" s="24"/>
      <c r="U698" s="24"/>
    </row>
    <row r="699" spans="1:21" ht="12.75" x14ac:dyDescent="0.2">
      <c r="A699" s="25"/>
      <c r="B699" s="25"/>
      <c r="C699" s="25"/>
      <c r="D699" s="25"/>
      <c r="E699" s="25"/>
      <c r="F699" s="25"/>
      <c r="J699" s="24"/>
      <c r="U699" s="24"/>
    </row>
    <row r="700" spans="1:21" ht="12.75" x14ac:dyDescent="0.2">
      <c r="A700" s="25"/>
      <c r="B700" s="25"/>
      <c r="C700" s="25"/>
      <c r="D700" s="25"/>
      <c r="E700" s="25"/>
      <c r="F700" s="25"/>
      <c r="J700" s="24"/>
      <c r="U700" s="24"/>
    </row>
    <row r="701" spans="1:21" ht="12.75" x14ac:dyDescent="0.2">
      <c r="A701" s="25"/>
      <c r="B701" s="25"/>
      <c r="C701" s="25"/>
      <c r="D701" s="25"/>
      <c r="E701" s="25"/>
      <c r="F701" s="25"/>
      <c r="J701" s="24"/>
      <c r="U701" s="24"/>
    </row>
    <row r="702" spans="1:21" ht="12.75" x14ac:dyDescent="0.2">
      <c r="A702" s="25"/>
      <c r="B702" s="25"/>
      <c r="C702" s="25"/>
      <c r="D702" s="25"/>
      <c r="E702" s="25"/>
      <c r="F702" s="25"/>
      <c r="J702" s="24"/>
      <c r="U702" s="24"/>
    </row>
    <row r="703" spans="1:21" ht="12.75" x14ac:dyDescent="0.2">
      <c r="A703" s="25"/>
      <c r="B703" s="25"/>
      <c r="C703" s="25"/>
      <c r="D703" s="25"/>
      <c r="E703" s="25"/>
      <c r="F703" s="25"/>
      <c r="J703" s="24"/>
      <c r="U703" s="24"/>
    </row>
    <row r="704" spans="1:21" ht="12.75" x14ac:dyDescent="0.2">
      <c r="A704" s="25"/>
      <c r="B704" s="25"/>
      <c r="C704" s="25"/>
      <c r="D704" s="25"/>
      <c r="E704" s="25"/>
      <c r="F704" s="25"/>
      <c r="J704" s="24"/>
      <c r="U704" s="24"/>
    </row>
    <row r="705" spans="1:21" ht="12.75" x14ac:dyDescent="0.2">
      <c r="A705" s="25"/>
      <c r="B705" s="25"/>
      <c r="C705" s="25"/>
      <c r="D705" s="25"/>
      <c r="E705" s="25"/>
      <c r="F705" s="25"/>
      <c r="J705" s="24"/>
      <c r="U705" s="24"/>
    </row>
    <row r="706" spans="1:21" ht="12.75" x14ac:dyDescent="0.2">
      <c r="A706" s="25"/>
      <c r="B706" s="25"/>
      <c r="C706" s="25"/>
      <c r="D706" s="25"/>
      <c r="E706" s="25"/>
      <c r="F706" s="25"/>
      <c r="J706" s="24"/>
      <c r="U706" s="24"/>
    </row>
    <row r="707" spans="1:21" ht="12.75" x14ac:dyDescent="0.2">
      <c r="A707" s="25"/>
      <c r="B707" s="25"/>
      <c r="C707" s="25"/>
      <c r="D707" s="25"/>
      <c r="E707" s="25"/>
      <c r="F707" s="25"/>
      <c r="J707" s="24"/>
      <c r="U707" s="24"/>
    </row>
    <row r="708" spans="1:21" ht="12.75" x14ac:dyDescent="0.2">
      <c r="A708" s="25"/>
      <c r="B708" s="25"/>
      <c r="C708" s="25"/>
      <c r="D708" s="25"/>
      <c r="E708" s="25"/>
      <c r="F708" s="25"/>
      <c r="J708" s="24"/>
      <c r="U708" s="24"/>
    </row>
    <row r="709" spans="1:21" ht="12.75" x14ac:dyDescent="0.2">
      <c r="A709" s="25"/>
      <c r="B709" s="25"/>
      <c r="C709" s="25"/>
      <c r="D709" s="25"/>
      <c r="E709" s="25"/>
      <c r="F709" s="25"/>
      <c r="J709" s="24"/>
      <c r="U709" s="24"/>
    </row>
    <row r="710" spans="1:21" ht="12.75" x14ac:dyDescent="0.2">
      <c r="A710" s="25"/>
      <c r="B710" s="25"/>
      <c r="C710" s="25"/>
      <c r="D710" s="25"/>
      <c r="E710" s="25"/>
      <c r="F710" s="25"/>
      <c r="J710" s="24"/>
      <c r="U710" s="24"/>
    </row>
    <row r="711" spans="1:21" ht="12.75" x14ac:dyDescent="0.2">
      <c r="A711" s="25"/>
      <c r="B711" s="25"/>
      <c r="C711" s="25"/>
      <c r="D711" s="25"/>
      <c r="E711" s="25"/>
      <c r="F711" s="25"/>
      <c r="J711" s="24"/>
      <c r="U711" s="24"/>
    </row>
    <row r="712" spans="1:21" ht="12.75" x14ac:dyDescent="0.2">
      <c r="A712" s="25"/>
      <c r="B712" s="25"/>
      <c r="C712" s="25"/>
      <c r="D712" s="25"/>
      <c r="E712" s="25"/>
      <c r="F712" s="25"/>
      <c r="J712" s="24"/>
      <c r="U712" s="24"/>
    </row>
    <row r="713" spans="1:21" ht="12.75" x14ac:dyDescent="0.2">
      <c r="A713" s="25"/>
      <c r="B713" s="25"/>
      <c r="C713" s="25"/>
      <c r="D713" s="25"/>
      <c r="E713" s="25"/>
      <c r="F713" s="25"/>
      <c r="J713" s="24"/>
      <c r="U713" s="24"/>
    </row>
    <row r="714" spans="1:21" ht="12.75" x14ac:dyDescent="0.2">
      <c r="A714" s="25"/>
      <c r="B714" s="25"/>
      <c r="C714" s="25"/>
      <c r="D714" s="25"/>
      <c r="E714" s="25"/>
      <c r="F714" s="25"/>
      <c r="J714" s="24"/>
      <c r="U714" s="24"/>
    </row>
    <row r="715" spans="1:21" ht="12.75" x14ac:dyDescent="0.2">
      <c r="A715" s="25"/>
      <c r="B715" s="25"/>
      <c r="C715" s="25"/>
      <c r="D715" s="25"/>
      <c r="E715" s="25"/>
      <c r="F715" s="25"/>
      <c r="J715" s="24"/>
      <c r="U715" s="24"/>
    </row>
    <row r="716" spans="1:21" ht="12.75" x14ac:dyDescent="0.2">
      <c r="A716" s="25"/>
      <c r="B716" s="25"/>
      <c r="C716" s="25"/>
      <c r="D716" s="25"/>
      <c r="E716" s="25"/>
      <c r="F716" s="25"/>
      <c r="J716" s="24"/>
      <c r="U716" s="24"/>
    </row>
    <row r="717" spans="1:21" ht="12.75" x14ac:dyDescent="0.2">
      <c r="A717" s="25"/>
      <c r="B717" s="25"/>
      <c r="C717" s="25"/>
      <c r="D717" s="25"/>
      <c r="E717" s="25"/>
      <c r="F717" s="25"/>
      <c r="J717" s="24"/>
      <c r="U717" s="24"/>
    </row>
    <row r="718" spans="1:21" ht="12.75" x14ac:dyDescent="0.2">
      <c r="A718" s="25"/>
      <c r="B718" s="25"/>
      <c r="C718" s="25"/>
      <c r="D718" s="25"/>
      <c r="E718" s="25"/>
      <c r="F718" s="25"/>
      <c r="J718" s="24"/>
      <c r="U718" s="24"/>
    </row>
    <row r="719" spans="1:21" ht="12.75" x14ac:dyDescent="0.2">
      <c r="A719" s="25"/>
      <c r="B719" s="25"/>
      <c r="C719" s="25"/>
      <c r="D719" s="25"/>
      <c r="E719" s="25"/>
      <c r="F719" s="25"/>
      <c r="J719" s="24"/>
      <c r="U719" s="24"/>
    </row>
    <row r="720" spans="1:21" ht="12.75" x14ac:dyDescent="0.2">
      <c r="A720" s="25"/>
      <c r="B720" s="25"/>
      <c r="C720" s="25"/>
      <c r="D720" s="25"/>
      <c r="E720" s="25"/>
      <c r="F720" s="25"/>
      <c r="J720" s="24"/>
      <c r="U720" s="24"/>
    </row>
    <row r="721" spans="1:21" ht="12.75" x14ac:dyDescent="0.2">
      <c r="A721" s="25"/>
      <c r="B721" s="25"/>
      <c r="C721" s="25"/>
      <c r="D721" s="25"/>
      <c r="E721" s="25"/>
      <c r="F721" s="25"/>
      <c r="J721" s="24"/>
      <c r="U721" s="24"/>
    </row>
    <row r="722" spans="1:21" ht="12.75" x14ac:dyDescent="0.2">
      <c r="A722" s="25"/>
      <c r="B722" s="25"/>
      <c r="C722" s="25"/>
      <c r="D722" s="25"/>
      <c r="E722" s="25"/>
      <c r="F722" s="25"/>
      <c r="J722" s="24"/>
      <c r="U722" s="24"/>
    </row>
    <row r="723" spans="1:21" ht="12.75" x14ac:dyDescent="0.2">
      <c r="A723" s="25"/>
      <c r="B723" s="25"/>
      <c r="C723" s="25"/>
      <c r="D723" s="25"/>
      <c r="E723" s="25"/>
      <c r="F723" s="25"/>
      <c r="J723" s="24"/>
      <c r="U723" s="24"/>
    </row>
    <row r="724" spans="1:21" ht="12.75" x14ac:dyDescent="0.2">
      <c r="A724" s="25"/>
      <c r="B724" s="25"/>
      <c r="C724" s="25"/>
      <c r="D724" s="25"/>
      <c r="E724" s="25"/>
      <c r="F724" s="25"/>
      <c r="J724" s="24"/>
      <c r="U724" s="24"/>
    </row>
    <row r="725" spans="1:21" ht="12.75" x14ac:dyDescent="0.2">
      <c r="A725" s="25"/>
      <c r="B725" s="25"/>
      <c r="C725" s="25"/>
      <c r="D725" s="25"/>
      <c r="E725" s="25"/>
      <c r="F725" s="25"/>
      <c r="J725" s="24"/>
      <c r="U725" s="24"/>
    </row>
    <row r="726" spans="1:21" ht="12.75" x14ac:dyDescent="0.2">
      <c r="A726" s="25"/>
      <c r="B726" s="25"/>
      <c r="C726" s="25"/>
      <c r="D726" s="25"/>
      <c r="E726" s="25"/>
      <c r="F726" s="25"/>
      <c r="J726" s="24"/>
      <c r="U726" s="24"/>
    </row>
    <row r="727" spans="1:21" ht="12.75" x14ac:dyDescent="0.2">
      <c r="A727" s="25"/>
      <c r="B727" s="25"/>
      <c r="C727" s="25"/>
      <c r="D727" s="25"/>
      <c r="E727" s="25"/>
      <c r="F727" s="25"/>
      <c r="J727" s="24"/>
      <c r="U727" s="24"/>
    </row>
    <row r="728" spans="1:21" ht="12.75" x14ac:dyDescent="0.2">
      <c r="A728" s="25"/>
      <c r="B728" s="25"/>
      <c r="C728" s="25"/>
      <c r="D728" s="25"/>
      <c r="E728" s="25"/>
      <c r="F728" s="25"/>
      <c r="J728" s="24"/>
      <c r="U728" s="24"/>
    </row>
    <row r="729" spans="1:21" ht="12.75" x14ac:dyDescent="0.2">
      <c r="A729" s="25"/>
      <c r="B729" s="25"/>
      <c r="C729" s="25"/>
      <c r="D729" s="25"/>
      <c r="E729" s="25"/>
      <c r="F729" s="25"/>
      <c r="J729" s="24"/>
      <c r="U729" s="24"/>
    </row>
    <row r="730" spans="1:21" ht="12.75" x14ac:dyDescent="0.2">
      <c r="A730" s="25"/>
      <c r="B730" s="25"/>
      <c r="C730" s="25"/>
      <c r="D730" s="25"/>
      <c r="E730" s="25"/>
      <c r="F730" s="25"/>
      <c r="J730" s="24"/>
      <c r="U730" s="24"/>
    </row>
    <row r="731" spans="1:21" ht="12.75" x14ac:dyDescent="0.2">
      <c r="A731" s="25"/>
      <c r="B731" s="25"/>
      <c r="C731" s="25"/>
      <c r="D731" s="25"/>
      <c r="E731" s="25"/>
      <c r="F731" s="25"/>
      <c r="J731" s="24"/>
      <c r="U731" s="24"/>
    </row>
    <row r="732" spans="1:21" ht="12.75" x14ac:dyDescent="0.2">
      <c r="A732" s="25"/>
      <c r="B732" s="25"/>
      <c r="C732" s="25"/>
      <c r="D732" s="25"/>
      <c r="E732" s="25"/>
      <c r="F732" s="25"/>
      <c r="J732" s="24"/>
      <c r="U732" s="24"/>
    </row>
    <row r="733" spans="1:21" ht="12.75" x14ac:dyDescent="0.2">
      <c r="A733" s="25"/>
      <c r="B733" s="25"/>
      <c r="C733" s="25"/>
      <c r="D733" s="25"/>
      <c r="E733" s="25"/>
      <c r="F733" s="25"/>
      <c r="J733" s="24"/>
      <c r="U733" s="24"/>
    </row>
    <row r="734" spans="1:21" ht="12.75" x14ac:dyDescent="0.2">
      <c r="A734" s="25"/>
      <c r="B734" s="25"/>
      <c r="C734" s="25"/>
      <c r="D734" s="25"/>
      <c r="E734" s="25"/>
      <c r="F734" s="25"/>
      <c r="J734" s="24"/>
      <c r="U734" s="24"/>
    </row>
    <row r="735" spans="1:21" ht="12.75" x14ac:dyDescent="0.2">
      <c r="A735" s="25"/>
      <c r="B735" s="25"/>
      <c r="C735" s="25"/>
      <c r="D735" s="25"/>
      <c r="E735" s="25"/>
      <c r="F735" s="25"/>
      <c r="J735" s="24"/>
      <c r="U735" s="24"/>
    </row>
    <row r="736" spans="1:21" ht="12.75" x14ac:dyDescent="0.2">
      <c r="A736" s="25"/>
      <c r="B736" s="25"/>
      <c r="C736" s="25"/>
      <c r="D736" s="25"/>
      <c r="E736" s="25"/>
      <c r="F736" s="25"/>
      <c r="J736" s="24"/>
      <c r="U736" s="24"/>
    </row>
    <row r="737" spans="1:21" ht="12.75" x14ac:dyDescent="0.2">
      <c r="A737" s="25"/>
      <c r="B737" s="25"/>
      <c r="C737" s="25"/>
      <c r="D737" s="25"/>
      <c r="E737" s="25"/>
      <c r="F737" s="25"/>
      <c r="J737" s="24"/>
      <c r="U737" s="24"/>
    </row>
    <row r="738" spans="1:21" ht="12.75" x14ac:dyDescent="0.2">
      <c r="A738" s="25"/>
      <c r="B738" s="25"/>
      <c r="C738" s="25"/>
      <c r="D738" s="25"/>
      <c r="E738" s="25"/>
      <c r="F738" s="25"/>
      <c r="J738" s="24"/>
      <c r="U738" s="24"/>
    </row>
    <row r="739" spans="1:21" ht="12.75" x14ac:dyDescent="0.2">
      <c r="A739" s="25"/>
      <c r="B739" s="25"/>
      <c r="C739" s="25"/>
      <c r="D739" s="25"/>
      <c r="E739" s="25"/>
      <c r="F739" s="25"/>
      <c r="J739" s="24"/>
      <c r="U739" s="24"/>
    </row>
    <row r="740" spans="1:21" ht="12.75" x14ac:dyDescent="0.2">
      <c r="A740" s="25"/>
      <c r="B740" s="25"/>
      <c r="C740" s="25"/>
      <c r="D740" s="25"/>
      <c r="E740" s="25"/>
      <c r="F740" s="25"/>
      <c r="J740" s="24"/>
      <c r="U740" s="24"/>
    </row>
    <row r="741" spans="1:21" ht="12.75" x14ac:dyDescent="0.2">
      <c r="A741" s="25"/>
      <c r="B741" s="25"/>
      <c r="C741" s="25"/>
      <c r="D741" s="25"/>
      <c r="E741" s="25"/>
      <c r="F741" s="25"/>
      <c r="J741" s="24"/>
      <c r="U741" s="24"/>
    </row>
    <row r="742" spans="1:21" ht="12.75" x14ac:dyDescent="0.2">
      <c r="A742" s="25"/>
      <c r="B742" s="25"/>
      <c r="C742" s="25"/>
      <c r="D742" s="25"/>
      <c r="E742" s="25"/>
      <c r="F742" s="25"/>
      <c r="J742" s="24"/>
      <c r="U742" s="24"/>
    </row>
    <row r="743" spans="1:21" ht="12.75" x14ac:dyDescent="0.2">
      <c r="A743" s="25"/>
      <c r="B743" s="25"/>
      <c r="C743" s="25"/>
      <c r="D743" s="25"/>
      <c r="E743" s="25"/>
      <c r="F743" s="25"/>
      <c r="J743" s="24"/>
      <c r="U743" s="24"/>
    </row>
    <row r="744" spans="1:21" ht="12.75" x14ac:dyDescent="0.2">
      <c r="A744" s="25"/>
      <c r="B744" s="25"/>
      <c r="C744" s="25"/>
      <c r="D744" s="25"/>
      <c r="E744" s="25"/>
      <c r="F744" s="25"/>
      <c r="J744" s="24"/>
      <c r="U744" s="24"/>
    </row>
    <row r="745" spans="1:21" ht="12.75" x14ac:dyDescent="0.2">
      <c r="A745" s="25"/>
      <c r="B745" s="25"/>
      <c r="C745" s="25"/>
      <c r="D745" s="25"/>
      <c r="E745" s="25"/>
      <c r="F745" s="25"/>
      <c r="J745" s="24"/>
      <c r="U745" s="24"/>
    </row>
    <row r="746" spans="1:21" ht="12.75" x14ac:dyDescent="0.2">
      <c r="A746" s="25"/>
      <c r="B746" s="25"/>
      <c r="C746" s="25"/>
      <c r="D746" s="25"/>
      <c r="E746" s="25"/>
      <c r="F746" s="25"/>
      <c r="J746" s="24"/>
      <c r="U746" s="24"/>
    </row>
    <row r="747" spans="1:21" ht="12.75" x14ac:dyDescent="0.2">
      <c r="A747" s="25"/>
      <c r="B747" s="25"/>
      <c r="C747" s="25"/>
      <c r="D747" s="25"/>
      <c r="E747" s="25"/>
      <c r="F747" s="25"/>
      <c r="J747" s="24"/>
      <c r="U747" s="24"/>
    </row>
    <row r="748" spans="1:21" ht="12.75" x14ac:dyDescent="0.2">
      <c r="A748" s="25"/>
      <c r="B748" s="25"/>
      <c r="C748" s="25"/>
      <c r="D748" s="25"/>
      <c r="E748" s="25"/>
      <c r="F748" s="25"/>
      <c r="J748" s="24"/>
      <c r="U748" s="24"/>
    </row>
    <row r="749" spans="1:21" ht="12.75" x14ac:dyDescent="0.2">
      <c r="A749" s="25"/>
      <c r="B749" s="25"/>
      <c r="C749" s="25"/>
      <c r="D749" s="25"/>
      <c r="E749" s="25"/>
      <c r="F749" s="25"/>
      <c r="J749" s="24"/>
      <c r="U749" s="24"/>
    </row>
    <row r="750" spans="1:21" ht="12.75" x14ac:dyDescent="0.2">
      <c r="A750" s="25"/>
      <c r="B750" s="25"/>
      <c r="C750" s="25"/>
      <c r="D750" s="25"/>
      <c r="E750" s="25"/>
      <c r="F750" s="25"/>
      <c r="J750" s="24"/>
      <c r="U750" s="24"/>
    </row>
    <row r="751" spans="1:21" ht="12.75" x14ac:dyDescent="0.2">
      <c r="A751" s="25"/>
      <c r="B751" s="25"/>
      <c r="C751" s="25"/>
      <c r="D751" s="25"/>
      <c r="E751" s="25"/>
      <c r="F751" s="25"/>
      <c r="J751" s="24"/>
      <c r="U751" s="24"/>
    </row>
    <row r="752" spans="1:21" ht="12.75" x14ac:dyDescent="0.2">
      <c r="A752" s="25"/>
      <c r="B752" s="25"/>
      <c r="C752" s="25"/>
      <c r="D752" s="25"/>
      <c r="E752" s="25"/>
      <c r="F752" s="25"/>
      <c r="J752" s="24"/>
      <c r="U752" s="24"/>
    </row>
    <row r="753" spans="1:21" ht="12.75" x14ac:dyDescent="0.2">
      <c r="A753" s="25"/>
      <c r="B753" s="25"/>
      <c r="C753" s="25"/>
      <c r="D753" s="25"/>
      <c r="E753" s="25"/>
      <c r="F753" s="25"/>
      <c r="J753" s="24"/>
      <c r="U753" s="24"/>
    </row>
    <row r="754" spans="1:21" ht="12.75" x14ac:dyDescent="0.2">
      <c r="A754" s="25"/>
      <c r="B754" s="25"/>
      <c r="C754" s="25"/>
      <c r="D754" s="25"/>
      <c r="E754" s="25"/>
      <c r="F754" s="25"/>
      <c r="J754" s="24"/>
      <c r="U754" s="24"/>
    </row>
    <row r="755" spans="1:21" ht="12.75" x14ac:dyDescent="0.2">
      <c r="A755" s="25"/>
      <c r="B755" s="25"/>
      <c r="C755" s="25"/>
      <c r="D755" s="25"/>
      <c r="E755" s="25"/>
      <c r="F755" s="25"/>
      <c r="J755" s="24"/>
      <c r="U755" s="24"/>
    </row>
    <row r="756" spans="1:21" ht="12.75" x14ac:dyDescent="0.2">
      <c r="A756" s="25"/>
      <c r="B756" s="25"/>
      <c r="C756" s="25"/>
      <c r="D756" s="25"/>
      <c r="E756" s="25"/>
      <c r="F756" s="25"/>
      <c r="J756" s="24"/>
      <c r="U756" s="24"/>
    </row>
    <row r="757" spans="1:21" ht="12.75" x14ac:dyDescent="0.2">
      <c r="A757" s="25"/>
      <c r="B757" s="25"/>
      <c r="C757" s="25"/>
      <c r="D757" s="25"/>
      <c r="E757" s="25"/>
      <c r="F757" s="25"/>
      <c r="J757" s="24"/>
      <c r="U757" s="24"/>
    </row>
    <row r="758" spans="1:21" ht="12.75" x14ac:dyDescent="0.2">
      <c r="A758" s="25"/>
      <c r="B758" s="25"/>
      <c r="C758" s="25"/>
      <c r="D758" s="25"/>
      <c r="E758" s="25"/>
      <c r="F758" s="25"/>
      <c r="J758" s="24"/>
      <c r="U758" s="24"/>
    </row>
    <row r="759" spans="1:21" ht="12.75" x14ac:dyDescent="0.2">
      <c r="A759" s="25"/>
      <c r="B759" s="25"/>
      <c r="C759" s="25"/>
      <c r="D759" s="25"/>
      <c r="E759" s="25"/>
      <c r="F759" s="25"/>
      <c r="J759" s="24"/>
      <c r="U759" s="24"/>
    </row>
    <row r="760" spans="1:21" ht="12.75" x14ac:dyDescent="0.2">
      <c r="A760" s="25"/>
      <c r="B760" s="25"/>
      <c r="C760" s="25"/>
      <c r="D760" s="25"/>
      <c r="E760" s="25"/>
      <c r="F760" s="25"/>
      <c r="J760" s="24"/>
      <c r="U760" s="24"/>
    </row>
    <row r="761" spans="1:21" ht="12.75" x14ac:dyDescent="0.2">
      <c r="A761" s="25"/>
      <c r="B761" s="25"/>
      <c r="C761" s="25"/>
      <c r="D761" s="25"/>
      <c r="E761" s="25"/>
      <c r="F761" s="25"/>
      <c r="J761" s="24"/>
      <c r="U761" s="24"/>
    </row>
    <row r="762" spans="1:21" ht="12.75" x14ac:dyDescent="0.2">
      <c r="A762" s="25"/>
      <c r="B762" s="25"/>
      <c r="C762" s="25"/>
      <c r="D762" s="25"/>
      <c r="E762" s="25"/>
      <c r="F762" s="25"/>
      <c r="J762" s="24"/>
      <c r="U762" s="24"/>
    </row>
    <row r="763" spans="1:21" ht="12.75" x14ac:dyDescent="0.2">
      <c r="A763" s="25"/>
      <c r="B763" s="25"/>
      <c r="C763" s="25"/>
      <c r="D763" s="25"/>
      <c r="E763" s="25"/>
      <c r="F763" s="25"/>
      <c r="J763" s="24"/>
      <c r="U763" s="24"/>
    </row>
    <row r="764" spans="1:21" ht="12.75" x14ac:dyDescent="0.2">
      <c r="A764" s="25"/>
      <c r="B764" s="25"/>
      <c r="C764" s="25"/>
      <c r="D764" s="25"/>
      <c r="E764" s="25"/>
      <c r="F764" s="25"/>
      <c r="J764" s="24"/>
      <c r="U764" s="24"/>
    </row>
    <row r="765" spans="1:21" ht="12.75" x14ac:dyDescent="0.2">
      <c r="A765" s="25"/>
      <c r="B765" s="25"/>
      <c r="C765" s="25"/>
      <c r="D765" s="25"/>
      <c r="E765" s="25"/>
      <c r="F765" s="25"/>
      <c r="J765" s="24"/>
      <c r="U765" s="24"/>
    </row>
    <row r="766" spans="1:21" ht="12.75" x14ac:dyDescent="0.2">
      <c r="A766" s="25"/>
      <c r="B766" s="25"/>
      <c r="C766" s="25"/>
      <c r="D766" s="25"/>
      <c r="E766" s="25"/>
      <c r="F766" s="25"/>
      <c r="J766" s="24"/>
      <c r="U766" s="24"/>
    </row>
    <row r="767" spans="1:21" ht="12.75" x14ac:dyDescent="0.2">
      <c r="A767" s="25"/>
      <c r="B767" s="25"/>
      <c r="C767" s="25"/>
      <c r="D767" s="25"/>
      <c r="E767" s="25"/>
      <c r="F767" s="25"/>
      <c r="J767" s="24"/>
      <c r="U767" s="24"/>
    </row>
    <row r="768" spans="1:21" ht="12.75" x14ac:dyDescent="0.2">
      <c r="A768" s="25"/>
      <c r="B768" s="25"/>
      <c r="C768" s="25"/>
      <c r="D768" s="25"/>
      <c r="E768" s="25"/>
      <c r="F768" s="25"/>
      <c r="J768" s="24"/>
      <c r="U768" s="24"/>
    </row>
    <row r="769" spans="1:21" ht="12.75" x14ac:dyDescent="0.2">
      <c r="A769" s="25"/>
      <c r="B769" s="25"/>
      <c r="C769" s="25"/>
      <c r="D769" s="25"/>
      <c r="E769" s="25"/>
      <c r="F769" s="25"/>
      <c r="J769" s="24"/>
      <c r="U769" s="24"/>
    </row>
    <row r="770" spans="1:21" ht="12.75" x14ac:dyDescent="0.2">
      <c r="A770" s="25"/>
      <c r="B770" s="25"/>
      <c r="C770" s="25"/>
      <c r="D770" s="25"/>
      <c r="E770" s="25"/>
      <c r="F770" s="25"/>
      <c r="J770" s="24"/>
      <c r="U770" s="24"/>
    </row>
    <row r="771" spans="1:21" ht="12.75" x14ac:dyDescent="0.2">
      <c r="A771" s="25"/>
      <c r="B771" s="25"/>
      <c r="C771" s="25"/>
      <c r="D771" s="25"/>
      <c r="E771" s="25"/>
      <c r="F771" s="25"/>
      <c r="J771" s="24"/>
      <c r="U771" s="24"/>
    </row>
    <row r="772" spans="1:21" ht="12.75" x14ac:dyDescent="0.2">
      <c r="A772" s="25"/>
      <c r="B772" s="25"/>
      <c r="C772" s="25"/>
      <c r="D772" s="25"/>
      <c r="E772" s="25"/>
      <c r="F772" s="25"/>
      <c r="J772" s="24"/>
      <c r="U772" s="24"/>
    </row>
    <row r="773" spans="1:21" ht="12.75" x14ac:dyDescent="0.2">
      <c r="A773" s="25"/>
      <c r="B773" s="25"/>
      <c r="C773" s="25"/>
      <c r="D773" s="25"/>
      <c r="E773" s="25"/>
      <c r="F773" s="25"/>
      <c r="J773" s="24"/>
      <c r="U773" s="24"/>
    </row>
    <row r="774" spans="1:21" ht="12.75" x14ac:dyDescent="0.2">
      <c r="A774" s="25"/>
      <c r="B774" s="25"/>
      <c r="C774" s="25"/>
      <c r="D774" s="25"/>
      <c r="E774" s="25"/>
      <c r="F774" s="25"/>
      <c r="J774" s="24"/>
      <c r="U774" s="24"/>
    </row>
    <row r="775" spans="1:21" ht="12.75" x14ac:dyDescent="0.2">
      <c r="A775" s="25"/>
      <c r="B775" s="25"/>
      <c r="C775" s="25"/>
      <c r="D775" s="25"/>
      <c r="E775" s="25"/>
      <c r="F775" s="25"/>
      <c r="J775" s="24"/>
      <c r="U775" s="24"/>
    </row>
    <row r="776" spans="1:21" ht="12.75" x14ac:dyDescent="0.2">
      <c r="A776" s="25"/>
      <c r="B776" s="25"/>
      <c r="C776" s="25"/>
      <c r="D776" s="25"/>
      <c r="E776" s="25"/>
      <c r="F776" s="25"/>
      <c r="J776" s="24"/>
      <c r="U776" s="24"/>
    </row>
    <row r="777" spans="1:21" ht="12.75" x14ac:dyDescent="0.2">
      <c r="A777" s="25"/>
      <c r="B777" s="25"/>
      <c r="C777" s="25"/>
      <c r="D777" s="25"/>
      <c r="E777" s="25"/>
      <c r="F777" s="25"/>
      <c r="J777" s="24"/>
      <c r="U777" s="24"/>
    </row>
    <row r="778" spans="1:21" ht="12.75" x14ac:dyDescent="0.2">
      <c r="A778" s="25"/>
      <c r="B778" s="25"/>
      <c r="C778" s="25"/>
      <c r="D778" s="25"/>
      <c r="E778" s="25"/>
      <c r="F778" s="25"/>
      <c r="J778" s="24"/>
      <c r="U778" s="24"/>
    </row>
    <row r="779" spans="1:21" ht="12.75" x14ac:dyDescent="0.2">
      <c r="A779" s="25"/>
      <c r="B779" s="25"/>
      <c r="C779" s="25"/>
      <c r="D779" s="25"/>
      <c r="E779" s="25"/>
      <c r="F779" s="25"/>
      <c r="J779" s="24"/>
      <c r="U779" s="24"/>
    </row>
    <row r="780" spans="1:21" ht="12.75" x14ac:dyDescent="0.2">
      <c r="A780" s="25"/>
      <c r="B780" s="25"/>
      <c r="C780" s="25"/>
      <c r="D780" s="25"/>
      <c r="E780" s="25"/>
      <c r="F780" s="25"/>
      <c r="J780" s="24"/>
      <c r="U780" s="24"/>
    </row>
    <row r="781" spans="1:21" ht="12.75" x14ac:dyDescent="0.2">
      <c r="A781" s="25"/>
      <c r="B781" s="25"/>
      <c r="C781" s="25"/>
      <c r="D781" s="25"/>
      <c r="E781" s="25"/>
      <c r="F781" s="25"/>
      <c r="J781" s="24"/>
      <c r="U781" s="24"/>
    </row>
    <row r="782" spans="1:21" ht="12.75" x14ac:dyDescent="0.2">
      <c r="A782" s="25"/>
      <c r="B782" s="25"/>
      <c r="C782" s="25"/>
      <c r="D782" s="25"/>
      <c r="E782" s="25"/>
      <c r="F782" s="25"/>
      <c r="J782" s="24"/>
      <c r="U782" s="24"/>
    </row>
    <row r="783" spans="1:21" ht="12.75" x14ac:dyDescent="0.2">
      <c r="A783" s="25"/>
      <c r="B783" s="25"/>
      <c r="C783" s="25"/>
      <c r="D783" s="25"/>
      <c r="E783" s="25"/>
      <c r="F783" s="25"/>
      <c r="J783" s="24"/>
      <c r="U783" s="24"/>
    </row>
    <row r="784" spans="1:21" ht="12.75" x14ac:dyDescent="0.2">
      <c r="A784" s="25"/>
      <c r="B784" s="25"/>
      <c r="C784" s="25"/>
      <c r="D784" s="25"/>
      <c r="E784" s="25"/>
      <c r="F784" s="25"/>
      <c r="J784" s="24"/>
      <c r="U784" s="24"/>
    </row>
    <row r="785" spans="1:21" ht="12.75" x14ac:dyDescent="0.2">
      <c r="A785" s="25"/>
      <c r="B785" s="25"/>
      <c r="C785" s="25"/>
      <c r="D785" s="25"/>
      <c r="E785" s="25"/>
      <c r="F785" s="25"/>
      <c r="J785" s="24"/>
      <c r="U785" s="24"/>
    </row>
    <row r="786" spans="1:21" ht="12.75" x14ac:dyDescent="0.2">
      <c r="A786" s="25"/>
      <c r="B786" s="25"/>
      <c r="C786" s="25"/>
      <c r="D786" s="25"/>
      <c r="E786" s="25"/>
      <c r="F786" s="25"/>
      <c r="J786" s="24"/>
      <c r="U786" s="24"/>
    </row>
    <row r="787" spans="1:21" ht="12.75" x14ac:dyDescent="0.2">
      <c r="A787" s="25"/>
      <c r="B787" s="25"/>
      <c r="C787" s="25"/>
      <c r="D787" s="25"/>
      <c r="E787" s="25"/>
      <c r="F787" s="25"/>
      <c r="J787" s="24"/>
      <c r="U787" s="24"/>
    </row>
    <row r="788" spans="1:21" ht="12.75" x14ac:dyDescent="0.2">
      <c r="A788" s="25"/>
      <c r="B788" s="25"/>
      <c r="C788" s="25"/>
      <c r="D788" s="25"/>
      <c r="E788" s="25"/>
      <c r="F788" s="25"/>
      <c r="J788" s="24"/>
      <c r="U788" s="24"/>
    </row>
    <row r="789" spans="1:21" ht="12.75" x14ac:dyDescent="0.2">
      <c r="A789" s="25"/>
      <c r="B789" s="25"/>
      <c r="C789" s="25"/>
      <c r="D789" s="25"/>
      <c r="E789" s="25"/>
      <c r="F789" s="25"/>
      <c r="J789" s="24"/>
      <c r="U789" s="24"/>
    </row>
    <row r="790" spans="1:21" ht="12.75" x14ac:dyDescent="0.2">
      <c r="A790" s="25"/>
      <c r="B790" s="25"/>
      <c r="C790" s="25"/>
      <c r="D790" s="25"/>
      <c r="E790" s="25"/>
      <c r="F790" s="25"/>
      <c r="J790" s="24"/>
      <c r="U790" s="24"/>
    </row>
    <row r="791" spans="1:21" ht="12.75" x14ac:dyDescent="0.2">
      <c r="A791" s="25"/>
      <c r="B791" s="25"/>
      <c r="C791" s="25"/>
      <c r="D791" s="25"/>
      <c r="E791" s="25"/>
      <c r="F791" s="25"/>
      <c r="J791" s="24"/>
      <c r="U791" s="24"/>
    </row>
    <row r="792" spans="1:21" ht="12.75" x14ac:dyDescent="0.2">
      <c r="A792" s="25"/>
      <c r="B792" s="25"/>
      <c r="C792" s="25"/>
      <c r="D792" s="25"/>
      <c r="E792" s="25"/>
      <c r="F792" s="25"/>
      <c r="J792" s="24"/>
      <c r="U792" s="24"/>
    </row>
    <row r="793" spans="1:21" ht="12.75" x14ac:dyDescent="0.2">
      <c r="A793" s="25"/>
      <c r="B793" s="25"/>
      <c r="C793" s="25"/>
      <c r="D793" s="25"/>
      <c r="E793" s="25"/>
      <c r="F793" s="25"/>
      <c r="J793" s="24"/>
      <c r="U793" s="24"/>
    </row>
    <row r="794" spans="1:21" ht="12.75" x14ac:dyDescent="0.2">
      <c r="A794" s="25"/>
      <c r="B794" s="25"/>
      <c r="C794" s="25"/>
      <c r="D794" s="25"/>
      <c r="E794" s="25"/>
      <c r="F794" s="25"/>
      <c r="J794" s="24"/>
      <c r="U794" s="24"/>
    </row>
    <row r="795" spans="1:21" ht="12.75" x14ac:dyDescent="0.2">
      <c r="A795" s="25"/>
      <c r="B795" s="25"/>
      <c r="C795" s="25"/>
      <c r="D795" s="25"/>
      <c r="E795" s="25"/>
      <c r="F795" s="25"/>
      <c r="J795" s="24"/>
      <c r="U795" s="24"/>
    </row>
    <row r="796" spans="1:21" ht="12.75" x14ac:dyDescent="0.2">
      <c r="A796" s="25"/>
      <c r="B796" s="25"/>
      <c r="C796" s="25"/>
      <c r="D796" s="25"/>
      <c r="E796" s="25"/>
      <c r="F796" s="25"/>
      <c r="J796" s="24"/>
      <c r="U796" s="24"/>
    </row>
    <row r="797" spans="1:21" ht="12.75" x14ac:dyDescent="0.2">
      <c r="A797" s="25"/>
      <c r="B797" s="25"/>
      <c r="C797" s="25"/>
      <c r="D797" s="25"/>
      <c r="E797" s="25"/>
      <c r="F797" s="25"/>
      <c r="J797" s="24"/>
      <c r="U797" s="24"/>
    </row>
    <row r="798" spans="1:21" ht="12.75" x14ac:dyDescent="0.2">
      <c r="A798" s="25"/>
      <c r="B798" s="25"/>
      <c r="C798" s="25"/>
      <c r="D798" s="25"/>
      <c r="E798" s="25"/>
      <c r="F798" s="25"/>
      <c r="J798" s="24"/>
      <c r="U798" s="24"/>
    </row>
    <row r="799" spans="1:21" ht="12.75" x14ac:dyDescent="0.2">
      <c r="A799" s="25"/>
      <c r="B799" s="25"/>
      <c r="C799" s="25"/>
      <c r="D799" s="25"/>
      <c r="E799" s="25"/>
      <c r="F799" s="25"/>
      <c r="J799" s="24"/>
      <c r="U799" s="24"/>
    </row>
    <row r="800" spans="1:21" ht="12.75" x14ac:dyDescent="0.2">
      <c r="A800" s="25"/>
      <c r="B800" s="25"/>
      <c r="C800" s="25"/>
      <c r="D800" s="25"/>
      <c r="E800" s="25"/>
      <c r="F800" s="25"/>
      <c r="J800" s="24"/>
      <c r="U800" s="24"/>
    </row>
    <row r="801" spans="1:21" ht="12.75" x14ac:dyDescent="0.2">
      <c r="A801" s="25"/>
      <c r="B801" s="25"/>
      <c r="C801" s="25"/>
      <c r="D801" s="25"/>
      <c r="E801" s="25"/>
      <c r="F801" s="25"/>
      <c r="J801" s="24"/>
      <c r="U801" s="24"/>
    </row>
    <row r="802" spans="1:21" ht="12.75" x14ac:dyDescent="0.2">
      <c r="A802" s="25"/>
      <c r="B802" s="25"/>
      <c r="C802" s="25"/>
      <c r="D802" s="25"/>
      <c r="E802" s="25"/>
      <c r="F802" s="25"/>
      <c r="J802" s="24"/>
      <c r="U802" s="24"/>
    </row>
    <row r="803" spans="1:21" ht="12.75" x14ac:dyDescent="0.2">
      <c r="A803" s="25"/>
      <c r="B803" s="25"/>
      <c r="C803" s="25"/>
      <c r="D803" s="25"/>
      <c r="E803" s="25"/>
      <c r="F803" s="25"/>
      <c r="J803" s="24"/>
      <c r="U803" s="24"/>
    </row>
    <row r="804" spans="1:21" ht="12.75" x14ac:dyDescent="0.2">
      <c r="A804" s="25"/>
      <c r="B804" s="25"/>
      <c r="C804" s="25"/>
      <c r="D804" s="25"/>
      <c r="E804" s="25"/>
      <c r="F804" s="25"/>
      <c r="J804" s="24"/>
      <c r="U804" s="24"/>
    </row>
    <row r="805" spans="1:21" ht="12.75" x14ac:dyDescent="0.2">
      <c r="A805" s="25"/>
      <c r="B805" s="25"/>
      <c r="C805" s="25"/>
      <c r="D805" s="25"/>
      <c r="E805" s="25"/>
      <c r="F805" s="25"/>
      <c r="J805" s="24"/>
      <c r="U805" s="24"/>
    </row>
    <row r="806" spans="1:21" ht="12.75" x14ac:dyDescent="0.2">
      <c r="A806" s="25"/>
      <c r="B806" s="25"/>
      <c r="C806" s="25"/>
      <c r="D806" s="25"/>
      <c r="E806" s="25"/>
      <c r="F806" s="25"/>
      <c r="J806" s="24"/>
      <c r="U806" s="24"/>
    </row>
    <row r="807" spans="1:21" ht="12.75" x14ac:dyDescent="0.2">
      <c r="A807" s="25"/>
      <c r="B807" s="25"/>
      <c r="C807" s="25"/>
      <c r="D807" s="25"/>
      <c r="E807" s="25"/>
      <c r="F807" s="25"/>
      <c r="J807" s="24"/>
      <c r="U807" s="24"/>
    </row>
    <row r="808" spans="1:21" ht="12.75" x14ac:dyDescent="0.2">
      <c r="A808" s="25"/>
      <c r="B808" s="25"/>
      <c r="C808" s="25"/>
      <c r="D808" s="25"/>
      <c r="E808" s="25"/>
      <c r="F808" s="25"/>
      <c r="J808" s="24"/>
      <c r="U808" s="24"/>
    </row>
    <row r="809" spans="1:21" ht="12.75" x14ac:dyDescent="0.2">
      <c r="A809" s="25"/>
      <c r="B809" s="25"/>
      <c r="C809" s="25"/>
      <c r="D809" s="25"/>
      <c r="E809" s="25"/>
      <c r="F809" s="25"/>
      <c r="J809" s="24"/>
      <c r="U809" s="24"/>
    </row>
    <row r="810" spans="1:21" ht="12.75" x14ac:dyDescent="0.2">
      <c r="A810" s="25"/>
      <c r="B810" s="25"/>
      <c r="C810" s="25"/>
      <c r="D810" s="25"/>
      <c r="E810" s="25"/>
      <c r="F810" s="25"/>
      <c r="J810" s="24"/>
      <c r="U810" s="24"/>
    </row>
    <row r="811" spans="1:21" ht="12.75" x14ac:dyDescent="0.2">
      <c r="A811" s="25"/>
      <c r="B811" s="25"/>
      <c r="C811" s="25"/>
      <c r="D811" s="25"/>
      <c r="E811" s="25"/>
      <c r="F811" s="25"/>
      <c r="J811" s="24"/>
      <c r="U811" s="24"/>
    </row>
    <row r="812" spans="1:21" ht="12.75" x14ac:dyDescent="0.2">
      <c r="A812" s="25"/>
      <c r="B812" s="25"/>
      <c r="C812" s="25"/>
      <c r="D812" s="25"/>
      <c r="E812" s="25"/>
      <c r="F812" s="25"/>
      <c r="J812" s="24"/>
      <c r="U812" s="24"/>
    </row>
    <row r="813" spans="1:21" ht="12.75" x14ac:dyDescent="0.2">
      <c r="A813" s="25"/>
      <c r="B813" s="25"/>
      <c r="C813" s="25"/>
      <c r="D813" s="25"/>
      <c r="E813" s="25"/>
      <c r="F813" s="25"/>
      <c r="J813" s="24"/>
      <c r="U813" s="24"/>
    </row>
    <row r="814" spans="1:21" ht="12.75" x14ac:dyDescent="0.2">
      <c r="A814" s="25"/>
      <c r="B814" s="25"/>
      <c r="C814" s="25"/>
      <c r="D814" s="25"/>
      <c r="E814" s="25"/>
      <c r="F814" s="25"/>
      <c r="J814" s="24"/>
      <c r="U814" s="24"/>
    </row>
    <row r="815" spans="1:21" ht="12.75" x14ac:dyDescent="0.2">
      <c r="A815" s="25"/>
      <c r="B815" s="25"/>
      <c r="C815" s="25"/>
      <c r="D815" s="25"/>
      <c r="E815" s="25"/>
      <c r="F815" s="25"/>
      <c r="J815" s="24"/>
      <c r="U815" s="24"/>
    </row>
    <row r="816" spans="1:21" ht="12.75" x14ac:dyDescent="0.2">
      <c r="A816" s="25"/>
      <c r="B816" s="25"/>
      <c r="C816" s="25"/>
      <c r="D816" s="25"/>
      <c r="E816" s="25"/>
      <c r="F816" s="25"/>
      <c r="J816" s="24"/>
      <c r="U816" s="24"/>
    </row>
    <row r="817" spans="1:21" ht="12.75" x14ac:dyDescent="0.2">
      <c r="A817" s="25"/>
      <c r="B817" s="25"/>
      <c r="C817" s="25"/>
      <c r="D817" s="25"/>
      <c r="E817" s="25"/>
      <c r="F817" s="25"/>
      <c r="J817" s="24"/>
      <c r="U817" s="24"/>
    </row>
    <row r="818" spans="1:21" ht="12.75" x14ac:dyDescent="0.2">
      <c r="A818" s="25"/>
      <c r="B818" s="25"/>
      <c r="C818" s="25"/>
      <c r="D818" s="25"/>
      <c r="E818" s="25"/>
      <c r="F818" s="25"/>
      <c r="J818" s="24"/>
      <c r="U818" s="24"/>
    </row>
    <row r="819" spans="1:21" ht="12.75" x14ac:dyDescent="0.2">
      <c r="A819" s="25"/>
      <c r="B819" s="25"/>
      <c r="C819" s="25"/>
      <c r="D819" s="25"/>
      <c r="E819" s="25"/>
      <c r="F819" s="25"/>
      <c r="J819" s="24"/>
      <c r="U819" s="24"/>
    </row>
    <row r="820" spans="1:21" ht="12.75" x14ac:dyDescent="0.2">
      <c r="A820" s="25"/>
      <c r="B820" s="25"/>
      <c r="C820" s="25"/>
      <c r="D820" s="25"/>
      <c r="E820" s="25"/>
      <c r="F820" s="25"/>
      <c r="J820" s="24"/>
      <c r="U820" s="24"/>
    </row>
    <row r="821" spans="1:21" ht="12.75" x14ac:dyDescent="0.2">
      <c r="A821" s="25"/>
      <c r="B821" s="25"/>
      <c r="C821" s="25"/>
      <c r="D821" s="25"/>
      <c r="E821" s="25"/>
      <c r="F821" s="25"/>
      <c r="J821" s="24"/>
      <c r="U821" s="24"/>
    </row>
    <row r="822" spans="1:21" ht="12.75" x14ac:dyDescent="0.2">
      <c r="A822" s="25"/>
      <c r="B822" s="25"/>
      <c r="C822" s="25"/>
      <c r="D822" s="25"/>
      <c r="E822" s="25"/>
      <c r="F822" s="25"/>
      <c r="J822" s="24"/>
      <c r="U822" s="24"/>
    </row>
    <row r="823" spans="1:21" ht="12.75" x14ac:dyDescent="0.2">
      <c r="A823" s="25"/>
      <c r="B823" s="25"/>
      <c r="C823" s="25"/>
      <c r="D823" s="25"/>
      <c r="E823" s="25"/>
      <c r="F823" s="25"/>
      <c r="J823" s="24"/>
      <c r="U823" s="24"/>
    </row>
    <row r="824" spans="1:21" ht="12.75" x14ac:dyDescent="0.2">
      <c r="A824" s="25"/>
      <c r="B824" s="25"/>
      <c r="C824" s="25"/>
      <c r="D824" s="25"/>
      <c r="E824" s="25"/>
      <c r="F824" s="25"/>
      <c r="J824" s="24"/>
      <c r="U824" s="24"/>
    </row>
    <row r="825" spans="1:21" ht="12.75" x14ac:dyDescent="0.2">
      <c r="A825" s="25"/>
      <c r="B825" s="25"/>
      <c r="C825" s="25"/>
      <c r="D825" s="25"/>
      <c r="E825" s="25"/>
      <c r="F825" s="25"/>
      <c r="J825" s="24"/>
      <c r="U825" s="24"/>
    </row>
    <row r="826" spans="1:21" ht="12.75" x14ac:dyDescent="0.2">
      <c r="A826" s="25"/>
      <c r="B826" s="25"/>
      <c r="C826" s="25"/>
      <c r="D826" s="25"/>
      <c r="E826" s="25"/>
      <c r="F826" s="25"/>
      <c r="J826" s="24"/>
      <c r="U826" s="24"/>
    </row>
    <row r="827" spans="1:21" ht="12.75" x14ac:dyDescent="0.2">
      <c r="A827" s="25"/>
      <c r="B827" s="25"/>
      <c r="C827" s="25"/>
      <c r="D827" s="25"/>
      <c r="E827" s="25"/>
      <c r="F827" s="25"/>
      <c r="J827" s="24"/>
      <c r="U827" s="24"/>
    </row>
    <row r="828" spans="1:21" ht="12.75" x14ac:dyDescent="0.2">
      <c r="A828" s="25"/>
      <c r="B828" s="25"/>
      <c r="C828" s="25"/>
      <c r="D828" s="25"/>
      <c r="E828" s="25"/>
      <c r="F828" s="25"/>
      <c r="J828" s="24"/>
      <c r="U828" s="24"/>
    </row>
    <row r="829" spans="1:21" ht="12.75" x14ac:dyDescent="0.2">
      <c r="A829" s="25"/>
      <c r="B829" s="25"/>
      <c r="C829" s="25"/>
      <c r="D829" s="25"/>
      <c r="E829" s="25"/>
      <c r="F829" s="25"/>
      <c r="J829" s="24"/>
      <c r="U829" s="24"/>
    </row>
    <row r="830" spans="1:21" ht="12.75" x14ac:dyDescent="0.2">
      <c r="A830" s="25"/>
      <c r="B830" s="25"/>
      <c r="C830" s="25"/>
      <c r="D830" s="25"/>
      <c r="E830" s="25"/>
      <c r="F830" s="25"/>
      <c r="J830" s="24"/>
      <c r="U830" s="24"/>
    </row>
    <row r="831" spans="1:21" ht="12.75" x14ac:dyDescent="0.2">
      <c r="A831" s="25"/>
      <c r="B831" s="25"/>
      <c r="C831" s="25"/>
      <c r="D831" s="25"/>
      <c r="E831" s="25"/>
      <c r="F831" s="25"/>
      <c r="J831" s="24"/>
      <c r="U831" s="24"/>
    </row>
    <row r="832" spans="1:21" ht="12.75" x14ac:dyDescent="0.2">
      <c r="A832" s="25"/>
      <c r="B832" s="25"/>
      <c r="C832" s="25"/>
      <c r="D832" s="25"/>
      <c r="E832" s="25"/>
      <c r="F832" s="25"/>
      <c r="J832" s="24"/>
      <c r="U832" s="24"/>
    </row>
    <row r="833" spans="1:21" ht="12.75" x14ac:dyDescent="0.2">
      <c r="A833" s="25"/>
      <c r="B833" s="25"/>
      <c r="C833" s="25"/>
      <c r="D833" s="25"/>
      <c r="E833" s="25"/>
      <c r="F833" s="25"/>
      <c r="J833" s="24"/>
      <c r="U833" s="24"/>
    </row>
    <row r="834" spans="1:21" ht="12.75" x14ac:dyDescent="0.2">
      <c r="A834" s="25"/>
      <c r="B834" s="25"/>
      <c r="C834" s="25"/>
      <c r="D834" s="25"/>
      <c r="E834" s="25"/>
      <c r="F834" s="25"/>
      <c r="J834" s="24"/>
      <c r="U834" s="24"/>
    </row>
    <row r="835" spans="1:21" ht="12.75" x14ac:dyDescent="0.2">
      <c r="A835" s="25"/>
      <c r="B835" s="25"/>
      <c r="C835" s="25"/>
      <c r="D835" s="25"/>
      <c r="E835" s="25"/>
      <c r="F835" s="25"/>
      <c r="J835" s="24"/>
      <c r="U835" s="24"/>
    </row>
    <row r="836" spans="1:21" ht="12.75" x14ac:dyDescent="0.2">
      <c r="A836" s="25"/>
      <c r="B836" s="25"/>
      <c r="C836" s="25"/>
      <c r="D836" s="25"/>
      <c r="E836" s="25"/>
      <c r="F836" s="25"/>
      <c r="J836" s="24"/>
      <c r="U836" s="24"/>
    </row>
    <row r="837" spans="1:21" ht="12.75" x14ac:dyDescent="0.2">
      <c r="A837" s="25"/>
      <c r="B837" s="25"/>
      <c r="C837" s="25"/>
      <c r="D837" s="25"/>
      <c r="E837" s="25"/>
      <c r="F837" s="25"/>
      <c r="J837" s="24"/>
      <c r="U837" s="24"/>
    </row>
    <row r="838" spans="1:21" ht="12.75" x14ac:dyDescent="0.2">
      <c r="A838" s="25"/>
      <c r="B838" s="25"/>
      <c r="C838" s="25"/>
      <c r="D838" s="25"/>
      <c r="E838" s="25"/>
      <c r="F838" s="25"/>
      <c r="J838" s="24"/>
      <c r="U838" s="24"/>
    </row>
    <row r="839" spans="1:21" ht="12.75" x14ac:dyDescent="0.2">
      <c r="A839" s="25"/>
      <c r="B839" s="25"/>
      <c r="C839" s="25"/>
      <c r="D839" s="25"/>
      <c r="E839" s="25"/>
      <c r="F839" s="25"/>
      <c r="J839" s="24"/>
      <c r="U839" s="24"/>
    </row>
    <row r="840" spans="1:21" ht="12.75" x14ac:dyDescent="0.2">
      <c r="A840" s="25"/>
      <c r="B840" s="25"/>
      <c r="C840" s="25"/>
      <c r="D840" s="25"/>
      <c r="E840" s="25"/>
      <c r="F840" s="25"/>
      <c r="J840" s="24"/>
      <c r="U840" s="24"/>
    </row>
    <row r="841" spans="1:21" ht="12.75" x14ac:dyDescent="0.2">
      <c r="A841" s="25"/>
      <c r="B841" s="25"/>
      <c r="C841" s="25"/>
      <c r="D841" s="25"/>
      <c r="E841" s="25"/>
      <c r="F841" s="25"/>
      <c r="J841" s="24"/>
      <c r="U841" s="24"/>
    </row>
    <row r="842" spans="1:21" ht="12.75" x14ac:dyDescent="0.2">
      <c r="A842" s="25"/>
      <c r="B842" s="25"/>
      <c r="C842" s="25"/>
      <c r="D842" s="25"/>
      <c r="E842" s="25"/>
      <c r="F842" s="25"/>
      <c r="J842" s="24"/>
      <c r="U842" s="24"/>
    </row>
    <row r="843" spans="1:21" ht="12.75" x14ac:dyDescent="0.2">
      <c r="A843" s="25"/>
      <c r="B843" s="25"/>
      <c r="C843" s="25"/>
      <c r="D843" s="25"/>
      <c r="E843" s="25"/>
      <c r="F843" s="25"/>
      <c r="J843" s="24"/>
      <c r="U843" s="24"/>
    </row>
    <row r="844" spans="1:21" ht="12.75" x14ac:dyDescent="0.2">
      <c r="A844" s="25"/>
      <c r="B844" s="25"/>
      <c r="C844" s="25"/>
      <c r="D844" s="25"/>
      <c r="E844" s="25"/>
      <c r="F844" s="25"/>
      <c r="J844" s="24"/>
      <c r="U844" s="24"/>
    </row>
    <row r="845" spans="1:21" ht="12.75" x14ac:dyDescent="0.2">
      <c r="A845" s="25"/>
      <c r="B845" s="25"/>
      <c r="C845" s="25"/>
      <c r="D845" s="25"/>
      <c r="E845" s="25"/>
      <c r="F845" s="25"/>
      <c r="J845" s="24"/>
      <c r="U845" s="24"/>
    </row>
    <row r="846" spans="1:21" ht="12.75" x14ac:dyDescent="0.2">
      <c r="A846" s="25"/>
      <c r="B846" s="25"/>
      <c r="C846" s="25"/>
      <c r="D846" s="25"/>
      <c r="E846" s="25"/>
      <c r="F846" s="25"/>
      <c r="J846" s="24"/>
      <c r="U846" s="24"/>
    </row>
    <row r="847" spans="1:21" ht="12.75" x14ac:dyDescent="0.2">
      <c r="A847" s="25"/>
      <c r="B847" s="25"/>
      <c r="C847" s="25"/>
      <c r="D847" s="25"/>
      <c r="E847" s="25"/>
      <c r="F847" s="25"/>
      <c r="J847" s="24"/>
      <c r="U847" s="24"/>
    </row>
    <row r="848" spans="1:21" ht="12.75" x14ac:dyDescent="0.2">
      <c r="A848" s="25"/>
      <c r="B848" s="25"/>
      <c r="C848" s="25"/>
      <c r="D848" s="25"/>
      <c r="E848" s="25"/>
      <c r="F848" s="25"/>
      <c r="J848" s="24"/>
      <c r="U848" s="24"/>
    </row>
    <row r="849" spans="1:21" ht="12.75" x14ac:dyDescent="0.2">
      <c r="A849" s="25"/>
      <c r="B849" s="25"/>
      <c r="C849" s="25"/>
      <c r="D849" s="25"/>
      <c r="E849" s="25"/>
      <c r="F849" s="25"/>
      <c r="J849" s="24"/>
      <c r="U849" s="24"/>
    </row>
    <row r="850" spans="1:21" ht="12.75" x14ac:dyDescent="0.2">
      <c r="A850" s="25"/>
      <c r="B850" s="25"/>
      <c r="C850" s="25"/>
      <c r="D850" s="25"/>
      <c r="E850" s="25"/>
      <c r="F850" s="25"/>
      <c r="J850" s="24"/>
      <c r="U850" s="24"/>
    </row>
    <row r="851" spans="1:21" ht="12.75" x14ac:dyDescent="0.2">
      <c r="A851" s="25"/>
      <c r="B851" s="25"/>
      <c r="C851" s="25"/>
      <c r="D851" s="25"/>
      <c r="E851" s="25"/>
      <c r="F851" s="25"/>
      <c r="J851" s="24"/>
      <c r="U851" s="24"/>
    </row>
    <row r="852" spans="1:21" ht="12.75" x14ac:dyDescent="0.2">
      <c r="A852" s="25"/>
      <c r="B852" s="25"/>
      <c r="C852" s="25"/>
      <c r="D852" s="25"/>
      <c r="E852" s="25"/>
      <c r="F852" s="25"/>
      <c r="J852" s="24"/>
      <c r="U852" s="24"/>
    </row>
    <row r="853" spans="1:21" ht="12.75" x14ac:dyDescent="0.2">
      <c r="A853" s="25"/>
      <c r="B853" s="25"/>
      <c r="C853" s="25"/>
      <c r="D853" s="25"/>
      <c r="E853" s="25"/>
      <c r="F853" s="25"/>
      <c r="J853" s="24"/>
      <c r="U853" s="24"/>
    </row>
    <row r="854" spans="1:21" ht="12.75" x14ac:dyDescent="0.2">
      <c r="A854" s="25"/>
      <c r="B854" s="25"/>
      <c r="C854" s="25"/>
      <c r="D854" s="25"/>
      <c r="E854" s="25"/>
      <c r="F854" s="25"/>
      <c r="J854" s="24"/>
      <c r="U854" s="24"/>
    </row>
    <row r="855" spans="1:21" ht="12.75" x14ac:dyDescent="0.2">
      <c r="A855" s="25"/>
      <c r="B855" s="25"/>
      <c r="C855" s="25"/>
      <c r="D855" s="25"/>
      <c r="E855" s="25"/>
      <c r="F855" s="25"/>
      <c r="J855" s="24"/>
      <c r="U855" s="24"/>
    </row>
    <row r="856" spans="1:21" ht="12.75" x14ac:dyDescent="0.2">
      <c r="A856" s="25"/>
      <c r="B856" s="25"/>
      <c r="C856" s="25"/>
      <c r="D856" s="25"/>
      <c r="E856" s="25"/>
      <c r="F856" s="25"/>
      <c r="J856" s="24"/>
      <c r="U856" s="24"/>
    </row>
    <row r="857" spans="1:21" ht="12.75" x14ac:dyDescent="0.2">
      <c r="A857" s="25"/>
      <c r="B857" s="25"/>
      <c r="C857" s="25"/>
      <c r="D857" s="25"/>
      <c r="E857" s="25"/>
      <c r="F857" s="25"/>
      <c r="J857" s="24"/>
      <c r="U857" s="24"/>
    </row>
    <row r="858" spans="1:21" ht="12.75" x14ac:dyDescent="0.2">
      <c r="A858" s="25"/>
      <c r="B858" s="25"/>
      <c r="C858" s="25"/>
      <c r="D858" s="25"/>
      <c r="E858" s="25"/>
      <c r="F858" s="25"/>
      <c r="J858" s="24"/>
      <c r="U858" s="24"/>
    </row>
    <row r="859" spans="1:21" ht="12.75" x14ac:dyDescent="0.2">
      <c r="A859" s="25"/>
      <c r="B859" s="25"/>
      <c r="C859" s="25"/>
      <c r="D859" s="25"/>
      <c r="E859" s="25"/>
      <c r="F859" s="25"/>
      <c r="J859" s="24"/>
      <c r="U859" s="24"/>
    </row>
    <row r="860" spans="1:21" ht="12.75" x14ac:dyDescent="0.2">
      <c r="A860" s="25"/>
      <c r="B860" s="25"/>
      <c r="C860" s="25"/>
      <c r="D860" s="25"/>
      <c r="E860" s="25"/>
      <c r="F860" s="25"/>
      <c r="J860" s="24"/>
      <c r="U860" s="24"/>
    </row>
    <row r="861" spans="1:21" ht="12.75" x14ac:dyDescent="0.2">
      <c r="A861" s="25"/>
      <c r="B861" s="25"/>
      <c r="C861" s="25"/>
      <c r="D861" s="25"/>
      <c r="E861" s="25"/>
      <c r="F861" s="25"/>
      <c r="J861" s="24"/>
      <c r="U861" s="24"/>
    </row>
    <row r="862" spans="1:21" ht="12.75" x14ac:dyDescent="0.2">
      <c r="A862" s="25"/>
      <c r="B862" s="25"/>
      <c r="C862" s="25"/>
      <c r="D862" s="25"/>
      <c r="E862" s="25"/>
      <c r="F862" s="25"/>
      <c r="J862" s="24"/>
      <c r="U862" s="24"/>
    </row>
    <row r="863" spans="1:21" ht="12.75" x14ac:dyDescent="0.2">
      <c r="A863" s="25"/>
      <c r="B863" s="25"/>
      <c r="C863" s="25"/>
      <c r="D863" s="25"/>
      <c r="E863" s="25"/>
      <c r="F863" s="25"/>
      <c r="J863" s="24"/>
      <c r="U863" s="24"/>
    </row>
    <row r="864" spans="1:21" ht="12.75" x14ac:dyDescent="0.2">
      <c r="A864" s="25"/>
      <c r="B864" s="25"/>
      <c r="C864" s="25"/>
      <c r="D864" s="25"/>
      <c r="E864" s="25"/>
      <c r="F864" s="25"/>
      <c r="J864" s="24"/>
      <c r="U864" s="24"/>
    </row>
    <row r="865" spans="1:21" ht="12.75" x14ac:dyDescent="0.2">
      <c r="A865" s="25"/>
      <c r="B865" s="25"/>
      <c r="C865" s="25"/>
      <c r="D865" s="25"/>
      <c r="E865" s="25"/>
      <c r="F865" s="25"/>
      <c r="J865" s="24"/>
      <c r="U865" s="24"/>
    </row>
    <row r="866" spans="1:21" ht="12.75" x14ac:dyDescent="0.2">
      <c r="A866" s="25"/>
      <c r="B866" s="25"/>
      <c r="C866" s="25"/>
      <c r="D866" s="25"/>
      <c r="E866" s="25"/>
      <c r="F866" s="25"/>
      <c r="J866" s="24"/>
      <c r="U866" s="24"/>
    </row>
    <row r="867" spans="1:21" ht="12.75" x14ac:dyDescent="0.2">
      <c r="A867" s="25"/>
      <c r="B867" s="25"/>
      <c r="C867" s="25"/>
      <c r="D867" s="25"/>
      <c r="E867" s="25"/>
      <c r="F867" s="25"/>
      <c r="J867" s="24"/>
      <c r="U867" s="24"/>
    </row>
    <row r="868" spans="1:21" ht="12.75" x14ac:dyDescent="0.2">
      <c r="A868" s="25"/>
      <c r="B868" s="25"/>
      <c r="C868" s="25"/>
      <c r="D868" s="25"/>
      <c r="E868" s="25"/>
      <c r="F868" s="25"/>
      <c r="J868" s="24"/>
      <c r="U868" s="24"/>
    </row>
    <row r="869" spans="1:21" ht="12.75" x14ac:dyDescent="0.2">
      <c r="A869" s="25"/>
      <c r="B869" s="25"/>
      <c r="C869" s="25"/>
      <c r="D869" s="25"/>
      <c r="E869" s="25"/>
      <c r="F869" s="25"/>
      <c r="J869" s="24"/>
      <c r="U869" s="24"/>
    </row>
    <row r="870" spans="1:21" ht="12.75" x14ac:dyDescent="0.2">
      <c r="A870" s="25"/>
      <c r="B870" s="25"/>
      <c r="C870" s="25"/>
      <c r="D870" s="25"/>
      <c r="E870" s="25"/>
      <c r="F870" s="25"/>
      <c r="J870" s="24"/>
      <c r="U870" s="24"/>
    </row>
    <row r="871" spans="1:21" ht="12.75" x14ac:dyDescent="0.2">
      <c r="A871" s="25"/>
      <c r="B871" s="25"/>
      <c r="C871" s="25"/>
      <c r="D871" s="25"/>
      <c r="E871" s="25"/>
      <c r="F871" s="25"/>
      <c r="J871" s="24"/>
      <c r="U871" s="24"/>
    </row>
    <row r="872" spans="1:21" ht="12.75" x14ac:dyDescent="0.2">
      <c r="A872" s="25"/>
      <c r="B872" s="25"/>
      <c r="C872" s="25"/>
      <c r="D872" s="25"/>
      <c r="E872" s="25"/>
      <c r="F872" s="25"/>
      <c r="J872" s="24"/>
      <c r="U872" s="24"/>
    </row>
    <row r="873" spans="1:21" ht="12.75" x14ac:dyDescent="0.2">
      <c r="A873" s="25"/>
      <c r="B873" s="25"/>
      <c r="C873" s="25"/>
      <c r="D873" s="25"/>
      <c r="E873" s="25"/>
      <c r="F873" s="25"/>
      <c r="J873" s="24"/>
      <c r="U873" s="24"/>
    </row>
    <row r="874" spans="1:21" ht="12.75" x14ac:dyDescent="0.2">
      <c r="A874" s="25"/>
      <c r="B874" s="25"/>
      <c r="C874" s="25"/>
      <c r="D874" s="25"/>
      <c r="E874" s="25"/>
      <c r="F874" s="25"/>
      <c r="J874" s="24"/>
      <c r="U874" s="24"/>
    </row>
    <row r="875" spans="1:21" ht="12.75" x14ac:dyDescent="0.2">
      <c r="A875" s="25"/>
      <c r="B875" s="25"/>
      <c r="C875" s="25"/>
      <c r="D875" s="25"/>
      <c r="E875" s="25"/>
      <c r="F875" s="25"/>
      <c r="J875" s="24"/>
      <c r="U875" s="24"/>
    </row>
    <row r="876" spans="1:21" ht="12.75" x14ac:dyDescent="0.2">
      <c r="A876" s="25"/>
      <c r="B876" s="25"/>
      <c r="C876" s="25"/>
      <c r="D876" s="25"/>
      <c r="E876" s="25"/>
      <c r="F876" s="25"/>
      <c r="J876" s="24"/>
      <c r="U876" s="24"/>
    </row>
    <row r="877" spans="1:21" ht="12.75" x14ac:dyDescent="0.2">
      <c r="A877" s="25"/>
      <c r="B877" s="25"/>
      <c r="C877" s="25"/>
      <c r="D877" s="25"/>
      <c r="E877" s="25"/>
      <c r="F877" s="25"/>
      <c r="J877" s="24"/>
      <c r="U877" s="24"/>
    </row>
    <row r="878" spans="1:21" ht="12.75" x14ac:dyDescent="0.2">
      <c r="A878" s="25"/>
      <c r="B878" s="25"/>
      <c r="C878" s="25"/>
      <c r="D878" s="25"/>
      <c r="E878" s="25"/>
      <c r="F878" s="25"/>
      <c r="J878" s="24"/>
      <c r="U878" s="24"/>
    </row>
    <row r="879" spans="1:21" ht="12.75" x14ac:dyDescent="0.2">
      <c r="A879" s="25"/>
      <c r="B879" s="25"/>
      <c r="C879" s="25"/>
      <c r="D879" s="25"/>
      <c r="E879" s="25"/>
      <c r="F879" s="25"/>
      <c r="J879" s="24"/>
      <c r="U879" s="24"/>
    </row>
    <row r="880" spans="1:21" ht="12.75" x14ac:dyDescent="0.2">
      <c r="A880" s="25"/>
      <c r="B880" s="25"/>
      <c r="C880" s="25"/>
      <c r="D880" s="25"/>
      <c r="E880" s="25"/>
      <c r="F880" s="25"/>
      <c r="J880" s="24"/>
      <c r="U880" s="24"/>
    </row>
    <row r="881" spans="1:21" ht="12.75" x14ac:dyDescent="0.2">
      <c r="A881" s="25"/>
      <c r="B881" s="25"/>
      <c r="C881" s="25"/>
      <c r="D881" s="25"/>
      <c r="E881" s="25"/>
      <c r="F881" s="25"/>
      <c r="J881" s="24"/>
      <c r="U881" s="24"/>
    </row>
    <row r="882" spans="1:21" ht="12.75" x14ac:dyDescent="0.2">
      <c r="A882" s="25"/>
      <c r="B882" s="25"/>
      <c r="C882" s="25"/>
      <c r="D882" s="25"/>
      <c r="E882" s="25"/>
      <c r="F882" s="25"/>
      <c r="J882" s="24"/>
      <c r="U882" s="24"/>
    </row>
    <row r="883" spans="1:21" ht="12.75" x14ac:dyDescent="0.2">
      <c r="A883" s="25"/>
      <c r="B883" s="25"/>
      <c r="C883" s="25"/>
      <c r="D883" s="25"/>
      <c r="E883" s="25"/>
      <c r="F883" s="25"/>
      <c r="J883" s="24"/>
      <c r="U883" s="24"/>
    </row>
    <row r="884" spans="1:21" ht="12.75" x14ac:dyDescent="0.2">
      <c r="A884" s="25"/>
      <c r="B884" s="25"/>
      <c r="C884" s="25"/>
      <c r="D884" s="25"/>
      <c r="E884" s="25"/>
      <c r="F884" s="25"/>
      <c r="J884" s="24"/>
      <c r="U884" s="24"/>
    </row>
    <row r="885" spans="1:21" ht="12.75" x14ac:dyDescent="0.2">
      <c r="A885" s="25"/>
      <c r="B885" s="25"/>
      <c r="C885" s="25"/>
      <c r="D885" s="25"/>
      <c r="E885" s="25"/>
      <c r="F885" s="25"/>
      <c r="J885" s="24"/>
      <c r="U885" s="24"/>
    </row>
    <row r="886" spans="1:21" ht="12.75" x14ac:dyDescent="0.2">
      <c r="A886" s="25"/>
      <c r="B886" s="25"/>
      <c r="C886" s="25"/>
      <c r="D886" s="25"/>
      <c r="E886" s="25"/>
      <c r="F886" s="25"/>
      <c r="J886" s="24"/>
      <c r="U886" s="24"/>
    </row>
    <row r="887" spans="1:21" ht="12.75" x14ac:dyDescent="0.2">
      <c r="A887" s="25"/>
      <c r="B887" s="25"/>
      <c r="C887" s="25"/>
      <c r="D887" s="25"/>
      <c r="E887" s="25"/>
      <c r="F887" s="25"/>
      <c r="J887" s="24"/>
      <c r="U887" s="24"/>
    </row>
    <row r="888" spans="1:21" ht="12.75" x14ac:dyDescent="0.2">
      <c r="A888" s="25"/>
      <c r="B888" s="25"/>
      <c r="C888" s="25"/>
      <c r="D888" s="25"/>
      <c r="E888" s="25"/>
      <c r="F888" s="25"/>
      <c r="J888" s="24"/>
      <c r="U888" s="24"/>
    </row>
    <row r="889" spans="1:21" ht="12.75" x14ac:dyDescent="0.2">
      <c r="A889" s="25"/>
      <c r="B889" s="25"/>
      <c r="C889" s="25"/>
      <c r="D889" s="25"/>
      <c r="E889" s="25"/>
      <c r="F889" s="25"/>
      <c r="J889" s="24"/>
      <c r="U889" s="24"/>
    </row>
    <row r="890" spans="1:21" ht="12.75" x14ac:dyDescent="0.2">
      <c r="A890" s="25"/>
      <c r="B890" s="25"/>
      <c r="C890" s="25"/>
      <c r="D890" s="25"/>
      <c r="E890" s="25"/>
      <c r="F890" s="25"/>
      <c r="J890" s="24"/>
      <c r="U890" s="24"/>
    </row>
    <row r="891" spans="1:21" ht="12.75" x14ac:dyDescent="0.2">
      <c r="A891" s="25"/>
      <c r="B891" s="25"/>
      <c r="C891" s="25"/>
      <c r="D891" s="25"/>
      <c r="E891" s="25"/>
      <c r="F891" s="25"/>
      <c r="J891" s="24"/>
      <c r="U891" s="24"/>
    </row>
    <row r="892" spans="1:21" ht="12.75" x14ac:dyDescent="0.2">
      <c r="A892" s="25"/>
      <c r="B892" s="25"/>
      <c r="C892" s="25"/>
      <c r="D892" s="25"/>
      <c r="E892" s="25"/>
      <c r="F892" s="25"/>
      <c r="J892" s="24"/>
      <c r="U892" s="24"/>
    </row>
    <row r="893" spans="1:21" ht="12.75" x14ac:dyDescent="0.2">
      <c r="A893" s="25"/>
      <c r="B893" s="25"/>
      <c r="C893" s="25"/>
      <c r="D893" s="25"/>
      <c r="E893" s="25"/>
      <c r="F893" s="25"/>
      <c r="J893" s="24"/>
      <c r="U893" s="24"/>
    </row>
    <row r="894" spans="1:21" ht="12.75" x14ac:dyDescent="0.2">
      <c r="A894" s="25"/>
      <c r="B894" s="25"/>
      <c r="C894" s="25"/>
      <c r="D894" s="25"/>
      <c r="E894" s="25"/>
      <c r="F894" s="25"/>
      <c r="J894" s="24"/>
      <c r="U894" s="24"/>
    </row>
    <row r="895" spans="1:21" ht="12.75" x14ac:dyDescent="0.2">
      <c r="A895" s="25"/>
      <c r="B895" s="25"/>
      <c r="C895" s="25"/>
      <c r="D895" s="25"/>
      <c r="E895" s="25"/>
      <c r="F895" s="25"/>
      <c r="J895" s="24"/>
      <c r="U895" s="24"/>
    </row>
    <row r="896" spans="1:21" ht="12.75" x14ac:dyDescent="0.2">
      <c r="A896" s="25"/>
      <c r="B896" s="25"/>
      <c r="C896" s="25"/>
      <c r="D896" s="25"/>
      <c r="E896" s="25"/>
      <c r="F896" s="25"/>
      <c r="J896" s="24"/>
      <c r="U896" s="24"/>
    </row>
    <row r="897" spans="1:21" ht="12.75" x14ac:dyDescent="0.2">
      <c r="A897" s="25"/>
      <c r="B897" s="25"/>
      <c r="C897" s="25"/>
      <c r="D897" s="25"/>
      <c r="E897" s="25"/>
      <c r="F897" s="25"/>
      <c r="J897" s="24"/>
      <c r="U897" s="24"/>
    </row>
    <row r="898" spans="1:21" ht="12.75" x14ac:dyDescent="0.2">
      <c r="A898" s="25"/>
      <c r="B898" s="25"/>
      <c r="C898" s="25"/>
      <c r="D898" s="25"/>
      <c r="E898" s="25"/>
      <c r="F898" s="25"/>
      <c r="J898" s="24"/>
      <c r="U898" s="24"/>
    </row>
    <row r="899" spans="1:21" ht="12.75" x14ac:dyDescent="0.2">
      <c r="A899" s="25"/>
      <c r="B899" s="25"/>
      <c r="C899" s="25"/>
      <c r="D899" s="25"/>
      <c r="E899" s="25"/>
      <c r="F899" s="25"/>
      <c r="J899" s="24"/>
      <c r="U899" s="24"/>
    </row>
    <row r="900" spans="1:21" ht="12.75" x14ac:dyDescent="0.2">
      <c r="A900" s="25"/>
      <c r="B900" s="25"/>
      <c r="C900" s="25"/>
      <c r="D900" s="25"/>
      <c r="E900" s="25"/>
      <c r="F900" s="25"/>
      <c r="J900" s="24"/>
      <c r="U900" s="24"/>
    </row>
    <row r="901" spans="1:21" ht="12.75" x14ac:dyDescent="0.2">
      <c r="A901" s="25"/>
      <c r="B901" s="25"/>
      <c r="C901" s="25"/>
      <c r="D901" s="25"/>
      <c r="E901" s="25"/>
      <c r="F901" s="25"/>
      <c r="J901" s="24"/>
      <c r="U901" s="24"/>
    </row>
    <row r="902" spans="1:21" ht="12.75" x14ac:dyDescent="0.2">
      <c r="A902" s="25"/>
      <c r="B902" s="25"/>
      <c r="C902" s="25"/>
      <c r="D902" s="25"/>
      <c r="E902" s="25"/>
      <c r="F902" s="25"/>
      <c r="J902" s="24"/>
      <c r="U902" s="24"/>
    </row>
    <row r="903" spans="1:21" ht="12.75" x14ac:dyDescent="0.2">
      <c r="A903" s="25"/>
      <c r="B903" s="25"/>
      <c r="C903" s="25"/>
      <c r="D903" s="25"/>
      <c r="E903" s="25"/>
      <c r="F903" s="25"/>
      <c r="J903" s="24"/>
      <c r="U903" s="24"/>
    </row>
    <row r="904" spans="1:21" ht="12.75" x14ac:dyDescent="0.2">
      <c r="A904" s="25"/>
      <c r="B904" s="25"/>
      <c r="C904" s="25"/>
      <c r="D904" s="25"/>
      <c r="E904" s="25"/>
      <c r="F904" s="25"/>
      <c r="J904" s="24"/>
      <c r="U904" s="24"/>
    </row>
    <row r="905" spans="1:21" ht="12.75" x14ac:dyDescent="0.2">
      <c r="A905" s="25"/>
      <c r="B905" s="25"/>
      <c r="C905" s="25"/>
      <c r="D905" s="25"/>
      <c r="E905" s="25"/>
      <c r="F905" s="25"/>
      <c r="J905" s="24"/>
      <c r="U905" s="24"/>
    </row>
    <row r="906" spans="1:21" ht="12.75" x14ac:dyDescent="0.2">
      <c r="A906" s="25"/>
      <c r="B906" s="25"/>
      <c r="C906" s="25"/>
      <c r="D906" s="25"/>
      <c r="E906" s="25"/>
      <c r="F906" s="25"/>
      <c r="J906" s="24"/>
      <c r="U906" s="24"/>
    </row>
    <row r="907" spans="1:21" ht="12.75" x14ac:dyDescent="0.2">
      <c r="A907" s="25"/>
      <c r="B907" s="25"/>
      <c r="C907" s="25"/>
      <c r="D907" s="25"/>
      <c r="E907" s="25"/>
      <c r="F907" s="25"/>
      <c r="J907" s="24"/>
      <c r="U907" s="24"/>
    </row>
    <row r="908" spans="1:21" ht="12.75" x14ac:dyDescent="0.2">
      <c r="A908" s="25"/>
      <c r="B908" s="25"/>
      <c r="C908" s="25"/>
      <c r="D908" s="25"/>
      <c r="E908" s="25"/>
      <c r="F908" s="25"/>
      <c r="J908" s="24"/>
      <c r="U908" s="24"/>
    </row>
    <row r="909" spans="1:21" ht="12.75" x14ac:dyDescent="0.2">
      <c r="A909" s="25"/>
      <c r="B909" s="25"/>
      <c r="C909" s="25"/>
      <c r="D909" s="25"/>
      <c r="E909" s="25"/>
      <c r="F909" s="25"/>
      <c r="J909" s="24"/>
      <c r="U909" s="24"/>
    </row>
    <row r="910" spans="1:21" ht="12.75" x14ac:dyDescent="0.2">
      <c r="A910" s="25"/>
      <c r="B910" s="25"/>
      <c r="C910" s="25"/>
      <c r="D910" s="25"/>
      <c r="E910" s="25"/>
      <c r="F910" s="25"/>
      <c r="J910" s="24"/>
      <c r="U910" s="24"/>
    </row>
    <row r="911" spans="1:21" ht="12.75" x14ac:dyDescent="0.2">
      <c r="A911" s="25"/>
      <c r="B911" s="25"/>
      <c r="C911" s="25"/>
      <c r="D911" s="25"/>
      <c r="E911" s="25"/>
      <c r="F911" s="25"/>
      <c r="J911" s="24"/>
      <c r="U911" s="24"/>
    </row>
    <row r="912" spans="1:21" ht="12.75" x14ac:dyDescent="0.2">
      <c r="A912" s="25"/>
      <c r="B912" s="25"/>
      <c r="C912" s="25"/>
      <c r="D912" s="25"/>
      <c r="E912" s="25"/>
      <c r="F912" s="25"/>
      <c r="J912" s="24"/>
      <c r="U912" s="24"/>
    </row>
    <row r="913" spans="1:21" ht="12.75" x14ac:dyDescent="0.2">
      <c r="A913" s="25"/>
      <c r="B913" s="25"/>
      <c r="C913" s="25"/>
      <c r="D913" s="25"/>
      <c r="E913" s="25"/>
      <c r="F913" s="25"/>
      <c r="J913" s="24"/>
      <c r="U913" s="24"/>
    </row>
    <row r="914" spans="1:21" ht="12.75" x14ac:dyDescent="0.2">
      <c r="A914" s="25"/>
      <c r="B914" s="25"/>
      <c r="C914" s="25"/>
      <c r="D914" s="25"/>
      <c r="E914" s="25"/>
      <c r="F914" s="25"/>
      <c r="J914" s="24"/>
      <c r="U914" s="24"/>
    </row>
    <row r="915" spans="1:21" ht="12.75" x14ac:dyDescent="0.2">
      <c r="A915" s="25"/>
      <c r="B915" s="25"/>
      <c r="C915" s="25"/>
      <c r="D915" s="25"/>
      <c r="E915" s="25"/>
      <c r="F915" s="25"/>
      <c r="J915" s="24"/>
      <c r="U915" s="24"/>
    </row>
    <row r="916" spans="1:21" ht="12.75" x14ac:dyDescent="0.2">
      <c r="A916" s="25"/>
      <c r="B916" s="25"/>
      <c r="C916" s="25"/>
      <c r="D916" s="25"/>
      <c r="E916" s="25"/>
      <c r="F916" s="25"/>
      <c r="J916" s="24"/>
      <c r="U916" s="24"/>
    </row>
    <row r="917" spans="1:21" ht="12.75" x14ac:dyDescent="0.2">
      <c r="A917" s="25"/>
      <c r="B917" s="25"/>
      <c r="C917" s="25"/>
      <c r="D917" s="25"/>
      <c r="E917" s="25"/>
      <c r="F917" s="25"/>
      <c r="J917" s="24"/>
      <c r="U917" s="24"/>
    </row>
    <row r="918" spans="1:21" ht="12.75" x14ac:dyDescent="0.2">
      <c r="A918" s="25"/>
      <c r="B918" s="25"/>
      <c r="C918" s="25"/>
      <c r="D918" s="25"/>
      <c r="E918" s="25"/>
      <c r="F918" s="25"/>
      <c r="J918" s="24"/>
      <c r="U918" s="24"/>
    </row>
    <row r="919" spans="1:21" ht="12.75" x14ac:dyDescent="0.2">
      <c r="A919" s="25"/>
      <c r="B919" s="25"/>
      <c r="C919" s="25"/>
      <c r="D919" s="25"/>
      <c r="E919" s="25"/>
      <c r="F919" s="25"/>
      <c r="J919" s="24"/>
      <c r="U919" s="24"/>
    </row>
    <row r="920" spans="1:21" ht="12.75" x14ac:dyDescent="0.2">
      <c r="A920" s="25"/>
      <c r="B920" s="25"/>
      <c r="C920" s="25"/>
      <c r="D920" s="25"/>
      <c r="E920" s="25"/>
      <c r="F920" s="25"/>
      <c r="J920" s="24"/>
      <c r="U920" s="24"/>
    </row>
    <row r="921" spans="1:21" ht="12.75" x14ac:dyDescent="0.2">
      <c r="A921" s="25"/>
      <c r="B921" s="25"/>
      <c r="C921" s="25"/>
      <c r="D921" s="25"/>
      <c r="E921" s="25"/>
      <c r="F921" s="25"/>
      <c r="J921" s="24"/>
      <c r="U921" s="24"/>
    </row>
    <row r="922" spans="1:21" ht="12.75" x14ac:dyDescent="0.2">
      <c r="A922" s="25"/>
      <c r="B922" s="25"/>
      <c r="C922" s="25"/>
      <c r="D922" s="25"/>
      <c r="E922" s="25"/>
      <c r="F922" s="25"/>
      <c r="J922" s="24"/>
      <c r="U922" s="24"/>
    </row>
    <row r="923" spans="1:21" ht="12.75" x14ac:dyDescent="0.2">
      <c r="A923" s="25"/>
      <c r="B923" s="25"/>
      <c r="C923" s="25"/>
      <c r="D923" s="25"/>
      <c r="E923" s="25"/>
      <c r="F923" s="25"/>
      <c r="J923" s="24"/>
      <c r="U923" s="24"/>
    </row>
    <row r="924" spans="1:21" ht="12.75" x14ac:dyDescent="0.2">
      <c r="A924" s="25"/>
      <c r="B924" s="25"/>
      <c r="C924" s="25"/>
      <c r="D924" s="25"/>
      <c r="E924" s="25"/>
      <c r="F924" s="25"/>
      <c r="J924" s="24"/>
      <c r="U924" s="24"/>
    </row>
    <row r="925" spans="1:21" ht="12.75" x14ac:dyDescent="0.2">
      <c r="A925" s="25"/>
      <c r="B925" s="25"/>
      <c r="C925" s="25"/>
      <c r="D925" s="25"/>
      <c r="E925" s="25"/>
      <c r="F925" s="25"/>
      <c r="J925" s="24"/>
      <c r="U925" s="24"/>
    </row>
    <row r="926" spans="1:21" ht="12.75" x14ac:dyDescent="0.2">
      <c r="A926" s="25"/>
      <c r="B926" s="25"/>
      <c r="C926" s="25"/>
      <c r="D926" s="25"/>
      <c r="E926" s="25"/>
      <c r="F926" s="25"/>
      <c r="J926" s="24"/>
      <c r="U926" s="24"/>
    </row>
    <row r="927" spans="1:21" ht="12.75" x14ac:dyDescent="0.2">
      <c r="A927" s="25"/>
      <c r="B927" s="25"/>
      <c r="C927" s="25"/>
      <c r="D927" s="25"/>
      <c r="E927" s="25"/>
      <c r="F927" s="25"/>
      <c r="J927" s="24"/>
      <c r="U927" s="24"/>
    </row>
    <row r="928" spans="1:21" ht="12.75" x14ac:dyDescent="0.2">
      <c r="A928" s="25"/>
      <c r="B928" s="25"/>
      <c r="C928" s="25"/>
      <c r="D928" s="25"/>
      <c r="E928" s="25"/>
      <c r="F928" s="25"/>
      <c r="J928" s="24"/>
      <c r="U928" s="24"/>
    </row>
    <row r="929" spans="1:21" ht="12.75" x14ac:dyDescent="0.2">
      <c r="A929" s="25"/>
      <c r="B929" s="25"/>
      <c r="C929" s="25"/>
      <c r="D929" s="25"/>
      <c r="E929" s="25"/>
      <c r="F929" s="25"/>
      <c r="J929" s="24"/>
      <c r="U929" s="24"/>
    </row>
    <row r="930" spans="1:21" ht="12.75" x14ac:dyDescent="0.2">
      <c r="A930" s="25"/>
      <c r="B930" s="25"/>
      <c r="C930" s="25"/>
      <c r="D930" s="25"/>
      <c r="E930" s="25"/>
      <c r="F930" s="25"/>
      <c r="J930" s="24"/>
      <c r="U930" s="24"/>
    </row>
    <row r="931" spans="1:21" ht="12.75" x14ac:dyDescent="0.2">
      <c r="A931" s="25"/>
      <c r="B931" s="25"/>
      <c r="C931" s="25"/>
      <c r="D931" s="25"/>
      <c r="E931" s="25"/>
      <c r="F931" s="25"/>
      <c r="J931" s="24"/>
      <c r="U931" s="24"/>
    </row>
    <row r="932" spans="1:21" ht="12.75" x14ac:dyDescent="0.2">
      <c r="A932" s="25"/>
      <c r="B932" s="25"/>
      <c r="C932" s="25"/>
      <c r="D932" s="25"/>
      <c r="E932" s="25"/>
      <c r="F932" s="25"/>
      <c r="J932" s="24"/>
      <c r="U932" s="24"/>
    </row>
    <row r="933" spans="1:21" ht="12.75" x14ac:dyDescent="0.2">
      <c r="A933" s="25"/>
      <c r="B933" s="25"/>
      <c r="C933" s="25"/>
      <c r="D933" s="25"/>
      <c r="E933" s="25"/>
      <c r="F933" s="25"/>
      <c r="J933" s="24"/>
      <c r="U933" s="24"/>
    </row>
    <row r="934" spans="1:21" ht="12.75" x14ac:dyDescent="0.2">
      <c r="A934" s="25"/>
      <c r="B934" s="25"/>
      <c r="C934" s="25"/>
      <c r="D934" s="25"/>
      <c r="E934" s="25"/>
      <c r="F934" s="25"/>
      <c r="J934" s="24"/>
      <c r="U934" s="24"/>
    </row>
    <row r="935" spans="1:21" ht="12.75" x14ac:dyDescent="0.2">
      <c r="A935" s="25"/>
      <c r="B935" s="25"/>
      <c r="C935" s="25"/>
      <c r="D935" s="25"/>
      <c r="E935" s="25"/>
      <c r="F935" s="25"/>
      <c r="J935" s="24"/>
      <c r="U935" s="24"/>
    </row>
    <row r="936" spans="1:21" ht="12.75" x14ac:dyDescent="0.2">
      <c r="A936" s="25"/>
      <c r="B936" s="25"/>
      <c r="C936" s="25"/>
      <c r="D936" s="25"/>
      <c r="E936" s="25"/>
      <c r="F936" s="25"/>
      <c r="J936" s="24"/>
      <c r="U936" s="24"/>
    </row>
    <row r="937" spans="1:21" ht="12.75" x14ac:dyDescent="0.2">
      <c r="A937" s="25"/>
      <c r="B937" s="25"/>
      <c r="C937" s="25"/>
      <c r="D937" s="25"/>
      <c r="E937" s="25"/>
      <c r="F937" s="25"/>
      <c r="J937" s="24"/>
      <c r="U937" s="24"/>
    </row>
    <row r="938" spans="1:21" ht="12.75" x14ac:dyDescent="0.2">
      <c r="A938" s="25"/>
      <c r="B938" s="25"/>
      <c r="C938" s="25"/>
      <c r="D938" s="25"/>
      <c r="E938" s="25"/>
      <c r="F938" s="25"/>
      <c r="J938" s="24"/>
      <c r="U938" s="24"/>
    </row>
    <row r="939" spans="1:21" ht="12.75" x14ac:dyDescent="0.2">
      <c r="A939" s="25"/>
      <c r="B939" s="25"/>
      <c r="C939" s="25"/>
      <c r="D939" s="25"/>
      <c r="E939" s="25"/>
      <c r="F939" s="25"/>
      <c r="J939" s="24"/>
      <c r="U939" s="24"/>
    </row>
    <row r="940" spans="1:21" ht="12.75" x14ac:dyDescent="0.2">
      <c r="A940" s="25"/>
      <c r="B940" s="25"/>
      <c r="C940" s="25"/>
      <c r="D940" s="25"/>
      <c r="E940" s="25"/>
      <c r="F940" s="25"/>
      <c r="J940" s="24"/>
      <c r="U940" s="24"/>
    </row>
    <row r="941" spans="1:21" ht="12.75" x14ac:dyDescent="0.2">
      <c r="A941" s="25"/>
      <c r="B941" s="25"/>
      <c r="C941" s="25"/>
      <c r="D941" s="25"/>
      <c r="E941" s="25"/>
      <c r="F941" s="25"/>
      <c r="J941" s="24"/>
      <c r="U941" s="24"/>
    </row>
    <row r="942" spans="1:21" ht="12.75" x14ac:dyDescent="0.2">
      <c r="A942" s="25"/>
      <c r="B942" s="25"/>
      <c r="C942" s="25"/>
      <c r="D942" s="25"/>
      <c r="E942" s="25"/>
      <c r="F942" s="25"/>
      <c r="J942" s="24"/>
      <c r="U942" s="24"/>
    </row>
    <row r="943" spans="1:21" ht="12.75" x14ac:dyDescent="0.2">
      <c r="A943" s="25"/>
      <c r="B943" s="25"/>
      <c r="C943" s="25"/>
      <c r="D943" s="25"/>
      <c r="E943" s="25"/>
      <c r="F943" s="25"/>
      <c r="J943" s="24"/>
      <c r="U943" s="24"/>
    </row>
    <row r="944" spans="1:21" ht="12.75" x14ac:dyDescent="0.2">
      <c r="A944" s="25"/>
      <c r="B944" s="25"/>
      <c r="C944" s="25"/>
      <c r="D944" s="25"/>
      <c r="E944" s="25"/>
      <c r="F944" s="25"/>
      <c r="J944" s="24"/>
      <c r="U944" s="24"/>
    </row>
    <row r="945" spans="1:21" ht="12.75" x14ac:dyDescent="0.2">
      <c r="A945" s="25"/>
      <c r="B945" s="25"/>
      <c r="C945" s="25"/>
      <c r="D945" s="25"/>
      <c r="E945" s="25"/>
      <c r="F945" s="25"/>
      <c r="J945" s="24"/>
      <c r="U945" s="24"/>
    </row>
    <row r="946" spans="1:21" ht="12.75" x14ac:dyDescent="0.2">
      <c r="A946" s="25"/>
      <c r="B946" s="25"/>
      <c r="C946" s="25"/>
      <c r="D946" s="25"/>
      <c r="E946" s="25"/>
      <c r="F946" s="25"/>
      <c r="J946" s="24"/>
      <c r="U946" s="24"/>
    </row>
    <row r="947" spans="1:21" ht="12.75" x14ac:dyDescent="0.2">
      <c r="A947" s="25"/>
      <c r="B947" s="25"/>
      <c r="C947" s="25"/>
      <c r="D947" s="25"/>
      <c r="E947" s="25"/>
      <c r="F947" s="25"/>
      <c r="J947" s="24"/>
      <c r="U947" s="24"/>
    </row>
    <row r="948" spans="1:21" ht="12.75" x14ac:dyDescent="0.2">
      <c r="A948" s="25"/>
      <c r="B948" s="25"/>
      <c r="C948" s="25"/>
      <c r="D948" s="25"/>
      <c r="E948" s="25"/>
      <c r="F948" s="25"/>
      <c r="J948" s="24"/>
      <c r="U948" s="24"/>
    </row>
    <row r="949" spans="1:21" ht="12.75" x14ac:dyDescent="0.2">
      <c r="A949" s="25"/>
      <c r="B949" s="25"/>
      <c r="C949" s="25"/>
      <c r="D949" s="25"/>
      <c r="E949" s="25"/>
      <c r="F949" s="25"/>
      <c r="J949" s="24"/>
      <c r="U949" s="24"/>
    </row>
    <row r="950" spans="1:21" ht="12.75" x14ac:dyDescent="0.2">
      <c r="A950" s="25"/>
      <c r="B950" s="25"/>
      <c r="C950" s="25"/>
      <c r="D950" s="25"/>
      <c r="E950" s="25"/>
      <c r="F950" s="25"/>
      <c r="J950" s="24"/>
      <c r="U950" s="24"/>
    </row>
    <row r="951" spans="1:21" ht="12.75" x14ac:dyDescent="0.2">
      <c r="A951" s="25"/>
      <c r="B951" s="25"/>
      <c r="C951" s="25"/>
      <c r="D951" s="25"/>
      <c r="E951" s="25"/>
      <c r="F951" s="25"/>
      <c r="J951" s="24"/>
      <c r="U951" s="24"/>
    </row>
    <row r="952" spans="1:21" ht="12.75" x14ac:dyDescent="0.2">
      <c r="A952" s="25"/>
      <c r="B952" s="25"/>
      <c r="C952" s="25"/>
      <c r="D952" s="25"/>
      <c r="E952" s="25"/>
      <c r="F952" s="25"/>
      <c r="J952" s="24"/>
      <c r="U952" s="24"/>
    </row>
    <row r="953" spans="1:21" ht="12.75" x14ac:dyDescent="0.2">
      <c r="A953" s="25"/>
      <c r="B953" s="25"/>
      <c r="C953" s="25"/>
      <c r="D953" s="25"/>
      <c r="E953" s="25"/>
      <c r="F953" s="25"/>
      <c r="J953" s="24"/>
      <c r="U953" s="24"/>
    </row>
    <row r="954" spans="1:21" ht="12.75" x14ac:dyDescent="0.2">
      <c r="A954" s="25"/>
      <c r="B954" s="25"/>
      <c r="C954" s="25"/>
      <c r="D954" s="25"/>
      <c r="E954" s="25"/>
      <c r="F954" s="25"/>
      <c r="J954" s="24"/>
      <c r="U954" s="24"/>
    </row>
    <row r="955" spans="1:21" ht="12.75" x14ac:dyDescent="0.2">
      <c r="A955" s="25"/>
      <c r="B955" s="25"/>
      <c r="C955" s="25"/>
      <c r="D955" s="25"/>
      <c r="E955" s="25"/>
      <c r="F955" s="25"/>
      <c r="J955" s="24"/>
      <c r="U955" s="24"/>
    </row>
    <row r="956" spans="1:21" ht="12.75" x14ac:dyDescent="0.2">
      <c r="A956" s="25"/>
      <c r="B956" s="25"/>
      <c r="C956" s="25"/>
      <c r="D956" s="25"/>
      <c r="E956" s="25"/>
      <c r="F956" s="25"/>
      <c r="J956" s="24"/>
      <c r="U956" s="24"/>
    </row>
    <row r="957" spans="1:21" ht="12.75" x14ac:dyDescent="0.2">
      <c r="A957" s="25"/>
      <c r="B957" s="25"/>
      <c r="C957" s="25"/>
      <c r="D957" s="25"/>
      <c r="E957" s="25"/>
      <c r="F957" s="25"/>
      <c r="J957" s="24"/>
      <c r="U957" s="24"/>
    </row>
    <row r="958" spans="1:21" ht="12.75" x14ac:dyDescent="0.2">
      <c r="A958" s="25"/>
      <c r="B958" s="25"/>
      <c r="C958" s="25"/>
      <c r="D958" s="25"/>
      <c r="E958" s="25"/>
      <c r="F958" s="25"/>
      <c r="J958" s="24"/>
      <c r="U958" s="24"/>
    </row>
    <row r="959" spans="1:21" ht="12.75" x14ac:dyDescent="0.2">
      <c r="A959" s="25"/>
      <c r="B959" s="25"/>
      <c r="C959" s="25"/>
      <c r="D959" s="25"/>
      <c r="E959" s="25"/>
      <c r="F959" s="25"/>
      <c r="J959" s="24"/>
      <c r="U959" s="24"/>
    </row>
    <row r="960" spans="1:21" ht="12.75" x14ac:dyDescent="0.2">
      <c r="A960" s="25"/>
      <c r="B960" s="25"/>
      <c r="C960" s="25"/>
      <c r="D960" s="25"/>
      <c r="E960" s="25"/>
      <c r="F960" s="25"/>
      <c r="J960" s="24"/>
      <c r="U960" s="24"/>
    </row>
    <row r="961" spans="1:21" ht="12.75" x14ac:dyDescent="0.2">
      <c r="A961" s="25"/>
      <c r="B961" s="25"/>
      <c r="C961" s="25"/>
      <c r="D961" s="25"/>
      <c r="E961" s="25"/>
      <c r="F961" s="25"/>
      <c r="J961" s="24"/>
      <c r="U961" s="24"/>
    </row>
    <row r="962" spans="1:21" ht="12.75" x14ac:dyDescent="0.2">
      <c r="A962" s="25"/>
      <c r="B962" s="25"/>
      <c r="C962" s="25"/>
      <c r="D962" s="25"/>
      <c r="E962" s="25"/>
      <c r="F962" s="25"/>
      <c r="J962" s="24"/>
      <c r="U962" s="24"/>
    </row>
    <row r="963" spans="1:21" ht="12.75" x14ac:dyDescent="0.2">
      <c r="A963" s="25"/>
      <c r="B963" s="25"/>
      <c r="C963" s="25"/>
      <c r="D963" s="25"/>
      <c r="E963" s="25"/>
      <c r="F963" s="25"/>
      <c r="J963" s="24"/>
      <c r="U963" s="24"/>
    </row>
    <row r="964" spans="1:21" ht="12.75" x14ac:dyDescent="0.2">
      <c r="A964" s="25"/>
      <c r="B964" s="25"/>
      <c r="C964" s="25"/>
      <c r="D964" s="25"/>
      <c r="E964" s="25"/>
      <c r="F964" s="25"/>
      <c r="J964" s="24"/>
      <c r="U964" s="24"/>
    </row>
    <row r="965" spans="1:21" ht="12.75" x14ac:dyDescent="0.2">
      <c r="A965" s="25"/>
      <c r="B965" s="25"/>
      <c r="C965" s="25"/>
      <c r="D965" s="25"/>
      <c r="E965" s="25"/>
      <c r="F965" s="25"/>
      <c r="J965" s="24"/>
      <c r="U965" s="24"/>
    </row>
    <row r="966" spans="1:21" ht="12.75" x14ac:dyDescent="0.2">
      <c r="A966" s="25"/>
      <c r="B966" s="25"/>
      <c r="C966" s="25"/>
      <c r="D966" s="25"/>
      <c r="E966" s="25"/>
      <c r="F966" s="25"/>
      <c r="J966" s="24"/>
      <c r="U966" s="24"/>
    </row>
    <row r="967" spans="1:21" ht="12.75" x14ac:dyDescent="0.2">
      <c r="A967" s="25"/>
      <c r="B967" s="25"/>
      <c r="C967" s="25"/>
      <c r="D967" s="25"/>
      <c r="E967" s="25"/>
      <c r="F967" s="25"/>
      <c r="J967" s="24"/>
      <c r="U967" s="24"/>
    </row>
    <row r="968" spans="1:21" ht="12.75" x14ac:dyDescent="0.2">
      <c r="A968" s="25"/>
      <c r="B968" s="25"/>
      <c r="C968" s="25"/>
      <c r="D968" s="25"/>
      <c r="E968" s="25"/>
      <c r="F968" s="25"/>
      <c r="J968" s="24"/>
      <c r="U968" s="24"/>
    </row>
    <row r="969" spans="1:21" ht="12.75" x14ac:dyDescent="0.2">
      <c r="A969" s="25"/>
      <c r="B969" s="25"/>
      <c r="C969" s="25"/>
      <c r="D969" s="25"/>
      <c r="E969" s="25"/>
      <c r="F969" s="25"/>
      <c r="J969" s="24"/>
      <c r="U969" s="24"/>
    </row>
    <row r="970" spans="1:21" ht="12.75" x14ac:dyDescent="0.2">
      <c r="A970" s="25"/>
      <c r="B970" s="25"/>
      <c r="C970" s="25"/>
      <c r="D970" s="25"/>
      <c r="E970" s="25"/>
      <c r="F970" s="25"/>
      <c r="J970" s="24"/>
      <c r="U970" s="24"/>
    </row>
    <row r="971" spans="1:21" ht="12.75" x14ac:dyDescent="0.2">
      <c r="A971" s="25"/>
      <c r="B971" s="25"/>
      <c r="C971" s="25"/>
      <c r="D971" s="25"/>
      <c r="E971" s="25"/>
      <c r="F971" s="25"/>
      <c r="J971" s="24"/>
      <c r="U971" s="24"/>
    </row>
    <row r="972" spans="1:21" ht="12.75" x14ac:dyDescent="0.2">
      <c r="A972" s="25"/>
      <c r="B972" s="25"/>
      <c r="C972" s="25"/>
      <c r="D972" s="25"/>
      <c r="E972" s="25"/>
      <c r="F972" s="25"/>
      <c r="J972" s="24"/>
      <c r="U972" s="24"/>
    </row>
    <row r="973" spans="1:21" ht="12.75" x14ac:dyDescent="0.2">
      <c r="A973" s="25"/>
      <c r="B973" s="25"/>
      <c r="C973" s="25"/>
      <c r="D973" s="25"/>
      <c r="E973" s="25"/>
      <c r="F973" s="25"/>
      <c r="J973" s="24"/>
      <c r="U973" s="24"/>
    </row>
    <row r="974" spans="1:21" ht="12.75" x14ac:dyDescent="0.2">
      <c r="A974" s="25"/>
      <c r="B974" s="25"/>
      <c r="C974" s="25"/>
      <c r="D974" s="25"/>
      <c r="E974" s="25"/>
      <c r="F974" s="25"/>
      <c r="J974" s="24"/>
      <c r="U974" s="24"/>
    </row>
    <row r="975" spans="1:21" ht="12.75" x14ac:dyDescent="0.2">
      <c r="A975" s="25"/>
      <c r="B975" s="25"/>
      <c r="C975" s="25"/>
      <c r="D975" s="25"/>
      <c r="E975" s="25"/>
      <c r="F975" s="25"/>
      <c r="J975" s="24"/>
      <c r="U975" s="24"/>
    </row>
    <row r="976" spans="1:21" ht="12.75" x14ac:dyDescent="0.2">
      <c r="A976" s="25"/>
      <c r="B976" s="25"/>
      <c r="C976" s="25"/>
      <c r="D976" s="25"/>
      <c r="E976" s="25"/>
      <c r="F976" s="25"/>
      <c r="J976" s="24"/>
      <c r="U976" s="24"/>
    </row>
    <row r="977" spans="1:21" ht="12.75" x14ac:dyDescent="0.2">
      <c r="A977" s="25"/>
      <c r="B977" s="25"/>
      <c r="C977" s="25"/>
      <c r="D977" s="25"/>
      <c r="E977" s="25"/>
      <c r="F977" s="25"/>
      <c r="J977" s="24"/>
      <c r="U977" s="24"/>
    </row>
    <row r="978" spans="1:21" ht="12.75" x14ac:dyDescent="0.2">
      <c r="A978" s="25"/>
      <c r="B978" s="25"/>
      <c r="C978" s="25"/>
      <c r="D978" s="25"/>
      <c r="E978" s="25"/>
      <c r="F978" s="25"/>
      <c r="J978" s="24"/>
      <c r="U978" s="24"/>
    </row>
    <row r="979" spans="1:21" ht="12.75" x14ac:dyDescent="0.2">
      <c r="A979" s="25"/>
      <c r="B979" s="25"/>
      <c r="C979" s="25"/>
      <c r="D979" s="25"/>
      <c r="E979" s="25"/>
      <c r="F979" s="25"/>
      <c r="J979" s="24"/>
      <c r="U979" s="24"/>
    </row>
    <row r="980" spans="1:21" ht="12.75" x14ac:dyDescent="0.2">
      <c r="A980" s="25"/>
      <c r="B980" s="25"/>
      <c r="C980" s="25"/>
      <c r="D980" s="25"/>
      <c r="E980" s="25"/>
      <c r="F980" s="25"/>
      <c r="J980" s="24"/>
      <c r="U980" s="24"/>
    </row>
    <row r="981" spans="1:21" ht="12.75" x14ac:dyDescent="0.2">
      <c r="A981" s="25"/>
      <c r="B981" s="25"/>
      <c r="C981" s="25"/>
      <c r="D981" s="25"/>
      <c r="E981" s="25"/>
      <c r="F981" s="25"/>
      <c r="J981" s="24"/>
      <c r="U981" s="24"/>
    </row>
    <row r="982" spans="1:21" ht="12.75" x14ac:dyDescent="0.2">
      <c r="A982" s="25"/>
      <c r="B982" s="25"/>
      <c r="C982" s="25"/>
      <c r="D982" s="25"/>
      <c r="E982" s="25"/>
      <c r="F982" s="25"/>
      <c r="J982" s="24"/>
      <c r="U982" s="24"/>
    </row>
    <row r="983" spans="1:21" ht="12.75" x14ac:dyDescent="0.2">
      <c r="A983" s="25"/>
      <c r="B983" s="25"/>
      <c r="C983" s="25"/>
      <c r="D983" s="25"/>
      <c r="E983" s="25"/>
      <c r="F983" s="25"/>
      <c r="J983" s="24"/>
      <c r="U983" s="24"/>
    </row>
    <row r="984" spans="1:21" ht="12.75" x14ac:dyDescent="0.2">
      <c r="A984" s="25"/>
      <c r="B984" s="25"/>
      <c r="C984" s="25"/>
      <c r="D984" s="25"/>
      <c r="E984" s="25"/>
      <c r="F984" s="25"/>
      <c r="J984" s="24"/>
      <c r="U984" s="24"/>
    </row>
    <row r="985" spans="1:21" ht="12.75" x14ac:dyDescent="0.2">
      <c r="A985" s="25"/>
      <c r="B985" s="25"/>
      <c r="C985" s="25"/>
      <c r="D985" s="25"/>
      <c r="E985" s="25"/>
      <c r="F985" s="25"/>
      <c r="J985" s="24"/>
      <c r="U985" s="24"/>
    </row>
    <row r="986" spans="1:21" ht="12.75" x14ac:dyDescent="0.2">
      <c r="A986" s="25"/>
      <c r="B986" s="25"/>
      <c r="C986" s="25"/>
      <c r="D986" s="25"/>
      <c r="E986" s="25"/>
      <c r="F986" s="25"/>
      <c r="J986" s="24"/>
      <c r="U986" s="24"/>
    </row>
    <row r="987" spans="1:21" ht="12.75" x14ac:dyDescent="0.2">
      <c r="A987" s="25"/>
      <c r="B987" s="25"/>
      <c r="C987" s="25"/>
      <c r="D987" s="25"/>
      <c r="E987" s="25"/>
      <c r="F987" s="25"/>
      <c r="J987" s="24"/>
      <c r="U987" s="24"/>
    </row>
    <row r="988" spans="1:21" ht="12.75" x14ac:dyDescent="0.2">
      <c r="A988" s="25"/>
      <c r="B988" s="25"/>
      <c r="C988" s="25"/>
      <c r="D988" s="25"/>
      <c r="E988" s="25"/>
      <c r="F988" s="25"/>
      <c r="J988" s="24"/>
      <c r="U988" s="24"/>
    </row>
    <row r="989" spans="1:21" ht="12.75" x14ac:dyDescent="0.2">
      <c r="A989" s="25"/>
      <c r="B989" s="25"/>
      <c r="C989" s="25"/>
      <c r="D989" s="25"/>
      <c r="E989" s="25"/>
      <c r="F989" s="25"/>
      <c r="J989" s="24"/>
      <c r="U989" s="24"/>
    </row>
    <row r="990" spans="1:21" ht="12.75" x14ac:dyDescent="0.2">
      <c r="A990" s="25"/>
      <c r="B990" s="25"/>
      <c r="C990" s="25"/>
      <c r="D990" s="25"/>
      <c r="E990" s="25"/>
      <c r="F990" s="25"/>
      <c r="J990" s="24"/>
      <c r="U990" s="24"/>
    </row>
    <row r="991" spans="1:21" ht="12.75" x14ac:dyDescent="0.2">
      <c r="A991" s="25"/>
      <c r="B991" s="25"/>
      <c r="C991" s="25"/>
      <c r="D991" s="25"/>
      <c r="E991" s="25"/>
      <c r="F991" s="25"/>
      <c r="J991" s="24"/>
      <c r="U991" s="24"/>
    </row>
    <row r="992" spans="1:21" ht="12.75" x14ac:dyDescent="0.2">
      <c r="A992" s="25"/>
      <c r="B992" s="25"/>
      <c r="C992" s="25"/>
      <c r="D992" s="25"/>
      <c r="E992" s="25"/>
      <c r="F992" s="25"/>
      <c r="J992" s="24"/>
      <c r="U992" s="24"/>
    </row>
    <row r="993" spans="1:21" ht="12.75" x14ac:dyDescent="0.2">
      <c r="A993" s="25"/>
      <c r="B993" s="25"/>
      <c r="C993" s="25"/>
      <c r="D993" s="25"/>
      <c r="E993" s="25"/>
      <c r="F993" s="25"/>
      <c r="J993" s="24"/>
      <c r="U993" s="24"/>
    </row>
    <row r="994" spans="1:21" ht="12.75" x14ac:dyDescent="0.2">
      <c r="A994" s="25"/>
      <c r="B994" s="25"/>
      <c r="C994" s="25"/>
      <c r="D994" s="25"/>
      <c r="E994" s="25"/>
      <c r="F994" s="25"/>
      <c r="J994" s="24"/>
      <c r="U994" s="24"/>
    </row>
    <row r="995" spans="1:21" ht="12.75" x14ac:dyDescent="0.2">
      <c r="A995" s="25"/>
      <c r="B995" s="25"/>
      <c r="C995" s="25"/>
      <c r="D995" s="25"/>
      <c r="E995" s="25"/>
      <c r="F995" s="25"/>
      <c r="J995" s="24"/>
      <c r="U995" s="24"/>
    </row>
    <row r="996" spans="1:21" ht="12.75" x14ac:dyDescent="0.2">
      <c r="A996" s="25"/>
      <c r="B996" s="25"/>
      <c r="C996" s="25"/>
      <c r="D996" s="25"/>
      <c r="E996" s="25"/>
      <c r="F996" s="25"/>
      <c r="J996" s="24"/>
      <c r="U996" s="24"/>
    </row>
    <row r="997" spans="1:21" ht="12.75" x14ac:dyDescent="0.2">
      <c r="A997" s="25"/>
      <c r="B997" s="25"/>
      <c r="C997" s="25"/>
      <c r="D997" s="25"/>
      <c r="E997" s="25"/>
      <c r="F997" s="25"/>
      <c r="J997" s="24"/>
      <c r="U997" s="24"/>
    </row>
    <row r="998" spans="1:21" ht="12.75" x14ac:dyDescent="0.2">
      <c r="A998" s="25"/>
      <c r="B998" s="25"/>
      <c r="C998" s="25"/>
      <c r="D998" s="25"/>
      <c r="E998" s="25"/>
      <c r="F998" s="25"/>
      <c r="J998" s="24"/>
      <c r="U998" s="24"/>
    </row>
    <row r="999" spans="1:21" ht="12.75" x14ac:dyDescent="0.2">
      <c r="A999" s="25"/>
      <c r="B999" s="25"/>
      <c r="C999" s="25"/>
      <c r="D999" s="25"/>
      <c r="E999" s="25"/>
      <c r="F999" s="25"/>
      <c r="J999" s="24"/>
      <c r="U999" s="24"/>
    </row>
    <row r="1000" spans="1:21" ht="12.75" x14ac:dyDescent="0.2">
      <c r="A1000" s="25"/>
      <c r="B1000" s="25"/>
      <c r="C1000" s="25"/>
      <c r="D1000" s="25"/>
      <c r="E1000" s="25"/>
      <c r="F1000" s="25"/>
      <c r="J1000" s="24"/>
      <c r="U1000" s="24"/>
    </row>
    <row r="1001" spans="1:21" ht="12.75" x14ac:dyDescent="0.2">
      <c r="A1001" s="25"/>
      <c r="B1001" s="25"/>
      <c r="C1001" s="25"/>
      <c r="D1001" s="25"/>
      <c r="E1001" s="25"/>
      <c r="F1001" s="25"/>
      <c r="J1001" s="24"/>
      <c r="U1001" s="24"/>
    </row>
    <row r="1002" spans="1:21" ht="12.75" x14ac:dyDescent="0.2">
      <c r="A1002" s="25"/>
      <c r="B1002" s="25"/>
      <c r="C1002" s="25"/>
      <c r="D1002" s="25"/>
      <c r="E1002" s="25"/>
      <c r="F1002" s="25"/>
      <c r="J1002" s="24"/>
      <c r="U1002" s="24"/>
    </row>
    <row r="1003" spans="1:21" ht="12.75" x14ac:dyDescent="0.2">
      <c r="A1003" s="25"/>
      <c r="B1003" s="25"/>
      <c r="C1003" s="25"/>
      <c r="D1003" s="25"/>
      <c r="E1003" s="25"/>
      <c r="F1003" s="25"/>
      <c r="J1003" s="24"/>
      <c r="U1003" s="24"/>
    </row>
    <row r="1004" spans="1:21" ht="12.75" x14ac:dyDescent="0.2">
      <c r="A1004" s="25"/>
      <c r="B1004" s="25"/>
      <c r="C1004" s="25"/>
      <c r="D1004" s="25"/>
      <c r="E1004" s="25"/>
      <c r="F1004" s="25"/>
      <c r="J1004" s="24"/>
      <c r="U1004" s="24"/>
    </row>
    <row r="1005" spans="1:21" ht="12.75" x14ac:dyDescent="0.2">
      <c r="A1005" s="25"/>
      <c r="B1005" s="25"/>
      <c r="C1005" s="25"/>
      <c r="D1005" s="25"/>
      <c r="E1005" s="25"/>
      <c r="F1005" s="25"/>
      <c r="J1005" s="24"/>
      <c r="U1005" s="24"/>
    </row>
    <row r="1006" spans="1:21" ht="12.75" x14ac:dyDescent="0.2">
      <c r="A1006" s="25"/>
      <c r="B1006" s="25"/>
      <c r="C1006" s="25"/>
      <c r="D1006" s="25"/>
      <c r="E1006" s="25"/>
      <c r="F1006" s="25"/>
      <c r="J1006" s="24"/>
      <c r="U1006" s="24"/>
    </row>
    <row r="1007" spans="1:21" ht="12.75" x14ac:dyDescent="0.2">
      <c r="A1007" s="25"/>
      <c r="B1007" s="25"/>
      <c r="C1007" s="25"/>
      <c r="D1007" s="25"/>
      <c r="E1007" s="25"/>
      <c r="F1007" s="25"/>
      <c r="J1007" s="24"/>
      <c r="U1007" s="24"/>
    </row>
    <row r="1008" spans="1:21" ht="12.75" x14ac:dyDescent="0.2">
      <c r="A1008" s="25"/>
      <c r="B1008" s="25"/>
      <c r="C1008" s="25"/>
      <c r="D1008" s="25"/>
      <c r="E1008" s="25"/>
      <c r="F1008" s="25"/>
      <c r="J1008" s="24"/>
      <c r="U1008" s="24"/>
    </row>
    <row r="1009" spans="1:21" ht="12.75" x14ac:dyDescent="0.2">
      <c r="A1009" s="25"/>
      <c r="B1009" s="25"/>
      <c r="C1009" s="25"/>
      <c r="D1009" s="25"/>
      <c r="E1009" s="25"/>
      <c r="F1009" s="25"/>
      <c r="J1009" s="24"/>
      <c r="U1009" s="24"/>
    </row>
    <row r="1010" spans="1:21" ht="12.75" x14ac:dyDescent="0.2">
      <c r="A1010" s="25"/>
      <c r="B1010" s="25"/>
      <c r="C1010" s="25"/>
      <c r="D1010" s="25"/>
      <c r="E1010" s="25"/>
      <c r="F1010" s="25"/>
      <c r="J1010" s="24"/>
      <c r="U1010" s="24"/>
    </row>
    <row r="1011" spans="1:21" ht="12.75" x14ac:dyDescent="0.2">
      <c r="A1011" s="25"/>
      <c r="B1011" s="25"/>
      <c r="C1011" s="25"/>
      <c r="D1011" s="25"/>
      <c r="E1011" s="25"/>
      <c r="F1011" s="25"/>
      <c r="J1011" s="24"/>
      <c r="U1011" s="24"/>
    </row>
    <row r="1012" spans="1:21" ht="12.75" x14ac:dyDescent="0.2">
      <c r="A1012" s="25"/>
      <c r="B1012" s="25"/>
      <c r="C1012" s="25"/>
      <c r="D1012" s="25"/>
      <c r="E1012" s="25"/>
      <c r="F1012" s="25"/>
      <c r="J1012" s="24"/>
      <c r="U1012" s="24"/>
    </row>
    <row r="1013" spans="1:21" ht="12.75" x14ac:dyDescent="0.2">
      <c r="A1013" s="25"/>
      <c r="B1013" s="25"/>
      <c r="C1013" s="25"/>
      <c r="D1013" s="25"/>
      <c r="E1013" s="25"/>
      <c r="F1013" s="25"/>
      <c r="J1013" s="24"/>
      <c r="U1013" s="24"/>
    </row>
    <row r="1014" spans="1:21" ht="12.75" x14ac:dyDescent="0.2">
      <c r="A1014" s="25"/>
      <c r="B1014" s="25"/>
      <c r="C1014" s="25"/>
      <c r="D1014" s="25"/>
      <c r="E1014" s="25"/>
      <c r="F1014" s="25"/>
      <c r="J1014" s="24"/>
      <c r="U1014" s="24"/>
    </row>
    <row r="1015" spans="1:21" ht="12.75" x14ac:dyDescent="0.2">
      <c r="A1015" s="25"/>
      <c r="B1015" s="25"/>
      <c r="C1015" s="25"/>
      <c r="D1015" s="25"/>
      <c r="E1015" s="25"/>
      <c r="F1015" s="25"/>
      <c r="J1015" s="24"/>
      <c r="U1015" s="24"/>
    </row>
    <row r="1016" spans="1:21" ht="12.75" x14ac:dyDescent="0.2">
      <c r="A1016" s="25"/>
      <c r="B1016" s="25"/>
      <c r="C1016" s="25"/>
      <c r="D1016" s="25"/>
      <c r="E1016" s="25"/>
      <c r="F1016" s="25"/>
      <c r="J1016" s="24"/>
      <c r="U1016" s="24"/>
    </row>
    <row r="1017" spans="1:21" ht="12.75" x14ac:dyDescent="0.2">
      <c r="A1017" s="25"/>
      <c r="B1017" s="25"/>
      <c r="C1017" s="25"/>
      <c r="D1017" s="25"/>
      <c r="E1017" s="25"/>
      <c r="F1017" s="25"/>
      <c r="J1017" s="24"/>
      <c r="U1017" s="24"/>
    </row>
    <row r="1018" spans="1:21" ht="12.75" x14ac:dyDescent="0.2">
      <c r="A1018" s="25"/>
      <c r="B1018" s="25"/>
      <c r="C1018" s="25"/>
      <c r="D1018" s="25"/>
      <c r="E1018" s="25"/>
      <c r="F1018" s="25"/>
      <c r="J1018" s="24"/>
      <c r="U1018" s="24"/>
    </row>
    <row r="1019" spans="1:21" ht="12.75" x14ac:dyDescent="0.2">
      <c r="A1019" s="25"/>
      <c r="B1019" s="25"/>
      <c r="C1019" s="25"/>
      <c r="D1019" s="25"/>
      <c r="E1019" s="25"/>
      <c r="F1019" s="25"/>
      <c r="J1019" s="24"/>
      <c r="U1019" s="24"/>
    </row>
    <row r="1020" spans="1:21" ht="12.75" x14ac:dyDescent="0.2">
      <c r="A1020" s="25"/>
      <c r="B1020" s="25"/>
      <c r="C1020" s="25"/>
      <c r="D1020" s="25"/>
      <c r="E1020" s="25"/>
      <c r="F1020" s="25"/>
      <c r="J1020" s="24"/>
      <c r="U1020" s="24"/>
    </row>
    <row r="1021" spans="1:21" ht="12.75" x14ac:dyDescent="0.2">
      <c r="A1021" s="25"/>
      <c r="B1021" s="25"/>
      <c r="C1021" s="25"/>
      <c r="D1021" s="25"/>
      <c r="E1021" s="25"/>
      <c r="F1021" s="25"/>
      <c r="J1021" s="24"/>
      <c r="U1021" s="24"/>
    </row>
    <row r="1022" spans="1:21" ht="12.75" x14ac:dyDescent="0.2">
      <c r="A1022" s="25"/>
      <c r="B1022" s="25"/>
      <c r="C1022" s="25"/>
      <c r="D1022" s="25"/>
      <c r="E1022" s="25"/>
      <c r="F1022" s="25"/>
      <c r="J1022" s="24"/>
      <c r="U1022" s="24"/>
    </row>
    <row r="1023" spans="1:21" ht="12.75" x14ac:dyDescent="0.2">
      <c r="A1023" s="25"/>
      <c r="B1023" s="25"/>
      <c r="C1023" s="25"/>
      <c r="D1023" s="25"/>
      <c r="E1023" s="25"/>
      <c r="F1023" s="25"/>
      <c r="J1023" s="24"/>
      <c r="U1023" s="24"/>
    </row>
    <row r="1024" spans="1:21" ht="12.75" x14ac:dyDescent="0.2">
      <c r="A1024" s="25"/>
      <c r="B1024" s="25"/>
      <c r="C1024" s="25"/>
      <c r="D1024" s="25"/>
      <c r="E1024" s="25"/>
      <c r="F1024" s="25"/>
      <c r="J1024" s="24"/>
      <c r="U1024" s="24"/>
    </row>
    <row r="1025" spans="1:21" ht="12.75" x14ac:dyDescent="0.2">
      <c r="A1025" s="25"/>
      <c r="B1025" s="25"/>
      <c r="C1025" s="25"/>
      <c r="D1025" s="25"/>
      <c r="E1025" s="25"/>
      <c r="F1025" s="25"/>
      <c r="J1025" s="24"/>
      <c r="U1025" s="24"/>
    </row>
    <row r="1026" spans="1:21" ht="12.75" x14ac:dyDescent="0.2">
      <c r="A1026" s="25"/>
      <c r="B1026" s="25"/>
      <c r="C1026" s="25"/>
      <c r="D1026" s="25"/>
      <c r="E1026" s="25"/>
      <c r="F1026" s="25"/>
      <c r="J1026" s="24"/>
      <c r="U1026" s="24"/>
    </row>
    <row r="1027" spans="1:21" ht="12.75" x14ac:dyDescent="0.2">
      <c r="A1027" s="25"/>
      <c r="B1027" s="25"/>
      <c r="C1027" s="25"/>
      <c r="D1027" s="25"/>
      <c r="E1027" s="25"/>
      <c r="F1027" s="25"/>
      <c r="J1027" s="24"/>
      <c r="U1027" s="24"/>
    </row>
    <row r="1028" spans="1:21" ht="12.75" x14ac:dyDescent="0.2">
      <c r="A1028" s="25"/>
      <c r="B1028" s="25"/>
      <c r="C1028" s="25"/>
      <c r="D1028" s="25"/>
      <c r="E1028" s="25"/>
      <c r="F1028" s="25"/>
      <c r="J1028" s="24"/>
      <c r="U1028" s="24"/>
    </row>
    <row r="1029" spans="1:21" ht="12.75" x14ac:dyDescent="0.2">
      <c r="A1029" s="25"/>
      <c r="B1029" s="25"/>
      <c r="C1029" s="25"/>
      <c r="D1029" s="25"/>
      <c r="E1029" s="25"/>
      <c r="F1029" s="25"/>
      <c r="J1029" s="24"/>
      <c r="U1029" s="24"/>
    </row>
    <row r="1030" spans="1:21" ht="12.75" x14ac:dyDescent="0.2">
      <c r="A1030" s="25"/>
      <c r="B1030" s="25"/>
      <c r="C1030" s="25"/>
      <c r="D1030" s="25"/>
      <c r="E1030" s="25"/>
      <c r="F1030" s="25"/>
      <c r="J1030" s="24"/>
      <c r="U1030" s="24"/>
    </row>
    <row r="1031" spans="1:21" ht="12.75" x14ac:dyDescent="0.2">
      <c r="A1031" s="25"/>
      <c r="B1031" s="25"/>
      <c r="C1031" s="25"/>
      <c r="D1031" s="25"/>
      <c r="E1031" s="25"/>
      <c r="F1031" s="25"/>
      <c r="J1031" s="24"/>
      <c r="U1031" s="24"/>
    </row>
    <row r="1032" spans="1:21" ht="12.75" x14ac:dyDescent="0.2">
      <c r="A1032" s="25"/>
      <c r="B1032" s="25"/>
      <c r="C1032" s="25"/>
      <c r="D1032" s="25"/>
      <c r="E1032" s="25"/>
      <c r="F1032" s="25"/>
      <c r="J1032" s="24"/>
      <c r="U1032" s="24"/>
    </row>
    <row r="1033" spans="1:21" ht="12.75" x14ac:dyDescent="0.2">
      <c r="A1033" s="25"/>
      <c r="B1033" s="25"/>
      <c r="C1033" s="25"/>
      <c r="D1033" s="25"/>
      <c r="E1033" s="25"/>
      <c r="F1033" s="25"/>
      <c r="J1033" s="24"/>
      <c r="U1033" s="24"/>
    </row>
    <row r="1034" spans="1:21" ht="12.75" x14ac:dyDescent="0.2">
      <c r="A1034" s="25"/>
      <c r="B1034" s="25"/>
      <c r="C1034" s="25"/>
      <c r="D1034" s="25"/>
      <c r="E1034" s="25"/>
      <c r="F1034" s="25"/>
      <c r="J1034" s="24"/>
      <c r="U1034" s="24"/>
    </row>
    <row r="1035" spans="1:21" ht="12.75" x14ac:dyDescent="0.2">
      <c r="A1035" s="25"/>
      <c r="B1035" s="25"/>
      <c r="C1035" s="25"/>
      <c r="D1035" s="25"/>
      <c r="E1035" s="25"/>
      <c r="F1035" s="25"/>
      <c r="J1035" s="24"/>
      <c r="U1035" s="24"/>
    </row>
    <row r="1036" spans="1:21" ht="12.75" x14ac:dyDescent="0.2">
      <c r="A1036" s="25"/>
      <c r="B1036" s="25"/>
      <c r="C1036" s="25"/>
      <c r="D1036" s="25"/>
      <c r="E1036" s="25"/>
      <c r="F1036" s="25"/>
      <c r="J1036" s="24"/>
      <c r="U1036" s="24"/>
    </row>
    <row r="1037" spans="1:21" ht="12.75" x14ac:dyDescent="0.2">
      <c r="A1037" s="25"/>
      <c r="B1037" s="25"/>
      <c r="C1037" s="25"/>
      <c r="D1037" s="25"/>
      <c r="E1037" s="25"/>
      <c r="F1037" s="25"/>
      <c r="J1037" s="24"/>
      <c r="U1037" s="24"/>
    </row>
    <row r="1038" spans="1:21" ht="12.75" x14ac:dyDescent="0.2">
      <c r="A1038" s="25"/>
      <c r="B1038" s="25"/>
      <c r="C1038" s="25"/>
      <c r="D1038" s="25"/>
      <c r="E1038" s="25"/>
      <c r="F1038" s="25"/>
      <c r="J1038" s="24"/>
      <c r="U1038" s="24"/>
    </row>
    <row r="1039" spans="1:21" ht="12.75" x14ac:dyDescent="0.2">
      <c r="A1039" s="25"/>
      <c r="B1039" s="25"/>
      <c r="C1039" s="25"/>
      <c r="D1039" s="25"/>
      <c r="E1039" s="25"/>
      <c r="F1039" s="25"/>
      <c r="J1039" s="24"/>
      <c r="U1039" s="24"/>
    </row>
    <row r="1040" spans="1:21" ht="12.75" x14ac:dyDescent="0.2">
      <c r="A1040" s="25"/>
      <c r="B1040" s="25"/>
      <c r="C1040" s="25"/>
      <c r="D1040" s="25"/>
      <c r="E1040" s="25"/>
      <c r="F1040" s="25"/>
      <c r="J1040" s="24"/>
      <c r="U1040" s="24"/>
    </row>
    <row r="1041" spans="1:21" ht="12.75" x14ac:dyDescent="0.2">
      <c r="A1041" s="25"/>
      <c r="B1041" s="25"/>
      <c r="C1041" s="25"/>
      <c r="D1041" s="25"/>
      <c r="E1041" s="25"/>
      <c r="F1041" s="25"/>
      <c r="J1041" s="24"/>
      <c r="U1041" s="24"/>
    </row>
    <row r="1042" spans="1:21" ht="12.75" x14ac:dyDescent="0.2">
      <c r="A1042" s="25"/>
      <c r="B1042" s="25"/>
      <c r="C1042" s="25"/>
      <c r="D1042" s="25"/>
      <c r="E1042" s="25"/>
      <c r="F1042" s="25"/>
      <c r="J1042" s="24"/>
      <c r="U1042" s="24"/>
    </row>
    <row r="1043" spans="1:21" ht="12.75" x14ac:dyDescent="0.2">
      <c r="A1043" s="25"/>
      <c r="B1043" s="25"/>
      <c r="C1043" s="25"/>
      <c r="D1043" s="25"/>
      <c r="E1043" s="25"/>
      <c r="F1043" s="25"/>
      <c r="J1043" s="24"/>
      <c r="U1043" s="24"/>
    </row>
    <row r="1044" spans="1:21" ht="12.75" x14ac:dyDescent="0.2">
      <c r="A1044" s="25"/>
      <c r="B1044" s="25"/>
      <c r="C1044" s="25"/>
      <c r="D1044" s="25"/>
      <c r="E1044" s="25"/>
      <c r="F1044" s="25"/>
      <c r="J1044" s="24"/>
      <c r="U1044" s="24"/>
    </row>
    <row r="1045" spans="1:21" ht="12.75" x14ac:dyDescent="0.2">
      <c r="A1045" s="25"/>
      <c r="B1045" s="25"/>
      <c r="C1045" s="25"/>
      <c r="D1045" s="25"/>
      <c r="E1045" s="25"/>
      <c r="F1045" s="25"/>
      <c r="J1045" s="24"/>
      <c r="U1045" s="24"/>
    </row>
    <row r="1046" spans="1:21" ht="12.75" x14ac:dyDescent="0.2">
      <c r="A1046" s="25"/>
      <c r="B1046" s="25"/>
      <c r="C1046" s="25"/>
      <c r="D1046" s="25"/>
      <c r="E1046" s="25"/>
      <c r="F1046" s="25"/>
      <c r="J1046" s="24"/>
      <c r="U1046" s="24"/>
    </row>
    <row r="1047" spans="1:21" ht="12.75" x14ac:dyDescent="0.2">
      <c r="A1047" s="25"/>
      <c r="B1047" s="25"/>
      <c r="C1047" s="25"/>
      <c r="D1047" s="25"/>
      <c r="E1047" s="25"/>
      <c r="F1047" s="25"/>
      <c r="J1047" s="24"/>
      <c r="U1047" s="24"/>
    </row>
    <row r="1048" spans="1:21" ht="12.75" x14ac:dyDescent="0.2">
      <c r="A1048" s="25"/>
      <c r="B1048" s="25"/>
      <c r="C1048" s="25"/>
      <c r="D1048" s="25"/>
      <c r="E1048" s="25"/>
      <c r="F1048" s="25"/>
      <c r="J1048" s="24"/>
      <c r="U1048" s="24"/>
    </row>
    <row r="1049" spans="1:21" ht="12.75" x14ac:dyDescent="0.2">
      <c r="A1049" s="25"/>
      <c r="B1049" s="25"/>
      <c r="C1049" s="25"/>
      <c r="D1049" s="25"/>
      <c r="E1049" s="25"/>
      <c r="F1049" s="25"/>
      <c r="J1049" s="24"/>
      <c r="U1049" s="24"/>
    </row>
    <row r="1050" spans="1:21" ht="12.75" x14ac:dyDescent="0.2">
      <c r="A1050" s="25"/>
      <c r="B1050" s="25"/>
      <c r="C1050" s="25"/>
      <c r="D1050" s="25"/>
      <c r="E1050" s="25"/>
      <c r="F1050" s="25"/>
      <c r="J1050" s="24"/>
      <c r="U1050" s="24"/>
    </row>
    <row r="1051" spans="1:21" ht="12.75" x14ac:dyDescent="0.2">
      <c r="A1051" s="25"/>
      <c r="B1051" s="25"/>
      <c r="C1051" s="25"/>
      <c r="D1051" s="25"/>
      <c r="E1051" s="25"/>
      <c r="F1051" s="25"/>
      <c r="J1051" s="24"/>
      <c r="U1051" s="24"/>
    </row>
    <row r="1052" spans="1:21" ht="12.75" x14ac:dyDescent="0.2">
      <c r="A1052" s="25"/>
      <c r="B1052" s="25"/>
      <c r="C1052" s="25"/>
      <c r="D1052" s="25"/>
      <c r="E1052" s="25"/>
      <c r="F1052" s="25"/>
      <c r="J1052" s="24"/>
      <c r="U1052" s="24"/>
    </row>
    <row r="1053" spans="1:21" ht="12.75" x14ac:dyDescent="0.2">
      <c r="A1053" s="25"/>
      <c r="B1053" s="25"/>
      <c r="C1053" s="25"/>
      <c r="D1053" s="25"/>
      <c r="E1053" s="25"/>
      <c r="F1053" s="25"/>
      <c r="J1053" s="24"/>
      <c r="U1053" s="24"/>
    </row>
    <row r="1054" spans="1:21" ht="12.75" x14ac:dyDescent="0.2">
      <c r="A1054" s="25"/>
      <c r="B1054" s="25"/>
      <c r="C1054" s="25"/>
      <c r="D1054" s="25"/>
      <c r="E1054" s="25"/>
      <c r="F1054" s="25"/>
      <c r="J1054" s="24"/>
      <c r="U1054" s="24"/>
    </row>
    <row r="1055" spans="1:21" ht="12.75" x14ac:dyDescent="0.2">
      <c r="A1055" s="25"/>
      <c r="B1055" s="25"/>
      <c r="C1055" s="25"/>
      <c r="D1055" s="25"/>
      <c r="E1055" s="25"/>
      <c r="F1055" s="25"/>
      <c r="J1055" s="24"/>
      <c r="U1055" s="24"/>
    </row>
    <row r="1056" spans="1:21" ht="12.75" x14ac:dyDescent="0.2">
      <c r="A1056" s="25"/>
      <c r="B1056" s="25"/>
      <c r="C1056" s="25"/>
      <c r="D1056" s="25"/>
      <c r="E1056" s="25"/>
      <c r="F1056" s="25"/>
      <c r="J1056" s="24"/>
      <c r="U1056" s="24"/>
    </row>
    <row r="1057" spans="1:21" ht="12.75" x14ac:dyDescent="0.2">
      <c r="A1057" s="25"/>
      <c r="B1057" s="25"/>
      <c r="C1057" s="25"/>
      <c r="D1057" s="25"/>
      <c r="E1057" s="25"/>
      <c r="F1057" s="25"/>
      <c r="J1057" s="24"/>
      <c r="U1057" s="24"/>
    </row>
    <row r="1058" spans="1:21" ht="12.75" x14ac:dyDescent="0.2">
      <c r="A1058" s="25"/>
      <c r="B1058" s="25"/>
      <c r="C1058" s="25"/>
      <c r="D1058" s="25"/>
      <c r="E1058" s="25"/>
      <c r="F1058" s="25"/>
      <c r="J1058" s="24"/>
      <c r="U1058" s="24"/>
    </row>
    <row r="1059" spans="1:21" ht="12.75" x14ac:dyDescent="0.2">
      <c r="A1059" s="25"/>
      <c r="B1059" s="25"/>
      <c r="C1059" s="25"/>
      <c r="D1059" s="25"/>
      <c r="E1059" s="25"/>
      <c r="F1059" s="25"/>
      <c r="J1059" s="24"/>
      <c r="U1059" s="24"/>
    </row>
    <row r="1060" spans="1:21" ht="12.75" x14ac:dyDescent="0.2">
      <c r="A1060" s="25"/>
      <c r="B1060" s="25"/>
      <c r="C1060" s="25"/>
      <c r="D1060" s="25"/>
      <c r="E1060" s="25"/>
      <c r="F1060" s="25"/>
      <c r="J1060" s="24"/>
      <c r="U1060" s="24"/>
    </row>
    <row r="1061" spans="1:21" ht="12.75" x14ac:dyDescent="0.2">
      <c r="A1061" s="25"/>
      <c r="B1061" s="25"/>
      <c r="C1061" s="25"/>
      <c r="D1061" s="25"/>
      <c r="E1061" s="25"/>
      <c r="F1061" s="25"/>
      <c r="J1061" s="24"/>
      <c r="U1061" s="24"/>
    </row>
    <row r="1062" spans="1:21" ht="12.75" x14ac:dyDescent="0.2">
      <c r="A1062" s="25"/>
      <c r="B1062" s="25"/>
      <c r="C1062" s="25"/>
      <c r="D1062" s="25"/>
      <c r="E1062" s="25"/>
      <c r="F1062" s="25"/>
      <c r="J1062" s="24"/>
      <c r="U1062" s="24"/>
    </row>
    <row r="1063" spans="1:21" ht="12.75" x14ac:dyDescent="0.2">
      <c r="A1063" s="25"/>
      <c r="B1063" s="25"/>
      <c r="C1063" s="25"/>
      <c r="D1063" s="25"/>
      <c r="E1063" s="25"/>
      <c r="F1063" s="25"/>
      <c r="J1063" s="24"/>
      <c r="U1063" s="24"/>
    </row>
    <row r="1064" spans="1:21" ht="12.75" x14ac:dyDescent="0.2">
      <c r="A1064" s="25"/>
      <c r="B1064" s="25"/>
      <c r="C1064" s="25"/>
      <c r="D1064" s="25"/>
      <c r="E1064" s="25"/>
      <c r="F1064" s="25"/>
      <c r="J1064" s="24"/>
      <c r="U1064" s="24"/>
    </row>
    <row r="1065" spans="1:21" ht="12.75" x14ac:dyDescent="0.2">
      <c r="A1065" s="25"/>
      <c r="B1065" s="25"/>
      <c r="C1065" s="25"/>
      <c r="D1065" s="25"/>
      <c r="E1065" s="25"/>
      <c r="F1065" s="25"/>
      <c r="J1065" s="24"/>
      <c r="U1065" s="24"/>
    </row>
    <row r="1066" spans="1:21" ht="12.75" x14ac:dyDescent="0.2">
      <c r="A1066" s="25"/>
      <c r="B1066" s="25"/>
      <c r="C1066" s="25"/>
      <c r="D1066" s="25"/>
      <c r="E1066" s="25"/>
      <c r="F1066" s="25"/>
      <c r="J1066" s="24"/>
      <c r="U1066" s="24"/>
    </row>
    <row r="1067" spans="1:21" ht="12.75" x14ac:dyDescent="0.2">
      <c r="A1067" s="25"/>
      <c r="B1067" s="25"/>
      <c r="C1067" s="25"/>
      <c r="D1067" s="25"/>
      <c r="E1067" s="25"/>
      <c r="F1067" s="25"/>
      <c r="J1067" s="24"/>
      <c r="U1067" s="24"/>
    </row>
    <row r="1068" spans="1:21" ht="12.75" x14ac:dyDescent="0.2">
      <c r="A1068" s="25"/>
      <c r="B1068" s="25"/>
      <c r="C1068" s="25"/>
      <c r="D1068" s="25"/>
      <c r="E1068" s="25"/>
      <c r="F1068" s="25"/>
      <c r="J1068" s="24"/>
      <c r="U1068" s="24"/>
    </row>
    <row r="1069" spans="1:21" ht="12.75" x14ac:dyDescent="0.2">
      <c r="A1069" s="25"/>
      <c r="B1069" s="25"/>
      <c r="C1069" s="25"/>
      <c r="D1069" s="25"/>
      <c r="E1069" s="25"/>
      <c r="F1069" s="25"/>
      <c r="J1069" s="24"/>
      <c r="U1069" s="24"/>
    </row>
    <row r="1070" spans="1:21" ht="12.75" x14ac:dyDescent="0.2">
      <c r="A1070" s="25"/>
      <c r="B1070" s="25"/>
      <c r="C1070" s="25"/>
      <c r="D1070" s="25"/>
      <c r="E1070" s="25"/>
      <c r="F1070" s="25"/>
      <c r="J1070" s="24"/>
      <c r="U1070" s="24"/>
    </row>
    <row r="1071" spans="1:21" ht="12.75" x14ac:dyDescent="0.2">
      <c r="A1071" s="25"/>
      <c r="B1071" s="25"/>
      <c r="C1071" s="25"/>
      <c r="D1071" s="25"/>
      <c r="E1071" s="25"/>
      <c r="F1071" s="25"/>
      <c r="J1071" s="24"/>
      <c r="U1071" s="24"/>
    </row>
    <row r="1072" spans="1:21" ht="12.75" x14ac:dyDescent="0.2">
      <c r="A1072" s="25"/>
      <c r="B1072" s="25"/>
      <c r="C1072" s="25"/>
      <c r="D1072" s="25"/>
      <c r="E1072" s="25"/>
      <c r="F1072" s="25"/>
      <c r="J1072" s="24"/>
      <c r="U1072" s="24"/>
    </row>
    <row r="1073" spans="1:21" ht="12.75" x14ac:dyDescent="0.2">
      <c r="A1073" s="25"/>
      <c r="B1073" s="25"/>
      <c r="C1073" s="25"/>
      <c r="D1073" s="25"/>
      <c r="E1073" s="25"/>
      <c r="F1073" s="25"/>
      <c r="J1073" s="24"/>
      <c r="U1073" s="24"/>
    </row>
    <row r="1074" spans="1:21" ht="12.75" x14ac:dyDescent="0.2">
      <c r="A1074" s="25"/>
      <c r="B1074" s="25"/>
      <c r="C1074" s="25"/>
      <c r="D1074" s="25"/>
      <c r="E1074" s="25"/>
      <c r="F1074" s="25"/>
      <c r="J1074" s="24"/>
      <c r="U1074" s="24"/>
    </row>
    <row r="1075" spans="1:21" ht="12.75" x14ac:dyDescent="0.2">
      <c r="A1075" s="25"/>
      <c r="B1075" s="25"/>
      <c r="C1075" s="25"/>
      <c r="D1075" s="25"/>
      <c r="E1075" s="25"/>
      <c r="F1075" s="25"/>
      <c r="J1075" s="24"/>
      <c r="U1075" s="24"/>
    </row>
    <row r="1076" spans="1:21" ht="12.75" x14ac:dyDescent="0.2">
      <c r="A1076" s="25"/>
      <c r="B1076" s="25"/>
      <c r="C1076" s="25"/>
      <c r="D1076" s="25"/>
      <c r="E1076" s="25"/>
      <c r="F1076" s="25"/>
      <c r="J1076" s="24"/>
      <c r="U1076" s="24"/>
    </row>
    <row r="1077" spans="1:21" ht="12.75" x14ac:dyDescent="0.2">
      <c r="A1077" s="25"/>
      <c r="B1077" s="25"/>
      <c r="C1077" s="25"/>
      <c r="D1077" s="25"/>
      <c r="E1077" s="25"/>
      <c r="F1077" s="25"/>
      <c r="J1077" s="24"/>
      <c r="U1077" s="24"/>
    </row>
    <row r="1078" spans="1:21" ht="12.75" x14ac:dyDescent="0.2">
      <c r="A1078" s="25"/>
      <c r="B1078" s="25"/>
      <c r="C1078" s="25"/>
      <c r="D1078" s="25"/>
      <c r="E1078" s="25"/>
      <c r="F1078" s="25"/>
      <c r="J1078" s="24"/>
      <c r="U1078" s="24"/>
    </row>
    <row r="1079" spans="1:21" ht="12.75" x14ac:dyDescent="0.2">
      <c r="A1079" s="25"/>
      <c r="B1079" s="25"/>
      <c r="C1079" s="25"/>
      <c r="D1079" s="25"/>
      <c r="E1079" s="25"/>
      <c r="F1079" s="25"/>
      <c r="J1079" s="24"/>
      <c r="U1079" s="24"/>
    </row>
    <row r="1080" spans="1:21" ht="12.75" x14ac:dyDescent="0.2">
      <c r="A1080" s="25"/>
      <c r="B1080" s="25"/>
      <c r="C1080" s="25"/>
      <c r="D1080" s="25"/>
      <c r="E1080" s="25"/>
      <c r="F1080" s="25"/>
      <c r="J1080" s="24"/>
      <c r="U1080" s="24"/>
    </row>
    <row r="1081" spans="1:21" ht="12.75" x14ac:dyDescent="0.2">
      <c r="A1081" s="25"/>
      <c r="B1081" s="25"/>
      <c r="C1081" s="25"/>
      <c r="D1081" s="25"/>
      <c r="E1081" s="25"/>
      <c r="F1081" s="25"/>
      <c r="J1081" s="24"/>
      <c r="U1081" s="24"/>
    </row>
    <row r="1082" spans="1:21" ht="12.75" x14ac:dyDescent="0.2">
      <c r="A1082" s="25"/>
      <c r="B1082" s="25"/>
      <c r="C1082" s="25"/>
      <c r="D1082" s="25"/>
      <c r="E1082" s="25"/>
      <c r="F1082" s="25"/>
      <c r="J1082" s="24"/>
      <c r="U1082" s="24"/>
    </row>
    <row r="1083" spans="1:21" ht="12.75" x14ac:dyDescent="0.2">
      <c r="A1083" s="25"/>
      <c r="B1083" s="25"/>
      <c r="C1083" s="25"/>
      <c r="D1083" s="25"/>
      <c r="E1083" s="25"/>
      <c r="F1083" s="25"/>
      <c r="J1083" s="24"/>
      <c r="U1083" s="24"/>
    </row>
    <row r="1084" spans="1:21" ht="12.75" x14ac:dyDescent="0.2">
      <c r="A1084" s="25"/>
      <c r="B1084" s="25"/>
      <c r="C1084" s="25"/>
      <c r="D1084" s="25"/>
      <c r="E1084" s="25"/>
      <c r="F1084" s="25"/>
      <c r="J1084" s="24"/>
      <c r="U1084" s="24"/>
    </row>
    <row r="1085" spans="1:21" ht="12.75" x14ac:dyDescent="0.2">
      <c r="A1085" s="25"/>
      <c r="B1085" s="25"/>
      <c r="C1085" s="25"/>
      <c r="D1085" s="25"/>
      <c r="E1085" s="25"/>
      <c r="F1085" s="25"/>
      <c r="J1085" s="24"/>
      <c r="U1085" s="24"/>
    </row>
    <row r="1086" spans="1:21" ht="12.75" x14ac:dyDescent="0.2">
      <c r="A1086" s="25"/>
      <c r="B1086" s="25"/>
      <c r="C1086" s="25"/>
      <c r="D1086" s="25"/>
      <c r="E1086" s="25"/>
      <c r="F1086" s="25"/>
      <c r="J1086" s="24"/>
      <c r="U1086" s="24"/>
    </row>
    <row r="1087" spans="1:21" ht="12.75" x14ac:dyDescent="0.2">
      <c r="A1087" s="25"/>
      <c r="B1087" s="25"/>
      <c r="C1087" s="25"/>
      <c r="D1087" s="25"/>
      <c r="E1087" s="25"/>
      <c r="F1087" s="25"/>
      <c r="J1087" s="24"/>
      <c r="U1087" s="24"/>
    </row>
    <row r="1088" spans="1:21" ht="12.75" x14ac:dyDescent="0.2">
      <c r="A1088" s="25"/>
      <c r="B1088" s="25"/>
      <c r="C1088" s="25"/>
      <c r="D1088" s="25"/>
      <c r="E1088" s="25"/>
      <c r="F1088" s="25"/>
      <c r="J1088" s="24"/>
      <c r="U1088" s="24"/>
    </row>
    <row r="1089" spans="1:21" ht="12.75" x14ac:dyDescent="0.2">
      <c r="A1089" s="25"/>
      <c r="B1089" s="25"/>
      <c r="C1089" s="25"/>
      <c r="D1089" s="25"/>
      <c r="E1089" s="25"/>
      <c r="F1089" s="25"/>
      <c r="J1089" s="24"/>
      <c r="U1089" s="24"/>
    </row>
    <row r="1090" spans="1:21" ht="12.75" x14ac:dyDescent="0.2">
      <c r="A1090" s="25"/>
      <c r="B1090" s="25"/>
      <c r="C1090" s="25"/>
      <c r="D1090" s="25"/>
      <c r="E1090" s="25"/>
      <c r="F1090" s="25"/>
      <c r="J1090" s="24"/>
      <c r="U1090" s="24"/>
    </row>
    <row r="1091" spans="1:21" ht="12.75" x14ac:dyDescent="0.2">
      <c r="A1091" s="25"/>
      <c r="B1091" s="25"/>
      <c r="C1091" s="25"/>
      <c r="D1091" s="25"/>
      <c r="E1091" s="25"/>
      <c r="F1091" s="25"/>
      <c r="J1091" s="24"/>
      <c r="U1091" s="24"/>
    </row>
    <row r="1092" spans="1:21" ht="12.75" x14ac:dyDescent="0.2">
      <c r="A1092" s="25"/>
      <c r="B1092" s="25"/>
      <c r="C1092" s="25"/>
      <c r="D1092" s="25"/>
      <c r="E1092" s="25"/>
      <c r="F1092" s="25"/>
      <c r="J1092" s="24"/>
      <c r="U1092" s="24"/>
    </row>
    <row r="1093" spans="1:21" ht="12.75" x14ac:dyDescent="0.2">
      <c r="A1093" s="25"/>
      <c r="B1093" s="25"/>
      <c r="C1093" s="25"/>
      <c r="D1093" s="25"/>
      <c r="E1093" s="25"/>
      <c r="F1093" s="25"/>
      <c r="J1093" s="24"/>
      <c r="U1093" s="24"/>
    </row>
    <row r="1094" spans="1:21" ht="12.75" x14ac:dyDescent="0.2">
      <c r="A1094" s="25"/>
      <c r="B1094" s="25"/>
      <c r="C1094" s="25"/>
      <c r="D1094" s="25"/>
      <c r="E1094" s="25"/>
      <c r="F1094" s="25"/>
      <c r="J1094" s="24"/>
      <c r="U1094" s="24"/>
    </row>
    <row r="1095" spans="1:21" ht="12.75" x14ac:dyDescent="0.2">
      <c r="A1095" s="25"/>
      <c r="B1095" s="25"/>
      <c r="C1095" s="25"/>
      <c r="D1095" s="25"/>
      <c r="E1095" s="25"/>
      <c r="F1095" s="25"/>
      <c r="J1095" s="24"/>
      <c r="U1095" s="24"/>
    </row>
    <row r="1096" spans="1:21" ht="12.75" x14ac:dyDescent="0.2">
      <c r="A1096" s="25"/>
      <c r="B1096" s="25"/>
      <c r="C1096" s="25"/>
      <c r="D1096" s="25"/>
      <c r="E1096" s="25"/>
      <c r="F1096" s="25"/>
      <c r="J1096" s="24"/>
      <c r="U1096" s="24"/>
    </row>
    <row r="1097" spans="1:21" ht="12.75" x14ac:dyDescent="0.2">
      <c r="A1097" s="25"/>
      <c r="B1097" s="25"/>
      <c r="C1097" s="25"/>
      <c r="D1097" s="25"/>
      <c r="E1097" s="25"/>
      <c r="F1097" s="25"/>
      <c r="J1097" s="24"/>
      <c r="U1097" s="24"/>
    </row>
    <row r="1098" spans="1:21" ht="12.75" x14ac:dyDescent="0.2">
      <c r="A1098" s="25"/>
      <c r="B1098" s="25"/>
      <c r="C1098" s="25"/>
      <c r="D1098" s="25"/>
      <c r="E1098" s="25"/>
      <c r="F1098" s="25"/>
      <c r="J1098" s="24"/>
      <c r="U1098" s="24"/>
    </row>
    <row r="1099" spans="1:21" ht="12.75" x14ac:dyDescent="0.2">
      <c r="A1099" s="25"/>
      <c r="B1099" s="25"/>
      <c r="C1099" s="25"/>
      <c r="D1099" s="25"/>
      <c r="E1099" s="25"/>
      <c r="F1099" s="25"/>
      <c r="J1099" s="24"/>
      <c r="U1099" s="24"/>
    </row>
    <row r="1100" spans="1:21" ht="12.75" x14ac:dyDescent="0.2">
      <c r="A1100" s="25"/>
      <c r="B1100" s="25"/>
      <c r="C1100" s="25"/>
      <c r="D1100" s="25"/>
      <c r="E1100" s="25"/>
      <c r="F1100" s="25"/>
      <c r="J1100" s="24"/>
      <c r="U1100" s="24"/>
    </row>
    <row r="1101" spans="1:21" ht="12.75" x14ac:dyDescent="0.2">
      <c r="A1101" s="25"/>
      <c r="B1101" s="25"/>
      <c r="C1101" s="25"/>
      <c r="D1101" s="25"/>
      <c r="E1101" s="25"/>
      <c r="F1101" s="25"/>
      <c r="J1101" s="24"/>
      <c r="U1101" s="24"/>
    </row>
    <row r="1102" spans="1:21" ht="12.75" x14ac:dyDescent="0.2">
      <c r="A1102" s="25"/>
      <c r="B1102" s="25"/>
      <c r="C1102" s="25"/>
      <c r="D1102" s="25"/>
      <c r="E1102" s="25"/>
      <c r="F1102" s="25"/>
      <c r="J1102" s="24"/>
      <c r="U1102" s="24"/>
    </row>
    <row r="1103" spans="1:21" ht="12.75" x14ac:dyDescent="0.2">
      <c r="A1103" s="25"/>
      <c r="B1103" s="25"/>
      <c r="C1103" s="25"/>
      <c r="D1103" s="25"/>
      <c r="E1103" s="25"/>
      <c r="F1103" s="25"/>
      <c r="J1103" s="24"/>
      <c r="U1103" s="24"/>
    </row>
    <row r="1104" spans="1:21" ht="12.75" x14ac:dyDescent="0.2">
      <c r="A1104" s="25"/>
      <c r="B1104" s="25"/>
      <c r="C1104" s="25"/>
      <c r="D1104" s="25"/>
      <c r="E1104" s="25"/>
      <c r="F1104" s="25"/>
      <c r="J1104" s="24"/>
      <c r="U1104" s="24"/>
    </row>
    <row r="1105" spans="1:21" ht="12.75" x14ac:dyDescent="0.2">
      <c r="A1105" s="25"/>
      <c r="B1105" s="25"/>
      <c r="C1105" s="25"/>
      <c r="D1105" s="25"/>
      <c r="E1105" s="25"/>
      <c r="F1105" s="25"/>
      <c r="J1105" s="24"/>
      <c r="U1105" s="24"/>
    </row>
    <row r="1106" spans="1:21" ht="12.75" x14ac:dyDescent="0.2">
      <c r="A1106" s="25"/>
      <c r="B1106" s="25"/>
      <c r="C1106" s="25"/>
      <c r="D1106" s="25"/>
      <c r="E1106" s="25"/>
      <c r="F1106" s="25"/>
      <c r="J1106" s="24"/>
      <c r="U1106" s="24"/>
    </row>
    <row r="1107" spans="1:21" ht="12.75" x14ac:dyDescent="0.2">
      <c r="A1107" s="25"/>
      <c r="B1107" s="25"/>
      <c r="C1107" s="25"/>
      <c r="D1107" s="25"/>
      <c r="E1107" s="25"/>
      <c r="F1107" s="25"/>
      <c r="J1107" s="24"/>
      <c r="U1107" s="24"/>
    </row>
    <row r="1108" spans="1:21" ht="12.75" x14ac:dyDescent="0.2">
      <c r="A1108" s="25"/>
      <c r="B1108" s="25"/>
      <c r="C1108" s="25"/>
      <c r="D1108" s="25"/>
      <c r="E1108" s="25"/>
      <c r="F1108" s="25"/>
      <c r="J1108" s="24"/>
      <c r="U1108" s="24"/>
    </row>
    <row r="1109" spans="1:21" ht="12.75" x14ac:dyDescent="0.2">
      <c r="A1109" s="25"/>
      <c r="B1109" s="25"/>
      <c r="C1109" s="25"/>
      <c r="D1109" s="25"/>
      <c r="E1109" s="25"/>
      <c r="F1109" s="25"/>
      <c r="J1109" s="24"/>
      <c r="U1109" s="24"/>
    </row>
    <row r="1110" spans="1:21" ht="12.75" x14ac:dyDescent="0.2">
      <c r="A1110" s="25"/>
      <c r="B1110" s="25"/>
      <c r="C1110" s="25"/>
      <c r="D1110" s="25"/>
      <c r="E1110" s="25"/>
      <c r="F1110" s="25"/>
      <c r="J1110" s="24"/>
      <c r="U1110" s="24"/>
    </row>
    <row r="1111" spans="1:21" ht="12.75" x14ac:dyDescent="0.2">
      <c r="A1111" s="25"/>
      <c r="B1111" s="25"/>
      <c r="C1111" s="25"/>
      <c r="D1111" s="25"/>
      <c r="E1111" s="25"/>
      <c r="F1111" s="25"/>
      <c r="J1111" s="24"/>
      <c r="U1111" s="24"/>
    </row>
    <row r="1112" spans="1:21" ht="12.75" x14ac:dyDescent="0.2">
      <c r="A1112" s="25"/>
      <c r="B1112" s="25"/>
      <c r="C1112" s="25"/>
      <c r="D1112" s="25"/>
      <c r="E1112" s="25"/>
      <c r="F1112" s="25"/>
      <c r="J1112" s="24"/>
      <c r="U1112" s="24"/>
    </row>
    <row r="1113" spans="1:21" ht="12.75" x14ac:dyDescent="0.2">
      <c r="A1113" s="25"/>
      <c r="B1113" s="25"/>
      <c r="C1113" s="25"/>
      <c r="D1113" s="25"/>
      <c r="E1113" s="25"/>
      <c r="F1113" s="25"/>
      <c r="J1113" s="24"/>
      <c r="U1113" s="24"/>
    </row>
    <row r="1114" spans="1:21" ht="12.75" x14ac:dyDescent="0.2">
      <c r="A1114" s="25"/>
      <c r="B1114" s="25"/>
      <c r="C1114" s="25"/>
      <c r="D1114" s="25"/>
      <c r="E1114" s="25"/>
      <c r="F1114" s="25"/>
      <c r="J1114" s="24"/>
      <c r="U1114" s="24"/>
    </row>
    <row r="1115" spans="1:21" ht="12.75" x14ac:dyDescent="0.2">
      <c r="A1115" s="25"/>
      <c r="B1115" s="25"/>
      <c r="C1115" s="25"/>
      <c r="D1115" s="25"/>
      <c r="E1115" s="25"/>
      <c r="F1115" s="25"/>
      <c r="J1115" s="24"/>
      <c r="U1115" s="24"/>
    </row>
    <row r="1116" spans="1:21" ht="12.75" x14ac:dyDescent="0.2">
      <c r="A1116" s="25"/>
      <c r="B1116" s="25"/>
      <c r="C1116" s="25"/>
      <c r="D1116" s="25"/>
      <c r="E1116" s="25"/>
      <c r="F1116" s="25"/>
      <c r="J1116" s="24"/>
      <c r="U1116" s="24"/>
    </row>
    <row r="1117" spans="1:21" ht="12.75" x14ac:dyDescent="0.2">
      <c r="A1117" s="25"/>
      <c r="B1117" s="25"/>
      <c r="C1117" s="25"/>
      <c r="D1117" s="25"/>
      <c r="E1117" s="25"/>
      <c r="F1117" s="25"/>
      <c r="J1117" s="24"/>
      <c r="U1117" s="24"/>
    </row>
    <row r="1118" spans="1:21" ht="12.75" x14ac:dyDescent="0.2">
      <c r="A1118" s="25"/>
      <c r="B1118" s="25"/>
      <c r="C1118" s="25"/>
      <c r="D1118" s="25"/>
      <c r="E1118" s="25"/>
      <c r="F1118" s="25"/>
      <c r="J1118" s="24"/>
      <c r="U1118" s="24"/>
    </row>
    <row r="1119" spans="1:21" ht="12.75" x14ac:dyDescent="0.2">
      <c r="A1119" s="25"/>
      <c r="B1119" s="25"/>
      <c r="C1119" s="25"/>
      <c r="D1119" s="25"/>
      <c r="E1119" s="25"/>
      <c r="F1119" s="25"/>
      <c r="J1119" s="24"/>
      <c r="U1119" s="24"/>
    </row>
    <row r="1120" spans="1:21" ht="12.75" x14ac:dyDescent="0.2">
      <c r="A1120" s="25"/>
      <c r="B1120" s="25"/>
      <c r="C1120" s="25"/>
      <c r="D1120" s="25"/>
      <c r="E1120" s="25"/>
      <c r="F1120" s="25"/>
      <c r="J1120" s="24"/>
      <c r="U1120" s="24"/>
    </row>
    <row r="1121" spans="1:21" ht="12.75" x14ac:dyDescent="0.2">
      <c r="A1121" s="25"/>
      <c r="B1121" s="25"/>
      <c r="C1121" s="25"/>
      <c r="D1121" s="25"/>
      <c r="E1121" s="25"/>
      <c r="F1121" s="25"/>
      <c r="J1121" s="24"/>
      <c r="U1121" s="24"/>
    </row>
    <row r="1122" spans="1:21" ht="12.75" x14ac:dyDescent="0.2">
      <c r="A1122" s="25"/>
      <c r="B1122" s="25"/>
      <c r="C1122" s="25"/>
      <c r="D1122" s="25"/>
      <c r="E1122" s="25"/>
      <c r="F1122" s="25"/>
      <c r="J1122" s="24"/>
      <c r="U1122" s="24"/>
    </row>
    <row r="1123" spans="1:21" ht="12.75" x14ac:dyDescent="0.2">
      <c r="A1123" s="25"/>
      <c r="B1123" s="25"/>
      <c r="C1123" s="25"/>
      <c r="D1123" s="25"/>
      <c r="E1123" s="25"/>
      <c r="F1123" s="25"/>
      <c r="J1123" s="24"/>
      <c r="U1123" s="24"/>
    </row>
    <row r="1124" spans="1:21" ht="12.75" x14ac:dyDescent="0.2">
      <c r="A1124" s="25"/>
      <c r="B1124" s="25"/>
      <c r="C1124" s="25"/>
      <c r="D1124" s="25"/>
      <c r="E1124" s="25"/>
      <c r="F1124" s="25"/>
      <c r="J1124" s="24"/>
      <c r="U1124" s="24"/>
    </row>
    <row r="1125" spans="1:21" ht="12.75" x14ac:dyDescent="0.2">
      <c r="A1125" s="25"/>
      <c r="B1125" s="25"/>
      <c r="C1125" s="25"/>
      <c r="D1125" s="25"/>
      <c r="E1125" s="25"/>
      <c r="F1125" s="25"/>
      <c r="J1125" s="24"/>
      <c r="U1125" s="24"/>
    </row>
    <row r="1126" spans="1:21" ht="12.75" x14ac:dyDescent="0.2">
      <c r="A1126" s="25"/>
      <c r="B1126" s="25"/>
      <c r="C1126" s="25"/>
      <c r="D1126" s="25"/>
      <c r="E1126" s="25"/>
      <c r="F1126" s="25"/>
      <c r="J1126" s="24"/>
      <c r="U1126" s="24"/>
    </row>
    <row r="1127" spans="1:21" ht="12.75" x14ac:dyDescent="0.2">
      <c r="A1127" s="25"/>
      <c r="B1127" s="25"/>
      <c r="C1127" s="25"/>
      <c r="D1127" s="25"/>
      <c r="E1127" s="25"/>
      <c r="F1127" s="25"/>
      <c r="J1127" s="24"/>
      <c r="U1127" s="24"/>
    </row>
    <row r="1128" spans="1:21" ht="12.75" x14ac:dyDescent="0.2">
      <c r="A1128" s="25"/>
      <c r="B1128" s="25"/>
      <c r="C1128" s="25"/>
      <c r="D1128" s="25"/>
      <c r="E1128" s="25"/>
      <c r="F1128" s="25"/>
      <c r="J1128" s="24"/>
      <c r="U1128" s="24"/>
    </row>
    <row r="1129" spans="1:21" ht="12.75" x14ac:dyDescent="0.2">
      <c r="A1129" s="25"/>
      <c r="B1129" s="25"/>
      <c r="C1129" s="25"/>
      <c r="D1129" s="25"/>
      <c r="E1129" s="25"/>
      <c r="F1129" s="25"/>
      <c r="J1129" s="24"/>
      <c r="U1129" s="24"/>
    </row>
    <row r="1130" spans="1:21" ht="12.75" x14ac:dyDescent="0.2">
      <c r="A1130" s="25"/>
      <c r="B1130" s="25"/>
      <c r="C1130" s="25"/>
      <c r="D1130" s="25"/>
      <c r="E1130" s="25"/>
      <c r="F1130" s="25"/>
      <c r="J1130" s="24"/>
      <c r="U1130" s="24"/>
    </row>
    <row r="1131" spans="1:21" ht="12.75" x14ac:dyDescent="0.2">
      <c r="A1131" s="25"/>
      <c r="B1131" s="25"/>
      <c r="C1131" s="25"/>
      <c r="D1131" s="25"/>
      <c r="E1131" s="25"/>
      <c r="F1131" s="25"/>
      <c r="J1131" s="24"/>
      <c r="U1131" s="24"/>
    </row>
    <row r="1132" spans="1:21" ht="12.75" x14ac:dyDescent="0.2">
      <c r="A1132" s="25"/>
      <c r="B1132" s="25"/>
      <c r="C1132" s="25"/>
      <c r="D1132" s="25"/>
      <c r="E1132" s="25"/>
      <c r="F1132" s="25"/>
      <c r="J1132" s="24"/>
      <c r="U1132" s="24"/>
    </row>
    <row r="1133" spans="1:21" ht="12.75" x14ac:dyDescent="0.2">
      <c r="A1133" s="25"/>
      <c r="B1133" s="25"/>
      <c r="C1133" s="25"/>
      <c r="D1133" s="25"/>
      <c r="E1133" s="25"/>
      <c r="F1133" s="25"/>
      <c r="J1133" s="24"/>
      <c r="U1133" s="24"/>
    </row>
    <row r="1134" spans="1:21" ht="12.75" x14ac:dyDescent="0.2">
      <c r="A1134" s="25"/>
      <c r="B1134" s="25"/>
      <c r="C1134" s="25"/>
      <c r="D1134" s="25"/>
      <c r="E1134" s="25"/>
      <c r="F1134" s="25"/>
      <c r="J1134" s="24"/>
      <c r="U1134" s="24"/>
    </row>
    <row r="1135" spans="1:21" ht="12.75" x14ac:dyDescent="0.2">
      <c r="A1135" s="25"/>
      <c r="B1135" s="25"/>
      <c r="C1135" s="25"/>
      <c r="D1135" s="25"/>
      <c r="E1135" s="25"/>
      <c r="F1135" s="25"/>
      <c r="J1135" s="24"/>
      <c r="U1135" s="24"/>
    </row>
    <row r="1136" spans="1:21" ht="12.75" x14ac:dyDescent="0.2">
      <c r="A1136" s="25"/>
      <c r="B1136" s="25"/>
      <c r="C1136" s="25"/>
      <c r="D1136" s="25"/>
      <c r="E1136" s="25"/>
      <c r="F1136" s="25"/>
      <c r="J1136" s="24"/>
      <c r="U1136" s="24"/>
    </row>
    <row r="1137" spans="1:21" ht="12.75" x14ac:dyDescent="0.2">
      <c r="A1137" s="25"/>
      <c r="B1137" s="25"/>
      <c r="C1137" s="25"/>
      <c r="D1137" s="25"/>
      <c r="E1137" s="25"/>
      <c r="F1137" s="25"/>
      <c r="J1137" s="24"/>
      <c r="U1137" s="24"/>
    </row>
    <row r="1138" spans="1:21" ht="12.75" x14ac:dyDescent="0.2">
      <c r="A1138" s="25"/>
      <c r="B1138" s="25"/>
      <c r="C1138" s="25"/>
      <c r="D1138" s="25"/>
      <c r="E1138" s="25"/>
      <c r="F1138" s="25"/>
      <c r="J1138" s="24"/>
      <c r="U1138" s="24"/>
    </row>
    <row r="1139" spans="1:21" ht="12.75" x14ac:dyDescent="0.2">
      <c r="A1139" s="25"/>
      <c r="B1139" s="25"/>
      <c r="C1139" s="25"/>
      <c r="D1139" s="25"/>
      <c r="E1139" s="25"/>
      <c r="F1139" s="25"/>
      <c r="J1139" s="24"/>
      <c r="U1139" s="24"/>
    </row>
    <row r="1140" spans="1:21" ht="12.75" x14ac:dyDescent="0.2">
      <c r="A1140" s="25"/>
      <c r="B1140" s="25"/>
      <c r="C1140" s="25"/>
      <c r="D1140" s="25"/>
      <c r="E1140" s="25"/>
      <c r="F1140" s="25"/>
      <c r="J1140" s="24"/>
      <c r="U1140" s="24"/>
    </row>
    <row r="1141" spans="1:21" ht="12.75" x14ac:dyDescent="0.2">
      <c r="A1141" s="25"/>
      <c r="B1141" s="25"/>
      <c r="C1141" s="25"/>
      <c r="D1141" s="25"/>
      <c r="E1141" s="25"/>
      <c r="F1141" s="25"/>
      <c r="J1141" s="24"/>
      <c r="U1141" s="24"/>
    </row>
    <row r="1142" spans="1:21" ht="12.75" x14ac:dyDescent="0.2">
      <c r="A1142" s="25"/>
      <c r="B1142" s="25"/>
      <c r="C1142" s="25"/>
      <c r="D1142" s="25"/>
      <c r="E1142" s="25"/>
      <c r="F1142" s="25"/>
      <c r="J1142" s="24"/>
      <c r="U1142" s="24"/>
    </row>
    <row r="1143" spans="1:21" ht="12.75" x14ac:dyDescent="0.2">
      <c r="A1143" s="25"/>
      <c r="B1143" s="25"/>
      <c r="C1143" s="25"/>
      <c r="D1143" s="25"/>
      <c r="E1143" s="25"/>
      <c r="F1143" s="25"/>
      <c r="J1143" s="24"/>
      <c r="U1143" s="24"/>
    </row>
    <row r="1144" spans="1:21" ht="12.75" x14ac:dyDescent="0.2">
      <c r="A1144" s="25"/>
      <c r="B1144" s="25"/>
      <c r="C1144" s="25"/>
      <c r="D1144" s="25"/>
      <c r="E1144" s="25"/>
      <c r="F1144" s="25"/>
      <c r="J1144" s="24"/>
      <c r="U1144" s="24"/>
    </row>
    <row r="1145" spans="1:21" ht="12.75" x14ac:dyDescent="0.2">
      <c r="A1145" s="25"/>
      <c r="B1145" s="25"/>
      <c r="C1145" s="25"/>
      <c r="D1145" s="25"/>
      <c r="E1145" s="25"/>
      <c r="F1145" s="25"/>
      <c r="J1145" s="24"/>
      <c r="U1145" s="24"/>
    </row>
    <row r="1146" spans="1:21" ht="12.75" x14ac:dyDescent="0.2">
      <c r="A1146" s="25"/>
      <c r="B1146" s="25"/>
      <c r="C1146" s="25"/>
      <c r="D1146" s="25"/>
      <c r="E1146" s="25"/>
      <c r="F1146" s="25"/>
      <c r="J1146" s="24"/>
      <c r="U1146" s="24"/>
    </row>
    <row r="1147" spans="1:21" ht="12.75" x14ac:dyDescent="0.2">
      <c r="A1147" s="25"/>
      <c r="B1147" s="25"/>
      <c r="C1147" s="25"/>
      <c r="D1147" s="25"/>
      <c r="E1147" s="25"/>
      <c r="F1147" s="25"/>
      <c r="J1147" s="24"/>
      <c r="U1147" s="24"/>
    </row>
    <row r="1148" spans="1:21" ht="12.75" x14ac:dyDescent="0.2">
      <c r="A1148" s="25"/>
      <c r="B1148" s="25"/>
      <c r="C1148" s="25"/>
      <c r="D1148" s="25"/>
      <c r="E1148" s="25"/>
      <c r="F1148" s="25"/>
      <c r="J1148" s="24"/>
      <c r="U1148" s="24"/>
    </row>
    <row r="1149" spans="1:21" ht="12.75" x14ac:dyDescent="0.2">
      <c r="A1149" s="25"/>
      <c r="B1149" s="25"/>
      <c r="C1149" s="25"/>
      <c r="D1149" s="25"/>
      <c r="E1149" s="25"/>
      <c r="F1149" s="25"/>
      <c r="J1149" s="24"/>
      <c r="U1149" s="24"/>
    </row>
    <row r="1150" spans="1:21" ht="12.75" x14ac:dyDescent="0.2">
      <c r="A1150" s="25"/>
      <c r="B1150" s="25"/>
      <c r="C1150" s="25"/>
      <c r="D1150" s="25"/>
      <c r="E1150" s="25"/>
      <c r="F1150" s="25"/>
      <c r="J1150" s="24"/>
      <c r="U1150" s="24"/>
    </row>
    <row r="1151" spans="1:21" ht="12.75" x14ac:dyDescent="0.2">
      <c r="A1151" s="25"/>
      <c r="B1151" s="25"/>
      <c r="C1151" s="25"/>
      <c r="D1151" s="25"/>
      <c r="E1151" s="25"/>
      <c r="F1151" s="25"/>
      <c r="J1151" s="24"/>
      <c r="U1151" s="24"/>
    </row>
    <row r="1152" spans="1:21" ht="12.75" x14ac:dyDescent="0.2">
      <c r="A1152" s="25"/>
      <c r="B1152" s="25"/>
      <c r="C1152" s="25"/>
      <c r="D1152" s="25"/>
      <c r="E1152" s="25"/>
      <c r="F1152" s="25"/>
      <c r="J1152" s="24"/>
      <c r="U1152" s="24"/>
    </row>
    <row r="1153" spans="1:21" ht="12.75" x14ac:dyDescent="0.2">
      <c r="A1153" s="25"/>
      <c r="B1153" s="25"/>
      <c r="C1153" s="25"/>
      <c r="D1153" s="25"/>
      <c r="E1153" s="25"/>
      <c r="F1153" s="25"/>
      <c r="J1153" s="24"/>
      <c r="U1153" s="24"/>
    </row>
    <row r="1154" spans="1:21" ht="12.75" x14ac:dyDescent="0.2">
      <c r="A1154" s="25"/>
      <c r="B1154" s="25"/>
      <c r="C1154" s="25"/>
      <c r="D1154" s="25"/>
      <c r="E1154" s="25"/>
      <c r="F1154" s="25"/>
      <c r="J1154" s="24"/>
      <c r="U1154" s="24"/>
    </row>
    <row r="1155" spans="1:21" ht="12.75" x14ac:dyDescent="0.2">
      <c r="A1155" s="25"/>
      <c r="B1155" s="25"/>
      <c r="C1155" s="25"/>
      <c r="D1155" s="25"/>
      <c r="E1155" s="25"/>
      <c r="F1155" s="25"/>
      <c r="J1155" s="24"/>
      <c r="U1155" s="24"/>
    </row>
    <row r="1156" spans="1:21" ht="12.75" x14ac:dyDescent="0.2">
      <c r="A1156" s="25"/>
      <c r="B1156" s="25"/>
      <c r="C1156" s="25"/>
      <c r="D1156" s="25"/>
      <c r="E1156" s="25"/>
      <c r="F1156" s="25"/>
      <c r="J1156" s="24"/>
      <c r="U1156" s="24"/>
    </row>
    <row r="1157" spans="1:21" ht="12.75" x14ac:dyDescent="0.2">
      <c r="A1157" s="25"/>
      <c r="B1157" s="25"/>
      <c r="C1157" s="25"/>
      <c r="D1157" s="25"/>
      <c r="E1157" s="25"/>
      <c r="F1157" s="25"/>
      <c r="J1157" s="24"/>
      <c r="U1157" s="24"/>
    </row>
    <row r="1158" spans="1:21" ht="12.75" x14ac:dyDescent="0.2">
      <c r="A1158" s="25"/>
      <c r="B1158" s="25"/>
      <c r="C1158" s="25"/>
      <c r="D1158" s="25"/>
      <c r="E1158" s="25"/>
      <c r="F1158" s="25"/>
      <c r="J1158" s="24"/>
      <c r="U1158" s="24"/>
    </row>
    <row r="1159" spans="1:21" ht="12.75" x14ac:dyDescent="0.2">
      <c r="A1159" s="25"/>
      <c r="B1159" s="25"/>
      <c r="C1159" s="25"/>
      <c r="D1159" s="25"/>
      <c r="E1159" s="25"/>
      <c r="F1159" s="25"/>
      <c r="J1159" s="24"/>
      <c r="U1159" s="24"/>
    </row>
    <row r="1160" spans="1:21" ht="12.75" x14ac:dyDescent="0.2">
      <c r="A1160" s="25"/>
      <c r="B1160" s="25"/>
      <c r="C1160" s="25"/>
      <c r="D1160" s="25"/>
      <c r="E1160" s="25"/>
      <c r="F1160" s="25"/>
      <c r="J1160" s="24"/>
      <c r="U1160" s="24"/>
    </row>
    <row r="1161" spans="1:21" ht="12.75" x14ac:dyDescent="0.2">
      <c r="A1161" s="25"/>
      <c r="B1161" s="25"/>
      <c r="C1161" s="25"/>
      <c r="D1161" s="25"/>
      <c r="E1161" s="25"/>
      <c r="F1161" s="25"/>
      <c r="J1161" s="24"/>
      <c r="U1161" s="24"/>
    </row>
    <row r="1162" spans="1:21" ht="12.75" x14ac:dyDescent="0.2">
      <c r="A1162" s="25"/>
      <c r="B1162" s="25"/>
      <c r="C1162" s="25"/>
      <c r="D1162" s="25"/>
      <c r="E1162" s="25"/>
      <c r="F1162" s="25"/>
      <c r="J1162" s="24"/>
      <c r="U1162" s="24"/>
    </row>
    <row r="1163" spans="1:21" ht="12.75" x14ac:dyDescent="0.2">
      <c r="A1163" s="25"/>
      <c r="B1163" s="25"/>
      <c r="C1163" s="25"/>
      <c r="D1163" s="25"/>
      <c r="E1163" s="25"/>
      <c r="F1163" s="25"/>
      <c r="J1163" s="24"/>
      <c r="U1163" s="24"/>
    </row>
    <row r="1164" spans="1:21" ht="12.75" x14ac:dyDescent="0.2">
      <c r="A1164" s="25"/>
      <c r="B1164" s="25"/>
      <c r="C1164" s="25"/>
      <c r="D1164" s="25"/>
      <c r="E1164" s="25"/>
      <c r="F1164" s="25"/>
      <c r="J1164" s="24"/>
      <c r="U1164" s="24"/>
    </row>
    <row r="1165" spans="1:21" ht="12.75" x14ac:dyDescent="0.2">
      <c r="A1165" s="25"/>
      <c r="B1165" s="25"/>
      <c r="C1165" s="25"/>
      <c r="D1165" s="25"/>
      <c r="E1165" s="25"/>
      <c r="F1165" s="25"/>
      <c r="J1165" s="24"/>
      <c r="U1165" s="24"/>
    </row>
    <row r="1166" spans="1:21" ht="12.75" x14ac:dyDescent="0.2">
      <c r="A1166" s="25"/>
      <c r="B1166" s="25"/>
      <c r="C1166" s="25"/>
      <c r="D1166" s="25"/>
      <c r="E1166" s="25"/>
      <c r="F1166" s="25"/>
      <c r="J1166" s="24"/>
      <c r="U1166" s="24"/>
    </row>
    <row r="1167" spans="1:21" ht="12.75" x14ac:dyDescent="0.2">
      <c r="A1167" s="25"/>
      <c r="B1167" s="25"/>
      <c r="C1167" s="25"/>
      <c r="D1167" s="25"/>
      <c r="E1167" s="25"/>
      <c r="F1167" s="25"/>
      <c r="J1167" s="24"/>
      <c r="U1167" s="24"/>
    </row>
    <row r="1168" spans="1:21" ht="12.75" x14ac:dyDescent="0.2">
      <c r="A1168" s="25"/>
      <c r="B1168" s="25"/>
      <c r="C1168" s="25"/>
      <c r="D1168" s="25"/>
      <c r="E1168" s="25"/>
      <c r="F1168" s="25"/>
      <c r="J1168" s="24"/>
      <c r="U1168" s="24"/>
    </row>
    <row r="1169" spans="1:21" ht="12.75" x14ac:dyDescent="0.2">
      <c r="A1169" s="25"/>
      <c r="B1169" s="25"/>
      <c r="C1169" s="25"/>
      <c r="D1169" s="25"/>
      <c r="E1169" s="25"/>
      <c r="F1169" s="25"/>
      <c r="J1169" s="24"/>
      <c r="U1169" s="24"/>
    </row>
    <row r="1170" spans="1:21" ht="12.75" x14ac:dyDescent="0.2">
      <c r="A1170" s="25"/>
      <c r="B1170" s="25"/>
      <c r="C1170" s="25"/>
      <c r="D1170" s="25"/>
      <c r="E1170" s="25"/>
      <c r="F1170" s="25"/>
      <c r="J1170" s="24"/>
      <c r="U1170" s="24"/>
    </row>
    <row r="1171" spans="1:21" ht="12.75" x14ac:dyDescent="0.2">
      <c r="A1171" s="25"/>
      <c r="B1171" s="25"/>
      <c r="C1171" s="25"/>
      <c r="D1171" s="25"/>
      <c r="E1171" s="25"/>
      <c r="F1171" s="25"/>
      <c r="J1171" s="24"/>
      <c r="U1171" s="24"/>
    </row>
    <row r="1172" spans="1:21" ht="12.75" x14ac:dyDescent="0.2">
      <c r="A1172" s="25"/>
      <c r="B1172" s="25"/>
      <c r="C1172" s="25"/>
      <c r="D1172" s="25"/>
      <c r="E1172" s="25"/>
      <c r="F1172" s="25"/>
      <c r="J1172" s="24"/>
      <c r="U1172" s="24"/>
    </row>
    <row r="1173" spans="1:21" ht="12.75" x14ac:dyDescent="0.2">
      <c r="A1173" s="25"/>
      <c r="B1173" s="25"/>
      <c r="C1173" s="25"/>
      <c r="D1173" s="25"/>
      <c r="E1173" s="25"/>
      <c r="F1173" s="25"/>
      <c r="J1173" s="24"/>
      <c r="U1173" s="24"/>
    </row>
    <row r="1174" spans="1:21" ht="12.75" x14ac:dyDescent="0.2">
      <c r="A1174" s="25"/>
      <c r="B1174" s="25"/>
      <c r="C1174" s="25"/>
      <c r="D1174" s="25"/>
      <c r="E1174" s="25"/>
      <c r="F1174" s="25"/>
      <c r="J1174" s="24"/>
      <c r="U1174" s="24"/>
    </row>
    <row r="1175" spans="1:21" ht="12.75" x14ac:dyDescent="0.2">
      <c r="A1175" s="25"/>
      <c r="B1175" s="25"/>
      <c r="C1175" s="25"/>
      <c r="D1175" s="25"/>
      <c r="E1175" s="25"/>
      <c r="F1175" s="25"/>
      <c r="J1175" s="24"/>
      <c r="U1175" s="24"/>
    </row>
    <row r="1176" spans="1:21" ht="12.75" x14ac:dyDescent="0.2">
      <c r="A1176" s="25"/>
      <c r="B1176" s="25"/>
      <c r="C1176" s="25"/>
      <c r="D1176" s="25"/>
      <c r="E1176" s="25"/>
      <c r="F1176" s="25"/>
      <c r="J1176" s="24"/>
      <c r="U1176" s="24"/>
    </row>
    <row r="1177" spans="1:21" ht="12.75" x14ac:dyDescent="0.2">
      <c r="A1177" s="25"/>
      <c r="B1177" s="25"/>
      <c r="C1177" s="25"/>
      <c r="D1177" s="25"/>
      <c r="E1177" s="25"/>
      <c r="F1177" s="25"/>
      <c r="J1177" s="24"/>
      <c r="U1177" s="24"/>
    </row>
    <row r="1178" spans="1:21" ht="12.75" x14ac:dyDescent="0.2">
      <c r="A1178" s="25"/>
      <c r="B1178" s="25"/>
      <c r="C1178" s="25"/>
      <c r="D1178" s="25"/>
      <c r="E1178" s="25"/>
      <c r="F1178" s="25"/>
      <c r="J1178" s="24"/>
      <c r="U1178" s="24"/>
    </row>
    <row r="1179" spans="1:21" ht="12.75" x14ac:dyDescent="0.2">
      <c r="A1179" s="25"/>
      <c r="B1179" s="25"/>
      <c r="C1179" s="25"/>
      <c r="D1179" s="25"/>
      <c r="E1179" s="25"/>
      <c r="F1179" s="25"/>
      <c r="J1179" s="24"/>
      <c r="U1179" s="24"/>
    </row>
    <row r="1180" spans="1:21" ht="12.75" x14ac:dyDescent="0.2">
      <c r="A1180" s="25"/>
      <c r="B1180" s="25"/>
      <c r="C1180" s="25"/>
      <c r="D1180" s="25"/>
      <c r="E1180" s="25"/>
      <c r="F1180" s="25"/>
      <c r="J1180" s="24"/>
      <c r="U1180" s="24"/>
    </row>
    <row r="1181" spans="1:21" ht="12.75" x14ac:dyDescent="0.2">
      <c r="A1181" s="25"/>
      <c r="B1181" s="25"/>
      <c r="C1181" s="25"/>
      <c r="D1181" s="25"/>
      <c r="E1181" s="25"/>
      <c r="F1181" s="25"/>
      <c r="J1181" s="24"/>
      <c r="U1181" s="24"/>
    </row>
    <row r="1182" spans="1:21" ht="12.75" x14ac:dyDescent="0.2">
      <c r="A1182" s="25"/>
      <c r="B1182" s="25"/>
      <c r="C1182" s="25"/>
      <c r="D1182" s="25"/>
      <c r="E1182" s="25"/>
      <c r="F1182" s="25"/>
      <c r="J1182" s="24"/>
      <c r="U1182" s="24"/>
    </row>
    <row r="1183" spans="1:21" ht="12.75" x14ac:dyDescent="0.2">
      <c r="A1183" s="25"/>
      <c r="B1183" s="25"/>
      <c r="C1183" s="25"/>
      <c r="D1183" s="25"/>
      <c r="E1183" s="25"/>
      <c r="F1183" s="25"/>
      <c r="J1183" s="24"/>
      <c r="U1183" s="24"/>
    </row>
    <row r="1184" spans="1:21" ht="12.75" x14ac:dyDescent="0.2">
      <c r="A1184" s="25"/>
      <c r="B1184" s="25"/>
      <c r="C1184" s="25"/>
      <c r="D1184" s="25"/>
      <c r="E1184" s="25"/>
      <c r="F1184" s="25"/>
      <c r="J1184" s="24"/>
      <c r="U1184" s="24"/>
    </row>
    <row r="1185" spans="1:21" ht="12.75" x14ac:dyDescent="0.2">
      <c r="A1185" s="25"/>
      <c r="B1185" s="25"/>
      <c r="C1185" s="25"/>
      <c r="D1185" s="25"/>
      <c r="E1185" s="25"/>
      <c r="F1185" s="25"/>
      <c r="J1185" s="24"/>
      <c r="U1185" s="24"/>
    </row>
    <row r="1186" spans="1:21" ht="12.75" x14ac:dyDescent="0.2">
      <c r="A1186" s="25"/>
      <c r="B1186" s="25"/>
      <c r="C1186" s="25"/>
      <c r="D1186" s="25"/>
      <c r="E1186" s="25"/>
      <c r="F1186" s="25"/>
      <c r="J1186" s="24"/>
      <c r="U1186" s="24"/>
    </row>
    <row r="1187" spans="1:21" ht="12.75" x14ac:dyDescent="0.2">
      <c r="A1187" s="25"/>
      <c r="B1187" s="25"/>
      <c r="C1187" s="25"/>
      <c r="D1187" s="25"/>
      <c r="E1187" s="25"/>
      <c r="F1187" s="25"/>
      <c r="J1187" s="24"/>
      <c r="U1187" s="24"/>
    </row>
    <row r="1188" spans="1:21" ht="12.75" x14ac:dyDescent="0.2">
      <c r="A1188" s="25"/>
      <c r="B1188" s="25"/>
      <c r="C1188" s="25"/>
      <c r="D1188" s="25"/>
      <c r="E1188" s="25"/>
      <c r="F1188" s="25"/>
      <c r="J1188" s="24"/>
      <c r="U1188" s="24"/>
    </row>
    <row r="1189" spans="1:21" ht="12.75" x14ac:dyDescent="0.2">
      <c r="A1189" s="25"/>
      <c r="B1189" s="25"/>
      <c r="C1189" s="25"/>
      <c r="D1189" s="25"/>
      <c r="E1189" s="25"/>
      <c r="F1189" s="25"/>
      <c r="J1189" s="24"/>
      <c r="U1189" s="24"/>
    </row>
    <row r="1190" spans="1:21" ht="12.75" x14ac:dyDescent="0.2">
      <c r="A1190" s="25"/>
      <c r="B1190" s="25"/>
      <c r="C1190" s="25"/>
      <c r="D1190" s="25"/>
      <c r="E1190" s="25"/>
      <c r="F1190" s="25"/>
      <c r="J1190" s="24"/>
      <c r="U1190" s="24"/>
    </row>
    <row r="1191" spans="1:21" ht="12.75" x14ac:dyDescent="0.2">
      <c r="A1191" s="25"/>
      <c r="B1191" s="25"/>
      <c r="C1191" s="25"/>
      <c r="D1191" s="25"/>
      <c r="E1191" s="25"/>
      <c r="F1191" s="25"/>
      <c r="J1191" s="24"/>
      <c r="U1191" s="24"/>
    </row>
    <row r="1192" spans="1:21" ht="12.75" x14ac:dyDescent="0.2">
      <c r="A1192" s="25"/>
      <c r="B1192" s="25"/>
      <c r="C1192" s="25"/>
      <c r="D1192" s="25"/>
      <c r="E1192" s="25"/>
      <c r="F1192" s="25"/>
      <c r="J1192" s="24"/>
      <c r="U1192" s="24"/>
    </row>
    <row r="1193" spans="1:21" ht="12.75" x14ac:dyDescent="0.2">
      <c r="A1193" s="25"/>
      <c r="B1193" s="25"/>
      <c r="C1193" s="25"/>
      <c r="D1193" s="25"/>
      <c r="E1193" s="25"/>
      <c r="F1193" s="25"/>
      <c r="J1193" s="24"/>
      <c r="U1193" s="24"/>
    </row>
    <row r="1194" spans="1:21" ht="12.75" x14ac:dyDescent="0.2">
      <c r="A1194" s="25"/>
      <c r="B1194" s="25"/>
      <c r="C1194" s="25"/>
      <c r="D1194" s="25"/>
      <c r="E1194" s="25"/>
      <c r="F1194" s="25"/>
      <c r="J1194" s="24"/>
      <c r="U1194" s="24"/>
    </row>
    <row r="1195" spans="1:21" ht="12.75" x14ac:dyDescent="0.2">
      <c r="A1195" s="25"/>
      <c r="B1195" s="25"/>
      <c r="C1195" s="25"/>
      <c r="D1195" s="25"/>
      <c r="E1195" s="25"/>
      <c r="F1195" s="25"/>
      <c r="J1195" s="24"/>
      <c r="U1195" s="24"/>
    </row>
    <row r="1196" spans="1:21" ht="12.75" x14ac:dyDescent="0.2">
      <c r="A1196" s="25"/>
      <c r="B1196" s="25"/>
      <c r="C1196" s="25"/>
      <c r="D1196" s="25"/>
      <c r="E1196" s="25"/>
      <c r="F1196" s="25"/>
      <c r="J1196" s="24"/>
      <c r="U1196" s="24"/>
    </row>
    <row r="1197" spans="1:21" ht="12.75" x14ac:dyDescent="0.2">
      <c r="A1197" s="25"/>
      <c r="B1197" s="25"/>
      <c r="C1197" s="25"/>
      <c r="D1197" s="25"/>
      <c r="E1197" s="25"/>
      <c r="F1197" s="25"/>
      <c r="J1197" s="24"/>
      <c r="U1197" s="24"/>
    </row>
    <row r="1198" spans="1:21" ht="12.75" x14ac:dyDescent="0.2">
      <c r="A1198" s="25"/>
      <c r="B1198" s="25"/>
      <c r="C1198" s="25"/>
      <c r="D1198" s="25"/>
      <c r="E1198" s="25"/>
      <c r="F1198" s="25"/>
      <c r="J1198" s="24"/>
      <c r="U1198" s="24"/>
    </row>
    <row r="1199" spans="1:21" ht="12.75" x14ac:dyDescent="0.2">
      <c r="A1199" s="25"/>
      <c r="B1199" s="25"/>
      <c r="C1199" s="25"/>
      <c r="D1199" s="25"/>
      <c r="E1199" s="25"/>
      <c r="F1199" s="25"/>
      <c r="J1199" s="24"/>
      <c r="U1199" s="24"/>
    </row>
    <row r="1200" spans="1:21" ht="12.75" x14ac:dyDescent="0.2">
      <c r="A1200" s="25"/>
      <c r="B1200" s="25"/>
      <c r="C1200" s="25"/>
      <c r="D1200" s="25"/>
      <c r="E1200" s="25"/>
      <c r="F1200" s="25"/>
      <c r="J1200" s="24"/>
      <c r="U1200" s="24"/>
    </row>
    <row r="1201" spans="1:21" ht="12.75" x14ac:dyDescent="0.2">
      <c r="A1201" s="25"/>
      <c r="B1201" s="25"/>
      <c r="C1201" s="25"/>
      <c r="D1201" s="25"/>
      <c r="E1201" s="25"/>
      <c r="F1201" s="25"/>
      <c r="J1201" s="24"/>
      <c r="U1201" s="24"/>
    </row>
    <row r="1202" spans="1:21" ht="12.75" x14ac:dyDescent="0.2">
      <c r="A1202" s="25"/>
      <c r="B1202" s="25"/>
      <c r="C1202" s="25"/>
      <c r="D1202" s="25"/>
      <c r="E1202" s="25"/>
      <c r="F1202" s="25"/>
      <c r="J1202" s="24"/>
      <c r="U1202" s="24"/>
    </row>
    <row r="1203" spans="1:21" ht="12.75" x14ac:dyDescent="0.2">
      <c r="A1203" s="25"/>
      <c r="B1203" s="25"/>
      <c r="C1203" s="25"/>
      <c r="D1203" s="25"/>
      <c r="E1203" s="25"/>
      <c r="F1203" s="25"/>
      <c r="J1203" s="24"/>
      <c r="U1203" s="24"/>
    </row>
    <row r="1204" spans="1:21" ht="12.75" x14ac:dyDescent="0.2">
      <c r="A1204" s="25"/>
      <c r="B1204" s="25"/>
      <c r="C1204" s="25"/>
      <c r="D1204" s="25"/>
      <c r="E1204" s="25"/>
      <c r="F1204" s="25"/>
      <c r="J1204" s="24"/>
      <c r="U1204" s="24"/>
    </row>
    <row r="1205" spans="1:21" ht="12.75" x14ac:dyDescent="0.2">
      <c r="A1205" s="25"/>
      <c r="B1205" s="25"/>
      <c r="C1205" s="25"/>
      <c r="D1205" s="25"/>
      <c r="E1205" s="25"/>
      <c r="F1205" s="25"/>
      <c r="J1205" s="24"/>
      <c r="U1205" s="24"/>
    </row>
    <row r="1206" spans="1:21" ht="12.75" x14ac:dyDescent="0.2">
      <c r="A1206" s="25"/>
      <c r="B1206" s="25"/>
      <c r="C1206" s="25"/>
      <c r="D1206" s="25"/>
      <c r="E1206" s="25"/>
      <c r="F1206" s="25"/>
      <c r="J1206" s="24"/>
      <c r="U1206" s="24"/>
    </row>
    <row r="1207" spans="1:21" ht="12.75" x14ac:dyDescent="0.2">
      <c r="A1207" s="25"/>
      <c r="B1207" s="25"/>
      <c r="C1207" s="25"/>
      <c r="D1207" s="25"/>
      <c r="E1207" s="25"/>
      <c r="F1207" s="25"/>
      <c r="J1207" s="24"/>
      <c r="U1207" s="24"/>
    </row>
    <row r="1208" spans="1:21" ht="12.75" x14ac:dyDescent="0.2">
      <c r="A1208" s="25"/>
      <c r="B1208" s="25"/>
      <c r="C1208" s="25"/>
      <c r="D1208" s="25"/>
      <c r="E1208" s="25"/>
      <c r="F1208" s="25"/>
      <c r="J1208" s="24"/>
      <c r="U1208" s="24"/>
    </row>
    <row r="1209" spans="1:21" ht="12.75" x14ac:dyDescent="0.2">
      <c r="A1209" s="25"/>
      <c r="B1209" s="25"/>
      <c r="C1209" s="25"/>
      <c r="D1209" s="25"/>
      <c r="E1209" s="25"/>
      <c r="F1209" s="25"/>
      <c r="J1209" s="24"/>
      <c r="U1209" s="24"/>
    </row>
    <row r="1210" spans="1:21" ht="12.75" x14ac:dyDescent="0.2">
      <c r="A1210" s="25"/>
      <c r="B1210" s="25"/>
      <c r="C1210" s="25"/>
      <c r="D1210" s="25"/>
      <c r="E1210" s="25"/>
      <c r="F1210" s="25"/>
      <c r="J1210" s="24"/>
      <c r="U1210" s="24"/>
    </row>
    <row r="1211" spans="1:21" ht="12.75" x14ac:dyDescent="0.2">
      <c r="A1211" s="25"/>
      <c r="B1211" s="25"/>
      <c r="C1211" s="25"/>
      <c r="D1211" s="25"/>
      <c r="E1211" s="25"/>
      <c r="F1211" s="25"/>
      <c r="J1211" s="24"/>
      <c r="U1211" s="24"/>
    </row>
    <row r="1212" spans="1:21" ht="12.75" x14ac:dyDescent="0.2">
      <c r="A1212" s="25"/>
      <c r="B1212" s="25"/>
      <c r="C1212" s="25"/>
      <c r="D1212" s="25"/>
      <c r="E1212" s="25"/>
      <c r="F1212" s="25"/>
      <c r="J1212" s="24"/>
      <c r="U1212" s="24"/>
    </row>
    <row r="1213" spans="1:21" ht="12.75" x14ac:dyDescent="0.2">
      <c r="A1213" s="25"/>
      <c r="B1213" s="25"/>
      <c r="C1213" s="25"/>
      <c r="D1213" s="25"/>
      <c r="E1213" s="25"/>
      <c r="F1213" s="25"/>
      <c r="J1213" s="24"/>
      <c r="U1213" s="24"/>
    </row>
    <row r="1214" spans="1:21" ht="12.75" x14ac:dyDescent="0.2">
      <c r="A1214" s="25"/>
      <c r="B1214" s="25"/>
      <c r="C1214" s="25"/>
      <c r="D1214" s="25"/>
      <c r="E1214" s="25"/>
      <c r="F1214" s="25"/>
      <c r="J1214" s="24"/>
      <c r="U1214" s="24"/>
    </row>
    <row r="1215" spans="1:21" ht="12.75" x14ac:dyDescent="0.2">
      <c r="A1215" s="25"/>
      <c r="B1215" s="25"/>
      <c r="C1215" s="25"/>
      <c r="D1215" s="25"/>
      <c r="E1215" s="25"/>
      <c r="F1215" s="25"/>
      <c r="J1215" s="24"/>
      <c r="U1215" s="24"/>
    </row>
    <row r="1216" spans="1:21" ht="12.75" x14ac:dyDescent="0.2">
      <c r="A1216" s="25"/>
      <c r="B1216" s="25"/>
      <c r="C1216" s="25"/>
      <c r="D1216" s="25"/>
      <c r="E1216" s="25"/>
      <c r="F1216" s="25"/>
      <c r="J1216" s="24"/>
      <c r="U1216" s="24"/>
    </row>
    <row r="1217" spans="1:21" ht="12.75" x14ac:dyDescent="0.2">
      <c r="A1217" s="25"/>
      <c r="B1217" s="25"/>
      <c r="C1217" s="25"/>
      <c r="D1217" s="25"/>
      <c r="E1217" s="25"/>
      <c r="F1217" s="25"/>
      <c r="J1217" s="24"/>
      <c r="U1217" s="24"/>
    </row>
    <row r="1218" spans="1:21" ht="12.75" x14ac:dyDescent="0.2">
      <c r="A1218" s="25"/>
      <c r="B1218" s="25"/>
      <c r="C1218" s="25"/>
      <c r="D1218" s="25"/>
      <c r="E1218" s="25"/>
      <c r="F1218" s="25"/>
      <c r="J1218" s="24"/>
      <c r="U1218" s="24"/>
    </row>
    <row r="1219" spans="1:21" ht="12.75" x14ac:dyDescent="0.2">
      <c r="A1219" s="25"/>
      <c r="B1219" s="25"/>
      <c r="C1219" s="25"/>
      <c r="D1219" s="25"/>
      <c r="E1219" s="25"/>
      <c r="F1219" s="25"/>
      <c r="J1219" s="24"/>
      <c r="U1219" s="24"/>
    </row>
    <row r="1220" spans="1:21" ht="12.75" x14ac:dyDescent="0.2">
      <c r="A1220" s="25"/>
      <c r="B1220" s="25"/>
      <c r="C1220" s="25"/>
      <c r="D1220" s="25"/>
      <c r="E1220" s="25"/>
      <c r="F1220" s="25"/>
      <c r="J1220" s="24"/>
      <c r="U1220" s="24"/>
    </row>
    <row r="1221" spans="1:21" ht="12.75" x14ac:dyDescent="0.2">
      <c r="A1221" s="25"/>
      <c r="B1221" s="25"/>
      <c r="C1221" s="25"/>
      <c r="D1221" s="25"/>
      <c r="E1221" s="25"/>
      <c r="F1221" s="25"/>
      <c r="J1221" s="24"/>
      <c r="U1221" s="24"/>
    </row>
    <row r="1222" spans="1:21" ht="12.75" x14ac:dyDescent="0.2">
      <c r="A1222" s="25"/>
      <c r="B1222" s="25"/>
      <c r="C1222" s="25"/>
      <c r="D1222" s="25"/>
      <c r="E1222" s="25"/>
      <c r="F1222" s="25"/>
      <c r="J1222" s="24"/>
      <c r="U1222" s="24"/>
    </row>
    <row r="1223" spans="1:21" ht="12.75" x14ac:dyDescent="0.2">
      <c r="A1223" s="25"/>
      <c r="B1223" s="25"/>
      <c r="C1223" s="25"/>
      <c r="D1223" s="25"/>
      <c r="E1223" s="25"/>
      <c r="F1223" s="25"/>
      <c r="J1223" s="24"/>
      <c r="U1223" s="24"/>
    </row>
    <row r="1224" spans="1:21" ht="12.75" x14ac:dyDescent="0.2">
      <c r="A1224" s="25"/>
      <c r="B1224" s="25"/>
      <c r="C1224" s="25"/>
      <c r="D1224" s="25"/>
      <c r="E1224" s="25"/>
      <c r="F1224" s="25"/>
      <c r="J1224" s="24"/>
      <c r="U1224" s="24"/>
    </row>
    <row r="1225" spans="1:21" ht="12.75" x14ac:dyDescent="0.2">
      <c r="A1225" s="25"/>
      <c r="B1225" s="25"/>
      <c r="C1225" s="25"/>
      <c r="D1225" s="25"/>
      <c r="E1225" s="25"/>
      <c r="F1225" s="25"/>
      <c r="J1225" s="24"/>
      <c r="U1225" s="24"/>
    </row>
    <row r="1226" spans="1:21" ht="12.75" x14ac:dyDescent="0.2">
      <c r="A1226" s="25"/>
      <c r="B1226" s="25"/>
      <c r="C1226" s="25"/>
      <c r="D1226" s="25"/>
      <c r="E1226" s="25"/>
      <c r="F1226" s="25"/>
      <c r="J1226" s="24"/>
      <c r="U1226" s="24"/>
    </row>
    <row r="1227" spans="1:21" ht="12.75" x14ac:dyDescent="0.2">
      <c r="A1227" s="25"/>
      <c r="B1227" s="25"/>
      <c r="C1227" s="25"/>
      <c r="D1227" s="25"/>
      <c r="E1227" s="25"/>
      <c r="F1227" s="25"/>
      <c r="J1227" s="24"/>
      <c r="U1227" s="24"/>
    </row>
    <row r="1228" spans="1:21" ht="12.75" x14ac:dyDescent="0.2">
      <c r="A1228" s="25"/>
      <c r="B1228" s="25"/>
      <c r="C1228" s="25"/>
      <c r="D1228" s="25"/>
      <c r="E1228" s="25"/>
      <c r="F1228" s="25"/>
      <c r="J1228" s="24"/>
      <c r="U1228" s="24"/>
    </row>
    <row r="1229" spans="1:21" ht="12.75" x14ac:dyDescent="0.2">
      <c r="A1229" s="25"/>
      <c r="B1229" s="25"/>
      <c r="C1229" s="25"/>
      <c r="D1229" s="25"/>
      <c r="E1229" s="25"/>
      <c r="F1229" s="25"/>
      <c r="J1229" s="24"/>
      <c r="U1229" s="24"/>
    </row>
    <row r="1230" spans="1:21" ht="12.75" x14ac:dyDescent="0.2">
      <c r="A1230" s="25"/>
      <c r="B1230" s="25"/>
      <c r="C1230" s="25"/>
      <c r="D1230" s="25"/>
      <c r="E1230" s="25"/>
      <c r="F1230" s="25"/>
      <c r="J1230" s="24"/>
      <c r="U1230" s="24"/>
    </row>
    <row r="1231" spans="1:21" ht="12.75" x14ac:dyDescent="0.2">
      <c r="A1231" s="25"/>
      <c r="B1231" s="25"/>
      <c r="C1231" s="25"/>
      <c r="D1231" s="25"/>
      <c r="E1231" s="25"/>
      <c r="F1231" s="25"/>
      <c r="J1231" s="24"/>
      <c r="U1231" s="24"/>
    </row>
    <row r="1232" spans="1:21" ht="12.75" x14ac:dyDescent="0.2">
      <c r="A1232" s="25"/>
      <c r="B1232" s="25"/>
      <c r="C1232" s="25"/>
      <c r="D1232" s="25"/>
      <c r="E1232" s="25"/>
      <c r="F1232" s="25"/>
      <c r="J1232" s="24"/>
      <c r="U1232" s="24"/>
    </row>
    <row r="1233" spans="1:21" ht="12.75" x14ac:dyDescent="0.2">
      <c r="A1233" s="25"/>
      <c r="B1233" s="25"/>
      <c r="C1233" s="25"/>
      <c r="D1233" s="25"/>
      <c r="E1233" s="25"/>
      <c r="F1233" s="25"/>
      <c r="J1233" s="24"/>
      <c r="U1233" s="24"/>
    </row>
    <row r="1234" spans="1:21" ht="12.75" x14ac:dyDescent="0.2">
      <c r="A1234" s="25"/>
      <c r="B1234" s="25"/>
      <c r="C1234" s="25"/>
      <c r="D1234" s="25"/>
      <c r="E1234" s="25"/>
      <c r="F1234" s="25"/>
      <c r="J1234" s="24"/>
      <c r="U1234" s="24"/>
    </row>
    <row r="1235" spans="1:21" ht="12.75" x14ac:dyDescent="0.2">
      <c r="A1235" s="25"/>
      <c r="B1235" s="25"/>
      <c r="C1235" s="25"/>
      <c r="D1235" s="25"/>
      <c r="E1235" s="25"/>
      <c r="F1235" s="25"/>
      <c r="J1235" s="24"/>
      <c r="U1235" s="24"/>
    </row>
    <row r="1236" spans="1:21" ht="12.75" x14ac:dyDescent="0.2">
      <c r="A1236" s="25"/>
      <c r="B1236" s="25"/>
      <c r="C1236" s="25"/>
      <c r="D1236" s="25"/>
      <c r="E1236" s="25"/>
      <c r="F1236" s="25"/>
      <c r="J1236" s="24"/>
      <c r="U1236" s="24"/>
    </row>
    <row r="1237" spans="1:21" ht="12.75" x14ac:dyDescent="0.2">
      <c r="A1237" s="25"/>
      <c r="B1237" s="25"/>
      <c r="C1237" s="25"/>
      <c r="D1237" s="25"/>
      <c r="E1237" s="25"/>
      <c r="F1237" s="25"/>
      <c r="J1237" s="24"/>
      <c r="U1237" s="24"/>
    </row>
    <row r="1238" spans="1:21" ht="12.75" x14ac:dyDescent="0.2">
      <c r="A1238" s="25"/>
      <c r="B1238" s="25"/>
      <c r="C1238" s="25"/>
      <c r="D1238" s="25"/>
      <c r="E1238" s="25"/>
      <c r="F1238" s="25"/>
      <c r="J1238" s="24"/>
      <c r="U1238" s="24"/>
    </row>
    <row r="1239" spans="1:21" ht="12.75" x14ac:dyDescent="0.2">
      <c r="A1239" s="25"/>
      <c r="B1239" s="25"/>
      <c r="C1239" s="25"/>
      <c r="D1239" s="25"/>
      <c r="E1239" s="25"/>
      <c r="F1239" s="25"/>
      <c r="J1239" s="24"/>
      <c r="U1239" s="24"/>
    </row>
    <row r="1240" spans="1:21" ht="12.75" x14ac:dyDescent="0.2">
      <c r="A1240" s="25"/>
      <c r="B1240" s="25"/>
      <c r="C1240" s="25"/>
      <c r="D1240" s="25"/>
      <c r="E1240" s="25"/>
      <c r="F1240" s="25"/>
      <c r="J1240" s="24"/>
      <c r="U1240" s="24"/>
    </row>
    <row r="1241" spans="1:21" ht="12.75" x14ac:dyDescent="0.2">
      <c r="A1241" s="25"/>
      <c r="B1241" s="25"/>
      <c r="C1241" s="25"/>
      <c r="D1241" s="25"/>
      <c r="E1241" s="25"/>
      <c r="F1241" s="25"/>
      <c r="J1241" s="24"/>
      <c r="U1241" s="24"/>
    </row>
    <row r="1242" spans="1:21" ht="12.75" x14ac:dyDescent="0.2">
      <c r="A1242" s="25"/>
      <c r="B1242" s="25"/>
      <c r="C1242" s="25"/>
      <c r="D1242" s="25"/>
      <c r="E1242" s="25"/>
      <c r="F1242" s="25"/>
      <c r="J1242" s="24"/>
      <c r="U1242" s="24"/>
    </row>
    <row r="1243" spans="1:21" ht="12.75" x14ac:dyDescent="0.2">
      <c r="A1243" s="25"/>
      <c r="B1243" s="25"/>
      <c r="C1243" s="25"/>
      <c r="D1243" s="25"/>
      <c r="E1243" s="25"/>
      <c r="F1243" s="25"/>
      <c r="J1243" s="24"/>
      <c r="U1243" s="24"/>
    </row>
    <row r="1244" spans="1:21" ht="12.75" x14ac:dyDescent="0.2">
      <c r="A1244" s="25"/>
      <c r="B1244" s="25"/>
      <c r="C1244" s="25"/>
      <c r="D1244" s="25"/>
      <c r="E1244" s="25"/>
      <c r="F1244" s="25"/>
      <c r="J1244" s="24"/>
      <c r="U1244" s="24"/>
    </row>
    <row r="1245" spans="1:21" ht="12.75" x14ac:dyDescent="0.2">
      <c r="A1245" s="25"/>
      <c r="B1245" s="25"/>
      <c r="C1245" s="25"/>
      <c r="D1245" s="25"/>
      <c r="E1245" s="25"/>
      <c r="F1245" s="25"/>
      <c r="J1245" s="24"/>
      <c r="U1245" s="24"/>
    </row>
    <row r="1246" spans="1:21" ht="12.75" x14ac:dyDescent="0.2">
      <c r="A1246" s="25"/>
      <c r="B1246" s="25"/>
      <c r="C1246" s="25"/>
      <c r="D1246" s="25"/>
      <c r="E1246" s="25"/>
      <c r="F1246" s="25"/>
      <c r="J1246" s="24"/>
      <c r="U1246" s="24"/>
    </row>
    <row r="1247" spans="1:21" ht="12.75" x14ac:dyDescent="0.2">
      <c r="A1247" s="25"/>
      <c r="B1247" s="25"/>
      <c r="C1247" s="25"/>
      <c r="D1247" s="25"/>
      <c r="E1247" s="25"/>
      <c r="F1247" s="25"/>
      <c r="J1247" s="24"/>
      <c r="U1247" s="24"/>
    </row>
    <row r="1248" spans="1:21" ht="12.75" x14ac:dyDescent="0.2">
      <c r="A1248" s="25"/>
      <c r="B1248" s="25"/>
      <c r="C1248" s="25"/>
      <c r="D1248" s="25"/>
      <c r="E1248" s="25"/>
      <c r="F1248" s="25"/>
      <c r="J1248" s="24"/>
      <c r="U1248" s="24"/>
    </row>
    <row r="1249" spans="1:21" ht="12.75" x14ac:dyDescent="0.2">
      <c r="A1249" s="25"/>
      <c r="B1249" s="25"/>
      <c r="C1249" s="25"/>
      <c r="D1249" s="25"/>
      <c r="E1249" s="25"/>
      <c r="F1249" s="25"/>
      <c r="J1249" s="24"/>
      <c r="U1249" s="24"/>
    </row>
    <row r="1250" spans="1:21" ht="12.75" x14ac:dyDescent="0.2">
      <c r="A1250" s="25"/>
      <c r="B1250" s="25"/>
      <c r="C1250" s="25"/>
      <c r="D1250" s="25"/>
      <c r="E1250" s="25"/>
      <c r="F1250" s="25"/>
      <c r="J1250" s="24"/>
      <c r="U1250" s="24"/>
    </row>
    <row r="1251" spans="1:21" ht="12.75" x14ac:dyDescent="0.2">
      <c r="A1251" s="25"/>
      <c r="B1251" s="25"/>
      <c r="C1251" s="25"/>
      <c r="D1251" s="25"/>
      <c r="E1251" s="25"/>
      <c r="F1251" s="25"/>
      <c r="J1251" s="24"/>
      <c r="U1251" s="24"/>
    </row>
    <row r="1252" spans="1:21" ht="12.75" x14ac:dyDescent="0.2">
      <c r="A1252" s="25"/>
      <c r="B1252" s="25"/>
      <c r="C1252" s="25"/>
      <c r="D1252" s="25"/>
      <c r="E1252" s="25"/>
      <c r="F1252" s="25"/>
      <c r="J1252" s="24"/>
      <c r="U1252" s="24"/>
    </row>
    <row r="1253" spans="1:21" ht="12.75" x14ac:dyDescent="0.2">
      <c r="A1253" s="25"/>
      <c r="B1253" s="25"/>
      <c r="C1253" s="25"/>
      <c r="D1253" s="25"/>
      <c r="E1253" s="25"/>
      <c r="F1253" s="25"/>
      <c r="J1253" s="24"/>
      <c r="U1253" s="24"/>
    </row>
    <row r="1254" spans="1:21" ht="12.75" x14ac:dyDescent="0.2">
      <c r="A1254" s="25"/>
      <c r="B1254" s="25"/>
      <c r="C1254" s="25"/>
      <c r="D1254" s="25"/>
      <c r="E1254" s="25"/>
      <c r="F1254" s="25"/>
      <c r="J1254" s="24"/>
      <c r="U1254" s="24"/>
    </row>
    <row r="1255" spans="1:21" ht="12.75" x14ac:dyDescent="0.2">
      <c r="A1255" s="25"/>
      <c r="B1255" s="25"/>
      <c r="C1255" s="25"/>
      <c r="D1255" s="25"/>
      <c r="E1255" s="25"/>
      <c r="F1255" s="25"/>
      <c r="J1255" s="24"/>
      <c r="U1255" s="24"/>
    </row>
    <row r="1256" spans="1:21" ht="12.75" x14ac:dyDescent="0.2">
      <c r="A1256" s="25"/>
      <c r="B1256" s="25"/>
      <c r="C1256" s="25"/>
      <c r="D1256" s="25"/>
      <c r="E1256" s="25"/>
      <c r="F1256" s="25"/>
      <c r="J1256" s="24"/>
      <c r="U1256" s="24"/>
    </row>
    <row r="1257" spans="1:21" ht="12.75" x14ac:dyDescent="0.2">
      <c r="A1257" s="25"/>
      <c r="B1257" s="25"/>
      <c r="C1257" s="25"/>
      <c r="D1257" s="25"/>
      <c r="E1257" s="25"/>
      <c r="F1257" s="25"/>
      <c r="J1257" s="24"/>
      <c r="U1257" s="24"/>
    </row>
    <row r="1258" spans="1:21" ht="12.75" x14ac:dyDescent="0.2">
      <c r="A1258" s="25"/>
      <c r="B1258" s="25"/>
      <c r="C1258" s="25"/>
      <c r="D1258" s="25"/>
      <c r="E1258" s="25"/>
      <c r="F1258" s="25"/>
      <c r="J1258" s="24"/>
      <c r="U1258" s="24"/>
    </row>
    <row r="1259" spans="1:21" ht="12.75" x14ac:dyDescent="0.2">
      <c r="A1259" s="25"/>
      <c r="B1259" s="25"/>
      <c r="C1259" s="25"/>
      <c r="D1259" s="25"/>
      <c r="E1259" s="25"/>
      <c r="F1259" s="25"/>
      <c r="J1259" s="24"/>
      <c r="U1259" s="24"/>
    </row>
    <row r="1260" spans="1:21" ht="12.75" x14ac:dyDescent="0.2">
      <c r="A1260" s="25"/>
      <c r="B1260" s="25"/>
      <c r="C1260" s="25"/>
      <c r="D1260" s="25"/>
      <c r="E1260" s="25"/>
      <c r="F1260" s="25"/>
      <c r="J1260" s="24"/>
      <c r="U1260" s="24"/>
    </row>
    <row r="1261" spans="1:21" ht="12.75" x14ac:dyDescent="0.2">
      <c r="A1261" s="25"/>
      <c r="B1261" s="25"/>
      <c r="C1261" s="25"/>
      <c r="D1261" s="25"/>
      <c r="E1261" s="25"/>
      <c r="F1261" s="25"/>
      <c r="J1261" s="24"/>
      <c r="U1261" s="24"/>
    </row>
    <row r="1262" spans="1:21" ht="12.75" x14ac:dyDescent="0.2">
      <c r="A1262" s="25"/>
      <c r="B1262" s="25"/>
      <c r="C1262" s="25"/>
      <c r="D1262" s="25"/>
      <c r="E1262" s="25"/>
      <c r="F1262" s="25"/>
      <c r="J1262" s="24"/>
      <c r="U1262" s="24"/>
    </row>
    <row r="1263" spans="1:21" ht="12.75" x14ac:dyDescent="0.2">
      <c r="A1263" s="25"/>
      <c r="B1263" s="25"/>
      <c r="C1263" s="25"/>
      <c r="D1263" s="25"/>
      <c r="E1263" s="25"/>
      <c r="F1263" s="25"/>
      <c r="J1263" s="24"/>
      <c r="U1263" s="24"/>
    </row>
    <row r="1264" spans="1:21" ht="12.75" x14ac:dyDescent="0.2">
      <c r="A1264" s="25"/>
      <c r="B1264" s="25"/>
      <c r="C1264" s="25"/>
      <c r="D1264" s="25"/>
      <c r="E1264" s="25"/>
      <c r="F1264" s="25"/>
      <c r="J1264" s="24"/>
      <c r="U1264" s="24"/>
    </row>
    <row r="1265" spans="1:21" ht="12.75" x14ac:dyDescent="0.2">
      <c r="A1265" s="25"/>
      <c r="B1265" s="25"/>
      <c r="C1265" s="25"/>
      <c r="D1265" s="25"/>
      <c r="E1265" s="25"/>
      <c r="F1265" s="25"/>
      <c r="J1265" s="24"/>
      <c r="U1265" s="24"/>
    </row>
    <row r="1266" spans="1:21" ht="12.75" x14ac:dyDescent="0.2">
      <c r="A1266" s="25"/>
      <c r="B1266" s="25"/>
      <c r="C1266" s="25"/>
      <c r="D1266" s="25"/>
      <c r="E1266" s="25"/>
      <c r="F1266" s="25"/>
      <c r="J1266" s="24"/>
      <c r="U1266" s="24"/>
    </row>
    <row r="1267" spans="1:21" ht="12.75" x14ac:dyDescent="0.2">
      <c r="A1267" s="25"/>
      <c r="B1267" s="25"/>
      <c r="C1267" s="25"/>
      <c r="D1267" s="25"/>
      <c r="E1267" s="25"/>
      <c r="F1267" s="25"/>
      <c r="J1267" s="24"/>
      <c r="U1267" s="24"/>
    </row>
    <row r="1268" spans="1:21" ht="12.75" x14ac:dyDescent="0.2">
      <c r="A1268" s="25"/>
      <c r="B1268" s="25"/>
      <c r="C1268" s="25"/>
      <c r="D1268" s="25"/>
      <c r="E1268" s="25"/>
      <c r="F1268" s="25"/>
      <c r="J1268" s="24"/>
      <c r="U1268" s="24"/>
    </row>
    <row r="1269" spans="1:21" ht="12.75" x14ac:dyDescent="0.2">
      <c r="A1269" s="25"/>
      <c r="B1269" s="25"/>
      <c r="C1269" s="25"/>
      <c r="D1269" s="25"/>
      <c r="E1269" s="25"/>
      <c r="F1269" s="25"/>
      <c r="J1269" s="24"/>
      <c r="U1269" s="24"/>
    </row>
    <row r="1270" spans="1:21" ht="12.75" x14ac:dyDescent="0.2">
      <c r="A1270" s="25"/>
      <c r="B1270" s="25"/>
      <c r="C1270" s="25"/>
      <c r="D1270" s="25"/>
      <c r="E1270" s="25"/>
      <c r="F1270" s="25"/>
      <c r="J1270" s="24"/>
      <c r="U1270" s="24"/>
    </row>
    <row r="1271" spans="1:21" ht="12.75" x14ac:dyDescent="0.2">
      <c r="A1271" s="25"/>
      <c r="B1271" s="25"/>
      <c r="C1271" s="25"/>
      <c r="D1271" s="25"/>
      <c r="E1271" s="25"/>
      <c r="F1271" s="25"/>
      <c r="J1271" s="24"/>
      <c r="U1271" s="24"/>
    </row>
    <row r="1272" spans="1:21" ht="12.75" x14ac:dyDescent="0.2">
      <c r="A1272" s="25"/>
      <c r="B1272" s="25"/>
      <c r="C1272" s="25"/>
      <c r="D1272" s="25"/>
      <c r="E1272" s="25"/>
      <c r="F1272" s="25"/>
      <c r="J1272" s="24"/>
      <c r="U1272" s="24"/>
    </row>
    <row r="1273" spans="1:21" ht="12.75" x14ac:dyDescent="0.2">
      <c r="A1273" s="25"/>
      <c r="B1273" s="25"/>
      <c r="C1273" s="25"/>
      <c r="D1273" s="25"/>
      <c r="E1273" s="25"/>
      <c r="F1273" s="25"/>
      <c r="J1273" s="24"/>
      <c r="U1273" s="24"/>
    </row>
    <row r="1274" spans="1:21" ht="12.75" x14ac:dyDescent="0.2">
      <c r="A1274" s="25"/>
      <c r="B1274" s="25"/>
      <c r="C1274" s="25"/>
      <c r="D1274" s="25"/>
      <c r="E1274" s="25"/>
      <c r="F1274" s="25"/>
      <c r="J1274" s="24"/>
      <c r="U1274" s="24"/>
    </row>
    <row r="1275" spans="1:21" ht="12.75" x14ac:dyDescent="0.2">
      <c r="A1275" s="25"/>
      <c r="B1275" s="25"/>
      <c r="C1275" s="25"/>
      <c r="D1275" s="25"/>
      <c r="E1275" s="25"/>
      <c r="F1275" s="25"/>
      <c r="J1275" s="24"/>
      <c r="U1275" s="24"/>
    </row>
    <row r="1276" spans="1:21" ht="12.75" x14ac:dyDescent="0.2">
      <c r="A1276" s="25"/>
      <c r="B1276" s="25"/>
      <c r="C1276" s="25"/>
      <c r="D1276" s="25"/>
      <c r="E1276" s="25"/>
      <c r="F1276" s="25"/>
      <c r="J1276" s="24"/>
      <c r="U1276" s="24"/>
    </row>
    <row r="1277" spans="1:21" ht="12.75" x14ac:dyDescent="0.2">
      <c r="A1277" s="25"/>
      <c r="B1277" s="25"/>
      <c r="C1277" s="25"/>
      <c r="D1277" s="25"/>
      <c r="E1277" s="25"/>
      <c r="F1277" s="25"/>
      <c r="J1277" s="24"/>
      <c r="U1277" s="24"/>
    </row>
    <row r="1278" spans="1:21" ht="12.75" x14ac:dyDescent="0.2">
      <c r="A1278" s="25"/>
      <c r="B1278" s="25"/>
      <c r="C1278" s="25"/>
      <c r="D1278" s="25"/>
      <c r="E1278" s="25"/>
      <c r="F1278" s="25"/>
      <c r="J1278" s="24"/>
      <c r="U1278" s="24"/>
    </row>
    <row r="1279" spans="1:21" ht="12.75" x14ac:dyDescent="0.2">
      <c r="A1279" s="25"/>
      <c r="B1279" s="25"/>
      <c r="C1279" s="25"/>
      <c r="D1279" s="25"/>
      <c r="E1279" s="25"/>
      <c r="F1279" s="25"/>
      <c r="J1279" s="24"/>
      <c r="U1279" s="24"/>
    </row>
    <row r="1280" spans="1:21" ht="12.75" x14ac:dyDescent="0.2">
      <c r="A1280" s="25"/>
      <c r="B1280" s="25"/>
      <c r="C1280" s="25"/>
      <c r="D1280" s="25"/>
      <c r="E1280" s="25"/>
      <c r="F1280" s="25"/>
      <c r="J1280" s="24"/>
      <c r="U1280" s="24"/>
    </row>
    <row r="1281" spans="1:21" ht="12.75" x14ac:dyDescent="0.2">
      <c r="A1281" s="25"/>
      <c r="B1281" s="25"/>
      <c r="C1281" s="25"/>
      <c r="D1281" s="25"/>
      <c r="E1281" s="25"/>
      <c r="F1281" s="25"/>
      <c r="J1281" s="24"/>
      <c r="U1281" s="24"/>
    </row>
    <row r="1282" spans="1:21" ht="12.75" x14ac:dyDescent="0.2">
      <c r="A1282" s="25"/>
      <c r="B1282" s="25"/>
      <c r="C1282" s="25"/>
      <c r="D1282" s="25"/>
      <c r="E1282" s="25"/>
      <c r="F1282" s="25"/>
      <c r="J1282" s="24"/>
      <c r="U1282" s="24"/>
    </row>
    <row r="1283" spans="1:21" ht="12.75" x14ac:dyDescent="0.2">
      <c r="A1283" s="25"/>
      <c r="B1283" s="25"/>
      <c r="C1283" s="25"/>
      <c r="D1283" s="25"/>
      <c r="E1283" s="25"/>
      <c r="F1283" s="25"/>
      <c r="J1283" s="24"/>
      <c r="U1283" s="24"/>
    </row>
    <row r="1284" spans="1:21" ht="12.75" x14ac:dyDescent="0.2">
      <c r="A1284" s="25"/>
      <c r="B1284" s="25"/>
      <c r="C1284" s="25"/>
      <c r="D1284" s="25"/>
      <c r="E1284" s="25"/>
      <c r="F1284" s="25"/>
      <c r="J1284" s="24"/>
      <c r="U1284" s="24"/>
    </row>
    <row r="1285" spans="1:21" ht="12.75" x14ac:dyDescent="0.2">
      <c r="A1285" s="25"/>
      <c r="B1285" s="25"/>
      <c r="C1285" s="25"/>
      <c r="D1285" s="25"/>
      <c r="E1285" s="25"/>
      <c r="F1285" s="25"/>
      <c r="J1285" s="24"/>
      <c r="U1285" s="24"/>
    </row>
    <row r="1286" spans="1:21" ht="12.75" x14ac:dyDescent="0.2">
      <c r="A1286" s="25"/>
      <c r="B1286" s="25"/>
      <c r="C1286" s="25"/>
      <c r="D1286" s="25"/>
      <c r="E1286" s="25"/>
      <c r="F1286" s="25"/>
      <c r="J1286" s="24"/>
      <c r="U1286" s="24"/>
    </row>
    <row r="1287" spans="1:21" ht="12.75" x14ac:dyDescent="0.2">
      <c r="A1287" s="25"/>
      <c r="B1287" s="25"/>
      <c r="C1287" s="25"/>
      <c r="D1287" s="25"/>
      <c r="E1287" s="25"/>
      <c r="F1287" s="25"/>
      <c r="J1287" s="24"/>
      <c r="U1287" s="24"/>
    </row>
    <row r="1288" spans="1:21" ht="12.75" x14ac:dyDescent="0.2">
      <c r="A1288" s="25"/>
      <c r="B1288" s="25"/>
      <c r="C1288" s="25"/>
      <c r="D1288" s="25"/>
      <c r="E1288" s="25"/>
      <c r="F1288" s="25"/>
      <c r="J1288" s="24"/>
      <c r="U1288" s="24"/>
    </row>
    <row r="1289" spans="1:21" ht="12.75" x14ac:dyDescent="0.2">
      <c r="A1289" s="25"/>
      <c r="B1289" s="25"/>
      <c r="C1289" s="25"/>
      <c r="D1289" s="25"/>
      <c r="E1289" s="25"/>
      <c r="F1289" s="25"/>
      <c r="J1289" s="24"/>
      <c r="U1289" s="24"/>
    </row>
    <row r="1290" spans="1:21" ht="12.75" x14ac:dyDescent="0.2">
      <c r="A1290" s="25"/>
      <c r="B1290" s="25"/>
      <c r="C1290" s="25"/>
      <c r="D1290" s="25"/>
      <c r="E1290" s="25"/>
      <c r="F1290" s="25"/>
      <c r="J1290" s="24"/>
      <c r="U1290" s="24"/>
    </row>
    <row r="1291" spans="1:21" ht="12.75" x14ac:dyDescent="0.2">
      <c r="A1291" s="25"/>
      <c r="B1291" s="25"/>
      <c r="C1291" s="25"/>
      <c r="D1291" s="25"/>
      <c r="E1291" s="25"/>
      <c r="F1291" s="25"/>
      <c r="J1291" s="24"/>
      <c r="U1291" s="24"/>
    </row>
    <row r="1292" spans="1:21" ht="12.75" x14ac:dyDescent="0.2">
      <c r="A1292" s="25"/>
      <c r="B1292" s="25"/>
      <c r="C1292" s="25"/>
      <c r="D1292" s="25"/>
      <c r="E1292" s="25"/>
      <c r="F1292" s="25"/>
      <c r="J1292" s="24"/>
      <c r="U1292" s="24"/>
    </row>
    <row r="1293" spans="1:21" ht="12.75" x14ac:dyDescent="0.2">
      <c r="A1293" s="25"/>
      <c r="B1293" s="25"/>
      <c r="C1293" s="25"/>
      <c r="D1293" s="25"/>
      <c r="E1293" s="25"/>
      <c r="F1293" s="25"/>
      <c r="J1293" s="24"/>
      <c r="U1293" s="24"/>
    </row>
    <row r="1294" spans="1:21" ht="12.75" x14ac:dyDescent="0.2">
      <c r="A1294" s="25"/>
      <c r="B1294" s="25"/>
      <c r="C1294" s="25"/>
      <c r="D1294" s="25"/>
      <c r="E1294" s="25"/>
      <c r="F1294" s="25"/>
      <c r="J1294" s="24"/>
      <c r="U1294" s="24"/>
    </row>
    <row r="1295" spans="1:21" ht="12.75" x14ac:dyDescent="0.2">
      <c r="A1295" s="25"/>
      <c r="B1295" s="25"/>
      <c r="C1295" s="25"/>
      <c r="D1295" s="25"/>
      <c r="E1295" s="25"/>
      <c r="F1295" s="25"/>
      <c r="J1295" s="24"/>
      <c r="U1295" s="24"/>
    </row>
    <row r="1296" spans="1:21" ht="12.75" x14ac:dyDescent="0.2">
      <c r="A1296" s="25"/>
      <c r="B1296" s="25"/>
      <c r="C1296" s="25"/>
      <c r="D1296" s="25"/>
      <c r="E1296" s="25"/>
      <c r="F1296" s="25"/>
      <c r="J1296" s="24"/>
      <c r="U1296" s="24"/>
    </row>
    <row r="1297" spans="1:21" ht="12.75" x14ac:dyDescent="0.2">
      <c r="A1297" s="25"/>
      <c r="B1297" s="25"/>
      <c r="C1297" s="25"/>
      <c r="D1297" s="25"/>
      <c r="E1297" s="25"/>
      <c r="F1297" s="25"/>
      <c r="J1297" s="24"/>
      <c r="U1297" s="24"/>
    </row>
    <row r="1298" spans="1:21" ht="12.75" x14ac:dyDescent="0.2">
      <c r="A1298" s="25"/>
      <c r="B1298" s="25"/>
      <c r="C1298" s="25"/>
      <c r="D1298" s="25"/>
      <c r="E1298" s="25"/>
      <c r="F1298" s="25"/>
      <c r="J1298" s="24"/>
      <c r="U1298" s="24"/>
    </row>
    <row r="1299" spans="1:21" ht="12.75" x14ac:dyDescent="0.2">
      <c r="A1299" s="25"/>
      <c r="B1299" s="25"/>
      <c r="C1299" s="25"/>
      <c r="D1299" s="25"/>
      <c r="E1299" s="25"/>
      <c r="F1299" s="25"/>
      <c r="J1299" s="24"/>
      <c r="U1299" s="24"/>
    </row>
    <row r="1300" spans="1:21" ht="12.75" x14ac:dyDescent="0.2">
      <c r="A1300" s="25"/>
      <c r="B1300" s="25"/>
      <c r="C1300" s="25"/>
      <c r="D1300" s="25"/>
      <c r="E1300" s="25"/>
      <c r="F1300" s="25"/>
      <c r="J1300" s="24"/>
      <c r="U1300" s="24"/>
    </row>
    <row r="1301" spans="1:21" ht="12.75" x14ac:dyDescent="0.2">
      <c r="A1301" s="25"/>
      <c r="B1301" s="25"/>
      <c r="C1301" s="25"/>
      <c r="D1301" s="25"/>
      <c r="E1301" s="25"/>
      <c r="F1301" s="25"/>
      <c r="J1301" s="24"/>
      <c r="U1301" s="24"/>
    </row>
    <row r="1302" spans="1:21" ht="12.75" x14ac:dyDescent="0.2">
      <c r="A1302" s="25"/>
      <c r="B1302" s="25"/>
      <c r="C1302" s="25"/>
      <c r="D1302" s="25"/>
      <c r="E1302" s="25"/>
      <c r="F1302" s="25"/>
      <c r="J1302" s="24"/>
      <c r="U1302" s="24"/>
    </row>
    <row r="1303" spans="1:21" ht="12.75" x14ac:dyDescent="0.2">
      <c r="A1303" s="25"/>
      <c r="B1303" s="25"/>
      <c r="C1303" s="25"/>
      <c r="D1303" s="25"/>
      <c r="E1303" s="25"/>
      <c r="F1303" s="25"/>
      <c r="J1303" s="24"/>
      <c r="U1303" s="24"/>
    </row>
    <row r="1304" spans="1:21" ht="12.75" x14ac:dyDescent="0.2">
      <c r="A1304" s="25"/>
      <c r="B1304" s="25"/>
      <c r="C1304" s="25"/>
      <c r="D1304" s="25"/>
      <c r="E1304" s="25"/>
      <c r="F1304" s="25"/>
      <c r="J1304" s="24"/>
      <c r="U1304" s="24"/>
    </row>
    <row r="1305" spans="1:21" ht="12.75" x14ac:dyDescent="0.2">
      <c r="A1305" s="25"/>
      <c r="B1305" s="25"/>
      <c r="C1305" s="25"/>
      <c r="D1305" s="25"/>
      <c r="E1305" s="25"/>
      <c r="F1305" s="25"/>
      <c r="J1305" s="24"/>
      <c r="U1305" s="24"/>
    </row>
    <row r="1306" spans="1:21" ht="12.75" x14ac:dyDescent="0.2">
      <c r="A1306" s="25"/>
      <c r="B1306" s="25"/>
      <c r="C1306" s="25"/>
      <c r="D1306" s="25"/>
      <c r="E1306" s="25"/>
      <c r="F1306" s="25"/>
      <c r="J1306" s="24"/>
      <c r="U1306" s="24"/>
    </row>
    <row r="1307" spans="1:21" ht="12.75" x14ac:dyDescent="0.2">
      <c r="A1307" s="25"/>
      <c r="B1307" s="25"/>
      <c r="C1307" s="25"/>
      <c r="D1307" s="25"/>
      <c r="E1307" s="25"/>
      <c r="F1307" s="25"/>
      <c r="J1307" s="24"/>
      <c r="U1307" s="24"/>
    </row>
    <row r="1308" spans="1:21" ht="12.75" x14ac:dyDescent="0.2">
      <c r="A1308" s="25"/>
      <c r="B1308" s="25"/>
      <c r="C1308" s="25"/>
      <c r="D1308" s="25"/>
      <c r="E1308" s="25"/>
      <c r="F1308" s="25"/>
      <c r="J1308" s="24"/>
      <c r="U1308" s="24"/>
    </row>
    <row r="1309" spans="1:21" ht="12.75" x14ac:dyDescent="0.2">
      <c r="A1309" s="25"/>
      <c r="B1309" s="25"/>
      <c r="C1309" s="25"/>
      <c r="D1309" s="25"/>
      <c r="E1309" s="25"/>
      <c r="F1309" s="25"/>
      <c r="J1309" s="24"/>
      <c r="U1309" s="24"/>
    </row>
    <row r="1310" spans="1:21" ht="12.75" x14ac:dyDescent="0.2">
      <c r="A1310" s="25"/>
      <c r="B1310" s="25"/>
      <c r="C1310" s="25"/>
      <c r="D1310" s="25"/>
      <c r="E1310" s="25"/>
      <c r="F1310" s="25"/>
      <c r="J1310" s="24"/>
      <c r="U1310" s="24"/>
    </row>
    <row r="1311" spans="1:21" ht="12.75" x14ac:dyDescent="0.2">
      <c r="A1311" s="25"/>
      <c r="B1311" s="25"/>
      <c r="C1311" s="25"/>
      <c r="D1311" s="25"/>
      <c r="E1311" s="25"/>
      <c r="F1311" s="25"/>
      <c r="J1311" s="24"/>
      <c r="U1311" s="24"/>
    </row>
    <row r="1312" spans="1:21" ht="12.75" x14ac:dyDescent="0.2">
      <c r="A1312" s="25"/>
      <c r="B1312" s="25"/>
      <c r="C1312" s="25"/>
      <c r="D1312" s="25"/>
      <c r="E1312" s="25"/>
      <c r="F1312" s="25"/>
      <c r="J1312" s="24"/>
      <c r="U1312" s="24"/>
    </row>
    <row r="1313" spans="1:21" ht="12.75" x14ac:dyDescent="0.2">
      <c r="A1313" s="25"/>
      <c r="B1313" s="25"/>
      <c r="C1313" s="25"/>
      <c r="D1313" s="25"/>
      <c r="E1313" s="25"/>
      <c r="F1313" s="25"/>
      <c r="J1313" s="24"/>
      <c r="U1313" s="24"/>
    </row>
    <row r="1314" spans="1:21" ht="12.75" x14ac:dyDescent="0.2">
      <c r="A1314" s="25"/>
      <c r="B1314" s="25"/>
      <c r="C1314" s="25"/>
      <c r="D1314" s="25"/>
      <c r="E1314" s="25"/>
      <c r="F1314" s="25"/>
      <c r="J1314" s="24"/>
      <c r="U1314" s="24"/>
    </row>
    <row r="1315" spans="1:21" ht="12.75" x14ac:dyDescent="0.2">
      <c r="A1315" s="25"/>
      <c r="B1315" s="25"/>
      <c r="C1315" s="25"/>
      <c r="D1315" s="25"/>
      <c r="E1315" s="25"/>
      <c r="F1315" s="25"/>
      <c r="J1315" s="24"/>
      <c r="U1315" s="24"/>
    </row>
    <row r="1316" spans="1:21" ht="12.75" x14ac:dyDescent="0.2">
      <c r="A1316" s="25"/>
      <c r="B1316" s="25"/>
      <c r="C1316" s="25"/>
      <c r="D1316" s="25"/>
      <c r="E1316" s="25"/>
      <c r="F1316" s="25"/>
      <c r="J1316" s="24"/>
      <c r="U1316" s="24"/>
    </row>
    <row r="1317" spans="1:21" ht="12.75" x14ac:dyDescent="0.2">
      <c r="A1317" s="25"/>
      <c r="B1317" s="25"/>
      <c r="C1317" s="25"/>
      <c r="D1317" s="25"/>
      <c r="E1317" s="25"/>
      <c r="F1317" s="25"/>
      <c r="J1317" s="24"/>
      <c r="U1317" s="24"/>
    </row>
    <row r="1318" spans="1:21" ht="12.75" x14ac:dyDescent="0.2">
      <c r="A1318" s="25"/>
      <c r="B1318" s="25"/>
      <c r="C1318" s="25"/>
      <c r="D1318" s="25"/>
      <c r="E1318" s="25"/>
      <c r="F1318" s="25"/>
      <c r="J1318" s="24"/>
      <c r="U1318" s="24"/>
    </row>
    <row r="1319" spans="1:21" ht="12.75" x14ac:dyDescent="0.2">
      <c r="A1319" s="25"/>
      <c r="B1319" s="25"/>
      <c r="C1319" s="25"/>
      <c r="D1319" s="25"/>
      <c r="E1319" s="25"/>
      <c r="F1319" s="25"/>
      <c r="J1319" s="24"/>
      <c r="U1319" s="24"/>
    </row>
    <row r="1320" spans="1:21" ht="12.75" x14ac:dyDescent="0.2">
      <c r="A1320" s="25"/>
      <c r="B1320" s="25"/>
      <c r="C1320" s="25"/>
      <c r="D1320" s="25"/>
      <c r="E1320" s="25"/>
      <c r="F1320" s="25"/>
      <c r="J1320" s="24"/>
      <c r="U1320" s="24"/>
    </row>
    <row r="1321" spans="1:21" ht="12.75" x14ac:dyDescent="0.2">
      <c r="A1321" s="25"/>
      <c r="B1321" s="25"/>
      <c r="C1321" s="25"/>
      <c r="D1321" s="25"/>
      <c r="E1321" s="25"/>
      <c r="F1321" s="25"/>
      <c r="J1321" s="24"/>
      <c r="U1321" s="24"/>
    </row>
    <row r="1322" spans="1:21" ht="12.75" x14ac:dyDescent="0.2">
      <c r="A1322" s="25"/>
      <c r="B1322" s="25"/>
      <c r="C1322" s="25"/>
      <c r="D1322" s="25"/>
      <c r="E1322" s="25"/>
      <c r="F1322" s="25"/>
      <c r="J1322" s="24"/>
      <c r="U1322" s="24"/>
    </row>
    <row r="1323" spans="1:21" ht="12.75" x14ac:dyDescent="0.2">
      <c r="A1323" s="25"/>
      <c r="B1323" s="25"/>
      <c r="C1323" s="25"/>
      <c r="D1323" s="25"/>
      <c r="E1323" s="25"/>
      <c r="F1323" s="25"/>
      <c r="J1323" s="24"/>
      <c r="U1323" s="24"/>
    </row>
    <row r="1324" spans="1:21" ht="12.75" x14ac:dyDescent="0.2">
      <c r="A1324" s="25"/>
      <c r="B1324" s="25"/>
      <c r="C1324" s="25"/>
      <c r="D1324" s="25"/>
      <c r="E1324" s="25"/>
      <c r="F1324" s="25"/>
      <c r="J1324" s="24"/>
      <c r="U1324" s="24"/>
    </row>
    <row r="1325" spans="1:21" ht="12.75" x14ac:dyDescent="0.2">
      <c r="A1325" s="25"/>
      <c r="B1325" s="25"/>
      <c r="C1325" s="25"/>
      <c r="D1325" s="25"/>
      <c r="E1325" s="25"/>
      <c r="F1325" s="25"/>
      <c r="J1325" s="24"/>
      <c r="U1325" s="24"/>
    </row>
    <row r="1326" spans="1:21" ht="12.75" x14ac:dyDescent="0.2">
      <c r="A1326" s="25"/>
      <c r="B1326" s="25"/>
      <c r="C1326" s="25"/>
      <c r="D1326" s="25"/>
      <c r="E1326" s="25"/>
      <c r="F1326" s="25"/>
      <c r="J1326" s="24"/>
      <c r="U1326" s="24"/>
    </row>
    <row r="1327" spans="1:21" ht="12.75" x14ac:dyDescent="0.2">
      <c r="A1327" s="25"/>
      <c r="B1327" s="25"/>
      <c r="C1327" s="25"/>
      <c r="D1327" s="25"/>
      <c r="E1327" s="25"/>
      <c r="F1327" s="25"/>
      <c r="J1327" s="24"/>
      <c r="U1327" s="24"/>
    </row>
    <row r="1328" spans="1:21" ht="12.75" x14ac:dyDescent="0.2">
      <c r="A1328" s="25"/>
      <c r="B1328" s="25"/>
      <c r="C1328" s="25"/>
      <c r="D1328" s="25"/>
      <c r="E1328" s="25"/>
      <c r="F1328" s="25"/>
      <c r="J1328" s="24"/>
      <c r="U1328" s="24"/>
    </row>
    <row r="1329" spans="1:21" ht="12.75" x14ac:dyDescent="0.2">
      <c r="A1329" s="25"/>
      <c r="B1329" s="25"/>
      <c r="C1329" s="25"/>
      <c r="D1329" s="25"/>
      <c r="E1329" s="25"/>
      <c r="F1329" s="25"/>
      <c r="J1329" s="24"/>
      <c r="U1329" s="24"/>
    </row>
    <row r="1330" spans="1:21" ht="12.75" x14ac:dyDescent="0.2">
      <c r="A1330" s="25"/>
      <c r="B1330" s="25"/>
      <c r="C1330" s="25"/>
      <c r="D1330" s="25"/>
      <c r="E1330" s="25"/>
      <c r="F1330" s="25"/>
      <c r="J1330" s="24"/>
      <c r="U1330" s="24"/>
    </row>
    <row r="1331" spans="1:21" ht="12.75" x14ac:dyDescent="0.2">
      <c r="A1331" s="25"/>
      <c r="B1331" s="25"/>
      <c r="C1331" s="25"/>
      <c r="D1331" s="25"/>
      <c r="E1331" s="25"/>
      <c r="F1331" s="25"/>
      <c r="J1331" s="24"/>
      <c r="U1331" s="24"/>
    </row>
    <row r="1332" spans="1:21" ht="12.75" x14ac:dyDescent="0.2">
      <c r="A1332" s="25"/>
      <c r="B1332" s="25"/>
      <c r="C1332" s="25"/>
      <c r="D1332" s="25"/>
      <c r="E1332" s="25"/>
      <c r="F1332" s="25"/>
      <c r="J1332" s="24"/>
      <c r="U1332" s="24"/>
    </row>
    <row r="1333" spans="1:21" ht="12.75" x14ac:dyDescent="0.2">
      <c r="A1333" s="25"/>
      <c r="B1333" s="25"/>
      <c r="C1333" s="25"/>
      <c r="D1333" s="25"/>
      <c r="E1333" s="25"/>
      <c r="F1333" s="25"/>
      <c r="J1333" s="24"/>
      <c r="U1333" s="24"/>
    </row>
    <row r="1334" spans="1:21" ht="12.75" x14ac:dyDescent="0.2">
      <c r="A1334" s="25"/>
      <c r="B1334" s="25"/>
      <c r="C1334" s="25"/>
      <c r="D1334" s="25"/>
      <c r="E1334" s="25"/>
      <c r="F1334" s="25"/>
      <c r="J1334" s="24"/>
      <c r="U1334" s="24"/>
    </row>
    <row r="1335" spans="1:21" ht="12.75" x14ac:dyDescent="0.2">
      <c r="A1335" s="25"/>
      <c r="B1335" s="25"/>
      <c r="C1335" s="25"/>
      <c r="D1335" s="25"/>
      <c r="E1335" s="25"/>
      <c r="F1335" s="25"/>
      <c r="J1335" s="24"/>
      <c r="U1335" s="24"/>
    </row>
    <row r="1336" spans="1:21" ht="12.75" x14ac:dyDescent="0.2">
      <c r="A1336" s="25"/>
      <c r="B1336" s="25"/>
      <c r="C1336" s="25"/>
      <c r="D1336" s="25"/>
      <c r="E1336" s="25"/>
      <c r="F1336" s="25"/>
      <c r="J1336" s="24"/>
      <c r="U1336" s="24"/>
    </row>
    <row r="1337" spans="1:21" ht="12.75" x14ac:dyDescent="0.2">
      <c r="A1337" s="25"/>
      <c r="B1337" s="25"/>
      <c r="C1337" s="25"/>
      <c r="D1337" s="25"/>
      <c r="E1337" s="25"/>
      <c r="F1337" s="25"/>
      <c r="J1337" s="24"/>
      <c r="U1337" s="24"/>
    </row>
    <row r="1338" spans="1:21" ht="12.75" x14ac:dyDescent="0.2">
      <c r="A1338" s="25"/>
      <c r="B1338" s="25"/>
      <c r="C1338" s="25"/>
      <c r="D1338" s="25"/>
      <c r="E1338" s="25"/>
      <c r="F1338" s="25"/>
      <c r="J1338" s="24"/>
      <c r="U1338" s="24"/>
    </row>
    <row r="1339" spans="1:21" ht="12.75" x14ac:dyDescent="0.2">
      <c r="A1339" s="25"/>
      <c r="B1339" s="25"/>
      <c r="C1339" s="25"/>
      <c r="D1339" s="25"/>
      <c r="E1339" s="25"/>
      <c r="F1339" s="25"/>
      <c r="J1339" s="24"/>
      <c r="U1339" s="24"/>
    </row>
    <row r="1340" spans="1:21" ht="12.75" x14ac:dyDescent="0.2">
      <c r="A1340" s="25"/>
      <c r="B1340" s="25"/>
      <c r="C1340" s="25"/>
      <c r="D1340" s="25"/>
      <c r="E1340" s="25"/>
      <c r="F1340" s="25"/>
      <c r="J1340" s="24"/>
      <c r="U1340" s="24"/>
    </row>
    <row r="1341" spans="1:21" ht="12.75" x14ac:dyDescent="0.2">
      <c r="A1341" s="25"/>
      <c r="B1341" s="25"/>
      <c r="C1341" s="25"/>
      <c r="D1341" s="25"/>
      <c r="E1341" s="25"/>
      <c r="F1341" s="25"/>
      <c r="J1341" s="24"/>
      <c r="U1341" s="24"/>
    </row>
    <row r="1342" spans="1:21" ht="12.75" x14ac:dyDescent="0.2">
      <c r="A1342" s="25"/>
      <c r="B1342" s="25"/>
      <c r="C1342" s="25"/>
      <c r="D1342" s="25"/>
      <c r="E1342" s="25"/>
      <c r="F1342" s="25"/>
      <c r="J1342" s="24"/>
      <c r="U1342" s="24"/>
    </row>
    <row r="1343" spans="1:21" ht="12.75" x14ac:dyDescent="0.2">
      <c r="A1343" s="25"/>
      <c r="B1343" s="25"/>
      <c r="C1343" s="25"/>
      <c r="D1343" s="25"/>
      <c r="E1343" s="25"/>
      <c r="F1343" s="25"/>
      <c r="J1343" s="24"/>
      <c r="U1343" s="24"/>
    </row>
    <row r="1344" spans="1:21" ht="12.75" x14ac:dyDescent="0.2">
      <c r="A1344" s="25"/>
      <c r="B1344" s="25"/>
      <c r="C1344" s="25"/>
      <c r="D1344" s="25"/>
      <c r="E1344" s="25"/>
      <c r="F1344" s="25"/>
      <c r="J1344" s="24"/>
      <c r="U1344" s="24"/>
    </row>
    <row r="1345" spans="1:21" ht="12.75" x14ac:dyDescent="0.2">
      <c r="A1345" s="25"/>
      <c r="B1345" s="25"/>
      <c r="C1345" s="25"/>
      <c r="D1345" s="25"/>
      <c r="E1345" s="25"/>
      <c r="F1345" s="25"/>
      <c r="J1345" s="24"/>
      <c r="U1345" s="24"/>
    </row>
    <row r="1346" spans="1:21" ht="12.75" x14ac:dyDescent="0.2">
      <c r="A1346" s="25"/>
      <c r="B1346" s="25"/>
      <c r="C1346" s="25"/>
      <c r="D1346" s="25"/>
      <c r="E1346" s="25"/>
      <c r="F1346" s="25"/>
      <c r="J1346" s="24"/>
      <c r="U1346" s="24"/>
    </row>
    <row r="1347" spans="1:21" ht="12.75" x14ac:dyDescent="0.2">
      <c r="A1347" s="25"/>
      <c r="B1347" s="25"/>
      <c r="C1347" s="25"/>
      <c r="D1347" s="25"/>
      <c r="E1347" s="25"/>
      <c r="F1347" s="25"/>
      <c r="J1347" s="24"/>
      <c r="U1347" s="24"/>
    </row>
    <row r="1348" spans="1:21" ht="12.75" x14ac:dyDescent="0.2">
      <c r="A1348" s="25"/>
      <c r="B1348" s="25"/>
      <c r="C1348" s="25"/>
      <c r="D1348" s="25"/>
      <c r="E1348" s="25"/>
      <c r="F1348" s="25"/>
      <c r="J1348" s="24"/>
      <c r="U1348" s="24"/>
    </row>
    <row r="1349" spans="1:21" ht="12.75" x14ac:dyDescent="0.2">
      <c r="A1349" s="25"/>
      <c r="B1349" s="25"/>
      <c r="C1349" s="25"/>
      <c r="D1349" s="25"/>
      <c r="E1349" s="25"/>
      <c r="F1349" s="25"/>
      <c r="J1349" s="24"/>
      <c r="U1349" s="24"/>
    </row>
    <row r="1350" spans="1:21" ht="12.75" x14ac:dyDescent="0.2">
      <c r="A1350" s="25"/>
      <c r="B1350" s="25"/>
      <c r="C1350" s="25"/>
      <c r="D1350" s="25"/>
      <c r="E1350" s="25"/>
      <c r="F1350" s="25"/>
      <c r="J1350" s="24"/>
      <c r="U1350" s="24"/>
    </row>
    <row r="1351" spans="1:21" ht="12.75" x14ac:dyDescent="0.2">
      <c r="A1351" s="25"/>
      <c r="B1351" s="25"/>
      <c r="C1351" s="25"/>
      <c r="D1351" s="25"/>
      <c r="E1351" s="25"/>
      <c r="F1351" s="25"/>
      <c r="J1351" s="24"/>
      <c r="U1351" s="24"/>
    </row>
    <row r="1352" spans="1:21" ht="12.75" x14ac:dyDescent="0.2">
      <c r="A1352" s="25"/>
      <c r="B1352" s="25"/>
      <c r="C1352" s="25"/>
      <c r="D1352" s="25"/>
      <c r="E1352" s="25"/>
      <c r="F1352" s="25"/>
      <c r="J1352" s="24"/>
      <c r="U1352" s="24"/>
    </row>
    <row r="1353" spans="1:21" ht="12.75" x14ac:dyDescent="0.2">
      <c r="A1353" s="25"/>
      <c r="B1353" s="25"/>
      <c r="C1353" s="25"/>
      <c r="D1353" s="25"/>
      <c r="E1353" s="25"/>
      <c r="F1353" s="25"/>
      <c r="J1353" s="24"/>
      <c r="U1353" s="24"/>
    </row>
    <row r="1354" spans="1:21" ht="12.75" x14ac:dyDescent="0.2">
      <c r="A1354" s="25"/>
      <c r="B1354" s="25"/>
      <c r="C1354" s="25"/>
      <c r="D1354" s="25"/>
      <c r="E1354" s="25"/>
      <c r="F1354" s="25"/>
      <c r="J1354" s="24"/>
      <c r="U1354" s="24"/>
    </row>
    <row r="1355" spans="1:21" ht="12.75" x14ac:dyDescent="0.2">
      <c r="A1355" s="25"/>
      <c r="B1355" s="25"/>
      <c r="C1355" s="25"/>
      <c r="D1355" s="25"/>
      <c r="E1355" s="25"/>
      <c r="F1355" s="25"/>
      <c r="J1355" s="24"/>
      <c r="U1355" s="24"/>
    </row>
    <row r="1356" spans="1:21" ht="12.75" x14ac:dyDescent="0.2">
      <c r="A1356" s="25"/>
      <c r="B1356" s="25"/>
      <c r="C1356" s="25"/>
      <c r="D1356" s="25"/>
      <c r="E1356" s="25"/>
      <c r="F1356" s="25"/>
      <c r="J1356" s="24"/>
      <c r="U1356" s="24"/>
    </row>
    <row r="1357" spans="1:21" ht="12.75" x14ac:dyDescent="0.2">
      <c r="A1357" s="25"/>
      <c r="B1357" s="25"/>
      <c r="C1357" s="25"/>
      <c r="D1357" s="25"/>
      <c r="E1357" s="25"/>
      <c r="F1357" s="25"/>
      <c r="J1357" s="24"/>
      <c r="U1357" s="24"/>
    </row>
    <row r="1358" spans="1:21" ht="12.75" x14ac:dyDescent="0.2">
      <c r="A1358" s="25"/>
      <c r="B1358" s="25"/>
      <c r="C1358" s="25"/>
      <c r="D1358" s="25"/>
      <c r="E1358" s="25"/>
      <c r="F1358" s="25"/>
      <c r="J1358" s="24"/>
      <c r="U1358" s="24"/>
    </row>
    <row r="1359" spans="1:21" ht="12.75" x14ac:dyDescent="0.2">
      <c r="A1359" s="25"/>
      <c r="B1359" s="25"/>
      <c r="C1359" s="25"/>
      <c r="D1359" s="25"/>
      <c r="E1359" s="25"/>
      <c r="F1359" s="25"/>
      <c r="J1359" s="24"/>
      <c r="U1359" s="24"/>
    </row>
    <row r="1360" spans="1:21" ht="12.75" x14ac:dyDescent="0.2">
      <c r="A1360" s="25"/>
      <c r="B1360" s="25"/>
      <c r="C1360" s="25"/>
      <c r="D1360" s="25"/>
      <c r="E1360" s="25"/>
      <c r="F1360" s="25"/>
      <c r="J1360" s="24"/>
      <c r="U1360" s="24"/>
    </row>
    <row r="1361" spans="1:21" ht="12.75" x14ac:dyDescent="0.2">
      <c r="A1361" s="25"/>
      <c r="B1361" s="25"/>
      <c r="C1361" s="25"/>
      <c r="D1361" s="25"/>
      <c r="E1361" s="25"/>
      <c r="F1361" s="25"/>
      <c r="J1361" s="24"/>
      <c r="U1361" s="24"/>
    </row>
    <row r="1362" spans="1:21" ht="12.75" x14ac:dyDescent="0.2">
      <c r="A1362" s="25"/>
      <c r="B1362" s="25"/>
      <c r="C1362" s="25"/>
      <c r="D1362" s="25"/>
      <c r="E1362" s="25"/>
      <c r="F1362" s="25"/>
      <c r="J1362" s="24"/>
      <c r="U1362" s="24"/>
    </row>
    <row r="1363" spans="1:21" ht="12.75" x14ac:dyDescent="0.2">
      <c r="A1363" s="25"/>
      <c r="B1363" s="25"/>
      <c r="C1363" s="25"/>
      <c r="D1363" s="25"/>
      <c r="E1363" s="25"/>
      <c r="F1363" s="25"/>
      <c r="J1363" s="24"/>
      <c r="U1363" s="24"/>
    </row>
    <row r="1364" spans="1:21" ht="12.75" x14ac:dyDescent="0.2">
      <c r="A1364" s="25"/>
      <c r="B1364" s="25"/>
      <c r="C1364" s="25"/>
      <c r="D1364" s="25"/>
      <c r="E1364" s="25"/>
      <c r="F1364" s="25"/>
      <c r="J1364" s="24"/>
      <c r="U1364" s="24"/>
    </row>
    <row r="1365" spans="1:21" ht="12.75" x14ac:dyDescent="0.2">
      <c r="A1365" s="25"/>
      <c r="B1365" s="25"/>
      <c r="C1365" s="25"/>
      <c r="D1365" s="25"/>
      <c r="E1365" s="25"/>
      <c r="F1365" s="25"/>
      <c r="J1365" s="24"/>
      <c r="U1365" s="24"/>
    </row>
    <row r="1366" spans="1:21" ht="12.75" x14ac:dyDescent="0.2">
      <c r="A1366" s="25"/>
      <c r="B1366" s="25"/>
      <c r="C1366" s="25"/>
      <c r="D1366" s="25"/>
      <c r="E1366" s="25"/>
      <c r="F1366" s="25"/>
      <c r="J1366" s="24"/>
      <c r="U1366" s="24"/>
    </row>
    <row r="1367" spans="1:21" ht="12.75" x14ac:dyDescent="0.2">
      <c r="A1367" s="25"/>
      <c r="B1367" s="25"/>
      <c r="C1367" s="25"/>
      <c r="D1367" s="25"/>
      <c r="E1367" s="25"/>
      <c r="F1367" s="25"/>
      <c r="J1367" s="24"/>
      <c r="U1367" s="24"/>
    </row>
    <row r="1368" spans="1:21" ht="12.75" x14ac:dyDescent="0.2">
      <c r="A1368" s="25"/>
      <c r="B1368" s="25"/>
      <c r="C1368" s="25"/>
      <c r="D1368" s="25"/>
      <c r="E1368" s="25"/>
      <c r="F1368" s="25"/>
      <c r="J1368" s="24"/>
      <c r="U1368" s="24"/>
    </row>
    <row r="1369" spans="1:21" ht="12.75" x14ac:dyDescent="0.2">
      <c r="A1369" s="25"/>
      <c r="B1369" s="25"/>
      <c r="C1369" s="25"/>
      <c r="D1369" s="25"/>
      <c r="E1369" s="25"/>
      <c r="F1369" s="25"/>
      <c r="J1369" s="24"/>
      <c r="U1369" s="24"/>
    </row>
    <row r="1370" spans="1:21" ht="12.75" x14ac:dyDescent="0.2">
      <c r="A1370" s="25"/>
      <c r="B1370" s="25"/>
      <c r="C1370" s="25"/>
      <c r="D1370" s="25"/>
      <c r="E1370" s="25"/>
      <c r="F1370" s="25"/>
      <c r="J1370" s="24"/>
      <c r="U1370" s="24"/>
    </row>
    <row r="1371" spans="1:21" ht="12.75" x14ac:dyDescent="0.2">
      <c r="A1371" s="25"/>
      <c r="B1371" s="25"/>
      <c r="C1371" s="25"/>
      <c r="D1371" s="25"/>
      <c r="E1371" s="25"/>
      <c r="F1371" s="25"/>
      <c r="J1371" s="24"/>
      <c r="U1371" s="24"/>
    </row>
    <row r="1372" spans="1:21" ht="12.75" x14ac:dyDescent="0.2">
      <c r="A1372" s="25"/>
      <c r="B1372" s="25"/>
      <c r="C1372" s="25"/>
      <c r="D1372" s="25"/>
      <c r="E1372" s="25"/>
      <c r="F1372" s="25"/>
      <c r="J1372" s="24"/>
      <c r="U1372" s="24"/>
    </row>
    <row r="1373" spans="1:21" ht="12.75" x14ac:dyDescent="0.2">
      <c r="A1373" s="25"/>
      <c r="B1373" s="25"/>
      <c r="C1373" s="25"/>
      <c r="D1373" s="25"/>
      <c r="E1373" s="25"/>
      <c r="F1373" s="25"/>
      <c r="J1373" s="24"/>
      <c r="U1373" s="24"/>
    </row>
    <row r="1374" spans="1:21" ht="12.75" x14ac:dyDescent="0.2">
      <c r="A1374" s="25"/>
      <c r="B1374" s="25"/>
      <c r="C1374" s="25"/>
      <c r="D1374" s="25"/>
      <c r="E1374" s="25"/>
      <c r="F1374" s="25"/>
      <c r="J1374" s="24"/>
      <c r="U1374" s="24"/>
    </row>
    <row r="1375" spans="1:21" ht="12.75" x14ac:dyDescent="0.2">
      <c r="A1375" s="25"/>
      <c r="B1375" s="25"/>
      <c r="C1375" s="25"/>
      <c r="D1375" s="25"/>
      <c r="E1375" s="25"/>
      <c r="F1375" s="25"/>
      <c r="J1375" s="24"/>
      <c r="U1375" s="24"/>
    </row>
    <row r="1376" spans="1:21" ht="12.75" x14ac:dyDescent="0.2">
      <c r="A1376" s="25"/>
      <c r="B1376" s="25"/>
      <c r="C1376" s="25"/>
      <c r="D1376" s="25"/>
      <c r="E1376" s="25"/>
      <c r="F1376" s="25"/>
      <c r="J1376" s="24"/>
      <c r="U1376" s="24"/>
    </row>
    <row r="1377" spans="1:21" ht="12.75" x14ac:dyDescent="0.2">
      <c r="A1377" s="25"/>
      <c r="B1377" s="25"/>
      <c r="C1377" s="25"/>
      <c r="D1377" s="25"/>
      <c r="E1377" s="25"/>
      <c r="F1377" s="25"/>
      <c r="J1377" s="24"/>
      <c r="U1377" s="24"/>
    </row>
    <row r="1378" spans="1:21" ht="12.75" x14ac:dyDescent="0.2">
      <c r="A1378" s="25"/>
      <c r="B1378" s="25"/>
      <c r="C1378" s="25"/>
      <c r="D1378" s="25"/>
      <c r="E1378" s="25"/>
      <c r="F1378" s="25"/>
      <c r="J1378" s="24"/>
      <c r="U1378" s="24"/>
    </row>
    <row r="1379" spans="1:21" ht="12.75" x14ac:dyDescent="0.2">
      <c r="A1379" s="25"/>
      <c r="B1379" s="25"/>
      <c r="C1379" s="25"/>
      <c r="D1379" s="25"/>
      <c r="E1379" s="25"/>
      <c r="F1379" s="25"/>
      <c r="J1379" s="24"/>
      <c r="U1379" s="24"/>
    </row>
    <row r="1380" spans="1:21" ht="12.75" x14ac:dyDescent="0.2">
      <c r="A1380" s="25"/>
      <c r="B1380" s="25"/>
      <c r="C1380" s="25"/>
      <c r="D1380" s="25"/>
      <c r="E1380" s="25"/>
      <c r="F1380" s="25"/>
      <c r="J1380" s="24"/>
      <c r="U1380" s="24"/>
    </row>
    <row r="1381" spans="1:21" ht="12.75" x14ac:dyDescent="0.2">
      <c r="A1381" s="25"/>
      <c r="B1381" s="25"/>
      <c r="C1381" s="25"/>
      <c r="D1381" s="25"/>
      <c r="E1381" s="25"/>
      <c r="F1381" s="25"/>
      <c r="J1381" s="24"/>
      <c r="U1381" s="24"/>
    </row>
    <row r="1382" spans="1:21" ht="12.75" x14ac:dyDescent="0.2">
      <c r="A1382" s="25"/>
      <c r="B1382" s="25"/>
      <c r="C1382" s="25"/>
      <c r="D1382" s="25"/>
      <c r="E1382" s="25"/>
      <c r="F1382" s="25"/>
      <c r="J1382" s="24"/>
      <c r="U1382" s="24"/>
    </row>
    <row r="1383" spans="1:21" ht="12.75" x14ac:dyDescent="0.2">
      <c r="A1383" s="25"/>
      <c r="B1383" s="25"/>
      <c r="C1383" s="25"/>
      <c r="D1383" s="25"/>
      <c r="E1383" s="25"/>
      <c r="F1383" s="25"/>
      <c r="J1383" s="24"/>
      <c r="U1383" s="24"/>
    </row>
    <row r="1384" spans="1:21" ht="12.75" x14ac:dyDescent="0.2">
      <c r="A1384" s="25"/>
      <c r="B1384" s="25"/>
      <c r="C1384" s="25"/>
      <c r="D1384" s="25"/>
      <c r="E1384" s="25"/>
      <c r="F1384" s="25"/>
      <c r="J1384" s="24"/>
      <c r="U1384" s="24"/>
    </row>
    <row r="1385" spans="1:21" ht="12.75" x14ac:dyDescent="0.2">
      <c r="A1385" s="25"/>
      <c r="B1385" s="25"/>
      <c r="C1385" s="25"/>
      <c r="D1385" s="25"/>
      <c r="E1385" s="25"/>
      <c r="F1385" s="25"/>
      <c r="J1385" s="24"/>
      <c r="U1385" s="24"/>
    </row>
    <row r="1386" spans="1:21" ht="12.75" x14ac:dyDescent="0.2">
      <c r="A1386" s="25"/>
      <c r="B1386" s="25"/>
      <c r="C1386" s="25"/>
      <c r="D1386" s="25"/>
      <c r="E1386" s="25"/>
      <c r="F1386" s="25"/>
      <c r="J1386" s="24"/>
      <c r="U1386" s="24"/>
    </row>
    <row r="1387" spans="1:21" ht="12.75" x14ac:dyDescent="0.2">
      <c r="A1387" s="25"/>
      <c r="B1387" s="25"/>
      <c r="C1387" s="25"/>
      <c r="D1387" s="25"/>
      <c r="E1387" s="25"/>
      <c r="F1387" s="25"/>
      <c r="J1387" s="24"/>
      <c r="U1387" s="24"/>
    </row>
    <row r="1388" spans="1:21" ht="12.75" x14ac:dyDescent="0.2">
      <c r="A1388" s="25"/>
      <c r="B1388" s="25"/>
      <c r="C1388" s="25"/>
      <c r="D1388" s="25"/>
      <c r="E1388" s="25"/>
      <c r="F1388" s="25"/>
      <c r="J1388" s="24"/>
      <c r="U1388" s="24"/>
    </row>
    <row r="1389" spans="1:21" ht="12.75" x14ac:dyDescent="0.2">
      <c r="A1389" s="25"/>
      <c r="B1389" s="25"/>
      <c r="C1389" s="25"/>
      <c r="D1389" s="25"/>
      <c r="E1389" s="25"/>
      <c r="F1389" s="25"/>
      <c r="J1389" s="24"/>
      <c r="U1389" s="24"/>
    </row>
    <row r="1390" spans="1:21" ht="12.75" x14ac:dyDescent="0.2">
      <c r="A1390" s="25"/>
      <c r="B1390" s="25"/>
      <c r="C1390" s="25"/>
      <c r="D1390" s="25"/>
      <c r="E1390" s="25"/>
      <c r="F1390" s="25"/>
      <c r="J1390" s="24"/>
      <c r="U1390" s="24"/>
    </row>
    <row r="1391" spans="1:21" ht="12.75" x14ac:dyDescent="0.2">
      <c r="A1391" s="25"/>
      <c r="B1391" s="25"/>
      <c r="C1391" s="25"/>
      <c r="D1391" s="25"/>
      <c r="E1391" s="25"/>
      <c r="F1391" s="25"/>
      <c r="J1391" s="24"/>
      <c r="U1391" s="24"/>
    </row>
    <row r="1392" spans="1:21" ht="12.75" x14ac:dyDescent="0.2">
      <c r="A1392" s="25"/>
      <c r="B1392" s="25"/>
      <c r="C1392" s="25"/>
      <c r="D1392" s="25"/>
      <c r="E1392" s="25"/>
      <c r="F1392" s="25"/>
      <c r="J1392" s="24"/>
      <c r="U1392" s="24"/>
    </row>
    <row r="1393" spans="1:21" ht="12.75" x14ac:dyDescent="0.2">
      <c r="A1393" s="25"/>
      <c r="B1393" s="25"/>
      <c r="C1393" s="25"/>
      <c r="D1393" s="25"/>
      <c r="E1393" s="25"/>
      <c r="F1393" s="25"/>
      <c r="J1393" s="24"/>
      <c r="U1393" s="24"/>
    </row>
    <row r="1394" spans="1:21" ht="12.75" x14ac:dyDescent="0.2">
      <c r="A1394" s="25"/>
      <c r="B1394" s="25"/>
      <c r="C1394" s="25"/>
      <c r="D1394" s="25"/>
      <c r="E1394" s="25"/>
      <c r="F1394" s="25"/>
      <c r="J1394" s="24"/>
      <c r="U1394" s="24"/>
    </row>
    <row r="1395" spans="1:21" ht="12.75" x14ac:dyDescent="0.2">
      <c r="A1395" s="25"/>
      <c r="B1395" s="25"/>
      <c r="C1395" s="25"/>
      <c r="D1395" s="25"/>
      <c r="E1395" s="25"/>
      <c r="F1395" s="25"/>
      <c r="J1395" s="24"/>
      <c r="U1395" s="24"/>
    </row>
    <row r="1396" spans="1:21" ht="12.75" x14ac:dyDescent="0.2">
      <c r="A1396" s="25"/>
      <c r="B1396" s="25"/>
      <c r="C1396" s="25"/>
      <c r="D1396" s="25"/>
      <c r="E1396" s="25"/>
      <c r="F1396" s="25"/>
      <c r="J1396" s="24"/>
      <c r="U1396" s="24"/>
    </row>
    <row r="1397" spans="1:21" ht="12.75" x14ac:dyDescent="0.2">
      <c r="A1397" s="25"/>
      <c r="B1397" s="25"/>
      <c r="C1397" s="25"/>
      <c r="D1397" s="25"/>
      <c r="E1397" s="25"/>
      <c r="F1397" s="25"/>
      <c r="J1397" s="24"/>
      <c r="U1397" s="24"/>
    </row>
    <row r="1398" spans="1:21" ht="12.75" x14ac:dyDescent="0.2">
      <c r="A1398" s="25"/>
      <c r="B1398" s="25"/>
      <c r="C1398" s="25"/>
      <c r="D1398" s="25"/>
      <c r="E1398" s="25"/>
      <c r="F1398" s="25"/>
      <c r="J1398" s="24"/>
      <c r="U1398" s="24"/>
    </row>
    <row r="1399" spans="1:21" ht="12.75" x14ac:dyDescent="0.2">
      <c r="A1399" s="25"/>
      <c r="B1399" s="25"/>
      <c r="C1399" s="25"/>
      <c r="D1399" s="25"/>
      <c r="E1399" s="25"/>
      <c r="F1399" s="25"/>
      <c r="J1399" s="24"/>
      <c r="U1399" s="24"/>
    </row>
    <row r="1400" spans="1:21" ht="12.75" x14ac:dyDescent="0.2">
      <c r="A1400" s="25"/>
      <c r="B1400" s="25"/>
      <c r="C1400" s="25"/>
      <c r="D1400" s="25"/>
      <c r="E1400" s="25"/>
      <c r="F1400" s="25"/>
      <c r="J1400" s="24"/>
      <c r="U1400" s="24"/>
    </row>
    <row r="1401" spans="1:21" ht="12.75" x14ac:dyDescent="0.2">
      <c r="A1401" s="25"/>
      <c r="B1401" s="25"/>
      <c r="C1401" s="25"/>
      <c r="D1401" s="25"/>
      <c r="E1401" s="25"/>
      <c r="F1401" s="25"/>
      <c r="J1401" s="24"/>
      <c r="U1401" s="24"/>
    </row>
    <row r="1402" spans="1:21" ht="12.75" x14ac:dyDescent="0.2">
      <c r="A1402" s="25"/>
      <c r="B1402" s="25"/>
      <c r="C1402" s="25"/>
      <c r="D1402" s="25"/>
      <c r="E1402" s="25"/>
      <c r="F1402" s="25"/>
      <c r="J1402" s="24"/>
      <c r="U1402" s="24"/>
    </row>
    <row r="1403" spans="1:21" ht="12.75" x14ac:dyDescent="0.2">
      <c r="A1403" s="25"/>
      <c r="B1403" s="25"/>
      <c r="C1403" s="25"/>
      <c r="D1403" s="25"/>
      <c r="E1403" s="25"/>
      <c r="F1403" s="25"/>
      <c r="J1403" s="24"/>
      <c r="U1403" s="24"/>
    </row>
    <row r="1404" spans="1:21" ht="12.75" x14ac:dyDescent="0.2">
      <c r="A1404" s="25"/>
      <c r="B1404" s="25"/>
      <c r="C1404" s="25"/>
      <c r="D1404" s="25"/>
      <c r="E1404" s="25"/>
      <c r="F1404" s="25"/>
      <c r="J1404" s="24"/>
      <c r="U1404" s="24"/>
    </row>
    <row r="1405" spans="1:21" ht="12.75" x14ac:dyDescent="0.2">
      <c r="A1405" s="25"/>
      <c r="B1405" s="25"/>
      <c r="C1405" s="25"/>
      <c r="D1405" s="25"/>
      <c r="E1405" s="25"/>
      <c r="F1405" s="25"/>
      <c r="J1405" s="24"/>
      <c r="U1405" s="24"/>
    </row>
    <row r="1406" spans="1:21" ht="12.75" x14ac:dyDescent="0.2">
      <c r="A1406" s="25"/>
      <c r="B1406" s="25"/>
      <c r="C1406" s="25"/>
      <c r="D1406" s="25"/>
      <c r="E1406" s="25"/>
      <c r="F1406" s="25"/>
      <c r="J1406" s="24"/>
      <c r="U1406" s="24"/>
    </row>
    <row r="1407" spans="1:21" ht="12.75" x14ac:dyDescent="0.2">
      <c r="A1407" s="25"/>
      <c r="B1407" s="25"/>
      <c r="C1407" s="25"/>
      <c r="D1407" s="25"/>
      <c r="E1407" s="25"/>
      <c r="F1407" s="25"/>
      <c r="J1407" s="24"/>
      <c r="U1407" s="24"/>
    </row>
    <row r="1408" spans="1:21" ht="12.75" x14ac:dyDescent="0.2">
      <c r="A1408" s="25"/>
      <c r="B1408" s="25"/>
      <c r="C1408" s="25"/>
      <c r="D1408" s="25"/>
      <c r="E1408" s="25"/>
      <c r="F1408" s="25"/>
      <c r="J1408" s="24"/>
      <c r="U1408" s="24"/>
    </row>
    <row r="1409" spans="1:21" ht="12.75" x14ac:dyDescent="0.2">
      <c r="A1409" s="25"/>
      <c r="B1409" s="25"/>
      <c r="C1409" s="25"/>
      <c r="D1409" s="25"/>
      <c r="E1409" s="25"/>
      <c r="F1409" s="25"/>
      <c r="J1409" s="24"/>
      <c r="U1409" s="24"/>
    </row>
    <row r="1410" spans="1:21" ht="12.75" x14ac:dyDescent="0.2">
      <c r="A1410" s="25"/>
      <c r="B1410" s="25"/>
      <c r="C1410" s="25"/>
      <c r="D1410" s="25"/>
      <c r="E1410" s="25"/>
      <c r="F1410" s="25"/>
      <c r="J1410" s="24"/>
      <c r="U1410" s="24"/>
    </row>
    <row r="1411" spans="1:21" ht="12.75" x14ac:dyDescent="0.2">
      <c r="A1411" s="25"/>
      <c r="B1411" s="25"/>
      <c r="C1411" s="25"/>
      <c r="D1411" s="25"/>
      <c r="E1411" s="25"/>
      <c r="F1411" s="25"/>
      <c r="J1411" s="24"/>
      <c r="U1411" s="24"/>
    </row>
    <row r="1412" spans="1:21" ht="12.75" x14ac:dyDescent="0.2">
      <c r="A1412" s="25"/>
      <c r="B1412" s="25"/>
      <c r="C1412" s="25"/>
      <c r="D1412" s="25"/>
      <c r="E1412" s="25"/>
      <c r="F1412" s="25"/>
      <c r="J1412" s="24"/>
      <c r="U1412" s="24"/>
    </row>
    <row r="1413" spans="1:21" ht="12.75" x14ac:dyDescent="0.2">
      <c r="A1413" s="25"/>
      <c r="B1413" s="25"/>
      <c r="C1413" s="25"/>
      <c r="D1413" s="25"/>
      <c r="E1413" s="25"/>
      <c r="F1413" s="25"/>
      <c r="J1413" s="24"/>
      <c r="U1413" s="24"/>
    </row>
    <row r="1414" spans="1:21" ht="12.75" x14ac:dyDescent="0.2">
      <c r="A1414" s="25"/>
      <c r="B1414" s="25"/>
      <c r="C1414" s="25"/>
      <c r="D1414" s="25"/>
      <c r="E1414" s="25"/>
      <c r="F1414" s="25"/>
      <c r="J1414" s="24"/>
      <c r="U1414" s="24"/>
    </row>
    <row r="1415" spans="1:21" ht="12.75" x14ac:dyDescent="0.2">
      <c r="A1415" s="25"/>
      <c r="B1415" s="25"/>
      <c r="C1415" s="25"/>
      <c r="D1415" s="25"/>
      <c r="E1415" s="25"/>
      <c r="F1415" s="25"/>
      <c r="J1415" s="24"/>
      <c r="U1415" s="24"/>
    </row>
    <row r="1416" spans="1:21" ht="12.75" x14ac:dyDescent="0.2">
      <c r="A1416" s="25"/>
      <c r="B1416" s="25"/>
      <c r="C1416" s="25"/>
      <c r="D1416" s="25"/>
      <c r="E1416" s="25"/>
      <c r="F1416" s="25"/>
      <c r="J1416" s="24"/>
      <c r="U1416" s="24"/>
    </row>
    <row r="1417" spans="1:21" ht="12.75" x14ac:dyDescent="0.2">
      <c r="A1417" s="25"/>
      <c r="B1417" s="25"/>
      <c r="C1417" s="25"/>
      <c r="D1417" s="25"/>
      <c r="E1417" s="25"/>
      <c r="F1417" s="25"/>
      <c r="J1417" s="24"/>
      <c r="U1417" s="24"/>
    </row>
    <row r="1418" spans="1:21" ht="12.75" x14ac:dyDescent="0.2">
      <c r="A1418" s="25"/>
      <c r="B1418" s="25"/>
      <c r="C1418" s="25"/>
      <c r="D1418" s="25"/>
      <c r="E1418" s="25"/>
      <c r="F1418" s="25"/>
      <c r="J1418" s="24"/>
      <c r="U1418" s="24"/>
    </row>
    <row r="1419" spans="1:21" ht="12.75" x14ac:dyDescent="0.2">
      <c r="A1419" s="25"/>
      <c r="B1419" s="25"/>
      <c r="C1419" s="25"/>
      <c r="D1419" s="25"/>
      <c r="E1419" s="25"/>
      <c r="F1419" s="25"/>
      <c r="J1419" s="24"/>
      <c r="U1419" s="24"/>
    </row>
    <row r="1420" spans="1:21" ht="12.75" x14ac:dyDescent="0.2">
      <c r="A1420" s="25"/>
      <c r="B1420" s="25"/>
      <c r="C1420" s="25"/>
      <c r="D1420" s="25"/>
      <c r="E1420" s="25"/>
      <c r="F1420" s="25"/>
      <c r="J1420" s="24"/>
      <c r="U1420" s="24"/>
    </row>
    <row r="1421" spans="1:21" ht="12.75" x14ac:dyDescent="0.2">
      <c r="A1421" s="25"/>
      <c r="B1421" s="25"/>
      <c r="C1421" s="25"/>
      <c r="D1421" s="25"/>
      <c r="E1421" s="25"/>
      <c r="F1421" s="25"/>
      <c r="J1421" s="24"/>
      <c r="U1421" s="24"/>
    </row>
    <row r="1422" spans="1:21" ht="12.75" x14ac:dyDescent="0.2">
      <c r="A1422" s="25"/>
      <c r="B1422" s="25"/>
      <c r="C1422" s="25"/>
      <c r="D1422" s="25"/>
      <c r="E1422" s="25"/>
      <c r="F1422" s="25"/>
      <c r="J1422" s="24"/>
      <c r="U1422" s="24"/>
    </row>
    <row r="1423" spans="1:21" ht="12.75" x14ac:dyDescent="0.2">
      <c r="A1423" s="25"/>
      <c r="B1423" s="25"/>
      <c r="C1423" s="25"/>
      <c r="D1423" s="25"/>
      <c r="E1423" s="25"/>
      <c r="F1423" s="25"/>
      <c r="J1423" s="24"/>
      <c r="U1423" s="24"/>
    </row>
    <row r="1424" spans="1:21" ht="12.75" x14ac:dyDescent="0.2">
      <c r="A1424" s="25"/>
      <c r="B1424" s="25"/>
      <c r="C1424" s="25"/>
      <c r="D1424" s="25"/>
      <c r="E1424" s="25"/>
      <c r="F1424" s="25"/>
      <c r="J1424" s="24"/>
      <c r="U1424" s="24"/>
    </row>
    <row r="1425" spans="1:21" ht="12.75" x14ac:dyDescent="0.2">
      <c r="A1425" s="25"/>
      <c r="B1425" s="25"/>
      <c r="C1425" s="25"/>
      <c r="D1425" s="25"/>
      <c r="E1425" s="25"/>
      <c r="F1425" s="25"/>
      <c r="J1425" s="24"/>
      <c r="U1425" s="24"/>
    </row>
    <row r="1426" spans="1:21" ht="12.75" x14ac:dyDescent="0.2">
      <c r="A1426" s="25"/>
      <c r="B1426" s="25"/>
      <c r="C1426" s="25"/>
      <c r="D1426" s="25"/>
      <c r="E1426" s="25"/>
      <c r="F1426" s="25"/>
      <c r="J1426" s="24"/>
      <c r="U1426" s="24"/>
    </row>
    <row r="1427" spans="1:21" ht="12.75" x14ac:dyDescent="0.2">
      <c r="A1427" s="25"/>
      <c r="B1427" s="25"/>
      <c r="C1427" s="25"/>
      <c r="D1427" s="25"/>
      <c r="E1427" s="25"/>
      <c r="F1427" s="25"/>
      <c r="J1427" s="24"/>
      <c r="U1427" s="24"/>
    </row>
    <row r="1428" spans="1:21" ht="12.75" x14ac:dyDescent="0.2">
      <c r="A1428" s="25"/>
      <c r="B1428" s="25"/>
      <c r="C1428" s="25"/>
      <c r="D1428" s="25"/>
      <c r="E1428" s="25"/>
      <c r="F1428" s="25"/>
      <c r="J1428" s="24"/>
      <c r="U1428" s="24"/>
    </row>
    <row r="1429" spans="1:21" ht="12.75" x14ac:dyDescent="0.2">
      <c r="A1429" s="25"/>
      <c r="B1429" s="25"/>
      <c r="C1429" s="25"/>
      <c r="D1429" s="25"/>
      <c r="E1429" s="25"/>
      <c r="F1429" s="25"/>
      <c r="J1429" s="24"/>
      <c r="U1429" s="24"/>
    </row>
    <row r="1430" spans="1:21" ht="12.75" x14ac:dyDescent="0.2">
      <c r="A1430" s="25"/>
      <c r="B1430" s="25"/>
      <c r="C1430" s="25"/>
      <c r="D1430" s="25"/>
      <c r="E1430" s="25"/>
      <c r="F1430" s="25"/>
      <c r="J1430" s="24"/>
      <c r="U1430" s="24"/>
    </row>
    <row r="1431" spans="1:21" ht="12.75" x14ac:dyDescent="0.2">
      <c r="A1431" s="25"/>
      <c r="B1431" s="25"/>
      <c r="C1431" s="25"/>
      <c r="D1431" s="25"/>
      <c r="E1431" s="25"/>
      <c r="F1431" s="25"/>
      <c r="J1431" s="24"/>
      <c r="U1431" s="24"/>
    </row>
    <row r="1432" spans="1:21" ht="12.75" x14ac:dyDescent="0.2">
      <c r="A1432" s="25"/>
      <c r="B1432" s="25"/>
      <c r="C1432" s="25"/>
      <c r="D1432" s="25"/>
      <c r="E1432" s="25"/>
      <c r="F1432" s="25"/>
      <c r="J1432" s="24"/>
      <c r="U1432" s="24"/>
    </row>
    <row r="1433" spans="1:21" ht="12.75" x14ac:dyDescent="0.2">
      <c r="A1433" s="25"/>
      <c r="B1433" s="25"/>
      <c r="C1433" s="25"/>
      <c r="D1433" s="25"/>
      <c r="E1433" s="25"/>
      <c r="F1433" s="25"/>
      <c r="J1433" s="24"/>
      <c r="U1433" s="24"/>
    </row>
    <row r="1434" spans="1:21" ht="12.75" x14ac:dyDescent="0.2">
      <c r="A1434" s="25"/>
      <c r="B1434" s="25"/>
      <c r="C1434" s="25"/>
      <c r="D1434" s="25"/>
      <c r="E1434" s="25"/>
      <c r="F1434" s="25"/>
      <c r="J1434" s="24"/>
      <c r="U1434" s="24"/>
    </row>
    <row r="1435" spans="1:21" ht="12.75" x14ac:dyDescent="0.2">
      <c r="A1435" s="25"/>
      <c r="B1435" s="25"/>
      <c r="C1435" s="25"/>
      <c r="D1435" s="25"/>
      <c r="E1435" s="25"/>
      <c r="F1435" s="25"/>
      <c r="J1435" s="24"/>
      <c r="U1435" s="24"/>
    </row>
    <row r="1436" spans="1:21" ht="12.75" x14ac:dyDescent="0.2">
      <c r="A1436" s="25"/>
      <c r="B1436" s="25"/>
      <c r="C1436" s="25"/>
      <c r="D1436" s="25"/>
      <c r="E1436" s="25"/>
      <c r="F1436" s="25"/>
      <c r="J1436" s="24"/>
      <c r="U1436" s="24"/>
    </row>
    <row r="1437" spans="1:21" ht="12.75" x14ac:dyDescent="0.2">
      <c r="A1437" s="25"/>
      <c r="B1437" s="25"/>
      <c r="C1437" s="25"/>
      <c r="D1437" s="25"/>
      <c r="E1437" s="25"/>
      <c r="F1437" s="25"/>
      <c r="J1437" s="24"/>
      <c r="U1437" s="24"/>
    </row>
    <row r="1438" spans="1:21" ht="12.75" x14ac:dyDescent="0.2">
      <c r="A1438" s="25"/>
      <c r="B1438" s="25"/>
      <c r="C1438" s="25"/>
      <c r="D1438" s="25"/>
      <c r="E1438" s="25"/>
      <c r="F1438" s="25"/>
      <c r="J1438" s="24"/>
      <c r="U1438" s="24"/>
    </row>
    <row r="1439" spans="1:21" ht="12.75" x14ac:dyDescent="0.2">
      <c r="A1439" s="25"/>
      <c r="B1439" s="25"/>
      <c r="C1439" s="25"/>
      <c r="D1439" s="25"/>
      <c r="E1439" s="25"/>
      <c r="F1439" s="25"/>
      <c r="J1439" s="24"/>
      <c r="U1439" s="24"/>
    </row>
    <row r="1440" spans="1:21" ht="12.75" x14ac:dyDescent="0.2">
      <c r="A1440" s="25"/>
      <c r="B1440" s="25"/>
      <c r="C1440" s="25"/>
      <c r="D1440" s="25"/>
      <c r="E1440" s="25"/>
      <c r="F1440" s="25"/>
      <c r="J1440" s="24"/>
      <c r="U1440" s="24"/>
    </row>
    <row r="1441" spans="1:21" ht="12.75" x14ac:dyDescent="0.2">
      <c r="A1441" s="25"/>
      <c r="B1441" s="25"/>
      <c r="C1441" s="25"/>
      <c r="D1441" s="25"/>
      <c r="E1441" s="25"/>
      <c r="F1441" s="25"/>
      <c r="J1441" s="24"/>
      <c r="U1441" s="24"/>
    </row>
    <row r="1442" spans="1:21" ht="12.75" x14ac:dyDescent="0.2">
      <c r="A1442" s="25"/>
      <c r="B1442" s="25"/>
      <c r="C1442" s="25"/>
      <c r="D1442" s="25"/>
      <c r="E1442" s="25"/>
      <c r="F1442" s="25"/>
      <c r="J1442" s="24"/>
      <c r="U1442" s="24"/>
    </row>
    <row r="1443" spans="1:21" ht="12.75" x14ac:dyDescent="0.2">
      <c r="A1443" s="25"/>
      <c r="B1443" s="25"/>
      <c r="C1443" s="25"/>
      <c r="D1443" s="25"/>
      <c r="E1443" s="25"/>
      <c r="F1443" s="25"/>
      <c r="J1443" s="24"/>
      <c r="U1443" s="24"/>
    </row>
    <row r="1444" spans="1:21" ht="12.75" x14ac:dyDescent="0.2">
      <c r="A1444" s="25"/>
      <c r="B1444" s="25"/>
      <c r="C1444" s="25"/>
      <c r="D1444" s="25"/>
      <c r="E1444" s="25"/>
      <c r="F1444" s="25"/>
      <c r="J1444" s="24"/>
      <c r="U1444" s="24"/>
    </row>
    <row r="1445" spans="1:21" ht="12.75" x14ac:dyDescent="0.2">
      <c r="A1445" s="25"/>
      <c r="B1445" s="25"/>
      <c r="C1445" s="25"/>
      <c r="D1445" s="25"/>
      <c r="E1445" s="25"/>
      <c r="F1445" s="25"/>
      <c r="J1445" s="24"/>
      <c r="U1445" s="24"/>
    </row>
    <row r="1446" spans="1:21" ht="12.75" x14ac:dyDescent="0.2">
      <c r="A1446" s="25"/>
      <c r="B1446" s="25"/>
      <c r="C1446" s="25"/>
      <c r="D1446" s="25"/>
      <c r="E1446" s="25"/>
      <c r="F1446" s="25"/>
      <c r="J1446" s="24"/>
      <c r="U1446" s="24"/>
    </row>
    <row r="1447" spans="1:21" ht="12.75" x14ac:dyDescent="0.2">
      <c r="A1447" s="25"/>
      <c r="B1447" s="25"/>
      <c r="C1447" s="25"/>
      <c r="D1447" s="25"/>
      <c r="E1447" s="25"/>
      <c r="F1447" s="25"/>
      <c r="J1447" s="24"/>
      <c r="U1447" s="24"/>
    </row>
    <row r="1448" spans="1:21" ht="12.75" x14ac:dyDescent="0.2">
      <c r="A1448" s="25"/>
      <c r="B1448" s="25"/>
      <c r="C1448" s="25"/>
      <c r="D1448" s="25"/>
      <c r="E1448" s="25"/>
      <c r="F1448" s="25"/>
      <c r="J1448" s="24"/>
      <c r="U1448" s="24"/>
    </row>
    <row r="1449" spans="1:21" ht="12.75" x14ac:dyDescent="0.2">
      <c r="A1449" s="25"/>
      <c r="B1449" s="25"/>
      <c r="C1449" s="25"/>
      <c r="D1449" s="25"/>
      <c r="E1449" s="25"/>
      <c r="F1449" s="25"/>
      <c r="J1449" s="24"/>
      <c r="U1449" s="24"/>
    </row>
    <row r="1450" spans="1:21" ht="12.75" x14ac:dyDescent="0.2">
      <c r="A1450" s="25"/>
      <c r="B1450" s="25"/>
      <c r="C1450" s="25"/>
      <c r="D1450" s="25"/>
      <c r="E1450" s="25"/>
      <c r="F1450" s="25"/>
      <c r="J1450" s="24"/>
      <c r="U1450" s="24"/>
    </row>
    <row r="1451" spans="1:21" ht="12.75" x14ac:dyDescent="0.2">
      <c r="A1451" s="25"/>
      <c r="B1451" s="25"/>
      <c r="C1451" s="25"/>
      <c r="D1451" s="25"/>
      <c r="E1451" s="25"/>
      <c r="F1451" s="25"/>
      <c r="J1451" s="24"/>
      <c r="U1451" s="24"/>
    </row>
    <row r="1452" spans="1:21" ht="12.75" x14ac:dyDescent="0.2">
      <c r="A1452" s="25"/>
      <c r="B1452" s="25"/>
      <c r="C1452" s="25"/>
      <c r="D1452" s="25"/>
      <c r="E1452" s="25"/>
      <c r="F1452" s="25"/>
      <c r="J1452" s="24"/>
      <c r="U1452" s="24"/>
    </row>
    <row r="1453" spans="1:21" ht="12.75" x14ac:dyDescent="0.2">
      <c r="A1453" s="25"/>
      <c r="B1453" s="25"/>
      <c r="C1453" s="25"/>
      <c r="D1453" s="25"/>
      <c r="E1453" s="25"/>
      <c r="F1453" s="25"/>
      <c r="J1453" s="24"/>
      <c r="U1453" s="24"/>
    </row>
    <row r="1454" spans="1:21" ht="12.75" x14ac:dyDescent="0.2">
      <c r="A1454" s="25"/>
      <c r="B1454" s="25"/>
      <c r="C1454" s="25"/>
      <c r="D1454" s="25"/>
      <c r="E1454" s="25"/>
      <c r="F1454" s="25"/>
      <c r="J1454" s="24"/>
      <c r="U1454" s="24"/>
    </row>
    <row r="1455" spans="1:21" ht="12.75" x14ac:dyDescent="0.2">
      <c r="A1455" s="25"/>
      <c r="B1455" s="25"/>
      <c r="C1455" s="25"/>
      <c r="D1455" s="25"/>
      <c r="E1455" s="25"/>
      <c r="F1455" s="25"/>
      <c r="J1455" s="24"/>
      <c r="U1455" s="24"/>
    </row>
    <row r="1456" spans="1:21" ht="12.75" x14ac:dyDescent="0.2">
      <c r="A1456" s="25"/>
      <c r="B1456" s="25"/>
      <c r="C1456" s="25"/>
      <c r="D1456" s="25"/>
      <c r="E1456" s="25"/>
      <c r="F1456" s="25"/>
      <c r="J1456" s="24"/>
      <c r="U1456" s="24"/>
    </row>
    <row r="1457" spans="1:21" ht="12.75" x14ac:dyDescent="0.2">
      <c r="A1457" s="25"/>
      <c r="B1457" s="25"/>
      <c r="C1457" s="25"/>
      <c r="D1457" s="25"/>
      <c r="E1457" s="25"/>
      <c r="F1457" s="25"/>
      <c r="J1457" s="24"/>
      <c r="U1457" s="24"/>
    </row>
    <row r="1458" spans="1:21" ht="12.75" x14ac:dyDescent="0.2">
      <c r="A1458" s="25"/>
      <c r="B1458" s="25"/>
      <c r="C1458" s="25"/>
      <c r="D1458" s="25"/>
      <c r="E1458" s="25"/>
      <c r="F1458" s="25"/>
      <c r="J1458" s="24"/>
      <c r="U1458" s="24"/>
    </row>
    <row r="1459" spans="1:21" ht="12.75" x14ac:dyDescent="0.2">
      <c r="A1459" s="25"/>
      <c r="B1459" s="25"/>
      <c r="C1459" s="25"/>
      <c r="D1459" s="25"/>
      <c r="E1459" s="25"/>
      <c r="F1459" s="25"/>
      <c r="J1459" s="24"/>
      <c r="U1459" s="24"/>
    </row>
    <row r="1460" spans="1:21" ht="12.75" x14ac:dyDescent="0.2">
      <c r="A1460" s="25"/>
      <c r="B1460" s="25"/>
      <c r="C1460" s="25"/>
      <c r="D1460" s="25"/>
      <c r="E1460" s="25"/>
      <c r="F1460" s="25"/>
      <c r="J1460" s="24"/>
      <c r="U1460" s="24"/>
    </row>
    <row r="1461" spans="1:21" ht="12.75" x14ac:dyDescent="0.2">
      <c r="A1461" s="25"/>
      <c r="B1461" s="25"/>
      <c r="C1461" s="25"/>
      <c r="D1461" s="25"/>
      <c r="E1461" s="25"/>
      <c r="F1461" s="25"/>
      <c r="J1461" s="24"/>
      <c r="U1461" s="24"/>
    </row>
    <row r="1462" spans="1:21" ht="12.75" x14ac:dyDescent="0.2">
      <c r="A1462" s="25"/>
      <c r="B1462" s="25"/>
      <c r="C1462" s="25"/>
      <c r="D1462" s="25"/>
      <c r="E1462" s="25"/>
      <c r="F1462" s="25"/>
      <c r="J1462" s="24"/>
      <c r="U1462" s="24"/>
    </row>
    <row r="1463" spans="1:21" ht="12.75" x14ac:dyDescent="0.2">
      <c r="A1463" s="25"/>
      <c r="B1463" s="25"/>
      <c r="C1463" s="25"/>
      <c r="D1463" s="25"/>
      <c r="E1463" s="25"/>
      <c r="F1463" s="25"/>
      <c r="J1463" s="24"/>
      <c r="U1463" s="24"/>
    </row>
    <row r="1464" spans="1:21" ht="12.75" x14ac:dyDescent="0.2">
      <c r="A1464" s="25"/>
      <c r="B1464" s="25"/>
      <c r="C1464" s="25"/>
      <c r="D1464" s="25"/>
      <c r="E1464" s="25"/>
      <c r="F1464" s="25"/>
      <c r="J1464" s="24"/>
      <c r="U1464" s="24"/>
    </row>
    <row r="1465" spans="1:21" ht="12.75" x14ac:dyDescent="0.2">
      <c r="A1465" s="25"/>
      <c r="B1465" s="25"/>
      <c r="C1465" s="25"/>
      <c r="D1465" s="25"/>
      <c r="E1465" s="25"/>
      <c r="F1465" s="25"/>
      <c r="J1465" s="24"/>
      <c r="U1465" s="24"/>
    </row>
    <row r="1466" spans="1:21" ht="12.75" x14ac:dyDescent="0.2">
      <c r="A1466" s="25"/>
      <c r="B1466" s="25"/>
      <c r="C1466" s="25"/>
      <c r="D1466" s="25"/>
      <c r="E1466" s="25"/>
      <c r="F1466" s="25"/>
      <c r="J1466" s="24"/>
      <c r="U1466" s="24"/>
    </row>
    <row r="1467" spans="1:21" ht="12.75" x14ac:dyDescent="0.2">
      <c r="A1467" s="25"/>
      <c r="B1467" s="25"/>
      <c r="C1467" s="25"/>
      <c r="D1467" s="25"/>
      <c r="E1467" s="25"/>
      <c r="F1467" s="25"/>
      <c r="J1467" s="24"/>
      <c r="U1467" s="24"/>
    </row>
    <row r="1468" spans="1:21" ht="12.75" x14ac:dyDescent="0.2">
      <c r="A1468" s="25"/>
      <c r="B1468" s="25"/>
      <c r="C1468" s="25"/>
      <c r="D1468" s="25"/>
      <c r="E1468" s="25"/>
      <c r="F1468" s="25"/>
      <c r="J1468" s="24"/>
      <c r="U1468" s="24"/>
    </row>
    <row r="1469" spans="1:21" ht="12.75" x14ac:dyDescent="0.2">
      <c r="A1469" s="25"/>
      <c r="B1469" s="25"/>
      <c r="C1469" s="25"/>
      <c r="D1469" s="25"/>
      <c r="E1469" s="25"/>
      <c r="F1469" s="25"/>
      <c r="J1469" s="24"/>
      <c r="U1469" s="24"/>
    </row>
    <row r="1470" spans="1:21" ht="12.75" x14ac:dyDescent="0.2">
      <c r="A1470" s="25"/>
      <c r="B1470" s="25"/>
      <c r="C1470" s="25"/>
      <c r="D1470" s="25"/>
      <c r="E1470" s="25"/>
      <c r="F1470" s="25"/>
      <c r="J1470" s="24"/>
      <c r="U1470" s="24"/>
    </row>
    <row r="1471" spans="1:21" ht="12.75" x14ac:dyDescent="0.2">
      <c r="A1471" s="25"/>
      <c r="B1471" s="25"/>
      <c r="C1471" s="25"/>
      <c r="D1471" s="25"/>
      <c r="E1471" s="25"/>
      <c r="F1471" s="25"/>
      <c r="J1471" s="24"/>
      <c r="U1471" s="24"/>
    </row>
    <row r="1472" spans="1:21" ht="12.75" x14ac:dyDescent="0.2">
      <c r="A1472" s="25"/>
      <c r="B1472" s="25"/>
      <c r="C1472" s="25"/>
      <c r="D1472" s="25"/>
      <c r="E1472" s="25"/>
      <c r="F1472" s="25"/>
      <c r="J1472" s="24"/>
      <c r="U1472" s="24"/>
    </row>
    <row r="1473" spans="1:21" ht="12.75" x14ac:dyDescent="0.2">
      <c r="A1473" s="25"/>
      <c r="B1473" s="25"/>
      <c r="C1473" s="25"/>
      <c r="D1473" s="25"/>
      <c r="E1473" s="25"/>
      <c r="F1473" s="25"/>
      <c r="J1473" s="24"/>
      <c r="U1473" s="24"/>
    </row>
    <row r="1474" spans="1:21" ht="12.75" x14ac:dyDescent="0.2">
      <c r="A1474" s="25"/>
      <c r="B1474" s="25"/>
      <c r="C1474" s="25"/>
      <c r="D1474" s="25"/>
      <c r="E1474" s="25"/>
      <c r="F1474" s="25"/>
      <c r="J1474" s="24"/>
      <c r="U1474" s="24"/>
    </row>
    <row r="1475" spans="1:21" ht="12.75" x14ac:dyDescent="0.2">
      <c r="A1475" s="25"/>
      <c r="B1475" s="25"/>
      <c r="C1475" s="25"/>
      <c r="D1475" s="25"/>
      <c r="E1475" s="25"/>
      <c r="F1475" s="25"/>
      <c r="J1475" s="24"/>
      <c r="U1475" s="24"/>
    </row>
    <row r="1476" spans="1:21" ht="12.75" x14ac:dyDescent="0.2">
      <c r="A1476" s="25"/>
      <c r="B1476" s="25"/>
      <c r="C1476" s="25"/>
      <c r="D1476" s="25"/>
      <c r="E1476" s="25"/>
      <c r="F1476" s="25"/>
      <c r="J1476" s="24"/>
      <c r="U1476" s="24"/>
    </row>
    <row r="1477" spans="1:21" ht="12.75" x14ac:dyDescent="0.2">
      <c r="A1477" s="25"/>
      <c r="B1477" s="25"/>
      <c r="C1477" s="25"/>
      <c r="D1477" s="25"/>
      <c r="E1477" s="25"/>
      <c r="F1477" s="25"/>
      <c r="J1477" s="24"/>
      <c r="U1477" s="24"/>
    </row>
    <row r="1478" spans="1:21" ht="12.75" x14ac:dyDescent="0.2">
      <c r="A1478" s="25"/>
      <c r="B1478" s="25"/>
      <c r="C1478" s="25"/>
      <c r="D1478" s="25"/>
      <c r="E1478" s="25"/>
      <c r="F1478" s="25"/>
      <c r="J1478" s="24"/>
      <c r="U1478" s="24"/>
    </row>
    <row r="1479" spans="1:21" ht="12.75" x14ac:dyDescent="0.2">
      <c r="A1479" s="25"/>
      <c r="B1479" s="25"/>
      <c r="C1479" s="25"/>
      <c r="D1479" s="25"/>
      <c r="E1479" s="25"/>
      <c r="F1479" s="25"/>
      <c r="J1479" s="24"/>
      <c r="U1479" s="24"/>
    </row>
    <row r="1480" spans="1:21" ht="12.75" x14ac:dyDescent="0.2">
      <c r="A1480" s="25"/>
      <c r="B1480" s="25"/>
      <c r="C1480" s="25"/>
      <c r="D1480" s="25"/>
      <c r="E1480" s="25"/>
      <c r="F1480" s="25"/>
      <c r="J1480" s="24"/>
      <c r="U1480" s="24"/>
    </row>
    <row r="1481" spans="1:21" ht="12.75" x14ac:dyDescent="0.2">
      <c r="A1481" s="25"/>
      <c r="B1481" s="25"/>
      <c r="C1481" s="25"/>
      <c r="D1481" s="25"/>
      <c r="E1481" s="25"/>
      <c r="F1481" s="25"/>
      <c r="J1481" s="24"/>
      <c r="U1481" s="24"/>
    </row>
    <row r="1482" spans="1:21" ht="12.75" x14ac:dyDescent="0.2">
      <c r="A1482" s="25"/>
      <c r="B1482" s="25"/>
      <c r="C1482" s="25"/>
      <c r="D1482" s="25"/>
      <c r="E1482" s="25"/>
      <c r="F1482" s="25"/>
      <c r="J1482" s="24"/>
      <c r="U1482" s="24"/>
    </row>
    <row r="1483" spans="1:21" ht="12.75" x14ac:dyDescent="0.2">
      <c r="A1483" s="25"/>
      <c r="B1483" s="25"/>
      <c r="C1483" s="25"/>
      <c r="D1483" s="25"/>
      <c r="E1483" s="25"/>
      <c r="F1483" s="25"/>
      <c r="J1483" s="24"/>
      <c r="U1483" s="24"/>
    </row>
    <row r="1484" spans="1:21" ht="12.75" x14ac:dyDescent="0.2">
      <c r="A1484" s="25"/>
      <c r="B1484" s="25"/>
      <c r="C1484" s="25"/>
      <c r="D1484" s="25"/>
      <c r="E1484" s="25"/>
      <c r="F1484" s="25"/>
      <c r="J1484" s="24"/>
      <c r="U1484" s="24"/>
    </row>
    <row r="1485" spans="1:21" ht="12.75" x14ac:dyDescent="0.2">
      <c r="A1485" s="25"/>
      <c r="B1485" s="25"/>
      <c r="C1485" s="25"/>
      <c r="D1485" s="25"/>
      <c r="E1485" s="25"/>
      <c r="F1485" s="25"/>
      <c r="J1485" s="24"/>
      <c r="U1485" s="24"/>
    </row>
    <row r="1486" spans="1:21" ht="12.75" x14ac:dyDescent="0.2">
      <c r="A1486" s="25"/>
      <c r="B1486" s="25"/>
      <c r="C1486" s="25"/>
      <c r="D1486" s="25"/>
      <c r="E1486" s="25"/>
      <c r="F1486" s="25"/>
      <c r="J1486" s="24"/>
      <c r="U1486" s="24"/>
    </row>
    <row r="1487" spans="1:21" ht="12.75" x14ac:dyDescent="0.2">
      <c r="A1487" s="25"/>
      <c r="B1487" s="25"/>
      <c r="C1487" s="25"/>
      <c r="D1487" s="25"/>
      <c r="E1487" s="25"/>
      <c r="F1487" s="25"/>
      <c r="J1487" s="24"/>
      <c r="U1487" s="24"/>
    </row>
    <row r="1488" spans="1:21" ht="12.75" x14ac:dyDescent="0.2">
      <c r="A1488" s="25"/>
      <c r="B1488" s="25"/>
      <c r="C1488" s="25"/>
      <c r="D1488" s="25"/>
      <c r="E1488" s="25"/>
      <c r="F1488" s="25"/>
      <c r="J1488" s="24"/>
      <c r="U1488" s="24"/>
    </row>
    <row r="1489" spans="1:21" ht="12.75" x14ac:dyDescent="0.2">
      <c r="A1489" s="25"/>
      <c r="B1489" s="25"/>
      <c r="C1489" s="25"/>
      <c r="D1489" s="25"/>
      <c r="E1489" s="25"/>
      <c r="F1489" s="25"/>
      <c r="J1489" s="24"/>
      <c r="U1489" s="24"/>
    </row>
    <row r="1490" spans="1:21" ht="12.75" x14ac:dyDescent="0.2">
      <c r="A1490" s="25"/>
      <c r="B1490" s="25"/>
      <c r="C1490" s="25"/>
      <c r="D1490" s="25"/>
      <c r="E1490" s="25"/>
      <c r="F1490" s="25"/>
      <c r="J1490" s="24"/>
      <c r="U1490" s="24"/>
    </row>
    <row r="1491" spans="1:21" ht="12.75" x14ac:dyDescent="0.2">
      <c r="A1491" s="25"/>
      <c r="B1491" s="25"/>
      <c r="C1491" s="25"/>
      <c r="D1491" s="25"/>
      <c r="E1491" s="25"/>
      <c r="F1491" s="25"/>
      <c r="J1491" s="24"/>
      <c r="U1491" s="24"/>
    </row>
    <row r="1492" spans="1:21" ht="12.75" x14ac:dyDescent="0.2">
      <c r="A1492" s="25"/>
      <c r="B1492" s="25"/>
      <c r="C1492" s="25"/>
      <c r="D1492" s="25"/>
      <c r="E1492" s="25"/>
      <c r="F1492" s="25"/>
      <c r="J1492" s="24"/>
      <c r="U1492" s="24"/>
    </row>
    <row r="1493" spans="1:21" ht="12.75" x14ac:dyDescent="0.2">
      <c r="A1493" s="25"/>
      <c r="B1493" s="25"/>
      <c r="C1493" s="25"/>
      <c r="D1493" s="25"/>
      <c r="E1493" s="25"/>
      <c r="F1493" s="25"/>
      <c r="J1493" s="24"/>
      <c r="U1493" s="24"/>
    </row>
    <row r="1494" spans="1:21" ht="12.75" x14ac:dyDescent="0.2">
      <c r="A1494" s="25"/>
      <c r="B1494" s="25"/>
      <c r="C1494" s="25"/>
      <c r="D1494" s="25"/>
      <c r="E1494" s="25"/>
      <c r="F1494" s="25"/>
      <c r="J1494" s="24"/>
      <c r="U1494" s="24"/>
    </row>
    <row r="1495" spans="1:21" ht="12.75" x14ac:dyDescent="0.2">
      <c r="A1495" s="25"/>
      <c r="B1495" s="25"/>
      <c r="C1495" s="25"/>
      <c r="D1495" s="25"/>
      <c r="E1495" s="25"/>
      <c r="F1495" s="25"/>
      <c r="J1495" s="24"/>
      <c r="U1495" s="24"/>
    </row>
    <row r="1496" spans="1:21" ht="12.75" x14ac:dyDescent="0.2">
      <c r="A1496" s="25"/>
      <c r="B1496" s="25"/>
      <c r="C1496" s="25"/>
      <c r="D1496" s="25"/>
      <c r="E1496" s="25"/>
      <c r="F1496" s="25"/>
      <c r="J1496" s="24"/>
      <c r="U1496" s="24"/>
    </row>
    <row r="1497" spans="1:21" ht="12.75" x14ac:dyDescent="0.2">
      <c r="A1497" s="25"/>
      <c r="B1497" s="25"/>
      <c r="C1497" s="25"/>
      <c r="D1497" s="25"/>
      <c r="E1497" s="25"/>
      <c r="F1497" s="25"/>
      <c r="J1497" s="24"/>
      <c r="U1497" s="24"/>
    </row>
    <row r="1498" spans="1:21" ht="12.75" x14ac:dyDescent="0.2">
      <c r="A1498" s="25"/>
      <c r="B1498" s="25"/>
      <c r="C1498" s="25"/>
      <c r="D1498" s="25"/>
      <c r="E1498" s="25"/>
      <c r="F1498" s="25"/>
      <c r="J1498" s="24"/>
      <c r="U1498" s="24"/>
    </row>
    <row r="1499" spans="1:21" ht="12.75" x14ac:dyDescent="0.2">
      <c r="A1499" s="25"/>
      <c r="B1499" s="25"/>
      <c r="C1499" s="25"/>
      <c r="D1499" s="25"/>
      <c r="E1499" s="25"/>
      <c r="F1499" s="25"/>
      <c r="J1499" s="24"/>
      <c r="U1499" s="24"/>
    </row>
    <row r="1500" spans="1:21" ht="12.75" x14ac:dyDescent="0.2">
      <c r="A1500" s="25"/>
      <c r="B1500" s="25"/>
      <c r="C1500" s="25"/>
      <c r="D1500" s="25"/>
      <c r="E1500" s="25"/>
      <c r="F1500" s="25"/>
      <c r="J1500" s="24"/>
      <c r="U1500" s="24"/>
    </row>
    <row r="1501" spans="1:21" ht="12.75" x14ac:dyDescent="0.2">
      <c r="A1501" s="25"/>
      <c r="B1501" s="25"/>
      <c r="C1501" s="25"/>
      <c r="D1501" s="25"/>
      <c r="E1501" s="25"/>
      <c r="F1501" s="25"/>
      <c r="J1501" s="24"/>
      <c r="U1501" s="24"/>
    </row>
    <row r="1502" spans="1:21" ht="12.75" x14ac:dyDescent="0.2">
      <c r="A1502" s="25"/>
      <c r="B1502" s="25"/>
      <c r="C1502" s="25"/>
      <c r="D1502" s="25"/>
      <c r="E1502" s="25"/>
      <c r="F1502" s="25"/>
      <c r="J1502" s="24"/>
      <c r="U1502" s="24"/>
    </row>
    <row r="1503" spans="1:21" ht="12.75" x14ac:dyDescent="0.2">
      <c r="A1503" s="25"/>
      <c r="B1503" s="25"/>
      <c r="C1503" s="25"/>
      <c r="D1503" s="25"/>
      <c r="E1503" s="25"/>
      <c r="F1503" s="25"/>
      <c r="J1503" s="24"/>
      <c r="U1503" s="24"/>
    </row>
    <row r="1504" spans="1:21" ht="12.75" x14ac:dyDescent="0.2">
      <c r="A1504" s="25"/>
      <c r="B1504" s="25"/>
      <c r="C1504" s="25"/>
      <c r="D1504" s="25"/>
      <c r="E1504" s="25"/>
      <c r="F1504" s="25"/>
      <c r="J1504" s="24"/>
      <c r="U1504" s="24"/>
    </row>
    <row r="1505" spans="1:21" ht="12.75" x14ac:dyDescent="0.2">
      <c r="A1505" s="25"/>
      <c r="B1505" s="25"/>
      <c r="C1505" s="25"/>
      <c r="D1505" s="25"/>
      <c r="E1505" s="25"/>
      <c r="F1505" s="25"/>
      <c r="J1505" s="24"/>
      <c r="U1505" s="24"/>
    </row>
    <row r="1506" spans="1:21" ht="12.75" x14ac:dyDescent="0.2">
      <c r="A1506" s="25"/>
      <c r="B1506" s="25"/>
      <c r="C1506" s="25"/>
      <c r="D1506" s="25"/>
      <c r="E1506" s="25"/>
      <c r="F1506" s="25"/>
      <c r="J1506" s="24"/>
      <c r="U1506" s="24"/>
    </row>
    <row r="1507" spans="1:21" ht="12.75" x14ac:dyDescent="0.2">
      <c r="A1507" s="25"/>
      <c r="B1507" s="25"/>
      <c r="C1507" s="25"/>
      <c r="D1507" s="25"/>
      <c r="E1507" s="25"/>
      <c r="F1507" s="25"/>
      <c r="J1507" s="24"/>
      <c r="U1507" s="24"/>
    </row>
    <row r="1508" spans="1:21" ht="12.75" x14ac:dyDescent="0.2">
      <c r="A1508" s="25"/>
      <c r="B1508" s="25"/>
      <c r="C1508" s="25"/>
      <c r="D1508" s="25"/>
      <c r="E1508" s="25"/>
      <c r="F1508" s="25"/>
      <c r="J1508" s="24"/>
      <c r="U1508" s="24"/>
    </row>
    <row r="1509" spans="1:21" ht="12.75" x14ac:dyDescent="0.2">
      <c r="A1509" s="25"/>
      <c r="B1509" s="25"/>
      <c r="C1509" s="25"/>
      <c r="D1509" s="25"/>
      <c r="E1509" s="25"/>
      <c r="F1509" s="25"/>
      <c r="J1509" s="24"/>
      <c r="U1509" s="24"/>
    </row>
    <row r="1510" spans="1:21" ht="12.75" x14ac:dyDescent="0.2">
      <c r="A1510" s="25"/>
      <c r="B1510" s="25"/>
      <c r="C1510" s="25"/>
      <c r="D1510" s="25"/>
      <c r="E1510" s="25"/>
      <c r="F1510" s="25"/>
      <c r="J1510" s="24"/>
      <c r="U1510" s="24"/>
    </row>
    <row r="1511" spans="1:21" ht="12.75" x14ac:dyDescent="0.2">
      <c r="A1511" s="25"/>
      <c r="B1511" s="25"/>
      <c r="C1511" s="25"/>
      <c r="D1511" s="25"/>
      <c r="E1511" s="25"/>
      <c r="F1511" s="25"/>
      <c r="J1511" s="24"/>
      <c r="U1511" s="24"/>
    </row>
    <row r="1512" spans="1:21" ht="12.75" x14ac:dyDescent="0.2">
      <c r="A1512" s="25"/>
      <c r="B1512" s="25"/>
      <c r="C1512" s="25"/>
      <c r="D1512" s="25"/>
      <c r="E1512" s="25"/>
      <c r="F1512" s="25"/>
      <c r="J1512" s="24"/>
      <c r="U1512" s="24"/>
    </row>
    <row r="1513" spans="1:21" ht="12.75" x14ac:dyDescent="0.2">
      <c r="A1513" s="25"/>
      <c r="B1513" s="25"/>
      <c r="C1513" s="25"/>
      <c r="D1513" s="25"/>
      <c r="E1513" s="25"/>
      <c r="F1513" s="25"/>
      <c r="J1513" s="24"/>
      <c r="U1513" s="24"/>
    </row>
    <row r="1514" spans="1:21" ht="12.75" x14ac:dyDescent="0.2">
      <c r="A1514" s="25"/>
      <c r="B1514" s="25"/>
      <c r="C1514" s="25"/>
      <c r="D1514" s="25"/>
      <c r="E1514" s="25"/>
      <c r="F1514" s="25"/>
      <c r="J1514" s="24"/>
      <c r="U1514" s="24"/>
    </row>
    <row r="1515" spans="1:21" ht="12.75" x14ac:dyDescent="0.2">
      <c r="A1515" s="25"/>
      <c r="B1515" s="25"/>
      <c r="C1515" s="25"/>
      <c r="D1515" s="25"/>
      <c r="E1515" s="25"/>
      <c r="F1515" s="25"/>
      <c r="J1515" s="24"/>
      <c r="U1515" s="24"/>
    </row>
    <row r="1516" spans="1:21" ht="12.75" x14ac:dyDescent="0.2">
      <c r="A1516" s="25"/>
      <c r="B1516" s="25"/>
      <c r="C1516" s="25"/>
      <c r="D1516" s="25"/>
      <c r="E1516" s="25"/>
      <c r="F1516" s="25"/>
      <c r="J1516" s="24"/>
      <c r="U1516" s="24"/>
    </row>
    <row r="1517" spans="1:21" ht="12.75" x14ac:dyDescent="0.2">
      <c r="A1517" s="25"/>
      <c r="B1517" s="25"/>
      <c r="C1517" s="25"/>
      <c r="D1517" s="25"/>
      <c r="E1517" s="25"/>
      <c r="F1517" s="25"/>
      <c r="J1517" s="24"/>
      <c r="U1517" s="24"/>
    </row>
    <row r="1518" spans="1:21" ht="12.75" x14ac:dyDescent="0.2">
      <c r="A1518" s="25"/>
      <c r="B1518" s="25"/>
      <c r="C1518" s="25"/>
      <c r="D1518" s="25"/>
      <c r="E1518" s="25"/>
      <c r="F1518" s="25"/>
      <c r="J1518" s="24"/>
      <c r="U1518" s="24"/>
    </row>
    <row r="1519" spans="1:21" ht="12.75" x14ac:dyDescent="0.2">
      <c r="A1519" s="25"/>
      <c r="B1519" s="25"/>
      <c r="C1519" s="25"/>
      <c r="D1519" s="25"/>
      <c r="E1519" s="25"/>
      <c r="F1519" s="25"/>
      <c r="J1519" s="24"/>
      <c r="U1519" s="24"/>
    </row>
    <row r="1520" spans="1:21" ht="12.75" x14ac:dyDescent="0.2">
      <c r="A1520" s="25"/>
      <c r="B1520" s="25"/>
      <c r="C1520" s="25"/>
      <c r="D1520" s="25"/>
      <c r="E1520" s="25"/>
      <c r="F1520" s="25"/>
      <c r="J1520" s="24"/>
      <c r="U1520" s="24"/>
    </row>
    <row r="1521" spans="1:21" ht="12.75" x14ac:dyDescent="0.2">
      <c r="A1521" s="25"/>
      <c r="B1521" s="25"/>
      <c r="C1521" s="25"/>
      <c r="D1521" s="25"/>
      <c r="E1521" s="25"/>
      <c r="F1521" s="25"/>
      <c r="J1521" s="24"/>
      <c r="U1521" s="24"/>
    </row>
    <row r="1522" spans="1:21" ht="12.75" x14ac:dyDescent="0.2">
      <c r="A1522" s="25"/>
      <c r="B1522" s="25"/>
      <c r="C1522" s="25"/>
      <c r="D1522" s="25"/>
      <c r="E1522" s="25"/>
      <c r="F1522" s="25"/>
      <c r="J1522" s="24"/>
      <c r="U1522" s="24"/>
    </row>
    <row r="1523" spans="1:21" ht="12.75" x14ac:dyDescent="0.2">
      <c r="A1523" s="25"/>
      <c r="B1523" s="25"/>
      <c r="C1523" s="25"/>
      <c r="D1523" s="25"/>
      <c r="E1523" s="25"/>
      <c r="F1523" s="25"/>
      <c r="J1523" s="24"/>
      <c r="U1523" s="24"/>
    </row>
    <row r="1524" spans="1:21" ht="12.75" x14ac:dyDescent="0.2">
      <c r="A1524" s="25"/>
      <c r="B1524" s="25"/>
      <c r="C1524" s="25"/>
      <c r="D1524" s="25"/>
      <c r="E1524" s="25"/>
      <c r="F1524" s="25"/>
      <c r="J1524" s="24"/>
      <c r="U1524" s="24"/>
    </row>
    <row r="1525" spans="1:21" ht="12.75" x14ac:dyDescent="0.2">
      <c r="A1525" s="25"/>
      <c r="B1525" s="25"/>
      <c r="C1525" s="25"/>
      <c r="D1525" s="25"/>
      <c r="E1525" s="25"/>
      <c r="F1525" s="25"/>
      <c r="J1525" s="24"/>
      <c r="U1525" s="24"/>
    </row>
    <row r="1526" spans="1:21" ht="12.75" x14ac:dyDescent="0.2">
      <c r="A1526" s="25"/>
      <c r="B1526" s="25"/>
      <c r="C1526" s="25"/>
      <c r="D1526" s="25"/>
      <c r="E1526" s="25"/>
      <c r="F1526" s="25"/>
      <c r="J1526" s="24"/>
      <c r="U1526" s="24"/>
    </row>
    <row r="1527" spans="1:21" ht="12.75" x14ac:dyDescent="0.2">
      <c r="A1527" s="25"/>
      <c r="B1527" s="25"/>
      <c r="C1527" s="25"/>
      <c r="D1527" s="25"/>
      <c r="E1527" s="25"/>
      <c r="F1527" s="25"/>
      <c r="J1527" s="24"/>
      <c r="U1527" s="24"/>
    </row>
    <row r="1528" spans="1:21" ht="12.75" x14ac:dyDescent="0.2">
      <c r="A1528" s="25"/>
      <c r="B1528" s="25"/>
      <c r="C1528" s="25"/>
      <c r="D1528" s="25"/>
      <c r="E1528" s="25"/>
      <c r="F1528" s="25"/>
      <c r="J1528" s="24"/>
      <c r="U1528" s="24"/>
    </row>
    <row r="1529" spans="1:21" ht="12.75" x14ac:dyDescent="0.2">
      <c r="A1529" s="25"/>
      <c r="B1529" s="25"/>
      <c r="C1529" s="25"/>
      <c r="D1529" s="25"/>
      <c r="E1529" s="25"/>
      <c r="F1529" s="25"/>
      <c r="J1529" s="24"/>
      <c r="U1529" s="24"/>
    </row>
    <row r="1530" spans="1:21" ht="12.75" x14ac:dyDescent="0.2">
      <c r="A1530" s="25"/>
      <c r="B1530" s="25"/>
      <c r="C1530" s="25"/>
      <c r="D1530" s="25"/>
      <c r="E1530" s="25"/>
      <c r="F1530" s="25"/>
      <c r="J1530" s="24"/>
      <c r="U1530" s="24"/>
    </row>
    <row r="1531" spans="1:21" ht="12.75" x14ac:dyDescent="0.2">
      <c r="A1531" s="25"/>
      <c r="B1531" s="25"/>
      <c r="C1531" s="25"/>
      <c r="D1531" s="25"/>
      <c r="E1531" s="25"/>
      <c r="F1531" s="25"/>
      <c r="J1531" s="24"/>
      <c r="U1531" s="24"/>
    </row>
    <row r="1532" spans="1:21" ht="12.75" x14ac:dyDescent="0.2">
      <c r="A1532" s="25"/>
      <c r="B1532" s="25"/>
      <c r="C1532" s="25"/>
      <c r="D1532" s="25"/>
      <c r="E1532" s="25"/>
      <c r="F1532" s="25"/>
      <c r="J1532" s="24"/>
      <c r="U1532" s="24"/>
    </row>
    <row r="1533" spans="1:21" ht="12.75" x14ac:dyDescent="0.2">
      <c r="A1533" s="25"/>
      <c r="B1533" s="25"/>
      <c r="C1533" s="25"/>
      <c r="D1533" s="25"/>
      <c r="E1533" s="25"/>
      <c r="F1533" s="25"/>
      <c r="J1533" s="24"/>
      <c r="U1533" s="24"/>
    </row>
    <row r="1534" spans="1:21" ht="12.75" x14ac:dyDescent="0.2">
      <c r="A1534" s="25"/>
      <c r="B1534" s="25"/>
      <c r="C1534" s="25"/>
      <c r="D1534" s="25"/>
      <c r="E1534" s="25"/>
      <c r="F1534" s="25"/>
      <c r="J1534" s="24"/>
      <c r="U1534" s="24"/>
    </row>
    <row r="1535" spans="1:21" ht="12.75" x14ac:dyDescent="0.2">
      <c r="A1535" s="25"/>
      <c r="B1535" s="25"/>
      <c r="C1535" s="25"/>
      <c r="D1535" s="25"/>
      <c r="E1535" s="25"/>
      <c r="F1535" s="25"/>
      <c r="J1535" s="24"/>
      <c r="U1535" s="24"/>
    </row>
    <row r="1536" spans="1:21" ht="12.75" x14ac:dyDescent="0.2">
      <c r="A1536" s="25"/>
      <c r="B1536" s="25"/>
      <c r="C1536" s="25"/>
      <c r="D1536" s="25"/>
      <c r="E1536" s="25"/>
      <c r="F1536" s="25"/>
      <c r="J1536" s="24"/>
      <c r="U1536" s="24"/>
    </row>
    <row r="1537" spans="1:21" ht="12.75" x14ac:dyDescent="0.2">
      <c r="A1537" s="25"/>
      <c r="B1537" s="25"/>
      <c r="C1537" s="25"/>
      <c r="D1537" s="25"/>
      <c r="E1537" s="25"/>
      <c r="F1537" s="25"/>
      <c r="J1537" s="24"/>
      <c r="U1537" s="24"/>
    </row>
    <row r="1538" spans="1:21" ht="12.75" x14ac:dyDescent="0.2">
      <c r="A1538" s="25"/>
      <c r="B1538" s="25"/>
      <c r="C1538" s="25"/>
      <c r="D1538" s="25"/>
      <c r="E1538" s="25"/>
      <c r="F1538" s="25"/>
      <c r="J1538" s="24"/>
      <c r="U1538" s="24"/>
    </row>
    <row r="1539" spans="1:21" ht="12.75" x14ac:dyDescent="0.2">
      <c r="A1539" s="25"/>
      <c r="B1539" s="25"/>
      <c r="C1539" s="25"/>
      <c r="D1539" s="25"/>
      <c r="E1539" s="25"/>
      <c r="F1539" s="25"/>
      <c r="J1539" s="24"/>
      <c r="U1539" s="24"/>
    </row>
    <row r="1540" spans="1:21" ht="12.75" x14ac:dyDescent="0.2">
      <c r="A1540" s="25"/>
      <c r="B1540" s="25"/>
      <c r="C1540" s="25"/>
      <c r="D1540" s="25"/>
      <c r="E1540" s="25"/>
      <c r="F1540" s="25"/>
      <c r="J1540" s="24"/>
      <c r="U1540" s="24"/>
    </row>
    <row r="1541" spans="1:21" ht="12.75" x14ac:dyDescent="0.2">
      <c r="A1541" s="25"/>
      <c r="B1541" s="25"/>
      <c r="C1541" s="25"/>
      <c r="D1541" s="25"/>
      <c r="E1541" s="25"/>
      <c r="F1541" s="25"/>
      <c r="J1541" s="24"/>
      <c r="U1541" s="24"/>
    </row>
    <row r="1542" spans="1:21" ht="12.75" x14ac:dyDescent="0.2">
      <c r="A1542" s="25"/>
      <c r="B1542" s="25"/>
      <c r="C1542" s="25"/>
      <c r="D1542" s="25"/>
      <c r="E1542" s="25"/>
      <c r="F1542" s="25"/>
      <c r="J1542" s="24"/>
      <c r="U1542" s="24"/>
    </row>
    <row r="1543" spans="1:21" ht="12.75" x14ac:dyDescent="0.2">
      <c r="A1543" s="25"/>
      <c r="B1543" s="25"/>
      <c r="C1543" s="25"/>
      <c r="D1543" s="25"/>
      <c r="E1543" s="25"/>
      <c r="F1543" s="25"/>
      <c r="J1543" s="24"/>
      <c r="U1543" s="24"/>
    </row>
    <row r="1544" spans="1:21" ht="12.75" x14ac:dyDescent="0.2">
      <c r="A1544" s="25"/>
      <c r="B1544" s="25"/>
      <c r="C1544" s="25"/>
      <c r="D1544" s="25"/>
      <c r="E1544" s="25"/>
      <c r="F1544" s="25"/>
      <c r="J1544" s="24"/>
      <c r="U1544" s="24"/>
    </row>
    <row r="1545" spans="1:21" ht="12.75" x14ac:dyDescent="0.2">
      <c r="A1545" s="25"/>
      <c r="B1545" s="25"/>
      <c r="C1545" s="25"/>
      <c r="D1545" s="25"/>
      <c r="E1545" s="25"/>
      <c r="F1545" s="25"/>
      <c r="J1545" s="24"/>
      <c r="U1545" s="24"/>
    </row>
    <row r="1546" spans="1:21" ht="12.75" x14ac:dyDescent="0.2">
      <c r="A1546" s="25"/>
      <c r="B1546" s="25"/>
      <c r="C1546" s="25"/>
      <c r="D1546" s="25"/>
      <c r="E1546" s="25"/>
      <c r="F1546" s="25"/>
      <c r="J1546" s="24"/>
      <c r="U1546" s="24"/>
    </row>
    <row r="1547" spans="1:21" ht="12.75" x14ac:dyDescent="0.2">
      <c r="A1547" s="25"/>
      <c r="B1547" s="25"/>
      <c r="C1547" s="25"/>
      <c r="D1547" s="25"/>
      <c r="E1547" s="25"/>
      <c r="F1547" s="25"/>
      <c r="J1547" s="24"/>
      <c r="U1547" s="24"/>
    </row>
    <row r="1548" spans="1:21" ht="12.75" x14ac:dyDescent="0.2">
      <c r="A1548" s="25"/>
      <c r="B1548" s="25"/>
      <c r="C1548" s="25"/>
      <c r="D1548" s="25"/>
      <c r="E1548" s="25"/>
      <c r="F1548" s="25"/>
      <c r="J1548" s="24"/>
      <c r="U1548" s="24"/>
    </row>
    <row r="1549" spans="1:21" ht="12.75" x14ac:dyDescent="0.2">
      <c r="A1549" s="25"/>
      <c r="B1549" s="25"/>
      <c r="C1549" s="25"/>
      <c r="D1549" s="25"/>
      <c r="E1549" s="25"/>
      <c r="F1549" s="25"/>
      <c r="J1549" s="24"/>
      <c r="U1549" s="24"/>
    </row>
    <row r="1550" spans="1:21" ht="12.75" x14ac:dyDescent="0.2">
      <c r="A1550" s="25"/>
      <c r="B1550" s="25"/>
      <c r="C1550" s="25"/>
      <c r="D1550" s="25"/>
      <c r="E1550" s="25"/>
      <c r="F1550" s="25"/>
      <c r="J1550" s="24"/>
      <c r="U1550" s="24"/>
    </row>
    <row r="1551" spans="1:21" ht="12.75" x14ac:dyDescent="0.2">
      <c r="A1551" s="25"/>
      <c r="B1551" s="25"/>
      <c r="C1551" s="25"/>
      <c r="D1551" s="25"/>
      <c r="E1551" s="25"/>
      <c r="F1551" s="25"/>
      <c r="J1551" s="24"/>
      <c r="U1551" s="24"/>
    </row>
    <row r="1552" spans="1:21" ht="12.75" x14ac:dyDescent="0.2">
      <c r="A1552" s="25"/>
      <c r="B1552" s="25"/>
      <c r="C1552" s="25"/>
      <c r="D1552" s="25"/>
      <c r="E1552" s="25"/>
      <c r="F1552" s="25"/>
      <c r="J1552" s="24"/>
      <c r="U1552" s="24"/>
    </row>
    <row r="1553" spans="1:21" ht="12.75" x14ac:dyDescent="0.2">
      <c r="A1553" s="25"/>
      <c r="B1553" s="25"/>
      <c r="C1553" s="25"/>
      <c r="D1553" s="25"/>
      <c r="E1553" s="25"/>
      <c r="F1553" s="25"/>
      <c r="J1553" s="24"/>
      <c r="U1553" s="24"/>
    </row>
    <row r="1554" spans="1:21" ht="12.75" x14ac:dyDescent="0.2">
      <c r="A1554" s="25"/>
      <c r="B1554" s="25"/>
      <c r="C1554" s="25"/>
      <c r="D1554" s="25"/>
      <c r="E1554" s="25"/>
      <c r="F1554" s="25"/>
      <c r="J1554" s="24"/>
      <c r="U1554" s="24"/>
    </row>
    <row r="1555" spans="1:21" ht="12.75" x14ac:dyDescent="0.2">
      <c r="A1555" s="25"/>
      <c r="B1555" s="25"/>
      <c r="C1555" s="25"/>
      <c r="D1555" s="25"/>
      <c r="E1555" s="25"/>
      <c r="F1555" s="25"/>
      <c r="J1555" s="24"/>
      <c r="U1555" s="24"/>
    </row>
    <row r="1556" spans="1:21" ht="12.75" x14ac:dyDescent="0.2">
      <c r="A1556" s="25"/>
      <c r="B1556" s="25"/>
      <c r="C1556" s="25"/>
      <c r="D1556" s="25"/>
      <c r="E1556" s="25"/>
      <c r="F1556" s="25"/>
      <c r="J1556" s="24"/>
      <c r="U1556" s="24"/>
    </row>
    <row r="1557" spans="1:21" ht="12.75" x14ac:dyDescent="0.2">
      <c r="A1557" s="25"/>
      <c r="B1557" s="25"/>
      <c r="C1557" s="25"/>
      <c r="D1557" s="25"/>
      <c r="E1557" s="25"/>
      <c r="F1557" s="25"/>
      <c r="J1557" s="24"/>
      <c r="U1557" s="24"/>
    </row>
    <row r="1558" spans="1:21" ht="12.75" x14ac:dyDescent="0.2">
      <c r="A1558" s="25"/>
      <c r="B1558" s="25"/>
      <c r="C1558" s="25"/>
      <c r="D1558" s="25"/>
      <c r="E1558" s="25"/>
      <c r="F1558" s="25"/>
      <c r="J1558" s="24"/>
      <c r="U1558" s="24"/>
    </row>
    <row r="1559" spans="1:21" ht="12.75" x14ac:dyDescent="0.2">
      <c r="A1559" s="25"/>
      <c r="B1559" s="25"/>
      <c r="C1559" s="25"/>
      <c r="D1559" s="25"/>
      <c r="E1559" s="25"/>
      <c r="F1559" s="25"/>
      <c r="J1559" s="24"/>
      <c r="U1559" s="24"/>
    </row>
    <row r="1560" spans="1:21" ht="12.75" x14ac:dyDescent="0.2">
      <c r="A1560" s="25"/>
      <c r="B1560" s="25"/>
      <c r="C1560" s="25"/>
      <c r="D1560" s="25"/>
      <c r="E1560" s="25"/>
      <c r="F1560" s="25"/>
      <c r="J1560" s="24"/>
      <c r="U1560" s="24"/>
    </row>
    <row r="1561" spans="1:21" ht="12.75" x14ac:dyDescent="0.2">
      <c r="A1561" s="25"/>
      <c r="B1561" s="25"/>
      <c r="C1561" s="25"/>
      <c r="D1561" s="25"/>
      <c r="E1561" s="25"/>
      <c r="F1561" s="25"/>
      <c r="J1561" s="24"/>
      <c r="U1561" s="24"/>
    </row>
    <row r="1562" spans="1:21" ht="12.75" x14ac:dyDescent="0.2">
      <c r="A1562" s="25"/>
      <c r="B1562" s="25"/>
      <c r="C1562" s="25"/>
      <c r="D1562" s="25"/>
      <c r="E1562" s="25"/>
      <c r="F1562" s="25"/>
      <c r="J1562" s="24"/>
      <c r="U1562" s="24"/>
    </row>
    <row r="1563" spans="1:21" ht="12.75" x14ac:dyDescent="0.2">
      <c r="A1563" s="25"/>
      <c r="B1563" s="25"/>
      <c r="C1563" s="25"/>
      <c r="D1563" s="25"/>
      <c r="E1563" s="25"/>
      <c r="F1563" s="25"/>
      <c r="J1563" s="24"/>
      <c r="U1563" s="24"/>
    </row>
    <row r="1564" spans="1:21" ht="12.75" x14ac:dyDescent="0.2">
      <c r="A1564" s="25"/>
      <c r="B1564" s="25"/>
      <c r="C1564" s="25"/>
      <c r="D1564" s="25"/>
      <c r="E1564" s="25"/>
      <c r="F1564" s="25"/>
      <c r="J1564" s="24"/>
      <c r="U1564" s="24"/>
    </row>
    <row r="1565" spans="1:21" x14ac:dyDescent="0.25">
      <c r="J1565" s="24"/>
    </row>
    <row r="1566" spans="1:21" x14ac:dyDescent="0.25">
      <c r="J1566" s="24"/>
    </row>
    <row r="1567" spans="1:21" x14ac:dyDescent="0.25">
      <c r="J1567" s="24"/>
    </row>
  </sheetData>
  <sheetProtection algorithmName="SHA-512" hashValue="X7ON6LSNBc5Hh7/Gi085G/rhZYG9bXSdEX8m4nrogD4vqyXckGvnibMNq0oMa8LXMEuqqw7P6ukS9GhxYwkeiA==" saltValue="giDFZw6S4DAnwEGPwrdoqQ==" spinCount="100000" sheet="1" objects="1" scenarios="1" autoFilter="0"/>
  <mergeCells count="13">
    <mergeCell ref="R1:S1"/>
    <mergeCell ref="AG20:AG22"/>
    <mergeCell ref="AG23:AG26"/>
    <mergeCell ref="AE1:AH1"/>
    <mergeCell ref="AE18:AH18"/>
    <mergeCell ref="AH20:AH26"/>
    <mergeCell ref="AN1:AP1"/>
    <mergeCell ref="V1:W1"/>
    <mergeCell ref="Y1:Z1"/>
    <mergeCell ref="AG3:AG4"/>
    <mergeCell ref="AH3:AH15"/>
    <mergeCell ref="AG5:AG9"/>
    <mergeCell ref="AG10:AG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apNet">
                <anchor moveWithCells="1" sizeWithCells="1">
                  <from>
                    <xdr:col>4</xdr:col>
                    <xdr:colOff>0</xdr:colOff>
                    <xdr:row>2</xdr:row>
                    <xdr:rowOff>171450</xdr:rowOff>
                  </from>
                  <to>
                    <xdr:col>5</xdr:col>
                    <xdr:colOff>257175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B3:J15"/>
  <sheetViews>
    <sheetView workbookViewId="0">
      <selection activeCell="O3" sqref="O3"/>
    </sheetView>
  </sheetViews>
  <sheetFormatPr defaultRowHeight="15" x14ac:dyDescent="0.25"/>
  <cols>
    <col min="3" max="10" width="5.42578125" customWidth="1"/>
  </cols>
  <sheetData>
    <row r="3" spans="2:10" x14ac:dyDescent="0.3">
      <c r="B3" s="312"/>
      <c r="C3" s="313" t="s">
        <v>187</v>
      </c>
      <c r="D3" s="313" t="s">
        <v>214</v>
      </c>
      <c r="E3" s="313" t="s">
        <v>233</v>
      </c>
      <c r="F3" s="313" t="s">
        <v>242</v>
      </c>
      <c r="G3" s="313" t="s">
        <v>250</v>
      </c>
      <c r="H3" s="313" t="s">
        <v>258</v>
      </c>
      <c r="I3" s="313" t="s">
        <v>265</v>
      </c>
      <c r="J3" s="314" t="s">
        <v>279</v>
      </c>
    </row>
    <row r="4" spans="2:10" x14ac:dyDescent="0.3">
      <c r="B4" s="315" t="s">
        <v>186</v>
      </c>
      <c r="C4" s="359">
        <v>1</v>
      </c>
      <c r="D4" s="360">
        <v>1</v>
      </c>
      <c r="E4" s="361">
        <v>1</v>
      </c>
      <c r="F4" s="318">
        <v>4</v>
      </c>
      <c r="G4" s="318">
        <v>4</v>
      </c>
      <c r="H4" s="319">
        <v>7</v>
      </c>
      <c r="I4" s="319">
        <v>7</v>
      </c>
      <c r="J4" s="320">
        <v>7</v>
      </c>
    </row>
    <row r="5" spans="2:10" x14ac:dyDescent="0.3">
      <c r="B5" s="316" t="s">
        <v>213</v>
      </c>
      <c r="C5" s="362">
        <v>1</v>
      </c>
      <c r="D5" s="363">
        <v>1</v>
      </c>
      <c r="E5" s="364">
        <v>1</v>
      </c>
      <c r="F5" s="321">
        <v>4</v>
      </c>
      <c r="G5" s="321">
        <v>4</v>
      </c>
      <c r="H5" s="322">
        <v>7</v>
      </c>
      <c r="I5" s="322">
        <v>7</v>
      </c>
      <c r="J5" s="323">
        <v>7</v>
      </c>
    </row>
    <row r="6" spans="2:10" x14ac:dyDescent="0.3">
      <c r="B6" s="316" t="s">
        <v>232</v>
      </c>
      <c r="C6" s="365">
        <v>1</v>
      </c>
      <c r="D6" s="366">
        <v>1</v>
      </c>
      <c r="E6" s="367">
        <v>1</v>
      </c>
      <c r="F6" s="321">
        <v>4</v>
      </c>
      <c r="G6" s="321">
        <v>4</v>
      </c>
      <c r="H6" s="322">
        <v>7</v>
      </c>
      <c r="I6" s="322">
        <v>7</v>
      </c>
      <c r="J6" s="323">
        <v>7</v>
      </c>
    </row>
    <row r="7" spans="2:10" x14ac:dyDescent="0.3">
      <c r="B7" s="316" t="s">
        <v>215</v>
      </c>
      <c r="C7" s="326">
        <v>2</v>
      </c>
      <c r="D7" s="324">
        <v>2</v>
      </c>
      <c r="E7" s="324">
        <v>2</v>
      </c>
      <c r="F7" s="325">
        <v>5</v>
      </c>
      <c r="G7" s="325">
        <v>5</v>
      </c>
      <c r="H7" s="391">
        <v>8</v>
      </c>
      <c r="I7" s="391">
        <v>8</v>
      </c>
      <c r="J7" s="392">
        <v>8</v>
      </c>
    </row>
    <row r="8" spans="2:10" x14ac:dyDescent="0.3">
      <c r="B8" s="316" t="s">
        <v>249</v>
      </c>
      <c r="C8" s="326">
        <v>2</v>
      </c>
      <c r="D8" s="324">
        <v>2</v>
      </c>
      <c r="E8" s="324">
        <v>2</v>
      </c>
      <c r="F8" s="325">
        <v>5</v>
      </c>
      <c r="G8" s="325">
        <v>5</v>
      </c>
      <c r="H8" s="391">
        <v>8</v>
      </c>
      <c r="I8" s="391">
        <v>8</v>
      </c>
      <c r="J8" s="392">
        <v>8</v>
      </c>
    </row>
    <row r="9" spans="2:10" x14ac:dyDescent="0.3">
      <c r="B9" s="316" t="s">
        <v>257</v>
      </c>
      <c r="C9" s="326">
        <v>2</v>
      </c>
      <c r="D9" s="324">
        <v>2</v>
      </c>
      <c r="E9" s="324">
        <v>2</v>
      </c>
      <c r="F9" s="325">
        <v>5</v>
      </c>
      <c r="G9" s="325">
        <v>5</v>
      </c>
      <c r="H9" s="391">
        <v>8</v>
      </c>
      <c r="I9" s="391">
        <v>8</v>
      </c>
      <c r="J9" s="392">
        <v>8</v>
      </c>
    </row>
    <row r="10" spans="2:10" x14ac:dyDescent="0.3">
      <c r="B10" s="316" t="s">
        <v>264</v>
      </c>
      <c r="C10" s="327">
        <v>3</v>
      </c>
      <c r="D10" s="328">
        <v>3</v>
      </c>
      <c r="E10" s="328">
        <v>3</v>
      </c>
      <c r="F10" s="329">
        <v>6</v>
      </c>
      <c r="G10" s="329">
        <v>6</v>
      </c>
      <c r="H10" s="436">
        <v>9</v>
      </c>
      <c r="I10" s="436">
        <v>9</v>
      </c>
      <c r="J10" s="438">
        <v>9</v>
      </c>
    </row>
    <row r="11" spans="2:10" x14ac:dyDescent="0.3">
      <c r="B11" s="316" t="s">
        <v>272</v>
      </c>
      <c r="C11" s="327">
        <v>3</v>
      </c>
      <c r="D11" s="328">
        <v>3</v>
      </c>
      <c r="E11" s="328">
        <v>3</v>
      </c>
      <c r="F11" s="329">
        <v>6</v>
      </c>
      <c r="G11" s="329">
        <v>6</v>
      </c>
      <c r="H11" s="436">
        <v>9</v>
      </c>
      <c r="I11" s="436">
        <v>9</v>
      </c>
      <c r="J11" s="438">
        <v>9</v>
      </c>
    </row>
    <row r="12" spans="2:10" x14ac:dyDescent="0.3">
      <c r="B12" s="316" t="s">
        <v>278</v>
      </c>
      <c r="C12" s="327">
        <v>3</v>
      </c>
      <c r="D12" s="328">
        <v>3</v>
      </c>
      <c r="E12" s="328">
        <v>3</v>
      </c>
      <c r="F12" s="329">
        <v>6</v>
      </c>
      <c r="G12" s="329">
        <v>6</v>
      </c>
      <c r="H12" s="436">
        <v>9</v>
      </c>
      <c r="I12" s="436">
        <v>9</v>
      </c>
      <c r="J12" s="438">
        <v>9</v>
      </c>
    </row>
    <row r="13" spans="2:10" x14ac:dyDescent="0.3">
      <c r="B13" s="317" t="s">
        <v>284</v>
      </c>
      <c r="C13" s="330">
        <v>3</v>
      </c>
      <c r="D13" s="331">
        <v>3</v>
      </c>
      <c r="E13" s="331">
        <v>3</v>
      </c>
      <c r="F13" s="332">
        <v>6</v>
      </c>
      <c r="G13" s="332">
        <v>6</v>
      </c>
      <c r="H13" s="437">
        <v>9</v>
      </c>
      <c r="I13" s="437">
        <v>9</v>
      </c>
      <c r="J13" s="439">
        <v>9</v>
      </c>
    </row>
    <row r="15" spans="2:10" x14ac:dyDescent="0.3">
      <c r="B15" s="1" t="s">
        <v>1023</v>
      </c>
    </row>
  </sheetData>
  <sheetProtection algorithmName="SHA-512" hashValue="jQa+ldW1FqEVA6hxW9qorkSt9SJm6Tc1uv6JQhvqqqc/wqh5PxJdb1ix6G2S0BNF3G6cgsuPNDpbPJwbtmXgzg==" saltValue="b6O4tmi7CPT9x9wHgLN2Uw==" spinCount="100000" sheet="1" objects="1" scenarios="1" autoFilter="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Z78"/>
  <sheetViews>
    <sheetView topLeftCell="J1" workbookViewId="0">
      <selection activeCell="L2" sqref="L2:Z2"/>
    </sheetView>
  </sheetViews>
  <sheetFormatPr defaultColWidth="9.28515625" defaultRowHeight="15" x14ac:dyDescent="0.25"/>
  <cols>
    <col min="1" max="1" width="2.7109375" style="33" customWidth="1"/>
    <col min="2" max="2" width="14.28515625" style="18" customWidth="1"/>
    <col min="3" max="3" width="10.28515625" style="33" customWidth="1"/>
    <col min="4" max="4" width="6.28515625" style="33" bestFit="1" customWidth="1"/>
    <col min="5" max="5" width="11.42578125" style="33" customWidth="1"/>
    <col min="6" max="6" width="10.5703125" style="33" customWidth="1"/>
    <col min="7" max="13" width="9.28515625" style="33"/>
    <col min="14" max="14" width="15.28515625" style="18" customWidth="1"/>
    <col min="15" max="19" width="9.28515625" style="33"/>
    <col min="20" max="20" width="7.7109375" style="18" customWidth="1"/>
    <col min="21" max="26" width="7.7109375" style="33" customWidth="1"/>
    <col min="27" max="16384" width="9.28515625" style="33"/>
  </cols>
  <sheetData>
    <row r="1" spans="2:26" s="435" customFormat="1" ht="14.45" x14ac:dyDescent="0.3">
      <c r="B1" s="311"/>
      <c r="C1" s="480"/>
      <c r="D1" s="1"/>
      <c r="E1" s="1"/>
      <c r="F1" s="1"/>
      <c r="G1" s="1"/>
      <c r="H1" s="1"/>
      <c r="I1" s="1"/>
      <c r="J1" s="1"/>
      <c r="N1" s="311"/>
      <c r="T1" s="311"/>
    </row>
    <row r="2" spans="2:26" s="435" customFormat="1" ht="15" customHeight="1" x14ac:dyDescent="0.3">
      <c r="B2" s="311"/>
      <c r="C2" s="1" t="s">
        <v>1068</v>
      </c>
      <c r="D2" s="1"/>
      <c r="E2" s="1"/>
      <c r="F2" s="1"/>
      <c r="L2" s="854" t="s">
        <v>1079</v>
      </c>
      <c r="M2" s="854"/>
      <c r="N2" s="854"/>
      <c r="O2" s="854"/>
      <c r="P2" s="854"/>
      <c r="Q2" s="854"/>
      <c r="R2" s="854"/>
      <c r="S2" s="854"/>
      <c r="T2" s="854"/>
      <c r="U2" s="854"/>
      <c r="V2" s="854"/>
      <c r="W2" s="854"/>
      <c r="X2" s="854"/>
      <c r="Y2" s="854"/>
      <c r="Z2" s="854"/>
    </row>
    <row r="3" spans="2:26" s="435" customFormat="1" ht="14.45" x14ac:dyDescent="0.3">
      <c r="B3" s="311"/>
      <c r="C3" s="1"/>
      <c r="D3" s="1"/>
      <c r="E3" s="1"/>
      <c r="F3" s="1"/>
      <c r="L3" s="311"/>
      <c r="M3" s="1"/>
      <c r="N3" s="1"/>
      <c r="T3" s="1"/>
      <c r="U3" s="1"/>
    </row>
    <row r="4" spans="2:26" s="435" customFormat="1" ht="14.45" x14ac:dyDescent="0.3">
      <c r="B4" s="311"/>
      <c r="C4" s="560"/>
      <c r="D4" s="560" t="s">
        <v>187</v>
      </c>
      <c r="E4" s="560" t="s">
        <v>214</v>
      </c>
      <c r="F4" s="560" t="s">
        <v>233</v>
      </c>
      <c r="G4" s="561" t="s">
        <v>242</v>
      </c>
      <c r="H4" s="561" t="s">
        <v>250</v>
      </c>
      <c r="I4" s="561" t="s">
        <v>258</v>
      </c>
      <c r="J4" s="561" t="s">
        <v>265</v>
      </c>
      <c r="M4" s="854" t="s">
        <v>1144</v>
      </c>
      <c r="N4" s="854"/>
      <c r="R4" s="1"/>
      <c r="S4" s="854" t="s">
        <v>1141</v>
      </c>
      <c r="T4" s="854"/>
      <c r="U4" s="854"/>
      <c r="V4" s="854"/>
      <c r="W4" s="854"/>
      <c r="X4" s="854"/>
      <c r="Y4" s="854"/>
      <c r="Z4" s="854"/>
    </row>
    <row r="5" spans="2:26" s="435" customFormat="1" ht="14.45" x14ac:dyDescent="0.3">
      <c r="B5" s="311"/>
      <c r="C5" s="560" t="s">
        <v>186</v>
      </c>
      <c r="D5" s="562">
        <v>-7</v>
      </c>
      <c r="E5" s="562">
        <v>-7</v>
      </c>
      <c r="F5" s="562">
        <v>-7</v>
      </c>
      <c r="G5" s="562">
        <v>-6</v>
      </c>
      <c r="H5" s="562">
        <v>-6</v>
      </c>
      <c r="I5" s="562">
        <v>-5</v>
      </c>
      <c r="J5" s="562">
        <v>-5</v>
      </c>
      <c r="L5" s="435" t="s">
        <v>302</v>
      </c>
      <c r="M5" s="1"/>
      <c r="N5" s="1"/>
      <c r="P5" s="435" t="s">
        <v>302</v>
      </c>
      <c r="Q5" s="435" t="s">
        <v>8</v>
      </c>
    </row>
    <row r="6" spans="2:26" s="435" customFormat="1" ht="14.45" x14ac:dyDescent="0.3">
      <c r="B6" s="311"/>
      <c r="C6" s="560" t="s">
        <v>213</v>
      </c>
      <c r="D6" s="562">
        <v>-7</v>
      </c>
      <c r="E6" s="562">
        <v>-7</v>
      </c>
      <c r="F6" s="562">
        <v>-7</v>
      </c>
      <c r="G6" s="562">
        <v>-6</v>
      </c>
      <c r="H6" s="562">
        <v>-6</v>
      </c>
      <c r="I6" s="562">
        <v>-5</v>
      </c>
      <c r="J6" s="562">
        <v>-5</v>
      </c>
      <c r="L6" s="562">
        <v>0.5</v>
      </c>
      <c r="M6" s="562" t="s">
        <v>1056</v>
      </c>
      <c r="N6" s="562">
        <v>-12</v>
      </c>
      <c r="P6" s="562">
        <v>0.5</v>
      </c>
      <c r="Q6" s="562" t="s">
        <v>1143</v>
      </c>
      <c r="S6" s="560" t="s">
        <v>1143</v>
      </c>
      <c r="T6" s="561" t="s">
        <v>187</v>
      </c>
      <c r="U6" s="561" t="s">
        <v>214</v>
      </c>
      <c r="V6" s="561" t="s">
        <v>233</v>
      </c>
      <c r="W6" s="561" t="s">
        <v>242</v>
      </c>
      <c r="X6" s="561" t="s">
        <v>250</v>
      </c>
      <c r="Y6" s="561" t="s">
        <v>258</v>
      </c>
      <c r="Z6" s="561" t="s">
        <v>265</v>
      </c>
    </row>
    <row r="7" spans="2:26" s="435" customFormat="1" ht="14.45" x14ac:dyDescent="0.3">
      <c r="B7" s="311"/>
      <c r="C7" s="560" t="s">
        <v>232</v>
      </c>
      <c r="D7" s="562">
        <v>-7</v>
      </c>
      <c r="E7" s="562">
        <v>-7</v>
      </c>
      <c r="F7" s="562">
        <v>-7</v>
      </c>
      <c r="G7" s="562">
        <v>-6</v>
      </c>
      <c r="H7" s="562">
        <v>-6</v>
      </c>
      <c r="I7" s="562">
        <v>-5</v>
      </c>
      <c r="J7" s="562">
        <v>-5</v>
      </c>
      <c r="L7" s="562">
        <v>0.6</v>
      </c>
      <c r="M7" s="562" t="s">
        <v>1055</v>
      </c>
      <c r="N7" s="562">
        <v>-12</v>
      </c>
      <c r="P7" s="562">
        <v>1</v>
      </c>
      <c r="Q7" s="562" t="s">
        <v>1142</v>
      </c>
      <c r="S7" s="560" t="s">
        <v>186</v>
      </c>
      <c r="T7" s="562">
        <v>-3</v>
      </c>
      <c r="U7" s="562">
        <f>T7</f>
        <v>-3</v>
      </c>
      <c r="V7" s="562">
        <f>U7</f>
        <v>-3</v>
      </c>
      <c r="W7" s="562">
        <v>-3</v>
      </c>
      <c r="X7" s="562">
        <v>-3</v>
      </c>
      <c r="Y7" s="562">
        <v>-3</v>
      </c>
      <c r="Z7" s="562">
        <v>-3</v>
      </c>
    </row>
    <row r="8" spans="2:26" s="435" customFormat="1" ht="14.45" x14ac:dyDescent="0.3">
      <c r="B8" s="311"/>
      <c r="C8" s="560" t="s">
        <v>215</v>
      </c>
      <c r="D8" s="562">
        <v>-6</v>
      </c>
      <c r="E8" s="562">
        <v>-6</v>
      </c>
      <c r="F8" s="562">
        <v>-6</v>
      </c>
      <c r="G8" s="562">
        <v>-5</v>
      </c>
      <c r="H8" s="562">
        <f>G8</f>
        <v>-5</v>
      </c>
      <c r="I8" s="562">
        <v>-4</v>
      </c>
      <c r="J8" s="562">
        <v>-4</v>
      </c>
      <c r="L8" s="562">
        <v>0.7</v>
      </c>
      <c r="M8" s="562" t="s">
        <v>1054</v>
      </c>
      <c r="N8" s="562">
        <v>-12</v>
      </c>
      <c r="P8" s="562">
        <v>2</v>
      </c>
      <c r="Q8" s="562" t="s">
        <v>1050</v>
      </c>
      <c r="S8" s="560" t="s">
        <v>213</v>
      </c>
      <c r="T8" s="562">
        <f>T7</f>
        <v>-3</v>
      </c>
      <c r="U8" s="562">
        <v>-3</v>
      </c>
      <c r="V8" s="562">
        <v>-3</v>
      </c>
      <c r="W8" s="562">
        <v>-3</v>
      </c>
      <c r="X8" s="562">
        <v>-3</v>
      </c>
      <c r="Y8" s="562">
        <v>-3</v>
      </c>
      <c r="Z8" s="562">
        <v>-3</v>
      </c>
    </row>
    <row r="9" spans="2:26" s="435" customFormat="1" ht="14.45" x14ac:dyDescent="0.3">
      <c r="B9" s="311"/>
      <c r="C9" s="560" t="s">
        <v>249</v>
      </c>
      <c r="D9" s="562">
        <v>-6</v>
      </c>
      <c r="E9" s="562">
        <v>-6</v>
      </c>
      <c r="F9" s="562">
        <v>-6</v>
      </c>
      <c r="G9" s="562">
        <v>-5</v>
      </c>
      <c r="H9" s="562">
        <f>G9</f>
        <v>-5</v>
      </c>
      <c r="I9" s="562">
        <v>-4</v>
      </c>
      <c r="J9" s="562">
        <v>-4</v>
      </c>
      <c r="L9" s="562">
        <v>0.8</v>
      </c>
      <c r="M9" s="562" t="s">
        <v>1053</v>
      </c>
      <c r="N9" s="562">
        <v>-12</v>
      </c>
      <c r="P9" s="562">
        <v>2.5</v>
      </c>
      <c r="Q9" s="562" t="s">
        <v>1049</v>
      </c>
      <c r="S9" s="560" t="s">
        <v>232</v>
      </c>
      <c r="T9" s="562">
        <v>-3</v>
      </c>
      <c r="U9" s="562">
        <v>-3</v>
      </c>
      <c r="V9" s="562">
        <v>-3</v>
      </c>
      <c r="W9" s="562">
        <v>-3</v>
      </c>
      <c r="X9" s="562">
        <v>-3</v>
      </c>
      <c r="Y9" s="562">
        <v>-3</v>
      </c>
      <c r="Z9" s="562">
        <v>-3</v>
      </c>
    </row>
    <row r="10" spans="2:26" s="435" customFormat="1" ht="14.45" x14ac:dyDescent="0.3">
      <c r="B10" s="311"/>
      <c r="C10" s="560" t="s">
        <v>257</v>
      </c>
      <c r="D10" s="562">
        <v>-5</v>
      </c>
      <c r="E10" s="562">
        <v>-5</v>
      </c>
      <c r="F10" s="562">
        <v>-5</v>
      </c>
      <c r="G10" s="562">
        <v>-4</v>
      </c>
      <c r="H10" s="562">
        <v>-4</v>
      </c>
      <c r="I10" s="562">
        <v>-3</v>
      </c>
      <c r="J10" s="562">
        <v>-3</v>
      </c>
      <c r="L10" s="562">
        <v>0.9</v>
      </c>
      <c r="M10" s="562" t="s">
        <v>1052</v>
      </c>
      <c r="N10" s="562">
        <v>-12</v>
      </c>
      <c r="P10" s="562">
        <v>3</v>
      </c>
      <c r="S10" s="560" t="s">
        <v>215</v>
      </c>
      <c r="T10" s="562">
        <v>-3</v>
      </c>
      <c r="U10" s="562">
        <v>-3</v>
      </c>
      <c r="V10" s="562">
        <v>-3</v>
      </c>
      <c r="W10" s="562">
        <v>-3</v>
      </c>
      <c r="X10" s="562">
        <v>-3</v>
      </c>
      <c r="Y10" s="562">
        <v>-3</v>
      </c>
      <c r="Z10" s="562">
        <v>-3</v>
      </c>
    </row>
    <row r="11" spans="2:26" s="435" customFormat="1" ht="14.45" x14ac:dyDescent="0.3">
      <c r="B11" s="311"/>
      <c r="C11" s="560" t="s">
        <v>264</v>
      </c>
      <c r="D11" s="562">
        <v>-5</v>
      </c>
      <c r="E11" s="562">
        <v>-5</v>
      </c>
      <c r="F11" s="562">
        <v>-5</v>
      </c>
      <c r="G11" s="562">
        <v>-4</v>
      </c>
      <c r="H11" s="562">
        <v>-4</v>
      </c>
      <c r="I11" s="562">
        <v>-3</v>
      </c>
      <c r="J11" s="562">
        <v>-3</v>
      </c>
      <c r="L11" s="562">
        <v>1</v>
      </c>
      <c r="M11" s="562" t="s">
        <v>963</v>
      </c>
      <c r="N11" s="562">
        <v>-12</v>
      </c>
      <c r="S11" s="560" t="s">
        <v>249</v>
      </c>
      <c r="T11" s="562">
        <v>-3</v>
      </c>
      <c r="U11" s="562">
        <v>-3</v>
      </c>
      <c r="V11" s="562">
        <v>-3</v>
      </c>
      <c r="W11" s="562">
        <v>-3</v>
      </c>
      <c r="X11" s="562">
        <v>-3</v>
      </c>
      <c r="Y11" s="562">
        <v>-3</v>
      </c>
      <c r="Z11" s="562">
        <v>-3</v>
      </c>
    </row>
    <row r="12" spans="2:26" s="435" customFormat="1" ht="14.45" x14ac:dyDescent="0.3">
      <c r="B12" s="311"/>
      <c r="C12" s="560" t="s">
        <v>272</v>
      </c>
      <c r="D12" s="562">
        <v>-5</v>
      </c>
      <c r="E12" s="562">
        <v>-5</v>
      </c>
      <c r="F12" s="562">
        <v>-5</v>
      </c>
      <c r="G12" s="562">
        <v>-4</v>
      </c>
      <c r="H12" s="562">
        <v>-4</v>
      </c>
      <c r="I12" s="562">
        <v>-3</v>
      </c>
      <c r="J12" s="562">
        <v>-3</v>
      </c>
      <c r="L12" s="562">
        <v>1.2</v>
      </c>
      <c r="M12" s="562" t="s">
        <v>964</v>
      </c>
      <c r="N12" s="562">
        <v>-12</v>
      </c>
      <c r="S12" s="560" t="s">
        <v>257</v>
      </c>
      <c r="T12" s="562">
        <v>-3</v>
      </c>
      <c r="U12" s="562">
        <v>-3</v>
      </c>
      <c r="V12" s="562">
        <v>-3</v>
      </c>
      <c r="W12" s="562">
        <v>-3</v>
      </c>
      <c r="X12" s="562">
        <v>-3</v>
      </c>
      <c r="Y12" s="562">
        <v>-3</v>
      </c>
      <c r="Z12" s="562">
        <v>-3</v>
      </c>
    </row>
    <row r="13" spans="2:26" s="435" customFormat="1" ht="14.45" x14ac:dyDescent="0.3">
      <c r="B13" s="311"/>
      <c r="C13" s="560" t="s">
        <v>278</v>
      </c>
      <c r="D13" s="560"/>
      <c r="E13" s="560"/>
      <c r="F13" s="560"/>
      <c r="G13" s="561"/>
      <c r="H13" s="561"/>
      <c r="I13" s="561"/>
      <c r="J13" s="561"/>
      <c r="L13" s="562">
        <v>1.5</v>
      </c>
      <c r="M13" s="562" t="s">
        <v>307</v>
      </c>
      <c r="N13" s="562">
        <v>-12</v>
      </c>
      <c r="S13" s="560" t="s">
        <v>264</v>
      </c>
      <c r="T13" s="562">
        <v>-3</v>
      </c>
      <c r="U13" s="562">
        <v>-3</v>
      </c>
      <c r="V13" s="562">
        <v>-3</v>
      </c>
      <c r="W13" s="562">
        <v>-3</v>
      </c>
      <c r="X13" s="562">
        <v>-3</v>
      </c>
      <c r="Y13" s="562">
        <v>-3</v>
      </c>
      <c r="Z13" s="562">
        <v>-3</v>
      </c>
    </row>
    <row r="14" spans="2:26" s="435" customFormat="1" ht="14.45" x14ac:dyDescent="0.3">
      <c r="B14" s="311"/>
      <c r="C14" s="560" t="s">
        <v>284</v>
      </c>
      <c r="D14" s="560"/>
      <c r="E14" s="560"/>
      <c r="F14" s="560"/>
      <c r="G14" s="561"/>
      <c r="H14" s="561"/>
      <c r="I14" s="561"/>
      <c r="J14" s="561"/>
      <c r="L14" s="562">
        <v>1.7</v>
      </c>
      <c r="M14" s="562" t="s">
        <v>1051</v>
      </c>
      <c r="N14" s="562">
        <v>-12</v>
      </c>
      <c r="S14" s="560" t="s">
        <v>272</v>
      </c>
      <c r="T14" s="562">
        <v>-3</v>
      </c>
      <c r="U14" s="562">
        <v>-3</v>
      </c>
      <c r="V14" s="562">
        <v>-3</v>
      </c>
      <c r="W14" s="562">
        <v>-3</v>
      </c>
      <c r="X14" s="562">
        <v>-3</v>
      </c>
      <c r="Y14" s="562">
        <v>-3</v>
      </c>
      <c r="Z14" s="562">
        <v>-3</v>
      </c>
    </row>
    <row r="15" spans="2:26" s="435" customFormat="1" ht="14.45" x14ac:dyDescent="0.3">
      <c r="B15" s="311"/>
      <c r="C15" s="311"/>
      <c r="D15" s="1"/>
      <c r="E15" s="1"/>
      <c r="F15" s="1"/>
      <c r="G15" s="1"/>
      <c r="H15" s="1"/>
      <c r="I15" s="1"/>
      <c r="J15" s="1"/>
      <c r="L15" s="562">
        <v>2</v>
      </c>
      <c r="M15" s="562" t="s">
        <v>1050</v>
      </c>
      <c r="N15" s="562">
        <v>-12</v>
      </c>
      <c r="S15" s="560" t="s">
        <v>278</v>
      </c>
      <c r="T15" s="562">
        <v>-3</v>
      </c>
      <c r="U15" s="562">
        <v>-3</v>
      </c>
      <c r="V15" s="562">
        <v>-3</v>
      </c>
      <c r="W15" s="562">
        <v>-3</v>
      </c>
      <c r="X15" s="562">
        <v>-3</v>
      </c>
      <c r="Y15" s="562">
        <v>-3</v>
      </c>
      <c r="Z15" s="562">
        <v>-3</v>
      </c>
    </row>
    <row r="16" spans="2:26" s="435" customFormat="1" ht="14.45" x14ac:dyDescent="0.3">
      <c r="B16" s="311"/>
      <c r="C16" s="1" t="s">
        <v>1073</v>
      </c>
      <c r="D16" s="1"/>
      <c r="E16" s="1"/>
      <c r="F16" s="1"/>
      <c r="L16" s="562">
        <v>2.5</v>
      </c>
      <c r="M16" s="562" t="s">
        <v>1049</v>
      </c>
      <c r="N16" s="562">
        <v>-12</v>
      </c>
      <c r="S16" s="560" t="s">
        <v>284</v>
      </c>
      <c r="T16" s="562">
        <v>-3</v>
      </c>
      <c r="U16" s="562">
        <v>-3</v>
      </c>
      <c r="V16" s="562">
        <v>-3</v>
      </c>
      <c r="W16" s="562">
        <v>-3</v>
      </c>
      <c r="X16" s="562">
        <v>-3</v>
      </c>
      <c r="Y16" s="562">
        <v>-3</v>
      </c>
      <c r="Z16" s="562">
        <v>-3</v>
      </c>
    </row>
    <row r="17" spans="2:26" s="435" customFormat="1" ht="14.45" x14ac:dyDescent="0.3">
      <c r="B17" s="311"/>
      <c r="C17" s="1"/>
      <c r="D17" s="1"/>
      <c r="E17" s="1"/>
      <c r="F17" s="1"/>
      <c r="L17" s="562">
        <v>3</v>
      </c>
      <c r="N17" s="311"/>
    </row>
    <row r="18" spans="2:26" s="435" customFormat="1" ht="14.45" x14ac:dyDescent="0.3">
      <c r="B18" s="311"/>
      <c r="C18" s="560"/>
      <c r="D18" s="560" t="s">
        <v>187</v>
      </c>
      <c r="E18" s="560" t="s">
        <v>214</v>
      </c>
      <c r="F18" s="560" t="s">
        <v>233</v>
      </c>
      <c r="G18" s="561" t="s">
        <v>242</v>
      </c>
      <c r="H18" s="561" t="s">
        <v>250</v>
      </c>
      <c r="I18" s="561" t="s">
        <v>258</v>
      </c>
      <c r="J18" s="561" t="s">
        <v>265</v>
      </c>
      <c r="N18" s="311"/>
      <c r="S18" s="560" t="s">
        <v>1142</v>
      </c>
      <c r="T18" s="561" t="s">
        <v>187</v>
      </c>
      <c r="U18" s="561" t="s">
        <v>214</v>
      </c>
      <c r="V18" s="561" t="s">
        <v>233</v>
      </c>
      <c r="W18" s="561" t="s">
        <v>242</v>
      </c>
      <c r="X18" s="561" t="s">
        <v>250</v>
      </c>
      <c r="Y18" s="561" t="s">
        <v>258</v>
      </c>
      <c r="Z18" s="561" t="s">
        <v>265</v>
      </c>
    </row>
    <row r="19" spans="2:26" ht="14.45" x14ac:dyDescent="0.3">
      <c r="C19" s="560" t="s">
        <v>186</v>
      </c>
      <c r="D19" s="562">
        <f>D5-5</f>
        <v>-12</v>
      </c>
      <c r="E19" s="562">
        <f t="shared" ref="E19:J19" si="0">E5-5</f>
        <v>-12</v>
      </c>
      <c r="F19" s="562">
        <f t="shared" si="0"/>
        <v>-12</v>
      </c>
      <c r="G19" s="562">
        <f t="shared" si="0"/>
        <v>-11</v>
      </c>
      <c r="H19" s="562">
        <f t="shared" si="0"/>
        <v>-11</v>
      </c>
      <c r="I19" s="562">
        <f t="shared" si="0"/>
        <v>-10</v>
      </c>
      <c r="J19" s="562">
        <f t="shared" si="0"/>
        <v>-10</v>
      </c>
      <c r="S19" s="560" t="s">
        <v>186</v>
      </c>
      <c r="T19" s="562">
        <v>-3</v>
      </c>
      <c r="U19" s="562">
        <f>T19</f>
        <v>-3</v>
      </c>
      <c r="V19" s="562">
        <f>U19</f>
        <v>-3</v>
      </c>
      <c r="W19" s="562">
        <v>-3</v>
      </c>
      <c r="X19" s="562">
        <v>-3</v>
      </c>
      <c r="Y19" s="562">
        <v>-3</v>
      </c>
      <c r="Z19" s="562">
        <v>-3</v>
      </c>
    </row>
    <row r="20" spans="2:26" ht="14.45" x14ac:dyDescent="0.3">
      <c r="C20" s="560" t="s">
        <v>213</v>
      </c>
      <c r="D20" s="562">
        <f t="shared" ref="D20:J20" si="1">D6-5</f>
        <v>-12</v>
      </c>
      <c r="E20" s="562">
        <f t="shared" si="1"/>
        <v>-12</v>
      </c>
      <c r="F20" s="562">
        <f t="shared" si="1"/>
        <v>-12</v>
      </c>
      <c r="G20" s="562">
        <f t="shared" si="1"/>
        <v>-11</v>
      </c>
      <c r="H20" s="562">
        <f t="shared" si="1"/>
        <v>-11</v>
      </c>
      <c r="I20" s="562">
        <f t="shared" si="1"/>
        <v>-10</v>
      </c>
      <c r="J20" s="562">
        <f t="shared" si="1"/>
        <v>-10</v>
      </c>
      <c r="S20" s="560" t="s">
        <v>213</v>
      </c>
      <c r="T20" s="562">
        <f>T19</f>
        <v>-3</v>
      </c>
      <c r="U20" s="562">
        <f t="shared" ref="U20:V21" si="2">U19</f>
        <v>-3</v>
      </c>
      <c r="V20" s="562">
        <f t="shared" si="2"/>
        <v>-3</v>
      </c>
      <c r="W20" s="562">
        <v>-3</v>
      </c>
      <c r="X20" s="562">
        <v>-3</v>
      </c>
      <c r="Y20" s="562">
        <v>-3</v>
      </c>
      <c r="Z20" s="562">
        <v>-3</v>
      </c>
    </row>
    <row r="21" spans="2:26" ht="14.45" x14ac:dyDescent="0.3">
      <c r="C21" s="560" t="s">
        <v>232</v>
      </c>
      <c r="D21" s="562">
        <f t="shared" ref="D21:J21" si="3">D7-5</f>
        <v>-12</v>
      </c>
      <c r="E21" s="562">
        <f t="shared" si="3"/>
        <v>-12</v>
      </c>
      <c r="F21" s="562">
        <f t="shared" si="3"/>
        <v>-12</v>
      </c>
      <c r="G21" s="562">
        <f t="shared" si="3"/>
        <v>-11</v>
      </c>
      <c r="H21" s="562">
        <f t="shared" si="3"/>
        <v>-11</v>
      </c>
      <c r="I21" s="562">
        <f t="shared" si="3"/>
        <v>-10</v>
      </c>
      <c r="J21" s="562">
        <f t="shared" si="3"/>
        <v>-10</v>
      </c>
      <c r="S21" s="560" t="s">
        <v>232</v>
      </c>
      <c r="T21" s="562">
        <f>T20</f>
        <v>-3</v>
      </c>
      <c r="U21" s="562">
        <f t="shared" si="2"/>
        <v>-3</v>
      </c>
      <c r="V21" s="562">
        <f t="shared" si="2"/>
        <v>-3</v>
      </c>
      <c r="W21" s="562">
        <v>-3</v>
      </c>
      <c r="X21" s="562">
        <v>-3</v>
      </c>
      <c r="Y21" s="562">
        <v>-3</v>
      </c>
      <c r="Z21" s="562">
        <v>-3</v>
      </c>
    </row>
    <row r="22" spans="2:26" ht="14.45" x14ac:dyDescent="0.3">
      <c r="C22" s="560" t="s">
        <v>215</v>
      </c>
      <c r="D22" s="562">
        <f t="shared" ref="D22:J22" si="4">D8-5</f>
        <v>-11</v>
      </c>
      <c r="E22" s="562">
        <f t="shared" si="4"/>
        <v>-11</v>
      </c>
      <c r="F22" s="562">
        <f t="shared" si="4"/>
        <v>-11</v>
      </c>
      <c r="G22" s="562">
        <f t="shared" si="4"/>
        <v>-10</v>
      </c>
      <c r="H22" s="562">
        <f t="shared" si="4"/>
        <v>-10</v>
      </c>
      <c r="I22" s="562">
        <f t="shared" si="4"/>
        <v>-9</v>
      </c>
      <c r="J22" s="562">
        <f t="shared" si="4"/>
        <v>-9</v>
      </c>
      <c r="S22" s="560" t="s">
        <v>215</v>
      </c>
      <c r="T22" s="562">
        <f>T21</f>
        <v>-3</v>
      </c>
      <c r="U22" s="562">
        <f t="shared" ref="U22:V22" si="5">U21</f>
        <v>-3</v>
      </c>
      <c r="V22" s="562">
        <f t="shared" si="5"/>
        <v>-3</v>
      </c>
      <c r="W22" s="562">
        <v>-3</v>
      </c>
      <c r="X22" s="562">
        <v>-3</v>
      </c>
      <c r="Y22" s="562">
        <v>-3</v>
      </c>
      <c r="Z22" s="562">
        <v>-3</v>
      </c>
    </row>
    <row r="23" spans="2:26" ht="14.45" x14ac:dyDescent="0.3">
      <c r="C23" s="560" t="s">
        <v>249</v>
      </c>
      <c r="D23" s="562">
        <f t="shared" ref="D23:J23" si="6">D9-5</f>
        <v>-11</v>
      </c>
      <c r="E23" s="562">
        <f t="shared" si="6"/>
        <v>-11</v>
      </c>
      <c r="F23" s="562">
        <f t="shared" si="6"/>
        <v>-11</v>
      </c>
      <c r="G23" s="562">
        <f t="shared" si="6"/>
        <v>-10</v>
      </c>
      <c r="H23" s="562">
        <f t="shared" si="6"/>
        <v>-10</v>
      </c>
      <c r="I23" s="562">
        <f t="shared" si="6"/>
        <v>-9</v>
      </c>
      <c r="J23" s="562">
        <f t="shared" si="6"/>
        <v>-9</v>
      </c>
      <c r="S23" s="560" t="s">
        <v>249</v>
      </c>
      <c r="T23" s="562">
        <v>-2</v>
      </c>
      <c r="U23" s="562">
        <v>-2</v>
      </c>
      <c r="V23" s="562">
        <v>-2</v>
      </c>
      <c r="W23" s="562">
        <v>-2</v>
      </c>
      <c r="X23" s="562">
        <v>-2</v>
      </c>
      <c r="Y23" s="562">
        <v>-2</v>
      </c>
      <c r="Z23" s="562">
        <v>-2</v>
      </c>
    </row>
    <row r="24" spans="2:26" ht="14.45" x14ac:dyDescent="0.3">
      <c r="C24" s="560" t="s">
        <v>257</v>
      </c>
      <c r="D24" s="562">
        <f t="shared" ref="D24:J24" si="7">D10-5</f>
        <v>-10</v>
      </c>
      <c r="E24" s="562">
        <f t="shared" si="7"/>
        <v>-10</v>
      </c>
      <c r="F24" s="562">
        <f t="shared" si="7"/>
        <v>-10</v>
      </c>
      <c r="G24" s="562">
        <f t="shared" si="7"/>
        <v>-9</v>
      </c>
      <c r="H24" s="562">
        <f t="shared" si="7"/>
        <v>-9</v>
      </c>
      <c r="I24" s="562">
        <f t="shared" si="7"/>
        <v>-8</v>
      </c>
      <c r="J24" s="562">
        <f t="shared" si="7"/>
        <v>-8</v>
      </c>
      <c r="S24" s="560" t="s">
        <v>257</v>
      </c>
      <c r="T24" s="562">
        <v>-2</v>
      </c>
      <c r="U24" s="562">
        <v>-2</v>
      </c>
      <c r="V24" s="562">
        <v>-2</v>
      </c>
      <c r="W24" s="562">
        <v>-2</v>
      </c>
      <c r="X24" s="562">
        <v>-2</v>
      </c>
      <c r="Y24" s="562">
        <v>-2</v>
      </c>
      <c r="Z24" s="562">
        <v>-2</v>
      </c>
    </row>
    <row r="25" spans="2:26" ht="14.45" x14ac:dyDescent="0.3">
      <c r="C25" s="560" t="s">
        <v>264</v>
      </c>
      <c r="D25" s="562">
        <f t="shared" ref="D25:J25" si="8">D11-5</f>
        <v>-10</v>
      </c>
      <c r="E25" s="562">
        <f t="shared" si="8"/>
        <v>-10</v>
      </c>
      <c r="F25" s="562">
        <f t="shared" si="8"/>
        <v>-10</v>
      </c>
      <c r="G25" s="562">
        <f t="shared" si="8"/>
        <v>-9</v>
      </c>
      <c r="H25" s="562">
        <f t="shared" si="8"/>
        <v>-9</v>
      </c>
      <c r="I25" s="562">
        <f t="shared" si="8"/>
        <v>-8</v>
      </c>
      <c r="J25" s="562">
        <f t="shared" si="8"/>
        <v>-8</v>
      </c>
      <c r="S25" s="560" t="s">
        <v>264</v>
      </c>
      <c r="T25" s="562">
        <v>-2</v>
      </c>
      <c r="U25" s="562">
        <v>-2</v>
      </c>
      <c r="V25" s="562">
        <v>-2</v>
      </c>
      <c r="W25" s="562">
        <v>-2</v>
      </c>
      <c r="X25" s="562">
        <v>-2</v>
      </c>
      <c r="Y25" s="562">
        <v>-2</v>
      </c>
      <c r="Z25" s="562">
        <v>-2</v>
      </c>
    </row>
    <row r="26" spans="2:26" ht="14.45" x14ac:dyDescent="0.3">
      <c r="C26" s="560" t="s">
        <v>272</v>
      </c>
      <c r="D26" s="562">
        <f t="shared" ref="D26:J26" si="9">D12-5</f>
        <v>-10</v>
      </c>
      <c r="E26" s="562">
        <f t="shared" si="9"/>
        <v>-10</v>
      </c>
      <c r="F26" s="562">
        <f t="shared" si="9"/>
        <v>-10</v>
      </c>
      <c r="G26" s="562">
        <f t="shared" si="9"/>
        <v>-9</v>
      </c>
      <c r="H26" s="562">
        <f t="shared" si="9"/>
        <v>-9</v>
      </c>
      <c r="I26" s="562">
        <f t="shared" si="9"/>
        <v>-8</v>
      </c>
      <c r="J26" s="562">
        <f t="shared" si="9"/>
        <v>-8</v>
      </c>
      <c r="S26" s="560" t="s">
        <v>272</v>
      </c>
      <c r="T26" s="562">
        <v>-2</v>
      </c>
      <c r="U26" s="562">
        <v>-2</v>
      </c>
      <c r="V26" s="562">
        <v>-2</v>
      </c>
      <c r="W26" s="562">
        <v>-2</v>
      </c>
      <c r="X26" s="562">
        <v>-2</v>
      </c>
      <c r="Y26" s="562">
        <v>-2</v>
      </c>
      <c r="Z26" s="562">
        <v>-2</v>
      </c>
    </row>
    <row r="27" spans="2:26" ht="14.45" x14ac:dyDescent="0.3">
      <c r="C27" s="560" t="s">
        <v>278</v>
      </c>
      <c r="D27" s="560"/>
      <c r="E27" s="560"/>
      <c r="F27" s="560"/>
      <c r="G27" s="561"/>
      <c r="H27" s="561"/>
      <c r="I27" s="561"/>
      <c r="J27" s="561"/>
      <c r="S27" s="560" t="s">
        <v>278</v>
      </c>
      <c r="T27" s="562">
        <v>-2</v>
      </c>
      <c r="U27" s="562">
        <v>-2</v>
      </c>
      <c r="V27" s="562">
        <v>-2</v>
      </c>
      <c r="W27" s="562">
        <v>-2</v>
      </c>
      <c r="X27" s="562">
        <v>-2</v>
      </c>
      <c r="Y27" s="562">
        <v>-2</v>
      </c>
      <c r="Z27" s="562">
        <v>-2</v>
      </c>
    </row>
    <row r="28" spans="2:26" x14ac:dyDescent="0.25">
      <c r="C28" s="560" t="s">
        <v>284</v>
      </c>
      <c r="D28" s="560"/>
      <c r="E28" s="560"/>
      <c r="F28" s="560"/>
      <c r="G28" s="561"/>
      <c r="H28" s="561"/>
      <c r="I28" s="561"/>
      <c r="J28" s="561"/>
      <c r="S28" s="560" t="s">
        <v>284</v>
      </c>
      <c r="T28" s="562">
        <v>-2</v>
      </c>
      <c r="U28" s="562">
        <v>-2</v>
      </c>
      <c r="V28" s="562">
        <v>-2</v>
      </c>
      <c r="W28" s="562">
        <v>-2</v>
      </c>
      <c r="X28" s="562">
        <v>-2</v>
      </c>
      <c r="Y28" s="562">
        <v>-2</v>
      </c>
      <c r="Z28" s="562">
        <v>-2</v>
      </c>
    </row>
    <row r="29" spans="2:26" x14ac:dyDescent="0.25">
      <c r="S29" s="435"/>
      <c r="T29" s="311"/>
      <c r="U29" s="435"/>
      <c r="V29" s="435"/>
      <c r="W29" s="435"/>
      <c r="X29" s="435"/>
      <c r="Y29" s="435"/>
      <c r="Z29" s="435"/>
    </row>
    <row r="30" spans="2:26" x14ac:dyDescent="0.25">
      <c r="C30" s="1" t="s">
        <v>1072</v>
      </c>
      <c r="D30" s="1"/>
      <c r="E30" s="1"/>
      <c r="F30" s="1"/>
      <c r="G30" s="435"/>
      <c r="H30" s="435"/>
      <c r="I30" s="435"/>
      <c r="J30" s="435"/>
      <c r="S30" s="671" t="s">
        <v>1050</v>
      </c>
      <c r="T30" s="561" t="s">
        <v>187</v>
      </c>
      <c r="U30" s="561" t="s">
        <v>214</v>
      </c>
      <c r="V30" s="561" t="s">
        <v>233</v>
      </c>
      <c r="W30" s="561" t="s">
        <v>242</v>
      </c>
      <c r="X30" s="561" t="s">
        <v>250</v>
      </c>
      <c r="Y30" s="561" t="s">
        <v>258</v>
      </c>
      <c r="Z30" s="561" t="s">
        <v>265</v>
      </c>
    </row>
    <row r="31" spans="2:26" x14ac:dyDescent="0.25">
      <c r="C31" s="1"/>
      <c r="D31" s="1"/>
      <c r="E31" s="1"/>
      <c r="F31" s="1"/>
      <c r="G31" s="435"/>
      <c r="H31" s="435"/>
      <c r="I31" s="435"/>
      <c r="J31" s="435"/>
      <c r="S31" s="560" t="s">
        <v>186</v>
      </c>
      <c r="T31" s="562">
        <v>-4</v>
      </c>
      <c r="U31" s="562">
        <f>T31</f>
        <v>-4</v>
      </c>
      <c r="V31" s="562">
        <f>U31</f>
        <v>-4</v>
      </c>
      <c r="W31" s="562">
        <f>-4</f>
        <v>-4</v>
      </c>
      <c r="X31" s="562">
        <f>W31</f>
        <v>-4</v>
      </c>
      <c r="Y31" s="562">
        <v>-4</v>
      </c>
      <c r="Z31" s="562">
        <f>Y31</f>
        <v>-4</v>
      </c>
    </row>
    <row r="32" spans="2:26" x14ac:dyDescent="0.25">
      <c r="C32" s="560"/>
      <c r="D32" s="560" t="s">
        <v>187</v>
      </c>
      <c r="E32" s="560" t="s">
        <v>214</v>
      </c>
      <c r="F32" s="560" t="s">
        <v>233</v>
      </c>
      <c r="G32" s="561" t="s">
        <v>242</v>
      </c>
      <c r="H32" s="561" t="s">
        <v>250</v>
      </c>
      <c r="I32" s="561" t="s">
        <v>258</v>
      </c>
      <c r="J32" s="561" t="s">
        <v>265</v>
      </c>
      <c r="S32" s="560" t="s">
        <v>213</v>
      </c>
      <c r="T32" s="562">
        <f>T31</f>
        <v>-4</v>
      </c>
      <c r="U32" s="562">
        <f t="shared" ref="U32:U34" si="10">U31</f>
        <v>-4</v>
      </c>
      <c r="V32" s="562">
        <f t="shared" ref="V32:V34" si="11">V31</f>
        <v>-4</v>
      </c>
      <c r="W32" s="562">
        <f>W31</f>
        <v>-4</v>
      </c>
      <c r="X32" s="562">
        <f>X31</f>
        <v>-4</v>
      </c>
      <c r="Y32" s="562">
        <f>Y31</f>
        <v>-4</v>
      </c>
      <c r="Z32" s="562">
        <f>Z31</f>
        <v>-4</v>
      </c>
    </row>
    <row r="33" spans="2:26" x14ac:dyDescent="0.25">
      <c r="C33" s="560" t="s">
        <v>186</v>
      </c>
      <c r="D33" s="562">
        <v>-18</v>
      </c>
      <c r="E33" s="562">
        <f>D33</f>
        <v>-18</v>
      </c>
      <c r="F33" s="562">
        <f>E33</f>
        <v>-18</v>
      </c>
      <c r="G33" s="562">
        <v>-17</v>
      </c>
      <c r="H33" s="562">
        <f>G33</f>
        <v>-17</v>
      </c>
      <c r="I33" s="562">
        <v>-16</v>
      </c>
      <c r="J33" s="562">
        <f>I33</f>
        <v>-16</v>
      </c>
      <c r="S33" s="560" t="s">
        <v>232</v>
      </c>
      <c r="T33" s="562">
        <f>T32</f>
        <v>-4</v>
      </c>
      <c r="U33" s="562">
        <f t="shared" si="10"/>
        <v>-4</v>
      </c>
      <c r="V33" s="562">
        <f t="shared" si="11"/>
        <v>-4</v>
      </c>
      <c r="W33" s="562">
        <f t="shared" ref="W33:W34" si="12">W32</f>
        <v>-4</v>
      </c>
      <c r="X33" s="562">
        <f t="shared" ref="X33:X34" si="13">X32</f>
        <v>-4</v>
      </c>
      <c r="Y33" s="562">
        <f t="shared" ref="Y33:Y34" si="14">Y32</f>
        <v>-4</v>
      </c>
      <c r="Z33" s="562">
        <f t="shared" ref="Z33:Z34" si="15">Z32</f>
        <v>-4</v>
      </c>
    </row>
    <row r="34" spans="2:26" x14ac:dyDescent="0.25">
      <c r="C34" s="560" t="s">
        <v>213</v>
      </c>
      <c r="D34" s="562">
        <v>-18</v>
      </c>
      <c r="E34" s="562">
        <v>-18</v>
      </c>
      <c r="F34" s="562">
        <v>-18</v>
      </c>
      <c r="G34" s="562">
        <v>-17</v>
      </c>
      <c r="H34" s="562">
        <v>-17</v>
      </c>
      <c r="I34" s="562">
        <v>-16</v>
      </c>
      <c r="J34" s="562">
        <f t="shared" ref="J34:J35" si="16">I34</f>
        <v>-16</v>
      </c>
      <c r="S34" s="560" t="s">
        <v>215</v>
      </c>
      <c r="T34" s="562">
        <f>T33</f>
        <v>-4</v>
      </c>
      <c r="U34" s="562">
        <f t="shared" si="10"/>
        <v>-4</v>
      </c>
      <c r="V34" s="562">
        <f t="shared" si="11"/>
        <v>-4</v>
      </c>
      <c r="W34" s="562">
        <f t="shared" si="12"/>
        <v>-4</v>
      </c>
      <c r="X34" s="562">
        <f t="shared" si="13"/>
        <v>-4</v>
      </c>
      <c r="Y34" s="562">
        <f t="shared" si="14"/>
        <v>-4</v>
      </c>
      <c r="Z34" s="562">
        <f t="shared" si="15"/>
        <v>-4</v>
      </c>
    </row>
    <row r="35" spans="2:26" s="435" customFormat="1" x14ac:dyDescent="0.25">
      <c r="B35" s="311"/>
      <c r="C35" s="560" t="s">
        <v>232</v>
      </c>
      <c r="D35" s="562">
        <v>-18</v>
      </c>
      <c r="E35" s="562">
        <v>-18</v>
      </c>
      <c r="F35" s="562">
        <v>-18</v>
      </c>
      <c r="G35" s="562">
        <v>-17</v>
      </c>
      <c r="H35" s="562">
        <v>-17</v>
      </c>
      <c r="I35" s="562">
        <v>-16</v>
      </c>
      <c r="J35" s="562">
        <f t="shared" si="16"/>
        <v>-16</v>
      </c>
      <c r="N35" s="311"/>
      <c r="S35" s="560" t="s">
        <v>249</v>
      </c>
      <c r="T35" s="562">
        <v>-3</v>
      </c>
      <c r="U35" s="562">
        <f t="shared" ref="U35:V37" si="17">T35</f>
        <v>-3</v>
      </c>
      <c r="V35" s="562">
        <f t="shared" si="17"/>
        <v>-3</v>
      </c>
      <c r="W35" s="562">
        <v>-3</v>
      </c>
      <c r="X35" s="562">
        <f>W35</f>
        <v>-3</v>
      </c>
      <c r="Y35" s="562">
        <v>-3</v>
      </c>
      <c r="Z35" s="562">
        <f>Y35</f>
        <v>-3</v>
      </c>
    </row>
    <row r="36" spans="2:26" s="435" customFormat="1" ht="15.75" x14ac:dyDescent="0.25">
      <c r="B36" s="311"/>
      <c r="C36" s="560" t="s">
        <v>215</v>
      </c>
      <c r="D36" s="562">
        <v>-17</v>
      </c>
      <c r="E36" s="562">
        <v>-17</v>
      </c>
      <c r="F36" s="562">
        <v>-17</v>
      </c>
      <c r="G36" s="562">
        <v>-16</v>
      </c>
      <c r="H36" s="562">
        <v>-16</v>
      </c>
      <c r="I36" s="562">
        <v>-15</v>
      </c>
      <c r="J36" s="562">
        <v>-15</v>
      </c>
      <c r="L36" s="558"/>
      <c r="M36" s="558"/>
      <c r="N36" s="559"/>
      <c r="S36" s="560" t="s">
        <v>257</v>
      </c>
      <c r="T36" s="562">
        <f>T35</f>
        <v>-3</v>
      </c>
      <c r="U36" s="562">
        <f t="shared" si="17"/>
        <v>-3</v>
      </c>
      <c r="V36" s="562">
        <f t="shared" si="17"/>
        <v>-3</v>
      </c>
      <c r="W36" s="562">
        <f>W35</f>
        <v>-3</v>
      </c>
      <c r="X36" s="562">
        <f>X35</f>
        <v>-3</v>
      </c>
      <c r="Y36" s="562">
        <f>Y35</f>
        <v>-3</v>
      </c>
      <c r="Z36" s="562">
        <f>Z35</f>
        <v>-3</v>
      </c>
    </row>
    <row r="37" spans="2:26" s="435" customFormat="1" x14ac:dyDescent="0.25">
      <c r="B37" s="311"/>
      <c r="C37" s="560" t="s">
        <v>249</v>
      </c>
      <c r="D37" s="562">
        <v>-17</v>
      </c>
      <c r="E37" s="562">
        <v>-17</v>
      </c>
      <c r="F37" s="562">
        <v>-17</v>
      </c>
      <c r="G37" s="562">
        <v>-16</v>
      </c>
      <c r="H37" s="562">
        <v>-16</v>
      </c>
      <c r="I37" s="562">
        <v>-15</v>
      </c>
      <c r="J37" s="562">
        <v>-15</v>
      </c>
      <c r="N37" s="311"/>
      <c r="S37" s="560" t="s">
        <v>264</v>
      </c>
      <c r="T37" s="562">
        <v>-2</v>
      </c>
      <c r="U37" s="562">
        <f t="shared" si="17"/>
        <v>-2</v>
      </c>
      <c r="V37" s="562">
        <f t="shared" si="17"/>
        <v>-2</v>
      </c>
      <c r="W37" s="562">
        <v>-2</v>
      </c>
      <c r="X37" s="562">
        <f>W37</f>
        <v>-2</v>
      </c>
      <c r="Y37" s="562">
        <v>-2</v>
      </c>
      <c r="Z37" s="562">
        <v>-2</v>
      </c>
    </row>
    <row r="38" spans="2:26" s="558" customFormat="1" ht="15.75" x14ac:dyDescent="0.25">
      <c r="B38" s="559"/>
      <c r="C38" s="560" t="s">
        <v>257</v>
      </c>
      <c r="D38" s="562">
        <v>-16</v>
      </c>
      <c r="E38" s="562">
        <v>-16</v>
      </c>
      <c r="F38" s="562">
        <v>-16</v>
      </c>
      <c r="G38" s="562">
        <v>-15</v>
      </c>
      <c r="H38" s="562">
        <v>-15</v>
      </c>
      <c r="I38" s="562">
        <v>-14</v>
      </c>
      <c r="J38" s="562">
        <f>I38</f>
        <v>-14</v>
      </c>
      <c r="L38" s="33"/>
      <c r="M38" s="33"/>
      <c r="N38" s="18"/>
      <c r="S38" s="560" t="s">
        <v>272</v>
      </c>
      <c r="T38" s="562">
        <f>T37</f>
        <v>-2</v>
      </c>
      <c r="U38" s="562">
        <f t="shared" ref="U38:V38" si="18">T38</f>
        <v>-2</v>
      </c>
      <c r="V38" s="562">
        <f t="shared" si="18"/>
        <v>-2</v>
      </c>
      <c r="W38" s="562">
        <f>W37</f>
        <v>-2</v>
      </c>
      <c r="X38" s="562">
        <f>X37</f>
        <v>-2</v>
      </c>
      <c r="Y38" s="562">
        <v>-2</v>
      </c>
      <c r="Z38" s="562">
        <v>-2</v>
      </c>
    </row>
    <row r="39" spans="2:26" x14ac:dyDescent="0.25">
      <c r="C39" s="560" t="s">
        <v>264</v>
      </c>
      <c r="D39" s="562">
        <v>-16</v>
      </c>
      <c r="E39" s="562">
        <v>-16</v>
      </c>
      <c r="F39" s="562">
        <v>-16</v>
      </c>
      <c r="G39" s="562">
        <v>-15</v>
      </c>
      <c r="H39" s="562">
        <v>-15</v>
      </c>
      <c r="I39" s="562">
        <v>-14</v>
      </c>
      <c r="J39" s="562">
        <v>-14</v>
      </c>
      <c r="S39" s="560" t="s">
        <v>278</v>
      </c>
      <c r="T39" s="562">
        <f>T38</f>
        <v>-2</v>
      </c>
      <c r="U39" s="562">
        <f t="shared" ref="U39:V39" si="19">T39</f>
        <v>-2</v>
      </c>
      <c r="V39" s="562">
        <f t="shared" si="19"/>
        <v>-2</v>
      </c>
      <c r="W39" s="562">
        <f t="shared" ref="W39:W40" si="20">W38</f>
        <v>-2</v>
      </c>
      <c r="X39" s="562">
        <f t="shared" ref="X39:X40" si="21">X38</f>
        <v>-2</v>
      </c>
      <c r="Y39" s="562">
        <v>-2</v>
      </c>
      <c r="Z39" s="562">
        <v>-2</v>
      </c>
    </row>
    <row r="40" spans="2:26" x14ac:dyDescent="0.25">
      <c r="C40" s="560" t="s">
        <v>272</v>
      </c>
      <c r="D40" s="562">
        <v>-16</v>
      </c>
      <c r="E40" s="562">
        <v>-16</v>
      </c>
      <c r="F40" s="562">
        <v>-16</v>
      </c>
      <c r="G40" s="562">
        <v>-15</v>
      </c>
      <c r="H40" s="562">
        <v>-15</v>
      </c>
      <c r="I40" s="562">
        <v>-14</v>
      </c>
      <c r="J40" s="562">
        <v>-14</v>
      </c>
      <c r="S40" s="560" t="s">
        <v>284</v>
      </c>
      <c r="T40" s="562">
        <f>T39</f>
        <v>-2</v>
      </c>
      <c r="U40" s="562">
        <f t="shared" ref="U40:V40" si="22">T40</f>
        <v>-2</v>
      </c>
      <c r="V40" s="562">
        <f t="shared" si="22"/>
        <v>-2</v>
      </c>
      <c r="W40" s="562">
        <f t="shared" si="20"/>
        <v>-2</v>
      </c>
      <c r="X40" s="562">
        <f t="shared" si="21"/>
        <v>-2</v>
      </c>
      <c r="Y40" s="562">
        <v>-2</v>
      </c>
      <c r="Z40" s="562">
        <v>-2</v>
      </c>
    </row>
    <row r="41" spans="2:26" x14ac:dyDescent="0.25">
      <c r="C41" s="560" t="s">
        <v>278</v>
      </c>
      <c r="D41" s="560"/>
      <c r="E41" s="560"/>
      <c r="F41" s="560"/>
      <c r="G41" s="561"/>
      <c r="H41" s="561"/>
      <c r="I41" s="561"/>
      <c r="J41" s="561"/>
    </row>
    <row r="42" spans="2:26" x14ac:dyDescent="0.25">
      <c r="C42" s="560" t="s">
        <v>284</v>
      </c>
      <c r="D42" s="560"/>
      <c r="E42" s="560"/>
      <c r="F42" s="560"/>
      <c r="G42" s="561"/>
      <c r="H42" s="561"/>
      <c r="I42" s="561"/>
      <c r="J42" s="561"/>
      <c r="S42" s="560" t="s">
        <v>1049</v>
      </c>
      <c r="T42" s="561" t="s">
        <v>187</v>
      </c>
      <c r="U42" s="561" t="s">
        <v>214</v>
      </c>
      <c r="V42" s="561" t="s">
        <v>233</v>
      </c>
      <c r="W42" s="561" t="s">
        <v>242</v>
      </c>
      <c r="X42" s="561" t="s">
        <v>250</v>
      </c>
      <c r="Y42" s="561" t="s">
        <v>258</v>
      </c>
      <c r="Z42" s="561" t="s">
        <v>265</v>
      </c>
    </row>
    <row r="43" spans="2:26" x14ac:dyDescent="0.25">
      <c r="C43" s="565"/>
      <c r="D43" s="565"/>
      <c r="E43" s="565"/>
      <c r="F43" s="565"/>
      <c r="G43" s="566"/>
      <c r="H43" s="566"/>
      <c r="I43" s="566"/>
      <c r="J43" s="566"/>
      <c r="S43" s="560" t="s">
        <v>186</v>
      </c>
      <c r="T43" s="562">
        <v>-3</v>
      </c>
      <c r="U43" s="562">
        <f>T43</f>
        <v>-3</v>
      </c>
      <c r="V43" s="562">
        <f>U43</f>
        <v>-3</v>
      </c>
      <c r="W43" s="562">
        <v>-3</v>
      </c>
      <c r="X43" s="562">
        <v>-3</v>
      </c>
      <c r="Y43" s="562">
        <v>-3</v>
      </c>
      <c r="Z43" s="562">
        <v>-3</v>
      </c>
    </row>
    <row r="44" spans="2:26" x14ac:dyDescent="0.25">
      <c r="C44" s="1" t="s">
        <v>1074</v>
      </c>
      <c r="D44" s="1"/>
      <c r="E44" s="1"/>
      <c r="F44" s="1"/>
      <c r="G44" s="435"/>
      <c r="H44" s="435"/>
      <c r="I44" s="435"/>
      <c r="J44" s="435"/>
      <c r="S44" s="560" t="s">
        <v>213</v>
      </c>
      <c r="T44" s="562">
        <f>T43</f>
        <v>-3</v>
      </c>
      <c r="U44" s="562">
        <f t="shared" ref="U44:V44" si="23">U43</f>
        <v>-3</v>
      </c>
      <c r="V44" s="562">
        <f t="shared" si="23"/>
        <v>-3</v>
      </c>
      <c r="W44" s="562">
        <v>-3</v>
      </c>
      <c r="X44" s="562">
        <v>-3</v>
      </c>
      <c r="Y44" s="562">
        <v>-3</v>
      </c>
      <c r="Z44" s="562">
        <v>-3</v>
      </c>
    </row>
    <row r="45" spans="2:26" x14ac:dyDescent="0.25">
      <c r="C45" s="1"/>
      <c r="D45" s="1"/>
      <c r="E45" s="1"/>
      <c r="F45" s="1"/>
      <c r="G45" s="435"/>
      <c r="H45" s="435"/>
      <c r="I45" s="435"/>
      <c r="J45" s="435"/>
      <c r="S45" s="560" t="s">
        <v>232</v>
      </c>
      <c r="T45" s="562">
        <f>T44</f>
        <v>-3</v>
      </c>
      <c r="U45" s="562">
        <f t="shared" ref="U45:V45" si="24">U44</f>
        <v>-3</v>
      </c>
      <c r="V45" s="562">
        <f t="shared" si="24"/>
        <v>-3</v>
      </c>
      <c r="W45" s="562">
        <v>-3</v>
      </c>
      <c r="X45" s="562">
        <v>-3</v>
      </c>
      <c r="Y45" s="562">
        <v>-3</v>
      </c>
      <c r="Z45" s="562">
        <v>-3</v>
      </c>
    </row>
    <row r="46" spans="2:26" x14ac:dyDescent="0.25">
      <c r="C46" s="560"/>
      <c r="D46" s="560" t="s">
        <v>187</v>
      </c>
      <c r="E46" s="560" t="s">
        <v>214</v>
      </c>
      <c r="F46" s="560" t="s">
        <v>233</v>
      </c>
      <c r="G46" s="561" t="s">
        <v>242</v>
      </c>
      <c r="H46" s="561" t="s">
        <v>250</v>
      </c>
      <c r="I46" s="561" t="s">
        <v>258</v>
      </c>
      <c r="J46" s="561" t="s">
        <v>265</v>
      </c>
      <c r="S46" s="560" t="s">
        <v>215</v>
      </c>
      <c r="T46" s="562">
        <f>T45</f>
        <v>-3</v>
      </c>
      <c r="U46" s="562">
        <f t="shared" ref="U46:V46" si="25">U45</f>
        <v>-3</v>
      </c>
      <c r="V46" s="562">
        <f t="shared" si="25"/>
        <v>-3</v>
      </c>
      <c r="W46" s="562">
        <v>-3</v>
      </c>
      <c r="X46" s="562">
        <v>-3</v>
      </c>
      <c r="Y46" s="562">
        <v>-3</v>
      </c>
      <c r="Z46" s="562">
        <v>-3</v>
      </c>
    </row>
    <row r="47" spans="2:26" x14ac:dyDescent="0.25">
      <c r="C47" s="560" t="s">
        <v>186</v>
      </c>
      <c r="D47" s="562">
        <f>D5-16</f>
        <v>-23</v>
      </c>
      <c r="E47" s="562">
        <f t="shared" ref="E47:J47" si="26">E5-16</f>
        <v>-23</v>
      </c>
      <c r="F47" s="562">
        <f t="shared" si="26"/>
        <v>-23</v>
      </c>
      <c r="G47" s="562">
        <f t="shared" si="26"/>
        <v>-22</v>
      </c>
      <c r="H47" s="562">
        <f t="shared" si="26"/>
        <v>-22</v>
      </c>
      <c r="I47" s="562">
        <f t="shared" si="26"/>
        <v>-21</v>
      </c>
      <c r="J47" s="562">
        <f t="shared" si="26"/>
        <v>-21</v>
      </c>
      <c r="S47" s="560" t="s">
        <v>249</v>
      </c>
      <c r="T47" s="562">
        <v>-2</v>
      </c>
      <c r="U47" s="562">
        <v>-2</v>
      </c>
      <c r="V47" s="562">
        <v>-2</v>
      </c>
      <c r="W47" s="562">
        <v>-2</v>
      </c>
      <c r="X47" s="562">
        <v>-2</v>
      </c>
      <c r="Y47" s="562">
        <v>-2</v>
      </c>
      <c r="Z47" s="562">
        <v>-2</v>
      </c>
    </row>
    <row r="48" spans="2:26" x14ac:dyDescent="0.25">
      <c r="C48" s="560" t="s">
        <v>213</v>
      </c>
      <c r="D48" s="562">
        <f t="shared" ref="D48:J48" si="27">D6-16</f>
        <v>-23</v>
      </c>
      <c r="E48" s="562">
        <f t="shared" si="27"/>
        <v>-23</v>
      </c>
      <c r="F48" s="562">
        <f t="shared" si="27"/>
        <v>-23</v>
      </c>
      <c r="G48" s="562">
        <f t="shared" si="27"/>
        <v>-22</v>
      </c>
      <c r="H48" s="562">
        <f t="shared" si="27"/>
        <v>-22</v>
      </c>
      <c r="I48" s="562">
        <f t="shared" si="27"/>
        <v>-21</v>
      </c>
      <c r="J48" s="562">
        <f t="shared" si="27"/>
        <v>-21</v>
      </c>
      <c r="S48" s="560" t="s">
        <v>257</v>
      </c>
      <c r="T48" s="562">
        <v>-2</v>
      </c>
      <c r="U48" s="562">
        <v>-2</v>
      </c>
      <c r="V48" s="562">
        <v>-2</v>
      </c>
      <c r="W48" s="562">
        <v>-2</v>
      </c>
      <c r="X48" s="562">
        <v>-2</v>
      </c>
      <c r="Y48" s="562">
        <v>-2</v>
      </c>
      <c r="Z48" s="562">
        <v>-2</v>
      </c>
    </row>
    <row r="49" spans="2:26" x14ac:dyDescent="0.25">
      <c r="C49" s="560" t="s">
        <v>232</v>
      </c>
      <c r="D49" s="562">
        <f t="shared" ref="D49:J49" si="28">D7-16</f>
        <v>-23</v>
      </c>
      <c r="E49" s="562">
        <f t="shared" si="28"/>
        <v>-23</v>
      </c>
      <c r="F49" s="562">
        <f t="shared" si="28"/>
        <v>-23</v>
      </c>
      <c r="G49" s="562">
        <f t="shared" si="28"/>
        <v>-22</v>
      </c>
      <c r="H49" s="562">
        <f t="shared" si="28"/>
        <v>-22</v>
      </c>
      <c r="I49" s="562">
        <f t="shared" si="28"/>
        <v>-21</v>
      </c>
      <c r="J49" s="562">
        <f t="shared" si="28"/>
        <v>-21</v>
      </c>
      <c r="S49" s="560" t="s">
        <v>264</v>
      </c>
      <c r="T49" s="562">
        <v>-2</v>
      </c>
      <c r="U49" s="562">
        <v>-2</v>
      </c>
      <c r="V49" s="562">
        <v>-2</v>
      </c>
      <c r="W49" s="562">
        <v>-2</v>
      </c>
      <c r="X49" s="562">
        <v>-2</v>
      </c>
      <c r="Y49" s="562">
        <v>-2</v>
      </c>
      <c r="Z49" s="562">
        <v>-2</v>
      </c>
    </row>
    <row r="50" spans="2:26" x14ac:dyDescent="0.25">
      <c r="C50" s="560" t="s">
        <v>215</v>
      </c>
      <c r="D50" s="562">
        <f t="shared" ref="D50:J50" si="29">D8-16</f>
        <v>-22</v>
      </c>
      <c r="E50" s="562">
        <f t="shared" si="29"/>
        <v>-22</v>
      </c>
      <c r="F50" s="562">
        <f t="shared" si="29"/>
        <v>-22</v>
      </c>
      <c r="G50" s="562">
        <f t="shared" si="29"/>
        <v>-21</v>
      </c>
      <c r="H50" s="562">
        <f t="shared" si="29"/>
        <v>-21</v>
      </c>
      <c r="I50" s="562">
        <f t="shared" si="29"/>
        <v>-20</v>
      </c>
      <c r="J50" s="562">
        <f t="shared" si="29"/>
        <v>-20</v>
      </c>
      <c r="S50" s="560" t="s">
        <v>272</v>
      </c>
      <c r="T50" s="562">
        <v>-2</v>
      </c>
      <c r="U50" s="562">
        <v>-2</v>
      </c>
      <c r="V50" s="562">
        <v>-2</v>
      </c>
      <c r="W50" s="562">
        <v>-2</v>
      </c>
      <c r="X50" s="562">
        <v>-2</v>
      </c>
      <c r="Y50" s="562">
        <v>-2</v>
      </c>
      <c r="Z50" s="562">
        <v>-2</v>
      </c>
    </row>
    <row r="51" spans="2:26" x14ac:dyDescent="0.25">
      <c r="C51" s="560" t="s">
        <v>249</v>
      </c>
      <c r="D51" s="562">
        <f t="shared" ref="D51:J51" si="30">D9-16</f>
        <v>-22</v>
      </c>
      <c r="E51" s="562">
        <f t="shared" si="30"/>
        <v>-22</v>
      </c>
      <c r="F51" s="562">
        <f t="shared" si="30"/>
        <v>-22</v>
      </c>
      <c r="G51" s="562">
        <f t="shared" si="30"/>
        <v>-21</v>
      </c>
      <c r="H51" s="562">
        <f t="shared" si="30"/>
        <v>-21</v>
      </c>
      <c r="I51" s="562">
        <f t="shared" si="30"/>
        <v>-20</v>
      </c>
      <c r="J51" s="562">
        <f t="shared" si="30"/>
        <v>-20</v>
      </c>
      <c r="S51" s="560" t="s">
        <v>278</v>
      </c>
      <c r="T51" s="562">
        <v>-2</v>
      </c>
      <c r="U51" s="562">
        <v>-2</v>
      </c>
      <c r="V51" s="562">
        <v>-2</v>
      </c>
      <c r="W51" s="562">
        <v>-2</v>
      </c>
      <c r="X51" s="562">
        <v>-2</v>
      </c>
      <c r="Y51" s="562">
        <v>-2</v>
      </c>
      <c r="Z51" s="562">
        <v>-2</v>
      </c>
    </row>
    <row r="52" spans="2:26" x14ac:dyDescent="0.25">
      <c r="C52" s="560" t="s">
        <v>257</v>
      </c>
      <c r="D52" s="562">
        <f t="shared" ref="D52:J52" si="31">D10-16</f>
        <v>-21</v>
      </c>
      <c r="E52" s="562">
        <f t="shared" si="31"/>
        <v>-21</v>
      </c>
      <c r="F52" s="562">
        <f t="shared" si="31"/>
        <v>-21</v>
      </c>
      <c r="G52" s="562">
        <f t="shared" si="31"/>
        <v>-20</v>
      </c>
      <c r="H52" s="562">
        <f t="shared" si="31"/>
        <v>-20</v>
      </c>
      <c r="I52" s="562">
        <f t="shared" si="31"/>
        <v>-19</v>
      </c>
      <c r="J52" s="562">
        <f t="shared" si="31"/>
        <v>-19</v>
      </c>
      <c r="S52" s="560" t="s">
        <v>284</v>
      </c>
      <c r="T52" s="562">
        <v>-2</v>
      </c>
      <c r="U52" s="562">
        <v>-2</v>
      </c>
      <c r="V52" s="562">
        <v>-2</v>
      </c>
      <c r="W52" s="562">
        <v>-2</v>
      </c>
      <c r="X52" s="562">
        <v>-2</v>
      </c>
      <c r="Y52" s="562">
        <v>-2</v>
      </c>
      <c r="Z52" s="562">
        <v>-2</v>
      </c>
    </row>
    <row r="53" spans="2:26" x14ac:dyDescent="0.25">
      <c r="C53" s="560" t="s">
        <v>264</v>
      </c>
      <c r="D53" s="562">
        <f t="shared" ref="D53:J53" si="32">D11-16</f>
        <v>-21</v>
      </c>
      <c r="E53" s="562">
        <f t="shared" si="32"/>
        <v>-21</v>
      </c>
      <c r="F53" s="562">
        <f t="shared" si="32"/>
        <v>-21</v>
      </c>
      <c r="G53" s="562">
        <f t="shared" si="32"/>
        <v>-20</v>
      </c>
      <c r="H53" s="562">
        <f t="shared" si="32"/>
        <v>-20</v>
      </c>
      <c r="I53" s="562">
        <f t="shared" si="32"/>
        <v>-19</v>
      </c>
      <c r="J53" s="562">
        <f t="shared" si="32"/>
        <v>-19</v>
      </c>
    </row>
    <row r="54" spans="2:26" x14ac:dyDescent="0.25">
      <c r="C54" s="560" t="s">
        <v>272</v>
      </c>
      <c r="D54" s="562">
        <f t="shared" ref="D54:J54" si="33">D12-16</f>
        <v>-21</v>
      </c>
      <c r="E54" s="562">
        <f t="shared" si="33"/>
        <v>-21</v>
      </c>
      <c r="F54" s="562">
        <f t="shared" si="33"/>
        <v>-21</v>
      </c>
      <c r="G54" s="562">
        <f t="shared" si="33"/>
        <v>-20</v>
      </c>
      <c r="H54" s="562">
        <f t="shared" si="33"/>
        <v>-20</v>
      </c>
      <c r="I54" s="562">
        <f t="shared" si="33"/>
        <v>-19</v>
      </c>
      <c r="J54" s="562">
        <f t="shared" si="33"/>
        <v>-19</v>
      </c>
    </row>
    <row r="55" spans="2:26" x14ac:dyDescent="0.25">
      <c r="C55" s="560" t="s">
        <v>278</v>
      </c>
      <c r="D55" s="560"/>
      <c r="E55" s="560"/>
      <c r="F55" s="560"/>
      <c r="G55" s="561"/>
      <c r="H55" s="561"/>
      <c r="I55" s="561"/>
      <c r="J55" s="561"/>
    </row>
    <row r="56" spans="2:26" x14ac:dyDescent="0.25">
      <c r="C56" s="560" t="s">
        <v>284</v>
      </c>
      <c r="D56" s="560"/>
      <c r="E56" s="560"/>
      <c r="F56" s="560"/>
      <c r="G56" s="561"/>
      <c r="H56" s="561"/>
      <c r="I56" s="561"/>
      <c r="J56" s="561"/>
    </row>
    <row r="57" spans="2:26" x14ac:dyDescent="0.25">
      <c r="C57" s="565"/>
      <c r="D57" s="565"/>
      <c r="E57" s="565"/>
      <c r="F57" s="565"/>
      <c r="G57" s="566"/>
      <c r="H57" s="566"/>
      <c r="I57" s="566"/>
      <c r="J57" s="566"/>
    </row>
    <row r="58" spans="2:26" s="558" customFormat="1" ht="15.75" x14ac:dyDescent="0.25">
      <c r="B58" s="559"/>
      <c r="C58" s="567" t="s">
        <v>1075</v>
      </c>
      <c r="D58" s="568"/>
      <c r="E58" s="568"/>
      <c r="F58" s="568"/>
      <c r="L58" s="33"/>
      <c r="M58" s="33"/>
      <c r="N58" s="18"/>
      <c r="S58" s="33"/>
      <c r="T58" s="18"/>
      <c r="U58" s="33"/>
      <c r="V58" s="33"/>
      <c r="W58" s="33"/>
      <c r="X58" s="33"/>
      <c r="Y58" s="33"/>
      <c r="Z58" s="33"/>
    </row>
    <row r="59" spans="2:26" ht="15.75" x14ac:dyDescent="0.25">
      <c r="C59" s="672" t="s">
        <v>1069</v>
      </c>
      <c r="D59"/>
      <c r="E59"/>
      <c r="F59"/>
      <c r="G59"/>
      <c r="H59"/>
      <c r="I59"/>
      <c r="J59"/>
    </row>
    <row r="60" spans="2:26" ht="15.75" x14ac:dyDescent="0.25">
      <c r="C60" s="563" t="s">
        <v>1476</v>
      </c>
      <c r="D60"/>
      <c r="E60"/>
      <c r="F60"/>
      <c r="G60"/>
      <c r="H60"/>
      <c r="I60"/>
      <c r="J60"/>
    </row>
    <row r="61" spans="2:26" ht="15.75" x14ac:dyDescent="0.25">
      <c r="C61" s="563" t="s">
        <v>1070</v>
      </c>
      <c r="D61"/>
      <c r="E61"/>
      <c r="F61"/>
      <c r="G61"/>
      <c r="H61"/>
      <c r="I61"/>
      <c r="J61"/>
    </row>
    <row r="62" spans="2:26" x14ac:dyDescent="0.25">
      <c r="C62" s="564" t="s">
        <v>1149</v>
      </c>
      <c r="D62"/>
      <c r="E62"/>
      <c r="F62"/>
      <c r="G62"/>
      <c r="H62"/>
      <c r="I62"/>
      <c r="J62"/>
    </row>
    <row r="63" spans="2:26" x14ac:dyDescent="0.25">
      <c r="C63" s="564" t="s">
        <v>1076</v>
      </c>
      <c r="D63" s="564"/>
      <c r="E63" s="564"/>
      <c r="F63" s="564"/>
      <c r="G63" s="564"/>
      <c r="H63" s="564"/>
      <c r="I63" s="564"/>
      <c r="J63" s="564"/>
      <c r="K63" s="564"/>
      <c r="L63" s="564"/>
      <c r="M63" s="564"/>
      <c r="N63" s="564"/>
    </row>
    <row r="64" spans="2:26" customFormat="1" x14ac:dyDescent="0.25">
      <c r="C64" t="s">
        <v>1150</v>
      </c>
      <c r="S64" s="33"/>
      <c r="T64" s="18"/>
      <c r="U64" s="33"/>
      <c r="V64" s="33"/>
      <c r="W64" s="33"/>
      <c r="X64" s="33"/>
      <c r="Y64" s="33"/>
      <c r="Z64" s="33"/>
    </row>
    <row r="65" spans="2:26" customFormat="1" x14ac:dyDescent="0.25">
      <c r="C65" t="s">
        <v>1151</v>
      </c>
      <c r="S65" s="33"/>
      <c r="T65" s="18"/>
      <c r="U65" s="33"/>
      <c r="V65" s="33"/>
      <c r="W65" s="33"/>
      <c r="X65" s="33"/>
      <c r="Y65" s="33"/>
      <c r="Z65" s="33"/>
    </row>
    <row r="66" spans="2:26" s="435" customFormat="1" x14ac:dyDescent="0.25">
      <c r="B66" s="311"/>
      <c r="L66" s="33"/>
      <c r="M66" s="33"/>
      <c r="N66" s="18"/>
      <c r="S66" s="33"/>
      <c r="T66" s="18"/>
      <c r="U66" s="33"/>
      <c r="V66" s="33"/>
      <c r="W66" s="33"/>
      <c r="X66" s="33"/>
      <c r="Y66" s="33"/>
      <c r="Z66" s="33"/>
    </row>
    <row r="69" spans="2:26" ht="15.75" x14ac:dyDescent="0.25">
      <c r="S69" s="558"/>
      <c r="T69" s="559"/>
      <c r="U69" s="558"/>
      <c r="V69" s="558"/>
      <c r="W69" s="558"/>
      <c r="X69" s="558"/>
      <c r="Y69" s="558"/>
      <c r="Z69" s="558"/>
    </row>
    <row r="75" spans="2:26" x14ac:dyDescent="0.25">
      <c r="S75"/>
      <c r="T75"/>
      <c r="U75"/>
      <c r="V75"/>
      <c r="W75"/>
      <c r="X75"/>
      <c r="Y75"/>
      <c r="Z75"/>
    </row>
    <row r="76" spans="2:26" x14ac:dyDescent="0.25">
      <c r="S76"/>
      <c r="T76"/>
      <c r="U76"/>
      <c r="V76"/>
      <c r="W76"/>
      <c r="X76"/>
      <c r="Y76"/>
      <c r="Z76"/>
    </row>
    <row r="77" spans="2:26" x14ac:dyDescent="0.25">
      <c r="S77"/>
      <c r="T77"/>
      <c r="U77"/>
      <c r="V77"/>
      <c r="W77"/>
      <c r="X77"/>
      <c r="Y77"/>
      <c r="Z77"/>
    </row>
    <row r="78" spans="2:26" x14ac:dyDescent="0.25">
      <c r="S78" s="435"/>
      <c r="T78" s="311"/>
      <c r="U78" s="435"/>
      <c r="V78" s="435"/>
      <c r="W78" s="435"/>
      <c r="X78" s="435"/>
      <c r="Y78" s="435"/>
      <c r="Z78" s="435"/>
    </row>
  </sheetData>
  <sheetProtection algorithmName="SHA-512" hashValue="G9VisixmzaPZ7om1nGFzZOfKTQuKSMs3dcyzyzj4z+p+BDdSx2WqLP5pKZaQNq/S/1uLyRxdoi+se2XyUuZ25w==" saltValue="F++9opoJGgogqx6CKGbhaQ==" spinCount="100000" sheet="1" objects="1" scenarios="1" autoFilter="0"/>
  <mergeCells count="3">
    <mergeCell ref="S4:Z4"/>
    <mergeCell ref="M4:N4"/>
    <mergeCell ref="L2:Z2"/>
  </mergeCells>
  <pageMargins left="0.7" right="0.7" top="0.75" bottom="0.75" header="0.3" footer="0.3"/>
  <pageSetup orientation="portrait" r:id="rId1"/>
  <ignoredErrors>
    <ignoredError sqref="W31:Z40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:AQ62"/>
  <sheetViews>
    <sheetView workbookViewId="0"/>
  </sheetViews>
  <sheetFormatPr defaultColWidth="9.28515625" defaultRowHeight="15" x14ac:dyDescent="0.25"/>
  <cols>
    <col min="1" max="1" width="9.28515625" style="427"/>
    <col min="2" max="2" width="4" style="428" customWidth="1"/>
    <col min="3" max="10" width="7.5703125" style="429" customWidth="1"/>
    <col min="11" max="11" width="5.28515625" style="429" customWidth="1"/>
    <col min="12" max="12" width="9.28515625" style="430"/>
    <col min="13" max="13" width="4" style="429" customWidth="1"/>
    <col min="14" max="21" width="7.5703125" style="429" customWidth="1"/>
    <col min="22" max="22" width="5.42578125" style="429" customWidth="1"/>
    <col min="23" max="23" width="9.28515625" style="430"/>
    <col min="24" max="24" width="5.28515625" style="429" customWidth="1"/>
    <col min="25" max="32" width="7.5703125" style="429" customWidth="1"/>
    <col min="33" max="33" width="5.5703125" style="429" customWidth="1"/>
    <col min="34" max="34" width="9.28515625" style="430"/>
    <col min="35" max="35" width="5.42578125" style="429" customWidth="1"/>
    <col min="36" max="36" width="8.7109375" style="429" bestFit="1" customWidth="1"/>
    <col min="37" max="43" width="7.5703125" style="429" customWidth="1"/>
    <col min="44" max="16384" width="9.28515625" style="428"/>
  </cols>
  <sheetData>
    <row r="1" spans="1:43" ht="14.45" x14ac:dyDescent="0.3">
      <c r="A1" s="427" t="s">
        <v>305</v>
      </c>
      <c r="B1" s="428" t="s">
        <v>316</v>
      </c>
    </row>
    <row r="2" spans="1:43" ht="14.45" x14ac:dyDescent="0.3">
      <c r="A2" s="430" t="s">
        <v>317</v>
      </c>
      <c r="C2" s="431" t="s">
        <v>187</v>
      </c>
      <c r="D2" s="431" t="s">
        <v>214</v>
      </c>
      <c r="E2" s="431" t="s">
        <v>233</v>
      </c>
      <c r="F2" s="431" t="s">
        <v>242</v>
      </c>
      <c r="G2" s="431" t="s">
        <v>250</v>
      </c>
      <c r="H2" s="431" t="s">
        <v>258</v>
      </c>
      <c r="I2" s="431" t="s">
        <v>265</v>
      </c>
      <c r="J2" s="431" t="s">
        <v>279</v>
      </c>
      <c r="K2" s="431"/>
      <c r="L2" s="551" t="s">
        <v>1007</v>
      </c>
      <c r="M2" s="431"/>
      <c r="N2" s="431" t="s">
        <v>187</v>
      </c>
      <c r="O2" s="431" t="s">
        <v>214</v>
      </c>
      <c r="P2" s="431" t="s">
        <v>233</v>
      </c>
      <c r="Q2" s="431" t="s">
        <v>242</v>
      </c>
      <c r="R2" s="431" t="s">
        <v>250</v>
      </c>
      <c r="S2" s="431" t="s">
        <v>258</v>
      </c>
      <c r="T2" s="431" t="s">
        <v>265</v>
      </c>
      <c r="U2" s="431" t="s">
        <v>279</v>
      </c>
      <c r="V2" s="431"/>
      <c r="W2" s="551" t="s">
        <v>1011</v>
      </c>
      <c r="X2" s="431"/>
      <c r="Y2" s="431" t="s">
        <v>187</v>
      </c>
      <c r="Z2" s="431" t="s">
        <v>214</v>
      </c>
      <c r="AA2" s="431" t="s">
        <v>233</v>
      </c>
      <c r="AB2" s="431" t="s">
        <v>242</v>
      </c>
      <c r="AC2" s="431" t="s">
        <v>250</v>
      </c>
      <c r="AD2" s="431" t="s">
        <v>258</v>
      </c>
      <c r="AE2" s="431" t="s">
        <v>265</v>
      </c>
      <c r="AF2" s="431" t="s">
        <v>279</v>
      </c>
      <c r="AG2" s="431"/>
      <c r="AH2" s="551" t="s">
        <v>1015</v>
      </c>
      <c r="AJ2" s="431" t="s">
        <v>187</v>
      </c>
      <c r="AK2" s="431" t="s">
        <v>214</v>
      </c>
      <c r="AL2" s="431" t="s">
        <v>233</v>
      </c>
      <c r="AM2" s="431" t="s">
        <v>242</v>
      </c>
      <c r="AN2" s="431" t="s">
        <v>250</v>
      </c>
      <c r="AO2" s="431" t="s">
        <v>258</v>
      </c>
      <c r="AP2" s="431" t="s">
        <v>265</v>
      </c>
      <c r="AQ2" s="431" t="s">
        <v>279</v>
      </c>
    </row>
    <row r="3" spans="1:43" ht="14.45" x14ac:dyDescent="0.3">
      <c r="A3" s="432"/>
      <c r="B3" s="428" t="s">
        <v>186</v>
      </c>
      <c r="C3" s="368">
        <v>-0.33</v>
      </c>
      <c r="D3" s="440">
        <v>-0.33</v>
      </c>
      <c r="E3" s="369">
        <v>-0.35</v>
      </c>
      <c r="F3" s="370">
        <v>-0.39</v>
      </c>
      <c r="G3" s="370">
        <v>-0.38</v>
      </c>
      <c r="H3" s="371">
        <v>-0.37</v>
      </c>
      <c r="I3" s="371">
        <v>-0.37</v>
      </c>
      <c r="J3" s="372">
        <v>-0.28999999999999998</v>
      </c>
      <c r="K3" s="433"/>
      <c r="L3" s="551"/>
      <c r="M3" s="433" t="s">
        <v>186</v>
      </c>
      <c r="N3" s="368">
        <v>-0.36</v>
      </c>
      <c r="O3" s="440">
        <v>-0.36</v>
      </c>
      <c r="P3" s="369">
        <v>-0.41</v>
      </c>
      <c r="Q3" s="370">
        <v>-0.41</v>
      </c>
      <c r="R3" s="370">
        <v>-0.4</v>
      </c>
      <c r="S3" s="371">
        <v>-0.39</v>
      </c>
      <c r="T3" s="371">
        <v>-0.4</v>
      </c>
      <c r="U3" s="372">
        <v>-0.3</v>
      </c>
      <c r="V3" s="433"/>
      <c r="W3" s="551"/>
      <c r="X3" s="433" t="s">
        <v>186</v>
      </c>
      <c r="Y3" s="368">
        <v>-0.5</v>
      </c>
      <c r="Z3" s="440">
        <v>-0.49</v>
      </c>
      <c r="AA3" s="369">
        <v>-0.5</v>
      </c>
      <c r="AB3" s="370">
        <v>-0.52</v>
      </c>
      <c r="AC3" s="370">
        <v>-0.51</v>
      </c>
      <c r="AD3" s="371">
        <v>-0.46</v>
      </c>
      <c r="AE3" s="371">
        <v>-0.45</v>
      </c>
      <c r="AF3" s="372">
        <v>-0.4</v>
      </c>
      <c r="AG3" s="433"/>
      <c r="AH3" s="551"/>
      <c r="AI3" s="433" t="s">
        <v>186</v>
      </c>
      <c r="AJ3" s="368">
        <v>-0.68</v>
      </c>
      <c r="AK3" s="440">
        <v>-0.66</v>
      </c>
      <c r="AL3" s="369">
        <v>-0.66</v>
      </c>
      <c r="AM3" s="370">
        <v>-0.65</v>
      </c>
      <c r="AN3" s="370">
        <v>-0.64</v>
      </c>
      <c r="AO3" s="371">
        <v>-0.61</v>
      </c>
      <c r="AP3" s="371">
        <v>-0.6</v>
      </c>
      <c r="AQ3" s="372">
        <v>-0.47</v>
      </c>
    </row>
    <row r="4" spans="1:43" ht="14.45" x14ac:dyDescent="0.3">
      <c r="A4" s="432"/>
      <c r="B4" s="428" t="s">
        <v>213</v>
      </c>
      <c r="C4" s="373">
        <v>-0.35</v>
      </c>
      <c r="D4" s="374">
        <v>-0.36</v>
      </c>
      <c r="E4" s="375">
        <v>-0.37</v>
      </c>
      <c r="F4" s="376">
        <v>-0.39</v>
      </c>
      <c r="G4" s="376">
        <v>-0.39</v>
      </c>
      <c r="H4" s="377">
        <v>-0.36</v>
      </c>
      <c r="I4" s="377">
        <v>-0.37</v>
      </c>
      <c r="J4" s="378">
        <v>-0.28000000000000003</v>
      </c>
      <c r="K4" s="433"/>
      <c r="L4" s="551"/>
      <c r="M4" s="433" t="s">
        <v>213</v>
      </c>
      <c r="N4" s="373">
        <v>-0.38</v>
      </c>
      <c r="O4" s="374">
        <v>-0.39</v>
      </c>
      <c r="P4" s="375">
        <v>-0.41</v>
      </c>
      <c r="Q4" s="376">
        <v>-0.44</v>
      </c>
      <c r="R4" s="376">
        <v>-0.41</v>
      </c>
      <c r="S4" s="377">
        <v>-0.38</v>
      </c>
      <c r="T4" s="377">
        <v>-0.41</v>
      </c>
      <c r="U4" s="378">
        <v>-0.34</v>
      </c>
      <c r="V4" s="433"/>
      <c r="W4" s="551"/>
      <c r="X4" s="433" t="s">
        <v>213</v>
      </c>
      <c r="Y4" s="373">
        <v>-0.49</v>
      </c>
      <c r="Z4" s="374">
        <v>-0.49</v>
      </c>
      <c r="AA4" s="375">
        <v>-0.5</v>
      </c>
      <c r="AB4" s="376">
        <v>-0.52</v>
      </c>
      <c r="AC4" s="376">
        <v>-0.52</v>
      </c>
      <c r="AD4" s="377">
        <v>-0.45</v>
      </c>
      <c r="AE4" s="377">
        <v>-0.45</v>
      </c>
      <c r="AF4" s="378">
        <v>-0.4</v>
      </c>
      <c r="AG4" s="433"/>
      <c r="AH4" s="551"/>
      <c r="AI4" s="433" t="s">
        <v>213</v>
      </c>
      <c r="AJ4" s="373">
        <v>-0.67</v>
      </c>
      <c r="AK4" s="374">
        <v>-0.66</v>
      </c>
      <c r="AL4" s="375">
        <v>-0.65</v>
      </c>
      <c r="AM4" s="376">
        <v>-0.64</v>
      </c>
      <c r="AN4" s="376">
        <v>-0.64</v>
      </c>
      <c r="AO4" s="377">
        <v>-0.6</v>
      </c>
      <c r="AP4" s="377">
        <v>-0.59</v>
      </c>
      <c r="AQ4" s="378">
        <v>-0.47</v>
      </c>
    </row>
    <row r="5" spans="1:43" ht="14.45" x14ac:dyDescent="0.3">
      <c r="A5" s="432"/>
      <c r="B5" s="428" t="s">
        <v>232</v>
      </c>
      <c r="C5" s="379">
        <v>-0.34</v>
      </c>
      <c r="D5" s="380">
        <v>-0.35</v>
      </c>
      <c r="E5" s="381">
        <v>-0.35</v>
      </c>
      <c r="F5" s="376">
        <v>-0.38</v>
      </c>
      <c r="G5" s="376">
        <v>-0.38</v>
      </c>
      <c r="H5" s="377">
        <v>-0.36</v>
      </c>
      <c r="I5" s="377">
        <v>-0.37</v>
      </c>
      <c r="J5" s="378">
        <v>-0.28000000000000003</v>
      </c>
      <c r="K5" s="433"/>
      <c r="L5" s="551"/>
      <c r="M5" s="433" t="s">
        <v>232</v>
      </c>
      <c r="N5" s="379">
        <v>-0.38</v>
      </c>
      <c r="O5" s="380">
        <v>-0.41</v>
      </c>
      <c r="P5" s="381">
        <v>-0.41</v>
      </c>
      <c r="Q5" s="376">
        <v>-0.45</v>
      </c>
      <c r="R5" s="376">
        <v>-0.47</v>
      </c>
      <c r="S5" s="377">
        <v>-0.41</v>
      </c>
      <c r="T5" s="377">
        <v>-0.43</v>
      </c>
      <c r="U5" s="378">
        <v>-0.30000000000000004</v>
      </c>
      <c r="V5" s="433"/>
      <c r="W5" s="551"/>
      <c r="X5" s="433" t="s">
        <v>232</v>
      </c>
      <c r="Y5" s="379">
        <v>-0.47</v>
      </c>
      <c r="Z5" s="380">
        <v>-0.49</v>
      </c>
      <c r="AA5" s="381">
        <v>-0.5</v>
      </c>
      <c r="AB5" s="376">
        <v>-0.52</v>
      </c>
      <c r="AC5" s="376">
        <v>-0.51</v>
      </c>
      <c r="AD5" s="377">
        <v>-0.46</v>
      </c>
      <c r="AE5" s="377">
        <v>-0.46</v>
      </c>
      <c r="AF5" s="378">
        <v>-0.39</v>
      </c>
      <c r="AG5" s="433"/>
      <c r="AH5" s="551"/>
      <c r="AI5" s="433" t="s">
        <v>232</v>
      </c>
      <c r="AJ5" s="379">
        <v>-0.62</v>
      </c>
      <c r="AK5" s="380">
        <v>-0.66</v>
      </c>
      <c r="AL5" s="381">
        <v>-0.65</v>
      </c>
      <c r="AM5" s="376">
        <v>-0.63</v>
      </c>
      <c r="AN5" s="376">
        <v>-0.62</v>
      </c>
      <c r="AO5" s="377">
        <v>-0.59</v>
      </c>
      <c r="AP5" s="377">
        <v>-0.6</v>
      </c>
      <c r="AQ5" s="378">
        <v>-0.45</v>
      </c>
    </row>
    <row r="6" spans="1:43" ht="14.45" x14ac:dyDescent="0.3">
      <c r="A6" s="432"/>
      <c r="B6" s="428" t="s">
        <v>215</v>
      </c>
      <c r="C6" s="382">
        <v>-0.35</v>
      </c>
      <c r="D6" s="383">
        <v>-0.36</v>
      </c>
      <c r="E6" s="383">
        <v>-0.37</v>
      </c>
      <c r="F6" s="384">
        <v>-0.37</v>
      </c>
      <c r="G6" s="384">
        <v>-0.38</v>
      </c>
      <c r="H6" s="393">
        <v>-0.35</v>
      </c>
      <c r="I6" s="393">
        <v>-0.36</v>
      </c>
      <c r="J6" s="394">
        <v>-0.31</v>
      </c>
      <c r="K6" s="433"/>
      <c r="L6" s="551"/>
      <c r="M6" s="433" t="s">
        <v>215</v>
      </c>
      <c r="N6" s="382">
        <v>-0.36</v>
      </c>
      <c r="O6" s="383">
        <v>-0.38</v>
      </c>
      <c r="P6" s="383">
        <v>-0.41</v>
      </c>
      <c r="Q6" s="384">
        <v>-0.43</v>
      </c>
      <c r="R6" s="384">
        <v>-0.43</v>
      </c>
      <c r="S6" s="393">
        <v>-0.38</v>
      </c>
      <c r="T6" s="393">
        <v>-0.41</v>
      </c>
      <c r="U6" s="394">
        <v>-0.34</v>
      </c>
      <c r="V6" s="433"/>
      <c r="W6" s="551"/>
      <c r="X6" s="433" t="s">
        <v>215</v>
      </c>
      <c r="Y6" s="382">
        <v>-0.46</v>
      </c>
      <c r="Z6" s="383">
        <v>-0.47</v>
      </c>
      <c r="AA6" s="383">
        <v>-0.49</v>
      </c>
      <c r="AB6" s="384">
        <v>-0.51</v>
      </c>
      <c r="AC6" s="384">
        <v>-0.49</v>
      </c>
      <c r="AD6" s="393">
        <v>-0.45</v>
      </c>
      <c r="AE6" s="393">
        <v>-0.46</v>
      </c>
      <c r="AF6" s="394">
        <v>-0.41</v>
      </c>
      <c r="AG6" s="433"/>
      <c r="AH6" s="551"/>
      <c r="AI6" s="433" t="s">
        <v>215</v>
      </c>
      <c r="AJ6" s="382">
        <v>-0.61</v>
      </c>
      <c r="AK6" s="383">
        <v>-0.62</v>
      </c>
      <c r="AL6" s="383">
        <v>-0.62</v>
      </c>
      <c r="AM6" s="384">
        <v>-0.60999999999999988</v>
      </c>
      <c r="AN6" s="384">
        <v>-0.6</v>
      </c>
      <c r="AO6" s="393">
        <v>-0.56999999999999995</v>
      </c>
      <c r="AP6" s="393">
        <v>-0.57999999999999996</v>
      </c>
      <c r="AQ6" s="394">
        <v>-0.47</v>
      </c>
    </row>
    <row r="7" spans="1:43" ht="14.45" x14ac:dyDescent="0.3">
      <c r="A7" s="432"/>
      <c r="B7" s="428" t="s">
        <v>249</v>
      </c>
      <c r="C7" s="382">
        <v>-0.36</v>
      </c>
      <c r="D7" s="383">
        <v>-0.35</v>
      </c>
      <c r="E7" s="383">
        <v>-0.36</v>
      </c>
      <c r="F7" s="384">
        <v>-0.36</v>
      </c>
      <c r="G7" s="384">
        <v>-0.37</v>
      </c>
      <c r="H7" s="393">
        <v>-0.36</v>
      </c>
      <c r="I7" s="393">
        <v>-0.36</v>
      </c>
      <c r="J7" s="394">
        <v>-0.3</v>
      </c>
      <c r="K7" s="433"/>
      <c r="L7" s="551"/>
      <c r="M7" s="433" t="s">
        <v>249</v>
      </c>
      <c r="N7" s="382">
        <v>-0.39</v>
      </c>
      <c r="O7" s="383">
        <v>-0.39</v>
      </c>
      <c r="P7" s="383">
        <v>-0.38</v>
      </c>
      <c r="Q7" s="384">
        <v>-0.38</v>
      </c>
      <c r="R7" s="384">
        <v>-0.39</v>
      </c>
      <c r="S7" s="393">
        <v>-0.38</v>
      </c>
      <c r="T7" s="393">
        <v>-0.42</v>
      </c>
      <c r="U7" s="394">
        <v>-0.36</v>
      </c>
      <c r="V7" s="433"/>
      <c r="W7" s="551"/>
      <c r="X7" s="433" t="s">
        <v>249</v>
      </c>
      <c r="Y7" s="382">
        <v>-0.46</v>
      </c>
      <c r="Z7" s="383">
        <v>-0.45</v>
      </c>
      <c r="AA7" s="383">
        <v>-0.46</v>
      </c>
      <c r="AB7" s="384">
        <v>-0.47</v>
      </c>
      <c r="AC7" s="384">
        <v>-0.48</v>
      </c>
      <c r="AD7" s="393">
        <v>-0.46</v>
      </c>
      <c r="AE7" s="393">
        <v>-0.46</v>
      </c>
      <c r="AF7" s="394">
        <v>-0.39</v>
      </c>
      <c r="AG7" s="433"/>
      <c r="AH7" s="551"/>
      <c r="AI7" s="433" t="s">
        <v>249</v>
      </c>
      <c r="AJ7" s="382">
        <v>-0.61</v>
      </c>
      <c r="AK7" s="383">
        <v>-0.6</v>
      </c>
      <c r="AL7" s="383">
        <v>-0.60999999999999988</v>
      </c>
      <c r="AM7" s="384">
        <v>-0.56999999999999995</v>
      </c>
      <c r="AN7" s="384">
        <v>-0.59</v>
      </c>
      <c r="AO7" s="393">
        <v>-0.56000000000000005</v>
      </c>
      <c r="AP7" s="393">
        <v>-0.56000000000000005</v>
      </c>
      <c r="AQ7" s="394">
        <v>-0.45</v>
      </c>
    </row>
    <row r="8" spans="1:43" ht="14.45" x14ac:dyDescent="0.3">
      <c r="A8" s="432"/>
      <c r="B8" s="428" t="s">
        <v>257</v>
      </c>
      <c r="C8" s="382">
        <v>-0.36</v>
      </c>
      <c r="D8" s="383">
        <v>-0.35</v>
      </c>
      <c r="E8" s="383">
        <v>-0.34</v>
      </c>
      <c r="F8" s="384">
        <v>-0.35</v>
      </c>
      <c r="G8" s="384">
        <v>-0.35</v>
      </c>
      <c r="H8" s="393">
        <v>-0.35</v>
      </c>
      <c r="I8" s="393">
        <v>-0.37</v>
      </c>
      <c r="J8" s="394">
        <v>-0.28999999999999998</v>
      </c>
      <c r="K8" s="433"/>
      <c r="L8" s="551"/>
      <c r="M8" s="433" t="s">
        <v>257</v>
      </c>
      <c r="N8" s="382">
        <v>-0.38</v>
      </c>
      <c r="O8" s="383">
        <v>-0.38</v>
      </c>
      <c r="P8" s="383">
        <v>-0.38</v>
      </c>
      <c r="Q8" s="384">
        <v>-0.39</v>
      </c>
      <c r="R8" s="384">
        <v>-0.38</v>
      </c>
      <c r="S8" s="393">
        <v>-0.37</v>
      </c>
      <c r="T8" s="393">
        <v>-0.4</v>
      </c>
      <c r="U8" s="394">
        <v>-0.33</v>
      </c>
      <c r="V8" s="433"/>
      <c r="W8" s="551"/>
      <c r="X8" s="433" t="s">
        <v>257</v>
      </c>
      <c r="Y8" s="382">
        <v>-0.45</v>
      </c>
      <c r="Z8" s="383">
        <v>-0.45</v>
      </c>
      <c r="AA8" s="383">
        <v>-0.46</v>
      </c>
      <c r="AB8" s="384">
        <v>-0.46</v>
      </c>
      <c r="AC8" s="384">
        <v>-0.45</v>
      </c>
      <c r="AD8" s="393">
        <v>-0.44</v>
      </c>
      <c r="AE8" s="393">
        <v>-0.43</v>
      </c>
      <c r="AF8" s="394">
        <v>-0.38</v>
      </c>
      <c r="AG8" s="433"/>
      <c r="AH8" s="551"/>
      <c r="AI8" s="433" t="s">
        <v>257</v>
      </c>
      <c r="AJ8" s="382">
        <v>-0.6</v>
      </c>
      <c r="AK8" s="383">
        <v>-0.59</v>
      </c>
      <c r="AL8" s="383">
        <v>-0.59</v>
      </c>
      <c r="AM8" s="384">
        <v>-0.56000000000000005</v>
      </c>
      <c r="AN8" s="384">
        <v>-0.56000000000000005</v>
      </c>
      <c r="AO8" s="393">
        <v>-0.54</v>
      </c>
      <c r="AP8" s="393">
        <v>-0.54</v>
      </c>
      <c r="AQ8" s="394">
        <v>-0.44</v>
      </c>
    </row>
    <row r="9" spans="1:43" ht="14.45" x14ac:dyDescent="0.3">
      <c r="A9" s="432"/>
      <c r="B9" s="428" t="s">
        <v>264</v>
      </c>
      <c r="C9" s="385">
        <v>-0.34</v>
      </c>
      <c r="D9" s="386">
        <v>-0.33</v>
      </c>
      <c r="E9" s="386">
        <v>-0.35</v>
      </c>
      <c r="F9" s="387">
        <v>-0.35</v>
      </c>
      <c r="G9" s="387">
        <v>-0.35</v>
      </c>
      <c r="H9" s="441">
        <v>-0.34</v>
      </c>
      <c r="I9" s="441">
        <v>-0.35</v>
      </c>
      <c r="J9" s="442">
        <v>-0.27</v>
      </c>
      <c r="K9" s="433"/>
      <c r="L9" s="551"/>
      <c r="M9" s="433" t="s">
        <v>264</v>
      </c>
      <c r="N9" s="385">
        <v>-0.35</v>
      </c>
      <c r="O9" s="386">
        <v>-0.34</v>
      </c>
      <c r="P9" s="386">
        <v>-0.36</v>
      </c>
      <c r="Q9" s="387">
        <v>-0.36</v>
      </c>
      <c r="R9" s="387">
        <v>-0.4</v>
      </c>
      <c r="S9" s="441">
        <v>-0.37</v>
      </c>
      <c r="T9" s="441">
        <v>-0.41</v>
      </c>
      <c r="U9" s="442">
        <v>-0.29000000000000004</v>
      </c>
      <c r="V9" s="433"/>
      <c r="W9" s="551"/>
      <c r="X9" s="433" t="s">
        <v>264</v>
      </c>
      <c r="Y9" s="385">
        <v>-0.43</v>
      </c>
      <c r="Z9" s="386">
        <v>-0.42</v>
      </c>
      <c r="AA9" s="386">
        <v>-0.43</v>
      </c>
      <c r="AB9" s="387">
        <v>-0.42</v>
      </c>
      <c r="AC9" s="387">
        <v>-0.42</v>
      </c>
      <c r="AD9" s="441">
        <v>-0.41</v>
      </c>
      <c r="AE9" s="441">
        <v>-0.42</v>
      </c>
      <c r="AF9" s="442">
        <v>-0.37</v>
      </c>
      <c r="AG9" s="433"/>
      <c r="AH9" s="551"/>
      <c r="AI9" s="433" t="s">
        <v>264</v>
      </c>
      <c r="AJ9" s="385">
        <v>-0.59</v>
      </c>
      <c r="AK9" s="386">
        <v>-0.57999999999999996</v>
      </c>
      <c r="AL9" s="386">
        <v>-0.6</v>
      </c>
      <c r="AM9" s="387">
        <v>-0.59000000000000008</v>
      </c>
      <c r="AN9" s="387">
        <v>-0.58000000000000007</v>
      </c>
      <c r="AO9" s="441">
        <v>-0.55000000000000004</v>
      </c>
      <c r="AP9" s="441">
        <v>-0.55000000000000004</v>
      </c>
      <c r="AQ9" s="442">
        <v>-0.44</v>
      </c>
    </row>
    <row r="10" spans="1:43" ht="14.45" x14ac:dyDescent="0.3">
      <c r="A10" s="432"/>
      <c r="B10" s="428" t="s">
        <v>272</v>
      </c>
      <c r="C10" s="385">
        <v>-0.34</v>
      </c>
      <c r="D10" s="386">
        <v>-0.32</v>
      </c>
      <c r="E10" s="386">
        <v>-0.31</v>
      </c>
      <c r="F10" s="387">
        <v>-0.34</v>
      </c>
      <c r="G10" s="387">
        <v>-0.34</v>
      </c>
      <c r="H10" s="441">
        <v>-0.33</v>
      </c>
      <c r="I10" s="441">
        <v>-0.34</v>
      </c>
      <c r="J10" s="442">
        <v>-0.27</v>
      </c>
      <c r="K10" s="433"/>
      <c r="L10" s="551"/>
      <c r="M10" s="433" t="s">
        <v>272</v>
      </c>
      <c r="N10" s="385">
        <v>-0.36</v>
      </c>
      <c r="O10" s="386">
        <v>-0.36</v>
      </c>
      <c r="P10" s="386">
        <v>-0.33</v>
      </c>
      <c r="Q10" s="387">
        <v>-0.39</v>
      </c>
      <c r="R10" s="387">
        <v>-0.37</v>
      </c>
      <c r="S10" s="441">
        <v>-0.35</v>
      </c>
      <c r="T10" s="441">
        <v>-0.37</v>
      </c>
      <c r="U10" s="442">
        <v>-0.30000000000000004</v>
      </c>
      <c r="V10" s="432"/>
      <c r="X10" s="433" t="s">
        <v>272</v>
      </c>
      <c r="Y10" s="385">
        <v>-0.42</v>
      </c>
      <c r="Z10" s="386">
        <v>-0.4</v>
      </c>
      <c r="AA10" s="386">
        <v>-0.41</v>
      </c>
      <c r="AB10" s="387">
        <v>-0.41</v>
      </c>
      <c r="AC10" s="387">
        <v>-0.42</v>
      </c>
      <c r="AD10" s="441">
        <v>-0.4</v>
      </c>
      <c r="AE10" s="441">
        <v>-0.4</v>
      </c>
      <c r="AF10" s="442">
        <v>-0.37</v>
      </c>
      <c r="AG10" s="433"/>
      <c r="AH10" s="551"/>
      <c r="AI10" s="433" t="s">
        <v>272</v>
      </c>
      <c r="AJ10" s="385">
        <v>-0.58000000000000007</v>
      </c>
      <c r="AK10" s="386">
        <v>-0.56000000000000005</v>
      </c>
      <c r="AL10" s="386">
        <v>-0.58000000000000007</v>
      </c>
      <c r="AM10" s="387">
        <v>-0.58000000000000007</v>
      </c>
      <c r="AN10" s="387">
        <v>-0.57000000000000006</v>
      </c>
      <c r="AO10" s="441">
        <v>-0.54</v>
      </c>
      <c r="AP10" s="441">
        <v>-0.54</v>
      </c>
      <c r="AQ10" s="442">
        <v>-0.44</v>
      </c>
    </row>
    <row r="11" spans="1:43" ht="14.45" x14ac:dyDescent="0.3">
      <c r="A11" s="432"/>
      <c r="B11" s="428" t="s">
        <v>278</v>
      </c>
      <c r="C11" s="385">
        <v>-0.33</v>
      </c>
      <c r="D11" s="386">
        <v>-0.32</v>
      </c>
      <c r="E11" s="386">
        <v>-0.33</v>
      </c>
      <c r="F11" s="387">
        <v>-0.33</v>
      </c>
      <c r="G11" s="387">
        <v>-0.34</v>
      </c>
      <c r="H11" s="441">
        <v>-0.31</v>
      </c>
      <c r="I11" s="441">
        <v>-0.33</v>
      </c>
      <c r="J11" s="442">
        <v>-0.27</v>
      </c>
      <c r="K11" s="433"/>
      <c r="L11" s="551"/>
      <c r="M11" s="433" t="s">
        <v>278</v>
      </c>
      <c r="N11" s="385">
        <v>-0.35</v>
      </c>
      <c r="O11" s="386">
        <v>-0.36</v>
      </c>
      <c r="P11" s="386">
        <v>-0.35</v>
      </c>
      <c r="Q11" s="387">
        <v>-0.36</v>
      </c>
      <c r="R11" s="387">
        <v>-0.36</v>
      </c>
      <c r="S11" s="441">
        <v>-0.32</v>
      </c>
      <c r="T11" s="441">
        <v>-0.37</v>
      </c>
      <c r="U11" s="442">
        <v>-0.31</v>
      </c>
      <c r="V11" s="433"/>
      <c r="W11" s="551"/>
      <c r="X11" s="433" t="s">
        <v>278</v>
      </c>
      <c r="Y11" s="385">
        <v>-0.42</v>
      </c>
      <c r="Z11" s="386">
        <v>-0.41</v>
      </c>
      <c r="AA11" s="386">
        <v>-0.42</v>
      </c>
      <c r="AB11" s="387">
        <v>-0.42</v>
      </c>
      <c r="AC11" s="387">
        <v>-0.42</v>
      </c>
      <c r="AD11" s="441">
        <v>-0.37</v>
      </c>
      <c r="AE11" s="441">
        <v>-0.38</v>
      </c>
      <c r="AF11" s="442">
        <v>-0.35</v>
      </c>
      <c r="AG11" s="433"/>
      <c r="AH11" s="551"/>
      <c r="AI11" s="433" t="s">
        <v>278</v>
      </c>
      <c r="AJ11" s="385">
        <v>-0.58000000000000007</v>
      </c>
      <c r="AK11" s="386">
        <v>-0.54</v>
      </c>
      <c r="AL11" s="386">
        <v>-0.54</v>
      </c>
      <c r="AM11" s="387">
        <v>-0.54</v>
      </c>
      <c r="AN11" s="387">
        <v>-0.56000000000000005</v>
      </c>
      <c r="AO11" s="441">
        <v>-0.5</v>
      </c>
      <c r="AP11" s="441">
        <v>-0.51</v>
      </c>
      <c r="AQ11" s="442">
        <v>-0.44</v>
      </c>
    </row>
    <row r="12" spans="1:43" ht="14.45" x14ac:dyDescent="0.3">
      <c r="A12" s="432"/>
      <c r="B12" s="428" t="s">
        <v>284</v>
      </c>
      <c r="C12" s="388">
        <v>-0.32</v>
      </c>
      <c r="D12" s="389">
        <v>-0.32</v>
      </c>
      <c r="E12" s="389">
        <v>-0.32</v>
      </c>
      <c r="F12" s="390">
        <v>-0.33</v>
      </c>
      <c r="G12" s="390">
        <v>-0.33</v>
      </c>
      <c r="H12" s="443">
        <v>-0.32</v>
      </c>
      <c r="I12" s="443">
        <v>-0.33</v>
      </c>
      <c r="J12" s="444">
        <v>-0.28000000000000003</v>
      </c>
      <c r="K12" s="433"/>
      <c r="L12" s="551"/>
      <c r="M12" s="433" t="s">
        <v>284</v>
      </c>
      <c r="N12" s="388">
        <v>-0.37</v>
      </c>
      <c r="O12" s="389">
        <v>-0.38</v>
      </c>
      <c r="P12" s="389">
        <v>-0.35</v>
      </c>
      <c r="Q12" s="390">
        <v>-0.36</v>
      </c>
      <c r="R12" s="390">
        <v>-0.35</v>
      </c>
      <c r="S12" s="443">
        <v>-0.36</v>
      </c>
      <c r="T12" s="443">
        <v>-0.39</v>
      </c>
      <c r="U12" s="444">
        <v>-0.36</v>
      </c>
      <c r="V12" s="433"/>
      <c r="W12" s="551"/>
      <c r="X12" s="433" t="s">
        <v>284</v>
      </c>
      <c r="Y12" s="388">
        <v>-0.41</v>
      </c>
      <c r="Z12" s="389">
        <v>-0.41</v>
      </c>
      <c r="AA12" s="389">
        <v>-0.4</v>
      </c>
      <c r="AB12" s="390">
        <v>-0.4</v>
      </c>
      <c r="AC12" s="390">
        <v>-0.4</v>
      </c>
      <c r="AD12" s="443">
        <v>-0.39</v>
      </c>
      <c r="AE12" s="443">
        <v>-0.4</v>
      </c>
      <c r="AF12" s="444">
        <v>-0.37</v>
      </c>
      <c r="AG12" s="433"/>
      <c r="AH12" s="551"/>
      <c r="AI12" s="433" t="s">
        <v>284</v>
      </c>
      <c r="AJ12" s="388">
        <v>-0.57000000000000006</v>
      </c>
      <c r="AK12" s="389">
        <v>-0.55000000000000004</v>
      </c>
      <c r="AL12" s="389">
        <v>-0.52</v>
      </c>
      <c r="AM12" s="390">
        <v>-0.51</v>
      </c>
      <c r="AN12" s="390">
        <v>-0.52</v>
      </c>
      <c r="AO12" s="443">
        <v>-0.51</v>
      </c>
      <c r="AP12" s="443">
        <v>-0.51</v>
      </c>
      <c r="AQ12" s="444">
        <v>-0.46</v>
      </c>
    </row>
    <row r="13" spans="1:43" ht="14.45" x14ac:dyDescent="0.3">
      <c r="A13" s="432"/>
      <c r="C13" s="433"/>
      <c r="D13" s="433"/>
      <c r="E13" s="433"/>
      <c r="F13" s="433"/>
      <c r="G13" s="433"/>
      <c r="H13" s="433"/>
      <c r="I13" s="433"/>
      <c r="J13" s="433"/>
      <c r="K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430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551" t="s">
        <v>1008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551" t="s">
        <v>1012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551" t="s">
        <v>1016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432"/>
      <c r="B15" s="428" t="s">
        <v>186</v>
      </c>
      <c r="C15" s="368">
        <v>-0.41</v>
      </c>
      <c r="D15" s="440">
        <v>-0.41</v>
      </c>
      <c r="E15" s="369">
        <v>-0.43</v>
      </c>
      <c r="F15" s="370">
        <v>-0.45</v>
      </c>
      <c r="G15" s="370">
        <v>-0.44</v>
      </c>
      <c r="H15" s="371">
        <v>-0.41</v>
      </c>
      <c r="I15" s="371">
        <v>-0.41</v>
      </c>
      <c r="J15" s="372">
        <v>-0.33</v>
      </c>
      <c r="K15" s="433"/>
      <c r="L15" s="551"/>
      <c r="M15" s="433" t="s">
        <v>186</v>
      </c>
      <c r="N15" s="368">
        <v>-0.48</v>
      </c>
      <c r="O15" s="440">
        <v>-0.47</v>
      </c>
      <c r="P15" s="369">
        <v>-0.505</v>
      </c>
      <c r="Q15" s="370">
        <v>-0.505</v>
      </c>
      <c r="R15" s="370">
        <v>-0.5</v>
      </c>
      <c r="S15" s="371">
        <v>-0.48</v>
      </c>
      <c r="T15" s="371">
        <v>-0.5</v>
      </c>
      <c r="U15" s="372">
        <v>-0.35</v>
      </c>
      <c r="V15" s="433"/>
      <c r="W15" s="551"/>
      <c r="X15" s="433" t="s">
        <v>186</v>
      </c>
      <c r="Y15" s="368">
        <v>-0.56000000000000005</v>
      </c>
      <c r="Z15" s="440">
        <v>-0.55000000000000004</v>
      </c>
      <c r="AA15" s="369">
        <v>-0.56000000000000005</v>
      </c>
      <c r="AB15" s="370">
        <v>-0.58000000000000007</v>
      </c>
      <c r="AC15" s="370">
        <v>-0.56000000000000005</v>
      </c>
      <c r="AD15" s="371">
        <v>-0.52</v>
      </c>
      <c r="AE15" s="371">
        <v>-0.51</v>
      </c>
      <c r="AF15" s="372">
        <v>-0.41</v>
      </c>
      <c r="AG15" s="433"/>
      <c r="AH15" s="551"/>
      <c r="AI15" s="433" t="s">
        <v>186</v>
      </c>
      <c r="AJ15" s="368">
        <v>-0.72</v>
      </c>
      <c r="AK15" s="440">
        <v>-0.7</v>
      </c>
      <c r="AL15" s="369">
        <v>-0.7</v>
      </c>
      <c r="AM15" s="370">
        <v>-0.69</v>
      </c>
      <c r="AN15" s="370">
        <v>-0.68</v>
      </c>
      <c r="AO15" s="371">
        <v>-0.63</v>
      </c>
      <c r="AP15" s="371">
        <v>-0.62</v>
      </c>
      <c r="AQ15" s="372">
        <v>-0.49</v>
      </c>
    </row>
    <row r="16" spans="1:43" ht="14.45" x14ac:dyDescent="0.3">
      <c r="A16" s="432"/>
      <c r="B16" s="428" t="s">
        <v>213</v>
      </c>
      <c r="C16" s="373">
        <v>-0.41</v>
      </c>
      <c r="D16" s="374">
        <v>-0.42</v>
      </c>
      <c r="E16" s="375">
        <v>-0.43</v>
      </c>
      <c r="F16" s="376">
        <v>-0.46</v>
      </c>
      <c r="G16" s="376">
        <v>-0.43</v>
      </c>
      <c r="H16" s="377">
        <v>-0.39</v>
      </c>
      <c r="I16" s="377">
        <v>-0.4</v>
      </c>
      <c r="J16" s="378">
        <v>-0.32</v>
      </c>
      <c r="K16" s="433"/>
      <c r="L16" s="551"/>
      <c r="M16" s="433" t="s">
        <v>213</v>
      </c>
      <c r="N16" s="373">
        <v>-0.44</v>
      </c>
      <c r="O16" s="374">
        <v>-0.46</v>
      </c>
      <c r="P16" s="375">
        <v>-0.5</v>
      </c>
      <c r="Q16" s="376">
        <v>-0.51</v>
      </c>
      <c r="R16" s="376">
        <v>-0.47</v>
      </c>
      <c r="S16" s="377">
        <v>-0.44</v>
      </c>
      <c r="T16" s="377">
        <v>-0.44</v>
      </c>
      <c r="U16" s="378">
        <v>-0.38</v>
      </c>
      <c r="V16" s="433"/>
      <c r="W16" s="551"/>
      <c r="X16" s="433" t="s">
        <v>213</v>
      </c>
      <c r="Y16" s="373">
        <v>-0.55000000000000004</v>
      </c>
      <c r="Z16" s="374">
        <v>-0.55000000000000004</v>
      </c>
      <c r="AA16" s="375">
        <v>-0.55000000000000004</v>
      </c>
      <c r="AB16" s="376">
        <v>-0.56999999999999995</v>
      </c>
      <c r="AC16" s="376">
        <v>-0.56000000000000005</v>
      </c>
      <c r="AD16" s="377">
        <v>-0.5</v>
      </c>
      <c r="AE16" s="377">
        <v>-0.5</v>
      </c>
      <c r="AF16" s="378">
        <v>-0.42</v>
      </c>
      <c r="AG16" s="433"/>
      <c r="AH16" s="551"/>
      <c r="AI16" s="433" t="s">
        <v>213</v>
      </c>
      <c r="AJ16" s="373">
        <v>-0.71</v>
      </c>
      <c r="AK16" s="374">
        <v>-0.7</v>
      </c>
      <c r="AL16" s="375">
        <v>-0.69</v>
      </c>
      <c r="AM16" s="376">
        <v>-0.68</v>
      </c>
      <c r="AN16" s="376">
        <v>-0.68</v>
      </c>
      <c r="AO16" s="377">
        <v>-0.62</v>
      </c>
      <c r="AP16" s="377">
        <v>-0.61</v>
      </c>
      <c r="AQ16" s="378">
        <v>-0.49</v>
      </c>
    </row>
    <row r="17" spans="1:43" ht="14.45" x14ac:dyDescent="0.3">
      <c r="A17" s="432"/>
      <c r="B17" s="428" t="s">
        <v>232</v>
      </c>
      <c r="C17" s="379">
        <v>-0.4</v>
      </c>
      <c r="D17" s="380">
        <v>-0.41</v>
      </c>
      <c r="E17" s="381">
        <v>-0.42</v>
      </c>
      <c r="F17" s="376">
        <v>-0.44</v>
      </c>
      <c r="G17" s="376">
        <v>-0.43</v>
      </c>
      <c r="H17" s="377">
        <v>-0.39</v>
      </c>
      <c r="I17" s="377">
        <v>-0.4</v>
      </c>
      <c r="J17" s="378">
        <v>-0.32</v>
      </c>
      <c r="K17" s="433"/>
      <c r="L17" s="551"/>
      <c r="M17" s="433" t="s">
        <v>232</v>
      </c>
      <c r="N17" s="379">
        <v>-0.43</v>
      </c>
      <c r="O17" s="380">
        <v>-0.46</v>
      </c>
      <c r="P17" s="381">
        <v>-0.49</v>
      </c>
      <c r="Q17" s="376">
        <v>-0.49</v>
      </c>
      <c r="R17" s="376">
        <v>-0.48</v>
      </c>
      <c r="S17" s="377">
        <v>-0.45</v>
      </c>
      <c r="T17" s="377">
        <v>-0.46</v>
      </c>
      <c r="U17" s="378">
        <v>-0.35</v>
      </c>
      <c r="V17" s="433"/>
      <c r="W17" s="551"/>
      <c r="X17" s="433" t="s">
        <v>232</v>
      </c>
      <c r="Y17" s="379">
        <v>-0.52</v>
      </c>
      <c r="Z17" s="380">
        <v>-0.53</v>
      </c>
      <c r="AA17" s="381">
        <v>-0.54</v>
      </c>
      <c r="AB17" s="376">
        <v>-0.56000000000000005</v>
      </c>
      <c r="AC17" s="376">
        <v>-0.55000000000000004</v>
      </c>
      <c r="AD17" s="377">
        <v>-0.51</v>
      </c>
      <c r="AE17" s="377">
        <v>-0.52</v>
      </c>
      <c r="AF17" s="378">
        <v>-0.42</v>
      </c>
      <c r="AG17" s="433"/>
      <c r="AH17" s="551"/>
      <c r="AI17" s="433" t="s">
        <v>232</v>
      </c>
      <c r="AJ17" s="379">
        <v>-0.67</v>
      </c>
      <c r="AK17" s="380">
        <v>-0.69</v>
      </c>
      <c r="AL17" s="381">
        <v>-0.68</v>
      </c>
      <c r="AM17" s="376">
        <v>-0.66</v>
      </c>
      <c r="AN17" s="376">
        <v>-0.66</v>
      </c>
      <c r="AO17" s="377">
        <v>-0.61</v>
      </c>
      <c r="AP17" s="377">
        <v>-0.62</v>
      </c>
      <c r="AQ17" s="378">
        <v>-0.47</v>
      </c>
    </row>
    <row r="18" spans="1:43" ht="14.45" x14ac:dyDescent="0.3">
      <c r="A18" s="432"/>
      <c r="B18" s="428" t="s">
        <v>215</v>
      </c>
      <c r="C18" s="382">
        <v>-0.41</v>
      </c>
      <c r="D18" s="383">
        <v>-0.4</v>
      </c>
      <c r="E18" s="383">
        <v>-0.4</v>
      </c>
      <c r="F18" s="384">
        <v>-0.41</v>
      </c>
      <c r="G18" s="384">
        <v>-0.42</v>
      </c>
      <c r="H18" s="393">
        <v>-0.375</v>
      </c>
      <c r="I18" s="393">
        <v>-0.4</v>
      </c>
      <c r="J18" s="394">
        <v>-0.35</v>
      </c>
      <c r="K18" s="433"/>
      <c r="L18" s="551"/>
      <c r="M18" s="433" t="s">
        <v>215</v>
      </c>
      <c r="N18" s="382">
        <v>-0.43</v>
      </c>
      <c r="O18" s="383">
        <v>-0.45</v>
      </c>
      <c r="P18" s="383">
        <v>-0.46</v>
      </c>
      <c r="Q18" s="384">
        <v>-0.45</v>
      </c>
      <c r="R18" s="384">
        <v>-0.46</v>
      </c>
      <c r="S18" s="393">
        <v>-0.42499999999999999</v>
      </c>
      <c r="T18" s="393">
        <v>-0.43</v>
      </c>
      <c r="U18" s="394">
        <v>-0.39</v>
      </c>
      <c r="V18" s="433"/>
      <c r="W18" s="551"/>
      <c r="X18" s="433" t="s">
        <v>215</v>
      </c>
      <c r="Y18" s="382">
        <v>-0.5</v>
      </c>
      <c r="Z18" s="383">
        <v>-0.52</v>
      </c>
      <c r="AA18" s="383">
        <v>-0.53</v>
      </c>
      <c r="AB18" s="384">
        <v>-0.54</v>
      </c>
      <c r="AC18" s="384">
        <v>-0.53</v>
      </c>
      <c r="AD18" s="393">
        <v>-0.49</v>
      </c>
      <c r="AE18" s="393">
        <v>-0.51</v>
      </c>
      <c r="AF18" s="394">
        <v>-0.44</v>
      </c>
      <c r="AG18" s="433"/>
      <c r="AH18" s="551"/>
      <c r="AI18" s="433" t="s">
        <v>215</v>
      </c>
      <c r="AJ18" s="382">
        <v>-0.64</v>
      </c>
      <c r="AK18" s="383">
        <v>-0.65</v>
      </c>
      <c r="AL18" s="383">
        <v>-0.65</v>
      </c>
      <c r="AM18" s="384">
        <v>-0.64</v>
      </c>
      <c r="AN18" s="384">
        <v>-0.64</v>
      </c>
      <c r="AO18" s="393">
        <v>-0.59</v>
      </c>
      <c r="AP18" s="393">
        <v>-0.6</v>
      </c>
      <c r="AQ18" s="394">
        <v>-0.49</v>
      </c>
    </row>
    <row r="19" spans="1:43" ht="14.45" x14ac:dyDescent="0.3">
      <c r="A19" s="432"/>
      <c r="B19" s="428" t="s">
        <v>249</v>
      </c>
      <c r="C19" s="382">
        <v>-0.41</v>
      </c>
      <c r="D19" s="383">
        <v>-0.4</v>
      </c>
      <c r="E19" s="383">
        <v>-0.39</v>
      </c>
      <c r="F19" s="384">
        <v>-0.41</v>
      </c>
      <c r="G19" s="384">
        <v>-0.41</v>
      </c>
      <c r="H19" s="393">
        <v>-0.38</v>
      </c>
      <c r="I19" s="393">
        <v>-0.39</v>
      </c>
      <c r="J19" s="394">
        <v>-0.34</v>
      </c>
      <c r="K19" s="433"/>
      <c r="L19" s="551"/>
      <c r="M19" s="433" t="s">
        <v>249</v>
      </c>
      <c r="N19" s="382">
        <v>-0.44</v>
      </c>
      <c r="O19" s="383">
        <v>-0.45</v>
      </c>
      <c r="P19" s="383">
        <v>-0.44</v>
      </c>
      <c r="Q19" s="384">
        <v>-0.44</v>
      </c>
      <c r="R19" s="384">
        <v>-0.45</v>
      </c>
      <c r="S19" s="393">
        <v>-0.41</v>
      </c>
      <c r="T19" s="393">
        <v>-0.44</v>
      </c>
      <c r="U19" s="394">
        <v>-0.4</v>
      </c>
      <c r="V19" s="433"/>
      <c r="W19" s="551"/>
      <c r="X19" s="433" t="s">
        <v>249</v>
      </c>
      <c r="Y19" s="382">
        <v>-0.5</v>
      </c>
      <c r="Z19" s="383">
        <v>-0.5</v>
      </c>
      <c r="AA19" s="383">
        <v>-0.51</v>
      </c>
      <c r="AB19" s="384">
        <v>-0.5</v>
      </c>
      <c r="AC19" s="384">
        <v>-0.52</v>
      </c>
      <c r="AD19" s="393">
        <v>-0.49</v>
      </c>
      <c r="AE19" s="393">
        <v>-0.49</v>
      </c>
      <c r="AF19" s="394">
        <v>-0.42</v>
      </c>
      <c r="AG19" s="433"/>
      <c r="AH19" s="551"/>
      <c r="AI19" s="433" t="s">
        <v>249</v>
      </c>
      <c r="AJ19" s="382">
        <v>-0.64</v>
      </c>
      <c r="AK19" s="383">
        <v>-0.63</v>
      </c>
      <c r="AL19" s="383">
        <v>-0.64</v>
      </c>
      <c r="AM19" s="384">
        <v>-0.6</v>
      </c>
      <c r="AN19" s="384">
        <v>-0.62</v>
      </c>
      <c r="AO19" s="393">
        <v>-0.57999999999999996</v>
      </c>
      <c r="AP19" s="393">
        <v>-0.57999999999999996</v>
      </c>
      <c r="AQ19" s="394">
        <v>-0.47</v>
      </c>
    </row>
    <row r="20" spans="1:43" ht="14.45" x14ac:dyDescent="0.3">
      <c r="A20" s="432"/>
      <c r="B20" s="428" t="s">
        <v>257</v>
      </c>
      <c r="C20" s="382">
        <v>-0.39</v>
      </c>
      <c r="D20" s="383">
        <v>-0.39</v>
      </c>
      <c r="E20" s="383">
        <v>-0.36</v>
      </c>
      <c r="F20" s="384">
        <v>-0.39</v>
      </c>
      <c r="G20" s="384">
        <v>-0.39</v>
      </c>
      <c r="H20" s="393">
        <v>-0.37</v>
      </c>
      <c r="I20" s="393">
        <v>-0.39</v>
      </c>
      <c r="J20" s="394">
        <v>-0.32</v>
      </c>
      <c r="K20" s="433"/>
      <c r="L20" s="551"/>
      <c r="M20" s="433" t="s">
        <v>257</v>
      </c>
      <c r="N20" s="382">
        <v>-0.42</v>
      </c>
      <c r="O20" s="383">
        <v>-0.43</v>
      </c>
      <c r="P20" s="383">
        <v>-0.41</v>
      </c>
      <c r="Q20" s="384">
        <v>-0.42</v>
      </c>
      <c r="R20" s="384">
        <v>-0.43</v>
      </c>
      <c r="S20" s="393">
        <v>-0.39</v>
      </c>
      <c r="T20" s="393">
        <v>-0.42</v>
      </c>
      <c r="U20" s="394">
        <v>-0.37</v>
      </c>
      <c r="V20" s="433"/>
      <c r="W20" s="551"/>
      <c r="X20" s="433" t="s">
        <v>257</v>
      </c>
      <c r="Y20" s="382">
        <v>-0.48</v>
      </c>
      <c r="Z20" s="383">
        <v>-0.48</v>
      </c>
      <c r="AA20" s="383">
        <v>-0.49</v>
      </c>
      <c r="AB20" s="384">
        <v>-0.48</v>
      </c>
      <c r="AC20" s="384">
        <v>-0.48</v>
      </c>
      <c r="AD20" s="393">
        <v>-0.46</v>
      </c>
      <c r="AE20" s="393">
        <v>-0.46</v>
      </c>
      <c r="AF20" s="394">
        <v>-0.41</v>
      </c>
      <c r="AG20" s="433"/>
      <c r="AH20" s="551"/>
      <c r="AI20" s="433" t="s">
        <v>257</v>
      </c>
      <c r="AJ20" s="382">
        <v>-0.62</v>
      </c>
      <c r="AK20" s="383">
        <v>-0.61</v>
      </c>
      <c r="AL20" s="383">
        <v>-0.61</v>
      </c>
      <c r="AM20" s="384">
        <v>-0.57999999999999996</v>
      </c>
      <c r="AN20" s="384">
        <v>-0.57999999999999996</v>
      </c>
      <c r="AO20" s="393">
        <v>-0.55999999999999994</v>
      </c>
      <c r="AP20" s="393">
        <v>-0.55999999999999994</v>
      </c>
      <c r="AQ20" s="394">
        <v>-0.46</v>
      </c>
    </row>
    <row r="21" spans="1:43" ht="14.45" x14ac:dyDescent="0.3">
      <c r="A21" s="432"/>
      <c r="B21" s="428" t="s">
        <v>264</v>
      </c>
      <c r="C21" s="385">
        <v>-0.38</v>
      </c>
      <c r="D21" s="386">
        <v>-0.36</v>
      </c>
      <c r="E21" s="386">
        <v>-0.38</v>
      </c>
      <c r="F21" s="387">
        <v>-0.38</v>
      </c>
      <c r="G21" s="387">
        <v>-0.38</v>
      </c>
      <c r="H21" s="441">
        <v>-0.36</v>
      </c>
      <c r="I21" s="441">
        <v>-0.38</v>
      </c>
      <c r="J21" s="442">
        <v>-0.3</v>
      </c>
      <c r="K21" s="433"/>
      <c r="L21" s="551"/>
      <c r="M21" s="433" t="s">
        <v>264</v>
      </c>
      <c r="N21" s="385">
        <v>-0.39</v>
      </c>
      <c r="O21" s="386">
        <v>-0.37</v>
      </c>
      <c r="P21" s="386">
        <v>-0.41</v>
      </c>
      <c r="Q21" s="387">
        <v>-0.39</v>
      </c>
      <c r="R21" s="387">
        <v>-0.43</v>
      </c>
      <c r="S21" s="441">
        <v>-0.4</v>
      </c>
      <c r="T21" s="441">
        <v>-0.42</v>
      </c>
      <c r="U21" s="442">
        <v>-0.34</v>
      </c>
      <c r="V21" s="433"/>
      <c r="W21" s="551"/>
      <c r="X21" s="433" t="s">
        <v>264</v>
      </c>
      <c r="Y21" s="385">
        <v>-0.47</v>
      </c>
      <c r="Z21" s="386">
        <v>-0.45</v>
      </c>
      <c r="AA21" s="386">
        <v>-0.48</v>
      </c>
      <c r="AB21" s="387">
        <v>-0.47</v>
      </c>
      <c r="AC21" s="387">
        <v>-0.48</v>
      </c>
      <c r="AD21" s="441">
        <v>-0.46</v>
      </c>
      <c r="AE21" s="441">
        <v>-0.47</v>
      </c>
      <c r="AF21" s="442">
        <v>-0.39</v>
      </c>
      <c r="AG21" s="433"/>
      <c r="AH21" s="551"/>
      <c r="AI21" s="433" t="s">
        <v>264</v>
      </c>
      <c r="AJ21" s="385">
        <v>-0.62</v>
      </c>
      <c r="AK21" s="386">
        <v>-0.6</v>
      </c>
      <c r="AL21" s="386">
        <v>-0.62</v>
      </c>
      <c r="AM21" s="387">
        <v>-0.60999999999999988</v>
      </c>
      <c r="AN21" s="387">
        <v>-0.6</v>
      </c>
      <c r="AO21" s="441">
        <v>-0.56999999999999995</v>
      </c>
      <c r="AP21" s="441">
        <v>-0.56999999999999995</v>
      </c>
      <c r="AQ21" s="442">
        <v>-0.46</v>
      </c>
    </row>
    <row r="22" spans="1:43" ht="14.45" x14ac:dyDescent="0.3">
      <c r="A22" s="432"/>
      <c r="B22" s="428" t="s">
        <v>272</v>
      </c>
      <c r="C22" s="385">
        <v>-0.36</v>
      </c>
      <c r="D22" s="386">
        <v>-0.34</v>
      </c>
      <c r="E22" s="386">
        <v>-0.36</v>
      </c>
      <c r="F22" s="387">
        <v>-0.37</v>
      </c>
      <c r="G22" s="387">
        <v>-0.38</v>
      </c>
      <c r="H22" s="441">
        <v>-0.35</v>
      </c>
      <c r="I22" s="441">
        <v>-0.37</v>
      </c>
      <c r="J22" s="442">
        <v>-0.3</v>
      </c>
      <c r="K22" s="433"/>
      <c r="L22" s="551"/>
      <c r="M22" s="433" t="s">
        <v>272</v>
      </c>
      <c r="N22" s="385">
        <v>-0.4</v>
      </c>
      <c r="O22" s="386">
        <v>-0.39</v>
      </c>
      <c r="P22" s="386">
        <v>-0.4</v>
      </c>
      <c r="Q22" s="387">
        <v>-0.41</v>
      </c>
      <c r="R22" s="387">
        <v>-0.42</v>
      </c>
      <c r="S22" s="441">
        <v>-0.37</v>
      </c>
      <c r="T22" s="441">
        <v>-0.42</v>
      </c>
      <c r="U22" s="442">
        <v>-0.34</v>
      </c>
      <c r="V22" s="433"/>
      <c r="W22" s="551"/>
      <c r="X22" s="433" t="s">
        <v>272</v>
      </c>
      <c r="Y22" s="385">
        <v>-0.46</v>
      </c>
      <c r="Z22" s="386">
        <v>-0.43</v>
      </c>
      <c r="AA22" s="386">
        <v>-0.45</v>
      </c>
      <c r="AB22" s="387">
        <v>-0.46</v>
      </c>
      <c r="AC22" s="387">
        <v>-0.45</v>
      </c>
      <c r="AD22" s="441">
        <v>-0.43</v>
      </c>
      <c r="AE22" s="441">
        <v>-0.44</v>
      </c>
      <c r="AF22" s="442">
        <v>-0.39</v>
      </c>
      <c r="AG22" s="433"/>
      <c r="AH22" s="551"/>
      <c r="AI22" s="433" t="s">
        <v>272</v>
      </c>
      <c r="AJ22" s="385">
        <v>-0.61</v>
      </c>
      <c r="AK22" s="386">
        <v>-0.57999999999999996</v>
      </c>
      <c r="AL22" s="386">
        <v>-0.6</v>
      </c>
      <c r="AM22" s="387">
        <v>-0.6</v>
      </c>
      <c r="AN22" s="387">
        <v>-0.59</v>
      </c>
      <c r="AO22" s="441">
        <v>-0.56000000000000005</v>
      </c>
      <c r="AP22" s="441">
        <v>-0.56000000000000005</v>
      </c>
      <c r="AQ22" s="442">
        <v>-0.47</v>
      </c>
    </row>
    <row r="23" spans="1:43" ht="14.45" x14ac:dyDescent="0.3">
      <c r="A23" s="432"/>
      <c r="B23" s="428" t="s">
        <v>278</v>
      </c>
      <c r="C23" s="385">
        <v>-0.35</v>
      </c>
      <c r="D23" s="386">
        <v>-0.34</v>
      </c>
      <c r="E23" s="386">
        <v>-0.35</v>
      </c>
      <c r="F23" s="387">
        <v>-0.36</v>
      </c>
      <c r="G23" s="387">
        <v>-0.36</v>
      </c>
      <c r="H23" s="441">
        <v>-0.34</v>
      </c>
      <c r="I23" s="441">
        <v>-0.36</v>
      </c>
      <c r="J23" s="442">
        <v>-0.31</v>
      </c>
      <c r="K23" s="433"/>
      <c r="L23" s="551"/>
      <c r="M23" s="433" t="s">
        <v>278</v>
      </c>
      <c r="N23" s="385">
        <v>-0.37</v>
      </c>
      <c r="O23" s="386">
        <v>-0.39</v>
      </c>
      <c r="P23" s="386">
        <v>-0.39</v>
      </c>
      <c r="Q23" s="387">
        <v>-0.39</v>
      </c>
      <c r="R23" s="387">
        <v>-0.4</v>
      </c>
      <c r="S23" s="441">
        <v>-0.36</v>
      </c>
      <c r="T23" s="441">
        <v>-0.41</v>
      </c>
      <c r="U23" s="442">
        <v>-0.35</v>
      </c>
      <c r="V23" s="433"/>
      <c r="W23" s="551"/>
      <c r="X23" s="433" t="s">
        <v>278</v>
      </c>
      <c r="Y23" s="385">
        <v>-0.46</v>
      </c>
      <c r="Z23" s="386">
        <v>-0.43</v>
      </c>
      <c r="AA23" s="386">
        <v>-0.45</v>
      </c>
      <c r="AB23" s="387">
        <v>-0.45</v>
      </c>
      <c r="AC23" s="387">
        <v>-0.45</v>
      </c>
      <c r="AD23" s="441">
        <v>-0.42</v>
      </c>
      <c r="AE23" s="441">
        <v>-0.43</v>
      </c>
      <c r="AF23" s="442">
        <v>-0.37</v>
      </c>
      <c r="AG23" s="433"/>
      <c r="AH23" s="551"/>
      <c r="AI23" s="433" t="s">
        <v>278</v>
      </c>
      <c r="AJ23" s="385">
        <v>-0.6</v>
      </c>
      <c r="AK23" s="386">
        <v>-0.55999999999999994</v>
      </c>
      <c r="AL23" s="386">
        <v>-0.55999999999999994</v>
      </c>
      <c r="AM23" s="387">
        <v>-0.56000000000000005</v>
      </c>
      <c r="AN23" s="387">
        <v>-0.58000000000000007</v>
      </c>
      <c r="AO23" s="441">
        <v>-0.52</v>
      </c>
      <c r="AP23" s="441">
        <v>-0.53</v>
      </c>
      <c r="AQ23" s="442">
        <v>-0.47</v>
      </c>
    </row>
    <row r="24" spans="1:43" ht="14.45" x14ac:dyDescent="0.3">
      <c r="A24" s="432"/>
      <c r="B24" s="428" t="s">
        <v>284</v>
      </c>
      <c r="C24" s="388">
        <v>-0.34</v>
      </c>
      <c r="D24" s="389">
        <v>-0.34</v>
      </c>
      <c r="E24" s="389">
        <v>-0.34</v>
      </c>
      <c r="F24" s="390">
        <v>-0.36</v>
      </c>
      <c r="G24" s="390">
        <v>-0.36</v>
      </c>
      <c r="H24" s="443">
        <v>-0.34</v>
      </c>
      <c r="I24" s="443">
        <v>-0.36</v>
      </c>
      <c r="J24" s="444">
        <v>-0.32</v>
      </c>
      <c r="K24" s="433"/>
      <c r="L24" s="551"/>
      <c r="M24" s="433" t="s">
        <v>284</v>
      </c>
      <c r="N24" s="388">
        <v>-0.39</v>
      </c>
      <c r="O24" s="389">
        <v>-0.41</v>
      </c>
      <c r="P24" s="389">
        <v>-0.38</v>
      </c>
      <c r="Q24" s="390">
        <v>-0.4</v>
      </c>
      <c r="R24" s="390">
        <v>-0.41</v>
      </c>
      <c r="S24" s="443">
        <v>-0.38</v>
      </c>
      <c r="T24" s="443">
        <v>-0.42</v>
      </c>
      <c r="U24" s="444">
        <v>-0.37</v>
      </c>
      <c r="V24" s="433"/>
      <c r="W24" s="551"/>
      <c r="X24" s="433" t="s">
        <v>284</v>
      </c>
      <c r="Y24" s="388">
        <v>-0.45</v>
      </c>
      <c r="Z24" s="389">
        <v>-0.46</v>
      </c>
      <c r="AA24" s="389">
        <v>-0.44</v>
      </c>
      <c r="AB24" s="390">
        <v>-0.43</v>
      </c>
      <c r="AC24" s="390">
        <v>-0.42</v>
      </c>
      <c r="AD24" s="443">
        <v>-0.42</v>
      </c>
      <c r="AE24" s="443">
        <v>-0.43</v>
      </c>
      <c r="AF24" s="444">
        <v>-0.39</v>
      </c>
      <c r="AG24" s="433"/>
      <c r="AH24" s="551"/>
      <c r="AI24" s="433" t="s">
        <v>284</v>
      </c>
      <c r="AJ24" s="388">
        <v>-0.59</v>
      </c>
      <c r="AK24" s="389">
        <v>-0.56999999999999995</v>
      </c>
      <c r="AL24" s="389">
        <v>-0.53999999999999992</v>
      </c>
      <c r="AM24" s="390">
        <v>-0.53</v>
      </c>
      <c r="AN24" s="390">
        <v>-0.53</v>
      </c>
      <c r="AO24" s="443">
        <v>-0.52</v>
      </c>
      <c r="AP24" s="443">
        <v>-0.52</v>
      </c>
      <c r="AQ24" s="444">
        <v>-0.47</v>
      </c>
    </row>
    <row r="25" spans="1:43" ht="14.45" x14ac:dyDescent="0.3">
      <c r="A25" s="432"/>
      <c r="C25" s="433"/>
      <c r="D25" s="433"/>
      <c r="E25" s="433"/>
      <c r="F25" s="433"/>
      <c r="G25" s="433"/>
      <c r="H25" s="433"/>
      <c r="I25" s="433"/>
      <c r="J25" s="433"/>
      <c r="K25" s="433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430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551" t="s">
        <v>1009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551" t="s">
        <v>1013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551" t="s">
        <v>1017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432"/>
      <c r="B27" s="428" t="s">
        <v>186</v>
      </c>
      <c r="C27" s="368">
        <v>-0.5</v>
      </c>
      <c r="D27" s="440">
        <v>-0.51</v>
      </c>
      <c r="E27" s="369">
        <v>-0.52</v>
      </c>
      <c r="F27" s="370">
        <v>-0.53</v>
      </c>
      <c r="G27" s="370">
        <v>-0.52</v>
      </c>
      <c r="H27" s="371">
        <v>-0.48</v>
      </c>
      <c r="I27" s="371">
        <v>-0.48</v>
      </c>
      <c r="J27" s="372">
        <v>-0.38</v>
      </c>
      <c r="K27" s="433"/>
      <c r="L27" s="551"/>
      <c r="M27" s="433" t="s">
        <v>186</v>
      </c>
      <c r="N27" s="368">
        <v>-0.53</v>
      </c>
      <c r="O27" s="440">
        <v>-0.53</v>
      </c>
      <c r="P27" s="369">
        <v>-0.58000000000000007</v>
      </c>
      <c r="Q27" s="370">
        <v>-0.58000000000000007</v>
      </c>
      <c r="R27" s="370">
        <v>-0.56000000000000005</v>
      </c>
      <c r="S27" s="371">
        <v>-0.53</v>
      </c>
      <c r="T27" s="371">
        <v>-0.53</v>
      </c>
      <c r="U27" s="372">
        <v>-0.41</v>
      </c>
      <c r="V27" s="433"/>
      <c r="W27" s="551"/>
      <c r="X27" s="433" t="s">
        <v>186</v>
      </c>
      <c r="Y27" s="368">
        <v>-0.64</v>
      </c>
      <c r="Z27" s="440">
        <v>-0.62</v>
      </c>
      <c r="AA27" s="369">
        <v>-0.64</v>
      </c>
      <c r="AB27" s="370">
        <v>-0.63</v>
      </c>
      <c r="AC27" s="370">
        <v>-0.60999999999999988</v>
      </c>
      <c r="AD27" s="371">
        <v>-0.59</v>
      </c>
      <c r="AE27" s="371">
        <v>-0.59</v>
      </c>
      <c r="AF27" s="372">
        <v>-0.45</v>
      </c>
      <c r="AG27" s="433"/>
      <c r="AH27" s="551"/>
      <c r="AI27" s="433" t="s">
        <v>186</v>
      </c>
      <c r="AJ27" s="368">
        <v>-0.75</v>
      </c>
      <c r="AK27" s="440">
        <v>-0.74</v>
      </c>
      <c r="AL27" s="369">
        <v>-0.74</v>
      </c>
      <c r="AM27" s="370">
        <v>-0.73</v>
      </c>
      <c r="AN27" s="370">
        <v>-0.72</v>
      </c>
      <c r="AO27" s="371">
        <v>-0.67</v>
      </c>
      <c r="AP27" s="371">
        <v>-0.66</v>
      </c>
      <c r="AQ27" s="372">
        <v>-0.53</v>
      </c>
    </row>
    <row r="28" spans="1:43" x14ac:dyDescent="0.25">
      <c r="A28" s="432"/>
      <c r="B28" s="428" t="s">
        <v>213</v>
      </c>
      <c r="C28" s="373">
        <v>-0.48</v>
      </c>
      <c r="D28" s="374">
        <v>-0.49</v>
      </c>
      <c r="E28" s="375">
        <v>-0.52</v>
      </c>
      <c r="F28" s="376">
        <v>-0.53</v>
      </c>
      <c r="G28" s="376">
        <v>-0.51</v>
      </c>
      <c r="H28" s="377">
        <v>-0.45</v>
      </c>
      <c r="I28" s="377">
        <v>-0.45</v>
      </c>
      <c r="J28" s="378">
        <v>-0.37</v>
      </c>
      <c r="K28" s="433"/>
      <c r="L28" s="551"/>
      <c r="M28" s="433" t="s">
        <v>213</v>
      </c>
      <c r="N28" s="373">
        <v>-0.52</v>
      </c>
      <c r="O28" s="374">
        <v>-0.53</v>
      </c>
      <c r="P28" s="375">
        <v>-0.56999999999999995</v>
      </c>
      <c r="Q28" s="376">
        <v>-0.56999999999999995</v>
      </c>
      <c r="R28" s="376">
        <v>-0.55000000000000004</v>
      </c>
      <c r="S28" s="377">
        <v>-0.53</v>
      </c>
      <c r="T28" s="377">
        <v>-0.51</v>
      </c>
      <c r="U28" s="378">
        <v>-0.44</v>
      </c>
      <c r="V28" s="433"/>
      <c r="W28" s="551"/>
      <c r="X28" s="433" t="s">
        <v>213</v>
      </c>
      <c r="Y28" s="373">
        <v>-0.6</v>
      </c>
      <c r="Z28" s="374">
        <v>-0.6</v>
      </c>
      <c r="AA28" s="375">
        <v>-0.63</v>
      </c>
      <c r="AB28" s="376">
        <v>-0.62</v>
      </c>
      <c r="AC28" s="376">
        <v>-0.60999999999999988</v>
      </c>
      <c r="AD28" s="377">
        <v>-0.56999999999999995</v>
      </c>
      <c r="AE28" s="377">
        <v>-0.57999999999999996</v>
      </c>
      <c r="AF28" s="378">
        <v>-0.51</v>
      </c>
      <c r="AG28" s="433"/>
      <c r="AH28" s="551"/>
      <c r="AI28" s="433" t="s">
        <v>213</v>
      </c>
      <c r="AJ28" s="373">
        <v>-0.73</v>
      </c>
      <c r="AK28" s="374">
        <v>-0.73</v>
      </c>
      <c r="AL28" s="375">
        <v>-0.73</v>
      </c>
      <c r="AM28" s="376">
        <v>-0.72</v>
      </c>
      <c r="AN28" s="376">
        <v>-0.71</v>
      </c>
      <c r="AO28" s="377">
        <v>-0.66</v>
      </c>
      <c r="AP28" s="377">
        <v>-0.64</v>
      </c>
      <c r="AQ28" s="378">
        <v>-0.52</v>
      </c>
    </row>
    <row r="29" spans="1:43" x14ac:dyDescent="0.25">
      <c r="A29" s="432"/>
      <c r="B29" s="428" t="s">
        <v>232</v>
      </c>
      <c r="C29" s="379">
        <v>-0.45</v>
      </c>
      <c r="D29" s="380">
        <v>-0.48</v>
      </c>
      <c r="E29" s="381">
        <v>-0.51</v>
      </c>
      <c r="F29" s="376">
        <v>-0.51</v>
      </c>
      <c r="G29" s="376">
        <v>-0.51</v>
      </c>
      <c r="H29" s="377">
        <v>-0.46</v>
      </c>
      <c r="I29" s="377">
        <v>-0.47</v>
      </c>
      <c r="J29" s="378">
        <v>-0.37</v>
      </c>
      <c r="K29" s="433"/>
      <c r="L29" s="551"/>
      <c r="M29" s="433" t="s">
        <v>232</v>
      </c>
      <c r="N29" s="379">
        <v>-0.51</v>
      </c>
      <c r="O29" s="380">
        <v>-0.53</v>
      </c>
      <c r="P29" s="381">
        <v>-0.58000000000000007</v>
      </c>
      <c r="Q29" s="376">
        <v>-0.57000000000000006</v>
      </c>
      <c r="R29" s="376">
        <v>-0.56000000000000005</v>
      </c>
      <c r="S29" s="377">
        <v>-0.53</v>
      </c>
      <c r="T29" s="377">
        <v>-0.53</v>
      </c>
      <c r="U29" s="378">
        <v>-0.42</v>
      </c>
      <c r="V29" s="433"/>
      <c r="W29" s="551"/>
      <c r="X29" s="433" t="s">
        <v>232</v>
      </c>
      <c r="Y29" s="379">
        <v>-0.59</v>
      </c>
      <c r="Z29" s="380">
        <v>-0.62</v>
      </c>
      <c r="AA29" s="381">
        <v>-0.62</v>
      </c>
      <c r="AB29" s="376">
        <v>-0.60999999999999988</v>
      </c>
      <c r="AC29" s="376">
        <v>-0.62</v>
      </c>
      <c r="AD29" s="377">
        <v>-0.56999999999999995</v>
      </c>
      <c r="AE29" s="377">
        <v>-0.59</v>
      </c>
      <c r="AF29" s="378">
        <v>-0.49</v>
      </c>
      <c r="AG29" s="433"/>
      <c r="AH29" s="551"/>
      <c r="AI29" s="433" t="s">
        <v>232</v>
      </c>
      <c r="AJ29" s="379">
        <v>-0.69</v>
      </c>
      <c r="AK29" s="380">
        <v>-0.72</v>
      </c>
      <c r="AL29" s="381">
        <v>-0.71</v>
      </c>
      <c r="AM29" s="376">
        <v>-0.7</v>
      </c>
      <c r="AN29" s="376">
        <v>-0.69</v>
      </c>
      <c r="AO29" s="377">
        <v>-0.65</v>
      </c>
      <c r="AP29" s="377">
        <v>-0.65</v>
      </c>
      <c r="AQ29" s="378">
        <v>-0.5</v>
      </c>
    </row>
    <row r="30" spans="1:43" x14ac:dyDescent="0.25">
      <c r="A30" s="432"/>
      <c r="B30" s="428" t="s">
        <v>215</v>
      </c>
      <c r="C30" s="382">
        <v>-0.46</v>
      </c>
      <c r="D30" s="383">
        <v>-0.48</v>
      </c>
      <c r="E30" s="383">
        <v>-0.49</v>
      </c>
      <c r="F30" s="384">
        <v>-0.48</v>
      </c>
      <c r="G30" s="384">
        <v>-0.49</v>
      </c>
      <c r="H30" s="393">
        <v>-0.45500000000000002</v>
      </c>
      <c r="I30" s="393">
        <v>-0.46</v>
      </c>
      <c r="J30" s="394">
        <v>-0.4</v>
      </c>
      <c r="K30" s="433"/>
      <c r="L30" s="551"/>
      <c r="M30" s="433" t="s">
        <v>215</v>
      </c>
      <c r="N30" s="382">
        <v>-0.51</v>
      </c>
      <c r="O30" s="383">
        <v>-0.52</v>
      </c>
      <c r="P30" s="383">
        <v>-0.54</v>
      </c>
      <c r="Q30" s="384">
        <v>-0.53</v>
      </c>
      <c r="R30" s="384">
        <v>-0.53</v>
      </c>
      <c r="S30" s="393">
        <v>-0.505</v>
      </c>
      <c r="T30" s="393">
        <v>-0.49</v>
      </c>
      <c r="U30" s="394">
        <v>-0.44</v>
      </c>
      <c r="V30" s="433"/>
      <c r="W30" s="551"/>
      <c r="X30" s="433" t="s">
        <v>215</v>
      </c>
      <c r="Y30" s="382">
        <v>-0.57000000000000006</v>
      </c>
      <c r="Z30" s="383">
        <v>-0.6</v>
      </c>
      <c r="AA30" s="383">
        <v>-0.60999999999999988</v>
      </c>
      <c r="AB30" s="384">
        <v>-0.59000000000000008</v>
      </c>
      <c r="AC30" s="384">
        <v>-0.6</v>
      </c>
      <c r="AD30" s="393">
        <v>-0.55999999999999994</v>
      </c>
      <c r="AE30" s="393">
        <v>-0.56000000000000005</v>
      </c>
      <c r="AF30" s="394">
        <v>-0.5</v>
      </c>
      <c r="AG30" s="433"/>
      <c r="AH30" s="551"/>
      <c r="AI30" s="433" t="s">
        <v>215</v>
      </c>
      <c r="AJ30" s="382">
        <v>-0.67</v>
      </c>
      <c r="AK30" s="383">
        <v>-0.68</v>
      </c>
      <c r="AL30" s="383">
        <v>-0.68</v>
      </c>
      <c r="AM30" s="384">
        <v>-0.68</v>
      </c>
      <c r="AN30" s="384">
        <v>-0.68</v>
      </c>
      <c r="AO30" s="393">
        <v>-0.62</v>
      </c>
      <c r="AP30" s="393">
        <v>-0.63</v>
      </c>
      <c r="AQ30" s="394">
        <v>-0.52</v>
      </c>
    </row>
    <row r="31" spans="1:43" x14ac:dyDescent="0.25">
      <c r="A31" s="432"/>
      <c r="B31" s="428" t="s">
        <v>249</v>
      </c>
      <c r="C31" s="382">
        <v>-0.48</v>
      </c>
      <c r="D31" s="383">
        <v>-0.48</v>
      </c>
      <c r="E31" s="383">
        <v>-0.47</v>
      </c>
      <c r="F31" s="384">
        <v>-0.49</v>
      </c>
      <c r="G31" s="384">
        <v>-0.48</v>
      </c>
      <c r="H31" s="393">
        <v>-0.46</v>
      </c>
      <c r="I31" s="393">
        <v>-0.45</v>
      </c>
      <c r="J31" s="394">
        <v>-0.38</v>
      </c>
      <c r="K31" s="433"/>
      <c r="L31" s="551"/>
      <c r="M31" s="433" t="s">
        <v>249</v>
      </c>
      <c r="N31" s="382">
        <v>-0.5</v>
      </c>
      <c r="O31" s="383">
        <v>-0.5</v>
      </c>
      <c r="P31" s="383">
        <v>-0.5</v>
      </c>
      <c r="Q31" s="384">
        <v>-0.5</v>
      </c>
      <c r="R31" s="384">
        <v>-0.52</v>
      </c>
      <c r="S31" s="393">
        <v>-0.5</v>
      </c>
      <c r="T31" s="393">
        <v>-0.48</v>
      </c>
      <c r="U31" s="394">
        <v>-0.45</v>
      </c>
      <c r="V31" s="433"/>
      <c r="W31" s="551"/>
      <c r="X31" s="433" t="s">
        <v>249</v>
      </c>
      <c r="Y31" s="382">
        <v>-0.54</v>
      </c>
      <c r="Z31" s="383">
        <v>-0.57000000000000006</v>
      </c>
      <c r="AA31" s="383">
        <v>-0.58000000000000007</v>
      </c>
      <c r="AB31" s="384">
        <v>-0.56000000000000005</v>
      </c>
      <c r="AC31" s="384">
        <v>-0.58000000000000007</v>
      </c>
      <c r="AD31" s="393">
        <v>-0.55000000000000004</v>
      </c>
      <c r="AE31" s="393">
        <v>-0.55000000000000004</v>
      </c>
      <c r="AF31" s="394">
        <v>-0.46</v>
      </c>
      <c r="AG31" s="433"/>
      <c r="AH31" s="551"/>
      <c r="AI31" s="433" t="s">
        <v>249</v>
      </c>
      <c r="AJ31" s="382">
        <v>-0.67</v>
      </c>
      <c r="AK31" s="383">
        <v>-0.66</v>
      </c>
      <c r="AL31" s="383">
        <v>-0.67</v>
      </c>
      <c r="AM31" s="384">
        <v>-0.63</v>
      </c>
      <c r="AN31" s="384">
        <v>-0.66</v>
      </c>
      <c r="AO31" s="393">
        <v>-0.61</v>
      </c>
      <c r="AP31" s="393">
        <v>-0.61</v>
      </c>
      <c r="AQ31" s="394">
        <v>-0.5</v>
      </c>
    </row>
    <row r="32" spans="1:43" x14ac:dyDescent="0.25">
      <c r="A32" s="432"/>
      <c r="B32" s="428" t="s">
        <v>257</v>
      </c>
      <c r="C32" s="382">
        <v>-0.43</v>
      </c>
      <c r="D32" s="383">
        <v>-0.43</v>
      </c>
      <c r="E32" s="383">
        <v>-0.4</v>
      </c>
      <c r="F32" s="384">
        <v>-0.43</v>
      </c>
      <c r="G32" s="384">
        <v>-0.42</v>
      </c>
      <c r="H32" s="393">
        <v>-0.4</v>
      </c>
      <c r="I32" s="393">
        <v>-0.43</v>
      </c>
      <c r="J32" s="394">
        <v>-0.35</v>
      </c>
      <c r="K32" s="433"/>
      <c r="L32" s="551"/>
      <c r="M32" s="433" t="s">
        <v>257</v>
      </c>
      <c r="N32" s="382">
        <v>-0.46</v>
      </c>
      <c r="O32" s="383">
        <v>-0.46</v>
      </c>
      <c r="P32" s="383">
        <v>-0.45</v>
      </c>
      <c r="Q32" s="384">
        <v>-0.45</v>
      </c>
      <c r="R32" s="384">
        <v>-0.45</v>
      </c>
      <c r="S32" s="393">
        <v>-0.42</v>
      </c>
      <c r="T32" s="393">
        <v>-0.45</v>
      </c>
      <c r="U32" s="394">
        <v>-0.39</v>
      </c>
      <c r="V32" s="433"/>
      <c r="W32" s="551"/>
      <c r="X32" s="433" t="s">
        <v>257</v>
      </c>
      <c r="Y32" s="382">
        <v>-0.52</v>
      </c>
      <c r="Z32" s="383">
        <v>-0.55000000000000004</v>
      </c>
      <c r="AA32" s="383">
        <v>-0.57000000000000006</v>
      </c>
      <c r="AB32" s="384">
        <v>-0.53</v>
      </c>
      <c r="AC32" s="384">
        <v>-0.53</v>
      </c>
      <c r="AD32" s="393">
        <v>-0.51</v>
      </c>
      <c r="AE32" s="393">
        <v>-0.51</v>
      </c>
      <c r="AF32" s="394">
        <v>-0.46</v>
      </c>
      <c r="AG32" s="433"/>
      <c r="AH32" s="551"/>
      <c r="AI32" s="433" t="s">
        <v>257</v>
      </c>
      <c r="AJ32" s="382">
        <v>-0.64</v>
      </c>
      <c r="AK32" s="383">
        <v>-0.64</v>
      </c>
      <c r="AL32" s="383">
        <v>-0.64</v>
      </c>
      <c r="AM32" s="384">
        <v>-0.61</v>
      </c>
      <c r="AN32" s="384">
        <v>-0.61</v>
      </c>
      <c r="AO32" s="393">
        <v>-0.59</v>
      </c>
      <c r="AP32" s="393">
        <v>-0.59</v>
      </c>
      <c r="AQ32" s="394">
        <v>-0.49</v>
      </c>
    </row>
    <row r="33" spans="1:43" x14ac:dyDescent="0.25">
      <c r="A33" s="432"/>
      <c r="B33" s="428" t="s">
        <v>264</v>
      </c>
      <c r="C33" s="385">
        <v>-0.41</v>
      </c>
      <c r="D33" s="386">
        <v>-0.4</v>
      </c>
      <c r="E33" s="386">
        <v>-0.41</v>
      </c>
      <c r="F33" s="387">
        <v>-0.42</v>
      </c>
      <c r="G33" s="387">
        <v>-0.42</v>
      </c>
      <c r="H33" s="441">
        <v>-0.39</v>
      </c>
      <c r="I33" s="441">
        <v>-0.42</v>
      </c>
      <c r="J33" s="442">
        <v>-0.35</v>
      </c>
      <c r="K33" s="433"/>
      <c r="L33" s="551"/>
      <c r="M33" s="433" t="s">
        <v>264</v>
      </c>
      <c r="N33" s="385">
        <v>-0.42</v>
      </c>
      <c r="O33" s="386">
        <v>-0.41</v>
      </c>
      <c r="P33" s="386">
        <v>-0.44</v>
      </c>
      <c r="Q33" s="387">
        <v>-0.43</v>
      </c>
      <c r="R33" s="387">
        <v>-0.46</v>
      </c>
      <c r="S33" s="441">
        <v>-0.43</v>
      </c>
      <c r="T33" s="441">
        <v>-0.45</v>
      </c>
      <c r="U33" s="442">
        <v>-0.38</v>
      </c>
      <c r="V33" s="433"/>
      <c r="W33" s="551"/>
      <c r="X33" s="433" t="s">
        <v>264</v>
      </c>
      <c r="Y33" s="385">
        <v>-0.49</v>
      </c>
      <c r="Z33" s="386">
        <v>-0.48</v>
      </c>
      <c r="AA33" s="386">
        <v>-0.51</v>
      </c>
      <c r="AB33" s="387">
        <v>-0.51</v>
      </c>
      <c r="AC33" s="387">
        <v>-0.51</v>
      </c>
      <c r="AD33" s="441">
        <v>-0.5</v>
      </c>
      <c r="AE33" s="441">
        <v>-0.51</v>
      </c>
      <c r="AF33" s="442">
        <v>-0.41</v>
      </c>
      <c r="AG33" s="433"/>
      <c r="AH33" s="551"/>
      <c r="AI33" s="433" t="s">
        <v>264</v>
      </c>
      <c r="AJ33" s="385">
        <v>-0.65</v>
      </c>
      <c r="AK33" s="386">
        <v>-0.63</v>
      </c>
      <c r="AL33" s="386">
        <v>-0.65</v>
      </c>
      <c r="AM33" s="387">
        <v>-0.64</v>
      </c>
      <c r="AN33" s="387">
        <v>-0.63</v>
      </c>
      <c r="AO33" s="441">
        <v>-0.6</v>
      </c>
      <c r="AP33" s="441">
        <v>-0.6</v>
      </c>
      <c r="AQ33" s="442">
        <v>-0.49</v>
      </c>
    </row>
    <row r="34" spans="1:43" x14ac:dyDescent="0.25">
      <c r="A34" s="432"/>
      <c r="B34" s="428" t="s">
        <v>272</v>
      </c>
      <c r="C34" s="385">
        <v>-0.42</v>
      </c>
      <c r="D34" s="386">
        <v>-0.4</v>
      </c>
      <c r="E34" s="386">
        <v>-0.41</v>
      </c>
      <c r="F34" s="387">
        <v>-0.41</v>
      </c>
      <c r="G34" s="387">
        <v>-0.43</v>
      </c>
      <c r="H34" s="441">
        <v>-0.4</v>
      </c>
      <c r="I34" s="441">
        <v>-0.43</v>
      </c>
      <c r="J34" s="442">
        <v>-0.34</v>
      </c>
      <c r="K34" s="433"/>
      <c r="L34" s="551"/>
      <c r="M34" s="433" t="s">
        <v>272</v>
      </c>
      <c r="N34" s="385">
        <v>-0.43</v>
      </c>
      <c r="O34" s="386">
        <v>-0.43</v>
      </c>
      <c r="P34" s="386">
        <v>-0.44</v>
      </c>
      <c r="Q34" s="387">
        <v>-0.44</v>
      </c>
      <c r="R34" s="387">
        <v>-0.46</v>
      </c>
      <c r="S34" s="441">
        <v>-0.42</v>
      </c>
      <c r="T34" s="441">
        <v>-0.44</v>
      </c>
      <c r="U34" s="442">
        <v>-0.4</v>
      </c>
      <c r="V34" s="433"/>
      <c r="W34" s="551"/>
      <c r="X34" s="433" t="s">
        <v>272</v>
      </c>
      <c r="Y34" s="385">
        <v>-0.48</v>
      </c>
      <c r="Z34" s="386">
        <v>-0.46</v>
      </c>
      <c r="AA34" s="386">
        <v>-0.48</v>
      </c>
      <c r="AB34" s="387">
        <v>-0.49</v>
      </c>
      <c r="AC34" s="387">
        <v>-0.48</v>
      </c>
      <c r="AD34" s="441">
        <v>-0.48</v>
      </c>
      <c r="AE34" s="441">
        <v>-0.48</v>
      </c>
      <c r="AF34" s="442">
        <v>-0.43</v>
      </c>
      <c r="AG34" s="433"/>
      <c r="AH34" s="551"/>
      <c r="AI34" s="433" t="s">
        <v>272</v>
      </c>
      <c r="AJ34" s="385">
        <v>-0.64</v>
      </c>
      <c r="AK34" s="386">
        <v>-0.61</v>
      </c>
      <c r="AL34" s="386">
        <v>-0.63</v>
      </c>
      <c r="AM34" s="387">
        <v>-0.63</v>
      </c>
      <c r="AN34" s="387">
        <v>-0.62</v>
      </c>
      <c r="AO34" s="441">
        <v>-0.59</v>
      </c>
      <c r="AP34" s="441">
        <v>-0.59</v>
      </c>
      <c r="AQ34" s="442">
        <v>-0.5</v>
      </c>
    </row>
    <row r="35" spans="1:43" x14ac:dyDescent="0.25">
      <c r="A35" s="432"/>
      <c r="B35" s="428" t="s">
        <v>278</v>
      </c>
      <c r="C35" s="385">
        <v>-0.37</v>
      </c>
      <c r="D35" s="386">
        <v>-0.36</v>
      </c>
      <c r="E35" s="386">
        <v>-0.39</v>
      </c>
      <c r="F35" s="387">
        <v>-0.4</v>
      </c>
      <c r="G35" s="387">
        <v>-0.39</v>
      </c>
      <c r="H35" s="441">
        <v>-0.38</v>
      </c>
      <c r="I35" s="441">
        <v>-0.39</v>
      </c>
      <c r="J35" s="442">
        <v>-0.34</v>
      </c>
      <c r="K35" s="433"/>
      <c r="L35" s="551"/>
      <c r="M35" s="433" t="s">
        <v>278</v>
      </c>
      <c r="N35" s="385">
        <v>-0.43</v>
      </c>
      <c r="O35" s="386">
        <v>-0.42</v>
      </c>
      <c r="P35" s="386">
        <v>-0.44</v>
      </c>
      <c r="Q35" s="387">
        <v>-0.43</v>
      </c>
      <c r="R35" s="387">
        <v>-0.45</v>
      </c>
      <c r="S35" s="441">
        <v>-0.44</v>
      </c>
      <c r="T35" s="441">
        <v>-0.44</v>
      </c>
      <c r="U35" s="442">
        <v>-0.38</v>
      </c>
      <c r="V35" s="433"/>
      <c r="W35" s="551"/>
      <c r="X35" s="433" t="s">
        <v>278</v>
      </c>
      <c r="Y35" s="385">
        <v>-0.49</v>
      </c>
      <c r="Z35" s="386">
        <v>-0.46</v>
      </c>
      <c r="AA35" s="386">
        <v>-0.47</v>
      </c>
      <c r="AB35" s="387">
        <v>-0.48</v>
      </c>
      <c r="AC35" s="387">
        <v>-0.5</v>
      </c>
      <c r="AD35" s="441">
        <v>-0.45</v>
      </c>
      <c r="AE35" s="441">
        <v>-0.46</v>
      </c>
      <c r="AF35" s="442">
        <v>-0.41</v>
      </c>
      <c r="AG35" s="433"/>
      <c r="AH35" s="551"/>
      <c r="AI35" s="433" t="s">
        <v>278</v>
      </c>
      <c r="AJ35" s="385">
        <v>-0.63</v>
      </c>
      <c r="AK35" s="386">
        <v>-0.59</v>
      </c>
      <c r="AL35" s="386">
        <v>-0.59</v>
      </c>
      <c r="AM35" s="387">
        <v>-0.59</v>
      </c>
      <c r="AN35" s="387">
        <v>-0.61</v>
      </c>
      <c r="AO35" s="441">
        <v>-0.54999999999999993</v>
      </c>
      <c r="AP35" s="441">
        <v>-0.55999999999999994</v>
      </c>
      <c r="AQ35" s="442">
        <v>-0.5</v>
      </c>
    </row>
    <row r="36" spans="1:43" x14ac:dyDescent="0.25">
      <c r="A36" s="432"/>
      <c r="B36" s="428" t="s">
        <v>284</v>
      </c>
      <c r="C36" s="388">
        <v>-0.37</v>
      </c>
      <c r="D36" s="389">
        <v>-0.37</v>
      </c>
      <c r="E36" s="389">
        <v>-0.36</v>
      </c>
      <c r="F36" s="390">
        <v>-0.38</v>
      </c>
      <c r="G36" s="390">
        <v>-0.39</v>
      </c>
      <c r="H36" s="443">
        <v>-0.37</v>
      </c>
      <c r="I36" s="443">
        <v>-0.39</v>
      </c>
      <c r="J36" s="444">
        <v>-0.34</v>
      </c>
      <c r="K36" s="433"/>
      <c r="L36" s="551"/>
      <c r="M36" s="433" t="s">
        <v>284</v>
      </c>
      <c r="N36" s="388">
        <v>-0.44</v>
      </c>
      <c r="O36" s="389">
        <v>-0.44</v>
      </c>
      <c r="P36" s="389">
        <v>-0.41</v>
      </c>
      <c r="Q36" s="390">
        <v>-0.44</v>
      </c>
      <c r="R36" s="390">
        <v>-0.44</v>
      </c>
      <c r="S36" s="443">
        <v>-0.41</v>
      </c>
      <c r="T36" s="443">
        <v>-0.46</v>
      </c>
      <c r="U36" s="444">
        <v>-0.4</v>
      </c>
      <c r="V36" s="433"/>
      <c r="W36" s="551"/>
      <c r="X36" s="433" t="s">
        <v>284</v>
      </c>
      <c r="Y36" s="388">
        <v>-0.48</v>
      </c>
      <c r="Z36" s="389">
        <v>-0.49</v>
      </c>
      <c r="AA36" s="389">
        <v>-0.46</v>
      </c>
      <c r="AB36" s="390">
        <v>-0.46</v>
      </c>
      <c r="AC36" s="390">
        <v>-0.46</v>
      </c>
      <c r="AD36" s="443">
        <v>-0.46</v>
      </c>
      <c r="AE36" s="443">
        <v>-0.48</v>
      </c>
      <c r="AF36" s="444">
        <v>-0.44</v>
      </c>
      <c r="AG36" s="433"/>
      <c r="AH36" s="551"/>
      <c r="AI36" s="433" t="s">
        <v>284</v>
      </c>
      <c r="AJ36" s="388">
        <v>-0.61</v>
      </c>
      <c r="AK36" s="389">
        <v>-0.6</v>
      </c>
      <c r="AL36" s="389">
        <v>-0.56999999999999995</v>
      </c>
      <c r="AM36" s="390">
        <v>-0.56000000000000005</v>
      </c>
      <c r="AN36" s="390">
        <v>-0.55999999999999994</v>
      </c>
      <c r="AO36" s="443">
        <v>-0.54999999999999993</v>
      </c>
      <c r="AP36" s="443">
        <v>-0.54999999999999993</v>
      </c>
      <c r="AQ36" s="444">
        <v>-0.51</v>
      </c>
    </row>
    <row r="37" spans="1:43" x14ac:dyDescent="0.25">
      <c r="A37" s="432"/>
      <c r="C37" s="433"/>
      <c r="D37" s="433"/>
      <c r="E37" s="433"/>
      <c r="F37" s="433"/>
      <c r="G37" s="433"/>
      <c r="H37" s="433"/>
      <c r="I37" s="433"/>
      <c r="J37" s="433"/>
      <c r="K37" s="433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430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551" t="s">
        <v>1010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551" t="s">
        <v>1014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551" t="s">
        <v>1018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432"/>
      <c r="B39" s="428" t="s">
        <v>186</v>
      </c>
      <c r="C39" s="368">
        <v>-0.57999999999999996</v>
      </c>
      <c r="D39" s="440">
        <v>-0.57000000000000006</v>
      </c>
      <c r="E39" s="369">
        <v>-0.59000000000000008</v>
      </c>
      <c r="F39" s="370">
        <v>-0.58000000000000007</v>
      </c>
      <c r="G39" s="370">
        <v>-0.58000000000000007</v>
      </c>
      <c r="H39" s="371">
        <v>-0.56000000000000005</v>
      </c>
      <c r="I39" s="371">
        <v>-0.55000000000000004</v>
      </c>
      <c r="J39" s="372">
        <v>-0.44</v>
      </c>
      <c r="K39" s="433"/>
      <c r="L39" s="551"/>
      <c r="M39" s="433" t="s">
        <v>186</v>
      </c>
      <c r="N39" s="368">
        <v>-0.62</v>
      </c>
      <c r="O39" s="440">
        <v>-0.61</v>
      </c>
      <c r="P39" s="369">
        <v>-0.64</v>
      </c>
      <c r="Q39" s="370">
        <v>-0.63</v>
      </c>
      <c r="R39" s="370">
        <v>-0.62</v>
      </c>
      <c r="S39" s="371">
        <v>-0.6</v>
      </c>
      <c r="T39" s="371">
        <v>-0.58000000000000007</v>
      </c>
      <c r="U39" s="372">
        <v>-0.45</v>
      </c>
      <c r="V39" s="433"/>
      <c r="W39" s="551"/>
      <c r="X39" s="433" t="s">
        <v>186</v>
      </c>
      <c r="Y39" s="368">
        <v>-0.69</v>
      </c>
      <c r="Z39" s="440">
        <v>-0.66</v>
      </c>
      <c r="AA39" s="369">
        <v>-0.67</v>
      </c>
      <c r="AB39" s="370">
        <v>-0.68</v>
      </c>
      <c r="AC39" s="370">
        <v>-0.67</v>
      </c>
      <c r="AD39" s="371">
        <v>-0.64</v>
      </c>
      <c r="AE39" s="371">
        <v>-0.62</v>
      </c>
      <c r="AF39" s="372">
        <v>-0.5</v>
      </c>
      <c r="AG39" s="433"/>
      <c r="AH39" s="551"/>
      <c r="AI39" s="433" t="s">
        <v>186</v>
      </c>
      <c r="AJ39" s="368">
        <v>-0.77</v>
      </c>
      <c r="AK39" s="440">
        <v>-0.76</v>
      </c>
      <c r="AL39" s="369">
        <v>-0.77</v>
      </c>
      <c r="AM39" s="370">
        <v>-0.75</v>
      </c>
      <c r="AN39" s="370">
        <v>-0.74</v>
      </c>
      <c r="AO39" s="371">
        <v>-0.69</v>
      </c>
      <c r="AP39" s="371">
        <v>-0.68</v>
      </c>
      <c r="AQ39" s="372">
        <v>-0.55000000000000004</v>
      </c>
    </row>
    <row r="40" spans="1:43" x14ac:dyDescent="0.25">
      <c r="A40" s="432"/>
      <c r="B40" s="428" t="s">
        <v>213</v>
      </c>
      <c r="C40" s="373">
        <v>-0.55000000000000004</v>
      </c>
      <c r="D40" s="374">
        <v>-0.54</v>
      </c>
      <c r="E40" s="375">
        <v>-0.56999999999999995</v>
      </c>
      <c r="F40" s="376">
        <v>-0.56999999999999995</v>
      </c>
      <c r="G40" s="376">
        <v>-0.55000000000000004</v>
      </c>
      <c r="H40" s="377">
        <v>-0.53</v>
      </c>
      <c r="I40" s="377">
        <v>-0.5</v>
      </c>
      <c r="J40" s="378">
        <v>-0.44</v>
      </c>
      <c r="K40" s="433"/>
      <c r="L40" s="551"/>
      <c r="M40" s="433" t="s">
        <v>213</v>
      </c>
      <c r="N40" s="373">
        <v>-0.61</v>
      </c>
      <c r="O40" s="374">
        <v>-0.6</v>
      </c>
      <c r="P40" s="375">
        <v>-0.63</v>
      </c>
      <c r="Q40" s="376">
        <v>-0.62</v>
      </c>
      <c r="R40" s="376">
        <v>-0.57999999999999996</v>
      </c>
      <c r="S40" s="377">
        <v>-0.56000000000000005</v>
      </c>
      <c r="T40" s="377">
        <v>-0.53</v>
      </c>
      <c r="U40" s="378">
        <v>-0.46</v>
      </c>
      <c r="V40" s="433"/>
      <c r="W40" s="551"/>
      <c r="X40" s="433" t="s">
        <v>213</v>
      </c>
      <c r="Y40" s="373">
        <v>-0.67</v>
      </c>
      <c r="Z40" s="374">
        <v>-0.65</v>
      </c>
      <c r="AA40" s="375">
        <v>-0.67</v>
      </c>
      <c r="AB40" s="376">
        <v>-0.67</v>
      </c>
      <c r="AC40" s="376">
        <v>-0.66</v>
      </c>
      <c r="AD40" s="377">
        <v>-0.63</v>
      </c>
      <c r="AE40" s="377">
        <v>-0.61</v>
      </c>
      <c r="AF40" s="378">
        <v>-0.53</v>
      </c>
      <c r="AG40" s="433"/>
      <c r="AH40" s="551"/>
      <c r="AI40" s="433" t="s">
        <v>213</v>
      </c>
      <c r="AJ40" s="373">
        <v>-0.76</v>
      </c>
      <c r="AK40" s="374">
        <v>-0.77</v>
      </c>
      <c r="AL40" s="375">
        <v>-0.76</v>
      </c>
      <c r="AM40" s="376">
        <v>-0.74</v>
      </c>
      <c r="AN40" s="376">
        <v>-0.73</v>
      </c>
      <c r="AO40" s="377">
        <v>-0.68</v>
      </c>
      <c r="AP40" s="377">
        <v>-0.66</v>
      </c>
      <c r="AQ40" s="378">
        <v>-0.54</v>
      </c>
    </row>
    <row r="41" spans="1:43" x14ac:dyDescent="0.25">
      <c r="A41" s="432"/>
      <c r="B41" s="428" t="s">
        <v>232</v>
      </c>
      <c r="C41" s="379">
        <v>-0.54</v>
      </c>
      <c r="D41" s="380">
        <v>-0.54</v>
      </c>
      <c r="E41" s="381">
        <v>-0.56000000000000005</v>
      </c>
      <c r="F41" s="376">
        <v>-0.55000000000000004</v>
      </c>
      <c r="G41" s="376">
        <v>-0.55000000000000004</v>
      </c>
      <c r="H41" s="377">
        <v>-0.51</v>
      </c>
      <c r="I41" s="377">
        <v>-0.52</v>
      </c>
      <c r="J41" s="378">
        <v>-0.42</v>
      </c>
      <c r="K41" s="433"/>
      <c r="L41" s="551"/>
      <c r="M41" s="433" t="s">
        <v>232</v>
      </c>
      <c r="N41" s="379">
        <v>-0.57999999999999996</v>
      </c>
      <c r="O41" s="380">
        <v>-0.58000000000000007</v>
      </c>
      <c r="P41" s="381">
        <v>-0.60999999999999988</v>
      </c>
      <c r="Q41" s="376">
        <v>-0.6</v>
      </c>
      <c r="R41" s="376">
        <v>-0.58000000000000007</v>
      </c>
      <c r="S41" s="377">
        <v>-0.55000000000000004</v>
      </c>
      <c r="T41" s="377">
        <v>-0.55000000000000004</v>
      </c>
      <c r="U41" s="378">
        <v>-0.44</v>
      </c>
      <c r="V41" s="433"/>
      <c r="W41" s="551"/>
      <c r="X41" s="433" t="s">
        <v>232</v>
      </c>
      <c r="Y41" s="379">
        <v>-0.62</v>
      </c>
      <c r="Z41" s="380">
        <v>-0.65</v>
      </c>
      <c r="AA41" s="381">
        <v>-0.65</v>
      </c>
      <c r="AB41" s="376">
        <v>-0.65</v>
      </c>
      <c r="AC41" s="376">
        <v>-0.66</v>
      </c>
      <c r="AD41" s="377">
        <v>-0.62</v>
      </c>
      <c r="AE41" s="377">
        <v>-0.61</v>
      </c>
      <c r="AF41" s="378">
        <v>-0.51</v>
      </c>
      <c r="AG41" s="433"/>
      <c r="AH41" s="551"/>
      <c r="AI41" s="433" t="s">
        <v>232</v>
      </c>
      <c r="AJ41" s="379">
        <v>-0.72</v>
      </c>
      <c r="AK41" s="380">
        <v>-0.75</v>
      </c>
      <c r="AL41" s="381">
        <v>-0.74</v>
      </c>
      <c r="AM41" s="376">
        <v>-0.73</v>
      </c>
      <c r="AN41" s="376">
        <v>-0.71</v>
      </c>
      <c r="AO41" s="377">
        <v>-0.67</v>
      </c>
      <c r="AP41" s="377">
        <v>-0.67</v>
      </c>
      <c r="AQ41" s="378">
        <v>-0.52</v>
      </c>
    </row>
    <row r="42" spans="1:43" x14ac:dyDescent="0.25">
      <c r="A42" s="432"/>
      <c r="B42" s="428" t="s">
        <v>215</v>
      </c>
      <c r="C42" s="382">
        <v>-0.53</v>
      </c>
      <c r="D42" s="383">
        <v>-0.53</v>
      </c>
      <c r="E42" s="383">
        <v>-0.54</v>
      </c>
      <c r="F42" s="384">
        <v>-0.53</v>
      </c>
      <c r="G42" s="384">
        <v>-0.53</v>
      </c>
      <c r="H42" s="393">
        <v>-0.505</v>
      </c>
      <c r="I42" s="393">
        <v>-0.5</v>
      </c>
      <c r="J42" s="394">
        <v>-0.43</v>
      </c>
      <c r="K42" s="433"/>
      <c r="L42" s="551"/>
      <c r="M42" s="433" t="s">
        <v>215</v>
      </c>
      <c r="N42" s="382">
        <v>-0.57000000000000006</v>
      </c>
      <c r="O42" s="383">
        <v>-0.57000000000000006</v>
      </c>
      <c r="P42" s="383">
        <v>-0.58000000000000007</v>
      </c>
      <c r="Q42" s="384">
        <v>-0.57999999999999996</v>
      </c>
      <c r="R42" s="384">
        <v>-0.56000000000000005</v>
      </c>
      <c r="S42" s="393">
        <v>-0.54500000000000004</v>
      </c>
      <c r="T42" s="393">
        <v>-0.52</v>
      </c>
      <c r="U42" s="394">
        <v>-0.46</v>
      </c>
      <c r="V42" s="433"/>
      <c r="W42" s="551"/>
      <c r="X42" s="433" t="s">
        <v>215</v>
      </c>
      <c r="Y42" s="382">
        <v>-0.62</v>
      </c>
      <c r="Z42" s="383">
        <v>-0.63</v>
      </c>
      <c r="AA42" s="383">
        <v>-0.64</v>
      </c>
      <c r="AB42" s="384">
        <v>-0.63</v>
      </c>
      <c r="AC42" s="384">
        <v>-0.65</v>
      </c>
      <c r="AD42" s="393">
        <v>-0.6</v>
      </c>
      <c r="AE42" s="393">
        <v>-0.57999999999999996</v>
      </c>
      <c r="AF42" s="394">
        <v>-0.55000000000000004</v>
      </c>
      <c r="AG42" s="433"/>
      <c r="AH42" s="551"/>
      <c r="AI42" s="433" t="s">
        <v>215</v>
      </c>
      <c r="AJ42" s="382">
        <v>-0.7</v>
      </c>
      <c r="AK42" s="383">
        <v>-0.72</v>
      </c>
      <c r="AL42" s="383">
        <v>-0.72</v>
      </c>
      <c r="AM42" s="384">
        <v>-0.71</v>
      </c>
      <c r="AN42" s="384">
        <v>-0.7</v>
      </c>
      <c r="AO42" s="393">
        <v>-0.64</v>
      </c>
      <c r="AP42" s="393">
        <v>-0.65</v>
      </c>
      <c r="AQ42" s="394">
        <v>-0.56000000000000005</v>
      </c>
    </row>
    <row r="43" spans="1:43" x14ac:dyDescent="0.25">
      <c r="A43" s="432"/>
      <c r="B43" s="428" t="s">
        <v>249</v>
      </c>
      <c r="C43" s="382">
        <v>-0.52</v>
      </c>
      <c r="D43" s="383">
        <v>-0.52</v>
      </c>
      <c r="E43" s="383">
        <v>-0.52</v>
      </c>
      <c r="F43" s="384">
        <v>-0.53</v>
      </c>
      <c r="G43" s="384">
        <v>-0.53</v>
      </c>
      <c r="H43" s="393">
        <v>-0.49</v>
      </c>
      <c r="I43" s="393">
        <v>-0.48</v>
      </c>
      <c r="J43" s="394">
        <v>-0.41</v>
      </c>
      <c r="K43" s="433"/>
      <c r="L43" s="551"/>
      <c r="M43" s="433" t="s">
        <v>249</v>
      </c>
      <c r="N43" s="382">
        <v>-0.53</v>
      </c>
      <c r="O43" s="383">
        <v>-0.55000000000000004</v>
      </c>
      <c r="P43" s="383">
        <v>-0.55000000000000004</v>
      </c>
      <c r="Q43" s="384">
        <v>-0.56000000000000005</v>
      </c>
      <c r="R43" s="384">
        <v>-0.58000000000000007</v>
      </c>
      <c r="S43" s="393">
        <v>-0.53</v>
      </c>
      <c r="T43" s="393">
        <v>-0.53</v>
      </c>
      <c r="U43" s="394">
        <v>-0.47</v>
      </c>
      <c r="V43" s="433"/>
      <c r="W43" s="551"/>
      <c r="X43" s="433" t="s">
        <v>249</v>
      </c>
      <c r="Y43" s="382">
        <v>-0.58000000000000007</v>
      </c>
      <c r="Z43" s="383">
        <v>-0.61</v>
      </c>
      <c r="AA43" s="383">
        <v>-0.62</v>
      </c>
      <c r="AB43" s="384">
        <v>-0.59</v>
      </c>
      <c r="AC43" s="384">
        <v>-0.62</v>
      </c>
      <c r="AD43" s="393">
        <v>-0.59</v>
      </c>
      <c r="AE43" s="393">
        <v>-0.59</v>
      </c>
      <c r="AF43" s="394">
        <v>-0.51</v>
      </c>
      <c r="AG43" s="433"/>
      <c r="AH43" s="551"/>
      <c r="AI43" s="433" t="s">
        <v>249</v>
      </c>
      <c r="AJ43" s="382">
        <v>-0.7</v>
      </c>
      <c r="AK43" s="383">
        <v>-0.69</v>
      </c>
      <c r="AL43" s="383">
        <v>-0.7</v>
      </c>
      <c r="AM43" s="384">
        <v>-0.66</v>
      </c>
      <c r="AN43" s="384">
        <v>-0.68</v>
      </c>
      <c r="AO43" s="393">
        <v>-0.63</v>
      </c>
      <c r="AP43" s="393">
        <v>-0.63</v>
      </c>
      <c r="AQ43" s="394">
        <v>-0.53</v>
      </c>
    </row>
    <row r="44" spans="1:43" x14ac:dyDescent="0.25">
      <c r="A44" s="432"/>
      <c r="B44" s="428" t="s">
        <v>257</v>
      </c>
      <c r="C44" s="382">
        <v>-0.46</v>
      </c>
      <c r="D44" s="383">
        <v>-0.46</v>
      </c>
      <c r="E44" s="383">
        <v>-0.44</v>
      </c>
      <c r="F44" s="384">
        <v>-0.47</v>
      </c>
      <c r="G44" s="384">
        <v>-0.45</v>
      </c>
      <c r="H44" s="393">
        <v>-0.44</v>
      </c>
      <c r="I44" s="393">
        <v>-0.45</v>
      </c>
      <c r="J44" s="394">
        <v>-0.38</v>
      </c>
      <c r="K44" s="433"/>
      <c r="L44" s="551"/>
      <c r="M44" s="433" t="s">
        <v>257</v>
      </c>
      <c r="N44" s="382">
        <v>-0.5</v>
      </c>
      <c r="O44" s="383">
        <v>-0.54</v>
      </c>
      <c r="P44" s="383">
        <v>-0.52</v>
      </c>
      <c r="Q44" s="384">
        <v>-0.53</v>
      </c>
      <c r="R44" s="384">
        <v>-0.51</v>
      </c>
      <c r="S44" s="393">
        <v>-0.46</v>
      </c>
      <c r="T44" s="393">
        <v>-0.49</v>
      </c>
      <c r="U44" s="394">
        <v>-0.47</v>
      </c>
      <c r="V44" s="433"/>
      <c r="W44" s="551"/>
      <c r="X44" s="433" t="s">
        <v>257</v>
      </c>
      <c r="Y44" s="382">
        <v>-0.56000000000000005</v>
      </c>
      <c r="Z44" s="383">
        <v>-0.58000000000000007</v>
      </c>
      <c r="AA44" s="383">
        <v>-0.58000000000000007</v>
      </c>
      <c r="AB44" s="384">
        <v>-0.56999999999999995</v>
      </c>
      <c r="AC44" s="384">
        <v>-0.55000000000000004</v>
      </c>
      <c r="AD44" s="393">
        <v>-0.55000000000000004</v>
      </c>
      <c r="AE44" s="393">
        <v>-0.55999999999999994</v>
      </c>
      <c r="AF44" s="394">
        <v>-0.49</v>
      </c>
      <c r="AG44" s="433"/>
      <c r="AH44" s="551"/>
      <c r="AI44" s="433" t="s">
        <v>257</v>
      </c>
      <c r="AJ44" s="382">
        <v>-0.67</v>
      </c>
      <c r="AK44" s="383">
        <v>-0.67</v>
      </c>
      <c r="AL44" s="383">
        <v>-0.67</v>
      </c>
      <c r="AM44" s="384">
        <v>-0.64</v>
      </c>
      <c r="AN44" s="384">
        <v>-0.63</v>
      </c>
      <c r="AO44" s="393">
        <v>-0.61</v>
      </c>
      <c r="AP44" s="393">
        <v>-0.61</v>
      </c>
      <c r="AQ44" s="394">
        <v>-0.51</v>
      </c>
    </row>
    <row r="45" spans="1:43" x14ac:dyDescent="0.25">
      <c r="A45" s="432"/>
      <c r="B45" s="428" t="s">
        <v>264</v>
      </c>
      <c r="C45" s="385">
        <v>-0.44</v>
      </c>
      <c r="D45" s="386">
        <v>-0.43</v>
      </c>
      <c r="E45" s="386">
        <v>-0.44</v>
      </c>
      <c r="F45" s="387">
        <v>-0.45</v>
      </c>
      <c r="G45" s="387">
        <v>-0.46</v>
      </c>
      <c r="H45" s="441">
        <v>-0.43</v>
      </c>
      <c r="I45" s="441">
        <v>-0.44</v>
      </c>
      <c r="J45" s="442">
        <v>-0.41</v>
      </c>
      <c r="K45" s="433"/>
      <c r="L45" s="551"/>
      <c r="M45" s="433" t="s">
        <v>264</v>
      </c>
      <c r="N45" s="385">
        <v>-0.49</v>
      </c>
      <c r="O45" s="386">
        <v>-0.48</v>
      </c>
      <c r="P45" s="386">
        <v>-0.5</v>
      </c>
      <c r="Q45" s="387">
        <v>-0.48</v>
      </c>
      <c r="R45" s="387">
        <v>-0.51</v>
      </c>
      <c r="S45" s="441">
        <v>-0.48</v>
      </c>
      <c r="T45" s="441">
        <v>-0.49</v>
      </c>
      <c r="U45" s="442">
        <v>-0.44</v>
      </c>
      <c r="V45" s="433"/>
      <c r="W45" s="551"/>
      <c r="X45" s="433" t="s">
        <v>264</v>
      </c>
      <c r="Y45" s="385">
        <v>-0.54</v>
      </c>
      <c r="Z45" s="386">
        <v>-0.53</v>
      </c>
      <c r="AA45" s="386">
        <v>-0.54</v>
      </c>
      <c r="AB45" s="387">
        <v>-0.54</v>
      </c>
      <c r="AC45" s="387">
        <v>-0.54</v>
      </c>
      <c r="AD45" s="441">
        <v>-0.54</v>
      </c>
      <c r="AE45" s="441">
        <v>-0.53</v>
      </c>
      <c r="AF45" s="442">
        <v>-0.46</v>
      </c>
      <c r="AG45" s="433"/>
      <c r="AH45" s="551"/>
      <c r="AI45" s="433" t="s">
        <v>264</v>
      </c>
      <c r="AJ45" s="385">
        <v>-0.68</v>
      </c>
      <c r="AK45" s="386">
        <v>-0.66</v>
      </c>
      <c r="AL45" s="386">
        <v>-0.68</v>
      </c>
      <c r="AM45" s="387">
        <v>-0.66</v>
      </c>
      <c r="AN45" s="387">
        <v>-0.65</v>
      </c>
      <c r="AO45" s="441">
        <v>-0.62</v>
      </c>
      <c r="AP45" s="441">
        <v>-0.62</v>
      </c>
      <c r="AQ45" s="442">
        <v>-0.51</v>
      </c>
    </row>
    <row r="46" spans="1:43" x14ac:dyDescent="0.25">
      <c r="A46" s="432"/>
      <c r="B46" s="428" t="s">
        <v>272</v>
      </c>
      <c r="C46" s="385">
        <v>-0.44</v>
      </c>
      <c r="D46" s="386">
        <v>-0.44</v>
      </c>
      <c r="E46" s="386">
        <v>-0.45</v>
      </c>
      <c r="F46" s="387">
        <v>-0.43</v>
      </c>
      <c r="G46" s="387">
        <v>-0.45</v>
      </c>
      <c r="H46" s="441">
        <v>-0.42</v>
      </c>
      <c r="I46" s="441">
        <v>-0.45</v>
      </c>
      <c r="J46" s="442">
        <v>-0.37</v>
      </c>
      <c r="K46" s="433"/>
      <c r="L46" s="551"/>
      <c r="M46" s="433" t="s">
        <v>272</v>
      </c>
      <c r="N46" s="385">
        <v>-0.47</v>
      </c>
      <c r="O46" s="386">
        <v>-0.48</v>
      </c>
      <c r="P46" s="386">
        <v>-0.49</v>
      </c>
      <c r="Q46" s="387">
        <v>-0.48</v>
      </c>
      <c r="R46" s="387">
        <v>-0.51</v>
      </c>
      <c r="S46" s="441">
        <v>-0.45</v>
      </c>
      <c r="T46" s="441">
        <v>-0.48</v>
      </c>
      <c r="U46" s="442">
        <v>-0.42</v>
      </c>
      <c r="V46" s="433"/>
      <c r="W46" s="551"/>
      <c r="X46" s="433" t="s">
        <v>272</v>
      </c>
      <c r="Y46" s="385">
        <v>-0.53</v>
      </c>
      <c r="Z46" s="386">
        <v>-0.5</v>
      </c>
      <c r="AA46" s="386">
        <v>-0.51</v>
      </c>
      <c r="AB46" s="387">
        <v>-0.53</v>
      </c>
      <c r="AC46" s="387">
        <v>-0.53</v>
      </c>
      <c r="AD46" s="441">
        <v>-0.5</v>
      </c>
      <c r="AE46" s="441">
        <v>-0.52</v>
      </c>
      <c r="AF46" s="442">
        <v>-0.47</v>
      </c>
      <c r="AG46" s="433"/>
      <c r="AH46" s="551"/>
      <c r="AI46" s="433" t="s">
        <v>272</v>
      </c>
      <c r="AJ46" s="385">
        <v>-0.67</v>
      </c>
      <c r="AK46" s="386">
        <v>-0.64</v>
      </c>
      <c r="AL46" s="386">
        <v>-0.66</v>
      </c>
      <c r="AM46" s="387">
        <v>-0.66</v>
      </c>
      <c r="AN46" s="387">
        <v>-0.64</v>
      </c>
      <c r="AO46" s="441">
        <v>-0.61</v>
      </c>
      <c r="AP46" s="441">
        <v>-0.61</v>
      </c>
      <c r="AQ46" s="442">
        <v>-0.53</v>
      </c>
    </row>
    <row r="47" spans="1:43" x14ac:dyDescent="0.25">
      <c r="A47" s="432"/>
      <c r="B47" s="428" t="s">
        <v>278</v>
      </c>
      <c r="C47" s="385">
        <v>-0.41</v>
      </c>
      <c r="D47" s="386">
        <v>-0.4</v>
      </c>
      <c r="E47" s="386">
        <v>-0.42</v>
      </c>
      <c r="F47" s="387">
        <v>-0.43</v>
      </c>
      <c r="G47" s="387">
        <v>-0.42</v>
      </c>
      <c r="H47" s="441">
        <v>-0.4</v>
      </c>
      <c r="I47" s="441">
        <v>-0.43</v>
      </c>
      <c r="J47" s="442">
        <v>-0.37</v>
      </c>
      <c r="K47" s="433"/>
      <c r="L47" s="551"/>
      <c r="M47" s="433" t="s">
        <v>278</v>
      </c>
      <c r="N47" s="385">
        <v>-0.46</v>
      </c>
      <c r="O47" s="386">
        <v>-0.45</v>
      </c>
      <c r="P47" s="386">
        <v>-0.46</v>
      </c>
      <c r="Q47" s="387">
        <v>-0.46</v>
      </c>
      <c r="R47" s="387">
        <v>-0.48</v>
      </c>
      <c r="S47" s="441">
        <v>-0.45</v>
      </c>
      <c r="T47" s="441">
        <v>-0.46</v>
      </c>
      <c r="U47" s="442">
        <v>-0.42</v>
      </c>
      <c r="V47" s="433"/>
      <c r="W47" s="551"/>
      <c r="X47" s="433" t="s">
        <v>278</v>
      </c>
      <c r="Y47" s="385">
        <v>-0.54</v>
      </c>
      <c r="Z47" s="386">
        <v>-0.51</v>
      </c>
      <c r="AA47" s="386">
        <v>-0.5</v>
      </c>
      <c r="AB47" s="387">
        <v>-0.5</v>
      </c>
      <c r="AC47" s="387">
        <v>-0.53</v>
      </c>
      <c r="AD47" s="441">
        <v>-0.5</v>
      </c>
      <c r="AE47" s="441">
        <v>-0.5</v>
      </c>
      <c r="AF47" s="442">
        <v>-0.44</v>
      </c>
      <c r="AG47" s="433"/>
      <c r="AH47" s="551"/>
      <c r="AI47" s="433" t="s">
        <v>278</v>
      </c>
      <c r="AJ47" s="385">
        <v>-0.66</v>
      </c>
      <c r="AK47" s="386">
        <v>-0.62</v>
      </c>
      <c r="AL47" s="386">
        <v>-0.62</v>
      </c>
      <c r="AM47" s="387">
        <v>-0.62</v>
      </c>
      <c r="AN47" s="387">
        <v>-0.63</v>
      </c>
      <c r="AO47" s="441">
        <v>-0.56999999999999995</v>
      </c>
      <c r="AP47" s="441">
        <v>-0.57999999999999996</v>
      </c>
      <c r="AQ47" s="442">
        <v>-0.52</v>
      </c>
    </row>
    <row r="48" spans="1:43" x14ac:dyDescent="0.25">
      <c r="A48" s="432"/>
      <c r="B48" s="428" t="s">
        <v>284</v>
      </c>
      <c r="C48" s="388">
        <v>-0.41</v>
      </c>
      <c r="D48" s="389">
        <v>-0.41</v>
      </c>
      <c r="E48" s="389">
        <v>-0.39</v>
      </c>
      <c r="F48" s="390">
        <v>-0.41</v>
      </c>
      <c r="G48" s="390">
        <v>-0.42</v>
      </c>
      <c r="H48" s="443">
        <v>-0.4</v>
      </c>
      <c r="I48" s="443">
        <v>-0.42</v>
      </c>
      <c r="J48" s="444">
        <v>-0.37</v>
      </c>
      <c r="K48" s="433"/>
      <c r="L48" s="551"/>
      <c r="M48" s="433" t="s">
        <v>284</v>
      </c>
      <c r="N48" s="388">
        <v>-0.46</v>
      </c>
      <c r="O48" s="389">
        <v>-0.46</v>
      </c>
      <c r="P48" s="389">
        <v>-0.43</v>
      </c>
      <c r="Q48" s="390">
        <v>-0.46</v>
      </c>
      <c r="R48" s="390">
        <v>-0.46</v>
      </c>
      <c r="S48" s="443">
        <v>-0.43</v>
      </c>
      <c r="T48" s="443">
        <v>-0.48</v>
      </c>
      <c r="U48" s="444">
        <v>-0.42</v>
      </c>
      <c r="V48" s="433"/>
      <c r="W48" s="551"/>
      <c r="X48" s="433" t="s">
        <v>284</v>
      </c>
      <c r="Y48" s="388">
        <v>-0.53</v>
      </c>
      <c r="Z48" s="389">
        <v>-0.51</v>
      </c>
      <c r="AA48" s="389">
        <v>-0.48</v>
      </c>
      <c r="AB48" s="390">
        <v>-0.49</v>
      </c>
      <c r="AC48" s="390">
        <v>-0.51</v>
      </c>
      <c r="AD48" s="443">
        <v>-0.51</v>
      </c>
      <c r="AE48" s="443">
        <v>-0.51</v>
      </c>
      <c r="AF48" s="444">
        <v>-0.48</v>
      </c>
      <c r="AG48" s="433"/>
      <c r="AH48" s="551"/>
      <c r="AI48" s="433" t="s">
        <v>284</v>
      </c>
      <c r="AJ48" s="388">
        <v>-0.64</v>
      </c>
      <c r="AK48" s="389">
        <v>-0.63</v>
      </c>
      <c r="AL48" s="389">
        <v>-0.6</v>
      </c>
      <c r="AM48" s="390">
        <v>-0.59</v>
      </c>
      <c r="AN48" s="390">
        <v>-0.57999999999999996</v>
      </c>
      <c r="AO48" s="443">
        <v>-0.56999999999999995</v>
      </c>
      <c r="AP48" s="443">
        <v>-0.56999999999999995</v>
      </c>
      <c r="AQ48" s="444">
        <v>-0.53</v>
      </c>
    </row>
    <row r="49" spans="1:43" x14ac:dyDescent="0.25">
      <c r="A49" s="432"/>
      <c r="C49" s="433"/>
      <c r="D49" s="433"/>
      <c r="E49" s="433"/>
      <c r="F49" s="433"/>
      <c r="G49" s="433"/>
      <c r="H49" s="433"/>
      <c r="I49" s="433"/>
      <c r="J49" s="433"/>
      <c r="K49" s="433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430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551" t="s">
        <v>1005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551" t="s">
        <v>1006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551" t="s">
        <v>1019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432"/>
      <c r="B51" s="428" t="s">
        <v>186</v>
      </c>
      <c r="C51" s="368">
        <v>-0.63</v>
      </c>
      <c r="D51" s="440">
        <v>-0.62</v>
      </c>
      <c r="E51" s="369">
        <v>-0.64500000000000002</v>
      </c>
      <c r="F51" s="370">
        <v>-0.63500000000000001</v>
      </c>
      <c r="G51" s="370">
        <v>-0.63</v>
      </c>
      <c r="H51" s="371">
        <v>-0.61499999999999999</v>
      </c>
      <c r="I51" s="371">
        <v>-0.60499999999999998</v>
      </c>
      <c r="J51" s="372">
        <v>-0.495</v>
      </c>
      <c r="K51" s="433"/>
      <c r="L51" s="551"/>
      <c r="M51" s="433" t="s">
        <v>186</v>
      </c>
      <c r="N51" s="368">
        <v>-0.67500000000000004</v>
      </c>
      <c r="O51" s="440">
        <v>-0.66500000000000004</v>
      </c>
      <c r="P51" s="369">
        <v>-0.69</v>
      </c>
      <c r="Q51" s="370">
        <v>-0.68</v>
      </c>
      <c r="R51" s="370">
        <v>-0.67500000000000004</v>
      </c>
      <c r="S51" s="371">
        <v>-0.65</v>
      </c>
      <c r="T51" s="371">
        <v>-0.63500000000000001</v>
      </c>
      <c r="U51" s="372">
        <v>-0.5</v>
      </c>
      <c r="V51" s="433"/>
      <c r="W51" s="551"/>
      <c r="X51" s="433" t="s">
        <v>186</v>
      </c>
      <c r="Y51" s="368">
        <v>-0.745</v>
      </c>
      <c r="Z51" s="440">
        <v>-0.71499999999999997</v>
      </c>
      <c r="AA51" s="369">
        <v>-0.72499999999999998</v>
      </c>
      <c r="AB51" s="370">
        <v>-0.73</v>
      </c>
      <c r="AC51" s="370">
        <v>-0.72</v>
      </c>
      <c r="AD51" s="371">
        <v>-0.69499999999999995</v>
      </c>
      <c r="AE51" s="371">
        <v>-0.67500000000000004</v>
      </c>
      <c r="AF51" s="372">
        <v>-0.55000000000000004</v>
      </c>
      <c r="AG51" s="433"/>
      <c r="AH51" s="551"/>
      <c r="AI51" s="433" t="s">
        <v>186</v>
      </c>
      <c r="AJ51" s="368">
        <v>-0.82499999999999996</v>
      </c>
      <c r="AK51" s="440">
        <v>-0.81499999999999995</v>
      </c>
      <c r="AL51" s="369">
        <v>-0.82499999999999996</v>
      </c>
      <c r="AM51" s="370">
        <v>-0.80500000000000005</v>
      </c>
      <c r="AN51" s="370">
        <v>-0.79500000000000004</v>
      </c>
      <c r="AO51" s="371">
        <v>-0.745</v>
      </c>
      <c r="AP51" s="371">
        <v>-0.73499999999999999</v>
      </c>
      <c r="AQ51" s="372">
        <v>-0.60499999999999998</v>
      </c>
    </row>
    <row r="52" spans="1:43" x14ac:dyDescent="0.25">
      <c r="A52" s="432"/>
      <c r="B52" s="428" t="s">
        <v>213</v>
      </c>
      <c r="C52" s="373">
        <v>-0.6</v>
      </c>
      <c r="D52" s="374">
        <v>-0.59</v>
      </c>
      <c r="E52" s="375">
        <v>-0.625</v>
      </c>
      <c r="F52" s="376">
        <v>-0.62</v>
      </c>
      <c r="G52" s="376">
        <v>-0.6</v>
      </c>
      <c r="H52" s="377">
        <v>-0.58499999999999996</v>
      </c>
      <c r="I52" s="377">
        <v>-0.55499999999999994</v>
      </c>
      <c r="J52" s="378">
        <v>-0.495</v>
      </c>
      <c r="K52" s="433"/>
      <c r="L52" s="551"/>
      <c r="M52" s="433" t="s">
        <v>213</v>
      </c>
      <c r="N52" s="373">
        <v>-0.66500000000000004</v>
      </c>
      <c r="O52" s="374">
        <v>-0.65500000000000003</v>
      </c>
      <c r="P52" s="375">
        <v>-0.68</v>
      </c>
      <c r="Q52" s="376">
        <v>-0.67500000000000004</v>
      </c>
      <c r="R52" s="376">
        <v>-0.63500000000000001</v>
      </c>
      <c r="S52" s="377">
        <v>-0.61499999999999999</v>
      </c>
      <c r="T52" s="377">
        <v>-0.57999999999999996</v>
      </c>
      <c r="U52" s="378">
        <v>-0.51500000000000001</v>
      </c>
      <c r="V52" s="433"/>
      <c r="W52" s="551"/>
      <c r="X52" s="433" t="s">
        <v>213</v>
      </c>
      <c r="Y52" s="373">
        <v>-0.72</v>
      </c>
      <c r="Z52" s="374">
        <v>-0.7</v>
      </c>
      <c r="AA52" s="375">
        <v>-0.72</v>
      </c>
      <c r="AB52" s="376">
        <v>-0.72</v>
      </c>
      <c r="AC52" s="376">
        <v>-0.71</v>
      </c>
      <c r="AD52" s="377">
        <v>-0.68500000000000005</v>
      </c>
      <c r="AE52" s="377">
        <v>-0.66</v>
      </c>
      <c r="AF52" s="378">
        <v>-0.57999999999999996</v>
      </c>
      <c r="AG52" s="433"/>
      <c r="AH52" s="551"/>
      <c r="AI52" s="433" t="s">
        <v>213</v>
      </c>
      <c r="AJ52" s="373">
        <v>-0.81499999999999995</v>
      </c>
      <c r="AK52" s="374">
        <v>-0.82499999999999996</v>
      </c>
      <c r="AL52" s="375">
        <v>-0.81499999999999995</v>
      </c>
      <c r="AM52" s="376">
        <v>-0.79500000000000004</v>
      </c>
      <c r="AN52" s="376">
        <v>-0.78500000000000003</v>
      </c>
      <c r="AO52" s="377">
        <v>-0.73499999999999999</v>
      </c>
      <c r="AP52" s="377">
        <v>-0.71499999999999997</v>
      </c>
      <c r="AQ52" s="378">
        <v>-0.59499999999999997</v>
      </c>
    </row>
    <row r="53" spans="1:43" x14ac:dyDescent="0.25">
      <c r="A53" s="432"/>
      <c r="B53" s="428" t="s">
        <v>232</v>
      </c>
      <c r="C53" s="379">
        <v>-0.59499999999999997</v>
      </c>
      <c r="D53" s="380">
        <v>-0.59</v>
      </c>
      <c r="E53" s="381">
        <v>-0.61499999999999999</v>
      </c>
      <c r="F53" s="376">
        <v>-0.59499999999999997</v>
      </c>
      <c r="G53" s="376">
        <v>-0.60499999999999998</v>
      </c>
      <c r="H53" s="377">
        <v>-0.56499999999999995</v>
      </c>
      <c r="I53" s="377">
        <v>-0.57499999999999996</v>
      </c>
      <c r="J53" s="378">
        <v>-0.47499999999999998</v>
      </c>
      <c r="K53" s="433"/>
      <c r="L53" s="551"/>
      <c r="M53" s="433" t="s">
        <v>232</v>
      </c>
      <c r="N53" s="379">
        <v>-0.63</v>
      </c>
      <c r="O53" s="380">
        <v>-0.63500000000000001</v>
      </c>
      <c r="P53" s="381">
        <v>-0.66</v>
      </c>
      <c r="Q53" s="376">
        <v>-0.64</v>
      </c>
      <c r="R53" s="376">
        <v>-0.63500000000000001</v>
      </c>
      <c r="S53" s="377">
        <v>-0.60499999999999998</v>
      </c>
      <c r="T53" s="377">
        <v>-0.60499999999999998</v>
      </c>
      <c r="U53" s="378">
        <v>-0.49</v>
      </c>
      <c r="V53" s="433"/>
      <c r="W53" s="551"/>
      <c r="X53" s="433" t="s">
        <v>232</v>
      </c>
      <c r="Y53" s="379">
        <v>-0.67500000000000004</v>
      </c>
      <c r="Z53" s="380">
        <v>-0.7</v>
      </c>
      <c r="AA53" s="381">
        <v>-0.70499999999999996</v>
      </c>
      <c r="AB53" s="376">
        <v>-0.70499999999999996</v>
      </c>
      <c r="AC53" s="376">
        <v>-0.71499999999999997</v>
      </c>
      <c r="AD53" s="377">
        <v>-0.66500000000000004</v>
      </c>
      <c r="AE53" s="377">
        <v>-0.66500000000000004</v>
      </c>
      <c r="AF53" s="378">
        <v>-0.56499999999999995</v>
      </c>
      <c r="AG53" s="433"/>
      <c r="AH53" s="551"/>
      <c r="AI53" s="433" t="s">
        <v>232</v>
      </c>
      <c r="AJ53" s="379">
        <v>-0.77500000000000002</v>
      </c>
      <c r="AK53" s="380">
        <v>-0.80500000000000005</v>
      </c>
      <c r="AL53" s="381">
        <v>-0.79500000000000004</v>
      </c>
      <c r="AM53" s="376">
        <v>-0.78500000000000003</v>
      </c>
      <c r="AN53" s="376">
        <v>-0.76500000000000001</v>
      </c>
      <c r="AO53" s="377">
        <v>-0.71499999999999997</v>
      </c>
      <c r="AP53" s="377">
        <v>-0.72499999999999998</v>
      </c>
      <c r="AQ53" s="378">
        <v>-0.56999999999999995</v>
      </c>
    </row>
    <row r="54" spans="1:43" x14ac:dyDescent="0.25">
      <c r="A54" s="432"/>
      <c r="B54" s="428" t="s">
        <v>215</v>
      </c>
      <c r="C54" s="382">
        <v>-0.58499999999999996</v>
      </c>
      <c r="D54" s="383">
        <v>-0.58499999999999996</v>
      </c>
      <c r="E54" s="383">
        <v>-0.59</v>
      </c>
      <c r="F54" s="384">
        <v>-0.57999999999999996</v>
      </c>
      <c r="G54" s="384">
        <v>-0.58499999999999996</v>
      </c>
      <c r="H54" s="393">
        <v>-0.55999999999999994</v>
      </c>
      <c r="I54" s="393">
        <v>-0.55499999999999994</v>
      </c>
      <c r="J54" s="394">
        <v>-0.48499999999999999</v>
      </c>
      <c r="K54" s="433"/>
      <c r="L54" s="551"/>
      <c r="M54" s="433" t="s">
        <v>215</v>
      </c>
      <c r="N54" s="382">
        <v>-0.62</v>
      </c>
      <c r="O54" s="383">
        <v>-0.625</v>
      </c>
      <c r="P54" s="383">
        <v>-0.63500000000000001</v>
      </c>
      <c r="Q54" s="384">
        <v>-0.63500000000000001</v>
      </c>
      <c r="R54" s="384">
        <v>-0.61499999999999999</v>
      </c>
      <c r="S54" s="393">
        <v>-0.59499999999999997</v>
      </c>
      <c r="T54" s="393">
        <v>-0.57499999999999996</v>
      </c>
      <c r="U54" s="394">
        <v>-0.51500000000000001</v>
      </c>
      <c r="V54" s="433"/>
      <c r="W54" s="551"/>
      <c r="X54" s="433" t="s">
        <v>215</v>
      </c>
      <c r="Y54" s="382">
        <v>-0.67500000000000004</v>
      </c>
      <c r="Z54" s="383">
        <v>-0.68500000000000005</v>
      </c>
      <c r="AA54" s="383">
        <v>-0.69499999999999995</v>
      </c>
      <c r="AB54" s="384">
        <v>-0.68500000000000005</v>
      </c>
      <c r="AC54" s="384">
        <v>-0.70499999999999996</v>
      </c>
      <c r="AD54" s="393">
        <v>-0.65500000000000003</v>
      </c>
      <c r="AE54" s="393">
        <v>-0.63500000000000001</v>
      </c>
      <c r="AF54" s="394">
        <v>-0.60499999999999998</v>
      </c>
      <c r="AG54" s="433"/>
      <c r="AH54" s="551"/>
      <c r="AI54" s="433" t="s">
        <v>215</v>
      </c>
      <c r="AJ54" s="382">
        <v>-0.755</v>
      </c>
      <c r="AK54" s="383">
        <v>-0.77</v>
      </c>
      <c r="AL54" s="383">
        <v>-0.77500000000000002</v>
      </c>
      <c r="AM54" s="384">
        <v>-0.76</v>
      </c>
      <c r="AN54" s="384">
        <v>-0.755</v>
      </c>
      <c r="AO54" s="393">
        <v>-0.69499999999999995</v>
      </c>
      <c r="AP54" s="393">
        <v>-0.69499999999999995</v>
      </c>
      <c r="AQ54" s="394">
        <v>-0.61499999999999999</v>
      </c>
    </row>
    <row r="55" spans="1:43" x14ac:dyDescent="0.25">
      <c r="A55" s="432"/>
      <c r="B55" s="428" t="s">
        <v>249</v>
      </c>
      <c r="C55" s="382">
        <v>-0.57500000000000007</v>
      </c>
      <c r="D55" s="383">
        <v>-0.57500000000000007</v>
      </c>
      <c r="E55" s="383">
        <v>-0.57500000000000007</v>
      </c>
      <c r="F55" s="384">
        <v>-0.58500000000000008</v>
      </c>
      <c r="G55" s="384">
        <v>-0.58000000000000007</v>
      </c>
      <c r="H55" s="393">
        <v>-0.54500000000000004</v>
      </c>
      <c r="I55" s="393">
        <v>-0.53</v>
      </c>
      <c r="J55" s="394">
        <v>-0.46500000000000002</v>
      </c>
      <c r="K55" s="433"/>
      <c r="L55" s="551"/>
      <c r="M55" s="433" t="s">
        <v>249</v>
      </c>
      <c r="N55" s="382">
        <v>-0.58499999999999996</v>
      </c>
      <c r="O55" s="383">
        <v>-0.6</v>
      </c>
      <c r="P55" s="383">
        <v>-0.6</v>
      </c>
      <c r="Q55" s="384">
        <v>-0.61499999999999999</v>
      </c>
      <c r="R55" s="384">
        <v>-0.63500000000000001</v>
      </c>
      <c r="S55" s="393">
        <v>-0.58499999999999996</v>
      </c>
      <c r="T55" s="393">
        <v>-0.58499999999999996</v>
      </c>
      <c r="U55" s="394">
        <v>-0.52500000000000002</v>
      </c>
      <c r="V55" s="433"/>
      <c r="W55" s="551"/>
      <c r="X55" s="433" t="s">
        <v>249</v>
      </c>
      <c r="Y55" s="382">
        <v>-0.63500000000000001</v>
      </c>
      <c r="Z55" s="383">
        <v>-0.66</v>
      </c>
      <c r="AA55" s="383">
        <v>-0.67</v>
      </c>
      <c r="AB55" s="384">
        <v>-0.64</v>
      </c>
      <c r="AC55" s="384">
        <v>-0.67</v>
      </c>
      <c r="AD55" s="393">
        <v>-0.64500000000000002</v>
      </c>
      <c r="AE55" s="393">
        <v>-0.64500000000000002</v>
      </c>
      <c r="AF55" s="394">
        <v>-0.56499999999999995</v>
      </c>
      <c r="AG55" s="433"/>
      <c r="AH55" s="551"/>
      <c r="AI55" s="433" t="s">
        <v>249</v>
      </c>
      <c r="AJ55" s="382">
        <v>-0.75</v>
      </c>
      <c r="AK55" s="383">
        <v>-0.745</v>
      </c>
      <c r="AL55" s="383">
        <v>-0.755</v>
      </c>
      <c r="AM55" s="384">
        <v>-0.7</v>
      </c>
      <c r="AN55" s="384">
        <v>-0.73499999999999999</v>
      </c>
      <c r="AO55" s="393">
        <v>-0.68500000000000005</v>
      </c>
      <c r="AP55" s="393">
        <v>-0.68500000000000005</v>
      </c>
      <c r="AQ55" s="394">
        <v>-0.57999999999999996</v>
      </c>
    </row>
    <row r="56" spans="1:43" x14ac:dyDescent="0.25">
      <c r="A56" s="432"/>
      <c r="B56" s="428" t="s">
        <v>257</v>
      </c>
      <c r="C56" s="382">
        <v>-0.51</v>
      </c>
      <c r="D56" s="383">
        <v>-0.51500000000000001</v>
      </c>
      <c r="E56" s="383">
        <v>-0.495</v>
      </c>
      <c r="F56" s="384">
        <v>-0.51500000000000001</v>
      </c>
      <c r="G56" s="384">
        <v>-0.5</v>
      </c>
      <c r="H56" s="393">
        <v>-0.495</v>
      </c>
      <c r="I56" s="393">
        <v>-0.505</v>
      </c>
      <c r="J56" s="394">
        <v>-0.435</v>
      </c>
      <c r="K56" s="433"/>
      <c r="L56" s="551"/>
      <c r="M56" s="433" t="s">
        <v>257</v>
      </c>
      <c r="N56" s="382">
        <v>-0.55500000000000005</v>
      </c>
      <c r="O56" s="383">
        <v>-0.59</v>
      </c>
      <c r="P56" s="383">
        <v>-0.57499999999999996</v>
      </c>
      <c r="Q56" s="384">
        <v>-0.58499999999999996</v>
      </c>
      <c r="R56" s="384">
        <v>-0.56500000000000006</v>
      </c>
      <c r="S56" s="393">
        <v>-0.51</v>
      </c>
      <c r="T56" s="393">
        <v>-0.54499999999999993</v>
      </c>
      <c r="U56" s="394">
        <v>-0.52500000000000002</v>
      </c>
      <c r="V56" s="433"/>
      <c r="W56" s="551"/>
      <c r="X56" s="433" t="s">
        <v>257</v>
      </c>
      <c r="Y56" s="382">
        <v>-0.60499999999999998</v>
      </c>
      <c r="Z56" s="383">
        <v>-0.63</v>
      </c>
      <c r="AA56" s="383">
        <v>-0.63500000000000001</v>
      </c>
      <c r="AB56" s="384">
        <v>-0.625</v>
      </c>
      <c r="AC56" s="384">
        <v>-0.6</v>
      </c>
      <c r="AD56" s="393">
        <v>-0.60499999999999998</v>
      </c>
      <c r="AE56" s="393">
        <v>-0.61</v>
      </c>
      <c r="AF56" s="394">
        <v>-0.54500000000000004</v>
      </c>
      <c r="AG56" s="433"/>
      <c r="AH56" s="551"/>
      <c r="AI56" s="433" t="s">
        <v>257</v>
      </c>
      <c r="AJ56" s="382">
        <v>-0.72</v>
      </c>
      <c r="AK56" s="383">
        <v>-0.72</v>
      </c>
      <c r="AL56" s="383">
        <v>-0.71499999999999997</v>
      </c>
      <c r="AM56" s="384">
        <v>-0.69499999999999995</v>
      </c>
      <c r="AN56" s="384">
        <v>-0.68500000000000005</v>
      </c>
      <c r="AO56" s="393">
        <v>-0.66</v>
      </c>
      <c r="AP56" s="393">
        <v>-0.66500000000000004</v>
      </c>
      <c r="AQ56" s="394">
        <v>-0.56000000000000005</v>
      </c>
    </row>
    <row r="57" spans="1:43" x14ac:dyDescent="0.25">
      <c r="A57" s="432"/>
      <c r="B57" s="428" t="s">
        <v>264</v>
      </c>
      <c r="C57" s="385">
        <v>-0.48499999999999999</v>
      </c>
      <c r="D57" s="386">
        <v>-0.48</v>
      </c>
      <c r="E57" s="386">
        <v>-0.49</v>
      </c>
      <c r="F57" s="387">
        <v>-0.5</v>
      </c>
      <c r="G57" s="387">
        <v>-0.51500000000000001</v>
      </c>
      <c r="H57" s="441">
        <v>-0.48499999999999999</v>
      </c>
      <c r="I57" s="441">
        <v>-0.49</v>
      </c>
      <c r="J57" s="442">
        <v>-0.46</v>
      </c>
      <c r="K57" s="433"/>
      <c r="L57" s="551"/>
      <c r="M57" s="433" t="s">
        <v>264</v>
      </c>
      <c r="N57" s="385">
        <v>-0.54</v>
      </c>
      <c r="O57" s="386">
        <v>-0.52500000000000002</v>
      </c>
      <c r="P57" s="386">
        <v>-0.55500000000000005</v>
      </c>
      <c r="Q57" s="387">
        <v>-0.53500000000000003</v>
      </c>
      <c r="R57" s="387">
        <v>-0.56000000000000005</v>
      </c>
      <c r="S57" s="441">
        <v>-0.53</v>
      </c>
      <c r="T57" s="441">
        <v>-0.54500000000000004</v>
      </c>
      <c r="U57" s="442">
        <v>-0.495</v>
      </c>
      <c r="V57" s="433"/>
      <c r="W57" s="551"/>
      <c r="X57" s="433" t="s">
        <v>264</v>
      </c>
      <c r="Y57" s="385">
        <v>-0.59499999999999997</v>
      </c>
      <c r="Z57" s="386">
        <v>-0.58499999999999996</v>
      </c>
      <c r="AA57" s="386">
        <v>-0.59000000000000008</v>
      </c>
      <c r="AB57" s="387">
        <v>-0.57500000000000007</v>
      </c>
      <c r="AC57" s="387">
        <v>-0.59</v>
      </c>
      <c r="AD57" s="441">
        <v>-0.59499999999999997</v>
      </c>
      <c r="AE57" s="441">
        <v>-0.57999999999999996</v>
      </c>
      <c r="AF57" s="442">
        <v>-0.51500000000000001</v>
      </c>
      <c r="AG57" s="433"/>
      <c r="AH57" s="551"/>
      <c r="AI57" s="433" t="s">
        <v>264</v>
      </c>
      <c r="AJ57" s="385">
        <v>-0.73</v>
      </c>
      <c r="AK57" s="386">
        <v>-0.71</v>
      </c>
      <c r="AL57" s="386">
        <v>-0.73499999999999999</v>
      </c>
      <c r="AM57" s="387">
        <v>-0.7</v>
      </c>
      <c r="AN57" s="387">
        <v>-0.70499999999999996</v>
      </c>
      <c r="AO57" s="441">
        <v>-0.65</v>
      </c>
      <c r="AP57" s="441">
        <v>-0.67</v>
      </c>
      <c r="AQ57" s="442">
        <v>-0.56499999999999995</v>
      </c>
    </row>
    <row r="58" spans="1:43" x14ac:dyDescent="0.25">
      <c r="A58" s="432"/>
      <c r="B58" s="428" t="s">
        <v>272</v>
      </c>
      <c r="C58" s="385">
        <v>-0.49</v>
      </c>
      <c r="D58" s="386">
        <v>-0.49</v>
      </c>
      <c r="E58" s="386">
        <v>-0.505</v>
      </c>
      <c r="F58" s="387">
        <v>-0.48</v>
      </c>
      <c r="G58" s="387">
        <v>-0.505</v>
      </c>
      <c r="H58" s="441">
        <v>-0.47499999999999998</v>
      </c>
      <c r="I58" s="441">
        <v>-0.5</v>
      </c>
      <c r="J58" s="442">
        <v>-0.42</v>
      </c>
      <c r="K58" s="433"/>
      <c r="L58" s="551"/>
      <c r="M58" s="433" t="s">
        <v>272</v>
      </c>
      <c r="N58" s="385">
        <v>-0.52500000000000002</v>
      </c>
      <c r="O58" s="386">
        <v>-0.53</v>
      </c>
      <c r="P58" s="386">
        <v>-0.54500000000000004</v>
      </c>
      <c r="Q58" s="387">
        <v>-0.53500000000000003</v>
      </c>
      <c r="R58" s="387">
        <v>-0.56000000000000005</v>
      </c>
      <c r="S58" s="441">
        <v>-0.505</v>
      </c>
      <c r="T58" s="441">
        <v>-0.53500000000000003</v>
      </c>
      <c r="U58" s="442">
        <v>-0.47499999999999998</v>
      </c>
      <c r="V58" s="433"/>
      <c r="W58" s="551"/>
      <c r="X58" s="433" t="s">
        <v>272</v>
      </c>
      <c r="Y58" s="385">
        <v>-0.58000000000000007</v>
      </c>
      <c r="Z58" s="386">
        <v>-0.55500000000000005</v>
      </c>
      <c r="AA58" s="386">
        <v>-0.56500000000000006</v>
      </c>
      <c r="AB58" s="387">
        <v>-0.58000000000000007</v>
      </c>
      <c r="AC58" s="387">
        <v>-0.58499999999999996</v>
      </c>
      <c r="AD58" s="441">
        <v>-0.54</v>
      </c>
      <c r="AE58" s="441">
        <v>-0.56999999999999995</v>
      </c>
      <c r="AF58" s="442">
        <v>-0.52</v>
      </c>
      <c r="AG58" s="433"/>
      <c r="AH58" s="551"/>
      <c r="AI58" s="433" t="s">
        <v>272</v>
      </c>
      <c r="AJ58" s="385">
        <v>-0.72499999999999998</v>
      </c>
      <c r="AK58" s="386">
        <v>-0.69</v>
      </c>
      <c r="AL58" s="386">
        <v>-0.71</v>
      </c>
      <c r="AM58" s="387">
        <v>-0.70499999999999996</v>
      </c>
      <c r="AN58" s="387">
        <v>-0.69499999999999995</v>
      </c>
      <c r="AO58" s="441">
        <v>-0.65500000000000003</v>
      </c>
      <c r="AP58" s="441">
        <v>-0.66500000000000004</v>
      </c>
      <c r="AQ58" s="442">
        <v>-0.58499999999999996</v>
      </c>
    </row>
    <row r="59" spans="1:43" x14ac:dyDescent="0.25">
      <c r="A59" s="432"/>
      <c r="B59" s="428" t="s">
        <v>278</v>
      </c>
      <c r="C59" s="385">
        <v>-0.46500000000000002</v>
      </c>
      <c r="D59" s="386">
        <v>-0.45500000000000002</v>
      </c>
      <c r="E59" s="386">
        <v>-0.47499999999999998</v>
      </c>
      <c r="F59" s="387">
        <v>-0.48499999999999999</v>
      </c>
      <c r="G59" s="387">
        <v>-0.47499999999999998</v>
      </c>
      <c r="H59" s="441">
        <v>-0.45500000000000002</v>
      </c>
      <c r="I59" s="441">
        <v>-0.48499999999999999</v>
      </c>
      <c r="J59" s="442">
        <v>-0.42499999999999999</v>
      </c>
      <c r="K59" s="433"/>
      <c r="L59" s="551"/>
      <c r="M59" s="433" t="s">
        <v>278</v>
      </c>
      <c r="N59" s="385">
        <v>-0.51</v>
      </c>
      <c r="O59" s="386">
        <v>-0.505</v>
      </c>
      <c r="P59" s="386">
        <v>-0.51</v>
      </c>
      <c r="Q59" s="387">
        <v>-0.51500000000000001</v>
      </c>
      <c r="R59" s="387">
        <v>-0.53500000000000003</v>
      </c>
      <c r="S59" s="441">
        <v>-0.505</v>
      </c>
      <c r="T59" s="441">
        <v>-0.51500000000000001</v>
      </c>
      <c r="U59" s="442">
        <v>-0.47499999999999998</v>
      </c>
      <c r="V59" s="433"/>
      <c r="W59" s="551"/>
      <c r="X59" s="433" t="s">
        <v>278</v>
      </c>
      <c r="Y59" s="385">
        <v>-0.59</v>
      </c>
      <c r="Z59" s="386">
        <v>-0.55999999999999994</v>
      </c>
      <c r="AA59" s="386">
        <v>-0.55499999999999994</v>
      </c>
      <c r="AB59" s="387">
        <v>-0.55500000000000005</v>
      </c>
      <c r="AC59" s="387">
        <v>-0.58499999999999996</v>
      </c>
      <c r="AD59" s="441">
        <v>-0.55500000000000005</v>
      </c>
      <c r="AE59" s="441">
        <v>-0.54999999999999993</v>
      </c>
      <c r="AF59" s="442">
        <v>-0.495</v>
      </c>
      <c r="AG59" s="433"/>
      <c r="AH59" s="551"/>
      <c r="AI59" s="433" t="s">
        <v>278</v>
      </c>
      <c r="AJ59" s="385">
        <v>-0.71499999999999997</v>
      </c>
      <c r="AK59" s="386">
        <v>-0.67500000000000004</v>
      </c>
      <c r="AL59" s="386">
        <v>-0.67500000000000004</v>
      </c>
      <c r="AM59" s="387">
        <v>-0.67</v>
      </c>
      <c r="AN59" s="387">
        <v>-0.68500000000000005</v>
      </c>
      <c r="AO59" s="441">
        <v>-0.625</v>
      </c>
      <c r="AP59" s="441">
        <v>-0.63500000000000001</v>
      </c>
      <c r="AQ59" s="442">
        <v>-0.56999999999999995</v>
      </c>
    </row>
    <row r="60" spans="1:43" x14ac:dyDescent="0.25">
      <c r="A60" s="432"/>
      <c r="B60" s="428" t="s">
        <v>284</v>
      </c>
      <c r="C60" s="388">
        <v>-0.46</v>
      </c>
      <c r="D60" s="389">
        <v>-0.46500000000000002</v>
      </c>
      <c r="E60" s="389">
        <v>-0.44500000000000001</v>
      </c>
      <c r="F60" s="390">
        <v>-0.46500000000000002</v>
      </c>
      <c r="G60" s="390">
        <v>-0.47499999999999998</v>
      </c>
      <c r="H60" s="443">
        <v>-0.45500000000000002</v>
      </c>
      <c r="I60" s="443">
        <v>-0.47</v>
      </c>
      <c r="J60" s="444">
        <v>-0.42499999999999999</v>
      </c>
      <c r="K60" s="433"/>
      <c r="M60" s="433" t="s">
        <v>284</v>
      </c>
      <c r="N60" s="388">
        <v>-0.51</v>
      </c>
      <c r="O60" s="389">
        <v>-0.51</v>
      </c>
      <c r="P60" s="389">
        <v>-0.48499999999999999</v>
      </c>
      <c r="Q60" s="390">
        <v>-0.51</v>
      </c>
      <c r="R60" s="390">
        <v>-0.505</v>
      </c>
      <c r="S60" s="443">
        <v>-0.48499999999999999</v>
      </c>
      <c r="T60" s="443">
        <v>-0.53500000000000003</v>
      </c>
      <c r="U60" s="444">
        <v>-0.47499999999999998</v>
      </c>
      <c r="V60" s="433"/>
      <c r="X60" s="433" t="s">
        <v>284</v>
      </c>
      <c r="Y60" s="388">
        <v>-0.58499999999999996</v>
      </c>
      <c r="Z60" s="389">
        <v>-0.56499999999999995</v>
      </c>
      <c r="AA60" s="389">
        <v>-0.53</v>
      </c>
      <c r="AB60" s="390">
        <v>-0.53</v>
      </c>
      <c r="AC60" s="390">
        <v>-0.56499999999999995</v>
      </c>
      <c r="AD60" s="443">
        <v>-0.56499999999999995</v>
      </c>
      <c r="AE60" s="443">
        <v>-0.55999999999999994</v>
      </c>
      <c r="AF60" s="444">
        <v>-0.53500000000000003</v>
      </c>
      <c r="AG60" s="433"/>
      <c r="AI60" s="433" t="s">
        <v>284</v>
      </c>
      <c r="AJ60" s="388">
        <v>-0.69</v>
      </c>
      <c r="AK60" s="389">
        <v>-0.68</v>
      </c>
      <c r="AL60" s="389">
        <v>-0.65</v>
      </c>
      <c r="AM60" s="390">
        <v>-0.64</v>
      </c>
      <c r="AN60" s="390">
        <v>-0.63</v>
      </c>
      <c r="AO60" s="443">
        <v>-0.625</v>
      </c>
      <c r="AP60" s="443">
        <v>-0.625</v>
      </c>
      <c r="AQ60" s="444">
        <v>-0.58499999999999996</v>
      </c>
    </row>
    <row r="62" spans="1:43" x14ac:dyDescent="0.25">
      <c r="C62" s="434"/>
      <c r="N62" s="434"/>
      <c r="Y62" s="434"/>
      <c r="AJ62" s="434"/>
    </row>
  </sheetData>
  <sheetProtection algorithmName="SHA-512" hashValue="LKbd9tF8jrFAfXkZ0S3wz3FqkhSOR4BhQiEqyCSCLYKm5Bi2U+ukVFmbXMnkDoP7mBjRnv6JphOiECznmOh3GA==" saltValue="tGOO0+XNef4RN4eZ3PAokA==" spinCount="100000" sheet="1" objects="1" scenarios="1" autoFilter="0"/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:AQ62"/>
  <sheetViews>
    <sheetView workbookViewId="0"/>
  </sheetViews>
  <sheetFormatPr defaultColWidth="9.28515625" defaultRowHeight="15" x14ac:dyDescent="0.25"/>
  <cols>
    <col min="1" max="1" width="9.28515625" style="427"/>
    <col min="2" max="2" width="6" style="428" customWidth="1"/>
    <col min="3" max="10" width="7.5703125" style="429" customWidth="1"/>
    <col min="11" max="11" width="5.28515625" style="429" customWidth="1"/>
    <col min="12" max="12" width="9.28515625" style="430"/>
    <col min="13" max="13" width="4" style="429" customWidth="1"/>
    <col min="14" max="21" width="7.5703125" style="429" customWidth="1"/>
    <col min="22" max="22" width="5.42578125" style="429" customWidth="1"/>
    <col min="23" max="23" width="9.28515625" style="430"/>
    <col min="24" max="24" width="5.42578125" style="429" customWidth="1"/>
    <col min="25" max="32" width="7.5703125" style="429" customWidth="1"/>
    <col min="33" max="33" width="5.5703125" style="429" customWidth="1"/>
    <col min="34" max="34" width="9.28515625" style="430"/>
    <col min="35" max="35" width="5.42578125" style="429" customWidth="1"/>
    <col min="36" max="43" width="7.5703125" style="429" customWidth="1"/>
    <col min="44" max="16384" width="9.28515625" style="428"/>
  </cols>
  <sheetData>
    <row r="1" spans="1:43" ht="14.45" x14ac:dyDescent="0.3">
      <c r="A1" s="427" t="s">
        <v>307</v>
      </c>
      <c r="B1" s="428" t="s">
        <v>316</v>
      </c>
    </row>
    <row r="2" spans="1:43" ht="14.45" x14ac:dyDescent="0.3">
      <c r="A2" s="430" t="s">
        <v>317</v>
      </c>
      <c r="C2" s="431" t="s">
        <v>187</v>
      </c>
      <c r="D2" s="431" t="s">
        <v>214</v>
      </c>
      <c r="E2" s="431" t="s">
        <v>233</v>
      </c>
      <c r="F2" s="431" t="s">
        <v>242</v>
      </c>
      <c r="G2" s="431" t="s">
        <v>250</v>
      </c>
      <c r="H2" s="431" t="s">
        <v>258</v>
      </c>
      <c r="I2" s="431" t="s">
        <v>265</v>
      </c>
      <c r="J2" s="431" t="s">
        <v>279</v>
      </c>
      <c r="K2" s="431"/>
      <c r="L2" s="551" t="s">
        <v>1007</v>
      </c>
      <c r="M2" s="431"/>
      <c r="N2" s="431" t="s">
        <v>187</v>
      </c>
      <c r="O2" s="431" t="s">
        <v>214</v>
      </c>
      <c r="P2" s="431" t="s">
        <v>233</v>
      </c>
      <c r="Q2" s="431" t="s">
        <v>242</v>
      </c>
      <c r="R2" s="431" t="s">
        <v>250</v>
      </c>
      <c r="S2" s="431" t="s">
        <v>258</v>
      </c>
      <c r="T2" s="431" t="s">
        <v>265</v>
      </c>
      <c r="U2" s="431" t="s">
        <v>279</v>
      </c>
      <c r="V2" s="431"/>
      <c r="W2" s="551" t="s">
        <v>1011</v>
      </c>
      <c r="X2" s="431"/>
      <c r="Y2" s="431" t="s">
        <v>187</v>
      </c>
      <c r="Z2" s="431" t="s">
        <v>214</v>
      </c>
      <c r="AA2" s="431" t="s">
        <v>233</v>
      </c>
      <c r="AB2" s="431" t="s">
        <v>242</v>
      </c>
      <c r="AC2" s="431" t="s">
        <v>250</v>
      </c>
      <c r="AD2" s="431" t="s">
        <v>258</v>
      </c>
      <c r="AE2" s="431" t="s">
        <v>265</v>
      </c>
      <c r="AF2" s="431" t="s">
        <v>279</v>
      </c>
      <c r="AG2" s="431"/>
      <c r="AH2" s="551" t="s">
        <v>1015</v>
      </c>
      <c r="AJ2" s="431" t="s">
        <v>187</v>
      </c>
      <c r="AK2" s="431" t="s">
        <v>214</v>
      </c>
      <c r="AL2" s="431" t="s">
        <v>233</v>
      </c>
      <c r="AM2" s="431" t="s">
        <v>242</v>
      </c>
      <c r="AN2" s="431" t="s">
        <v>250</v>
      </c>
      <c r="AO2" s="431" t="s">
        <v>258</v>
      </c>
      <c r="AP2" s="431" t="s">
        <v>265</v>
      </c>
      <c r="AQ2" s="431" t="s">
        <v>279</v>
      </c>
    </row>
    <row r="3" spans="1:43" ht="14.45" x14ac:dyDescent="0.3">
      <c r="A3" s="432"/>
      <c r="B3" s="428" t="s">
        <v>186</v>
      </c>
      <c r="C3" s="368">
        <v>-0.37</v>
      </c>
      <c r="D3" s="440">
        <v>-0.33</v>
      </c>
      <c r="E3" s="369">
        <v>-0.35</v>
      </c>
      <c r="F3" s="370">
        <v>-0.35</v>
      </c>
      <c r="G3" s="370">
        <v>-0.36</v>
      </c>
      <c r="H3" s="371">
        <v>-0.36</v>
      </c>
      <c r="I3" s="371">
        <v>-0.36</v>
      </c>
      <c r="J3" s="372">
        <v>-0.24</v>
      </c>
      <c r="K3" s="433"/>
      <c r="L3" s="551"/>
      <c r="M3" s="433" t="s">
        <v>186</v>
      </c>
      <c r="N3" s="368">
        <v>-0.46</v>
      </c>
      <c r="O3" s="440">
        <v>-0.4</v>
      </c>
      <c r="P3" s="369">
        <v>-0.42</v>
      </c>
      <c r="Q3" s="370">
        <v>-0.42</v>
      </c>
      <c r="R3" s="370">
        <v>-0.43</v>
      </c>
      <c r="S3" s="371">
        <v>-0.42</v>
      </c>
      <c r="T3" s="371">
        <v>-0.41</v>
      </c>
      <c r="U3" s="372">
        <v>-0.26</v>
      </c>
      <c r="V3" s="433"/>
      <c r="W3" s="551"/>
      <c r="X3" s="433" t="s">
        <v>186</v>
      </c>
      <c r="Y3" s="368">
        <v>-0.48</v>
      </c>
      <c r="Z3" s="440">
        <v>-0.43</v>
      </c>
      <c r="AA3" s="369">
        <v>-0.45</v>
      </c>
      <c r="AB3" s="370">
        <v>-0.46</v>
      </c>
      <c r="AC3" s="370">
        <v>-0.47</v>
      </c>
      <c r="AD3" s="371">
        <v>-0.45</v>
      </c>
      <c r="AE3" s="371">
        <v>-0.45</v>
      </c>
      <c r="AF3" s="372">
        <v>-0.32</v>
      </c>
      <c r="AG3" s="433"/>
      <c r="AH3" s="551"/>
      <c r="AI3" s="433" t="s">
        <v>186</v>
      </c>
      <c r="AJ3" s="368">
        <v>-0.61</v>
      </c>
      <c r="AK3" s="440">
        <v>-0.56000000000000005</v>
      </c>
      <c r="AL3" s="369">
        <v>-0.56000000000000005</v>
      </c>
      <c r="AM3" s="370">
        <v>-0.56000000000000005</v>
      </c>
      <c r="AN3" s="370">
        <v>-0.57000000000000006</v>
      </c>
      <c r="AO3" s="371">
        <v>-0.55000000000000004</v>
      </c>
      <c r="AP3" s="371">
        <v>-0.56000000000000005</v>
      </c>
      <c r="AQ3" s="372">
        <v>-0.42</v>
      </c>
    </row>
    <row r="4" spans="1:43" ht="14.45" x14ac:dyDescent="0.3">
      <c r="A4" s="432"/>
      <c r="B4" s="428" t="s">
        <v>213</v>
      </c>
      <c r="C4" s="373">
        <v>-0.35</v>
      </c>
      <c r="D4" s="374">
        <v>-0.33</v>
      </c>
      <c r="E4" s="375">
        <v>-0.34</v>
      </c>
      <c r="F4" s="376">
        <v>-0.36</v>
      </c>
      <c r="G4" s="376">
        <v>-0.36</v>
      </c>
      <c r="H4" s="377">
        <v>-0.35</v>
      </c>
      <c r="I4" s="377">
        <v>-0.34</v>
      </c>
      <c r="J4" s="378">
        <v>-0.26</v>
      </c>
      <c r="K4" s="433"/>
      <c r="L4" s="551"/>
      <c r="M4" s="433" t="s">
        <v>213</v>
      </c>
      <c r="N4" s="373">
        <v>-0.4</v>
      </c>
      <c r="O4" s="374">
        <v>-0.38</v>
      </c>
      <c r="P4" s="375">
        <v>-0.39</v>
      </c>
      <c r="Q4" s="376">
        <v>-0.4</v>
      </c>
      <c r="R4" s="376">
        <v>-0.4</v>
      </c>
      <c r="S4" s="377">
        <v>-0.39</v>
      </c>
      <c r="T4" s="377">
        <v>-0.38</v>
      </c>
      <c r="U4" s="378">
        <v>-0.3</v>
      </c>
      <c r="V4" s="433"/>
      <c r="W4" s="551"/>
      <c r="X4" s="433" t="s">
        <v>213</v>
      </c>
      <c r="Y4" s="373">
        <v>-0.46</v>
      </c>
      <c r="Z4" s="374">
        <v>-0.42</v>
      </c>
      <c r="AA4" s="375">
        <v>-0.43</v>
      </c>
      <c r="AB4" s="376">
        <v>-0.45</v>
      </c>
      <c r="AC4" s="376">
        <v>-0.45</v>
      </c>
      <c r="AD4" s="377">
        <v>-0.44</v>
      </c>
      <c r="AE4" s="377">
        <v>-0.43</v>
      </c>
      <c r="AF4" s="378">
        <v>-0.34</v>
      </c>
      <c r="AG4" s="433"/>
      <c r="AH4" s="551"/>
      <c r="AI4" s="433" t="s">
        <v>213</v>
      </c>
      <c r="AJ4" s="373">
        <v>-0.59</v>
      </c>
      <c r="AK4" s="374">
        <v>-0.54</v>
      </c>
      <c r="AL4" s="375">
        <v>-0.54</v>
      </c>
      <c r="AM4" s="376">
        <v>-0.55000000000000004</v>
      </c>
      <c r="AN4" s="376">
        <v>-0.55000000000000004</v>
      </c>
      <c r="AO4" s="377">
        <v>-0.55000000000000004</v>
      </c>
      <c r="AP4" s="377">
        <v>-0.54</v>
      </c>
      <c r="AQ4" s="378">
        <v>-0.43</v>
      </c>
    </row>
    <row r="5" spans="1:43" ht="14.45" x14ac:dyDescent="0.3">
      <c r="A5" s="432"/>
      <c r="B5" s="428" t="s">
        <v>232</v>
      </c>
      <c r="C5" s="379">
        <v>-0.34</v>
      </c>
      <c r="D5" s="380">
        <v>-0.33</v>
      </c>
      <c r="E5" s="381">
        <v>-0.33</v>
      </c>
      <c r="F5" s="376">
        <v>-0.35</v>
      </c>
      <c r="G5" s="376">
        <v>-0.36</v>
      </c>
      <c r="H5" s="377">
        <v>-0.33</v>
      </c>
      <c r="I5" s="377">
        <v>-0.33</v>
      </c>
      <c r="J5" s="378">
        <v>-0.27</v>
      </c>
      <c r="K5" s="433"/>
      <c r="L5" s="551"/>
      <c r="M5" s="433" t="s">
        <v>232</v>
      </c>
      <c r="N5" s="379">
        <v>-0.39</v>
      </c>
      <c r="O5" s="380">
        <v>-0.38</v>
      </c>
      <c r="P5" s="381">
        <v>-0.38</v>
      </c>
      <c r="Q5" s="376">
        <v>-0.4</v>
      </c>
      <c r="R5" s="376">
        <v>-0.41</v>
      </c>
      <c r="S5" s="377">
        <v>-0.38</v>
      </c>
      <c r="T5" s="377">
        <v>-0.38</v>
      </c>
      <c r="U5" s="378">
        <v>-0.32</v>
      </c>
      <c r="V5" s="433"/>
      <c r="W5" s="551"/>
      <c r="X5" s="433" t="s">
        <v>232</v>
      </c>
      <c r="Y5" s="379">
        <v>-0.45</v>
      </c>
      <c r="Z5" s="380">
        <v>-0.44</v>
      </c>
      <c r="AA5" s="381">
        <v>-0.43</v>
      </c>
      <c r="AB5" s="376">
        <v>-0.45</v>
      </c>
      <c r="AC5" s="376">
        <v>-0.45</v>
      </c>
      <c r="AD5" s="377">
        <v>-0.42</v>
      </c>
      <c r="AE5" s="377">
        <v>-0.42</v>
      </c>
      <c r="AF5" s="378">
        <v>-0.35</v>
      </c>
      <c r="AG5" s="433"/>
      <c r="AH5" s="551"/>
      <c r="AI5" s="433" t="s">
        <v>232</v>
      </c>
      <c r="AJ5" s="379">
        <v>-0.56999999999999995</v>
      </c>
      <c r="AK5" s="380">
        <v>-0.56000000000000005</v>
      </c>
      <c r="AL5" s="381">
        <v>-0.54</v>
      </c>
      <c r="AM5" s="376">
        <v>-0.55000000000000004</v>
      </c>
      <c r="AN5" s="376">
        <v>-0.56000000000000005</v>
      </c>
      <c r="AO5" s="377">
        <v>-0.53</v>
      </c>
      <c r="AP5" s="377">
        <v>-0.52</v>
      </c>
      <c r="AQ5" s="378">
        <v>-0.44</v>
      </c>
    </row>
    <row r="6" spans="1:43" ht="14.45" x14ac:dyDescent="0.3">
      <c r="A6" s="432"/>
      <c r="B6" s="428" t="s">
        <v>215</v>
      </c>
      <c r="C6" s="382">
        <v>-0.34</v>
      </c>
      <c r="D6" s="383">
        <v>-0.33</v>
      </c>
      <c r="E6" s="383">
        <v>-0.33</v>
      </c>
      <c r="F6" s="384">
        <v>-0.33</v>
      </c>
      <c r="G6" s="384">
        <v>-0.34</v>
      </c>
      <c r="H6" s="393">
        <v>-0.33</v>
      </c>
      <c r="I6" s="393">
        <v>-0.35</v>
      </c>
      <c r="J6" s="394">
        <v>-0.25</v>
      </c>
      <c r="K6" s="433"/>
      <c r="L6" s="551"/>
      <c r="M6" s="433" t="s">
        <v>215</v>
      </c>
      <c r="N6" s="382">
        <v>-0.39</v>
      </c>
      <c r="O6" s="383">
        <v>-0.38</v>
      </c>
      <c r="P6" s="383">
        <v>-0.38</v>
      </c>
      <c r="Q6" s="384">
        <v>-0.38</v>
      </c>
      <c r="R6" s="384">
        <v>-0.39</v>
      </c>
      <c r="S6" s="393">
        <v>-0.38</v>
      </c>
      <c r="T6" s="393">
        <v>-0.4</v>
      </c>
      <c r="U6" s="394">
        <v>-0.31</v>
      </c>
      <c r="V6" s="433"/>
      <c r="W6" s="551"/>
      <c r="X6" s="433" t="s">
        <v>215</v>
      </c>
      <c r="Y6" s="382">
        <v>-0.45</v>
      </c>
      <c r="Z6" s="383">
        <v>-0.44</v>
      </c>
      <c r="AA6" s="383">
        <v>-0.44</v>
      </c>
      <c r="AB6" s="384">
        <v>-0.44</v>
      </c>
      <c r="AC6" s="384">
        <v>-0.43</v>
      </c>
      <c r="AD6" s="393">
        <v>-0.42</v>
      </c>
      <c r="AE6" s="393">
        <v>-0.44</v>
      </c>
      <c r="AF6" s="394">
        <v>-0.33</v>
      </c>
      <c r="AG6" s="433"/>
      <c r="AH6" s="551"/>
      <c r="AI6" s="433" t="s">
        <v>215</v>
      </c>
      <c r="AJ6" s="382">
        <v>-0.57000000000000006</v>
      </c>
      <c r="AK6" s="383">
        <v>-0.57000000000000006</v>
      </c>
      <c r="AL6" s="383">
        <v>-0.56000000000000005</v>
      </c>
      <c r="AM6" s="384">
        <v>-0.57000000000000006</v>
      </c>
      <c r="AN6" s="384">
        <v>-0.56000000000000005</v>
      </c>
      <c r="AO6" s="393">
        <v>-0.53</v>
      </c>
      <c r="AP6" s="393">
        <v>-0.53</v>
      </c>
      <c r="AQ6" s="394">
        <v>-0.42</v>
      </c>
    </row>
    <row r="7" spans="1:43" ht="14.45" x14ac:dyDescent="0.3">
      <c r="A7" s="432"/>
      <c r="B7" s="428" t="s">
        <v>249</v>
      </c>
      <c r="C7" s="382">
        <v>-0.34</v>
      </c>
      <c r="D7" s="383">
        <v>-0.34</v>
      </c>
      <c r="E7" s="383">
        <v>-0.34</v>
      </c>
      <c r="F7" s="384">
        <v>-0.32</v>
      </c>
      <c r="G7" s="384">
        <v>-0.33</v>
      </c>
      <c r="H7" s="393">
        <v>-0.33</v>
      </c>
      <c r="I7" s="393">
        <v>-0.35</v>
      </c>
      <c r="J7" s="394">
        <v>-0.23</v>
      </c>
      <c r="K7" s="433"/>
      <c r="L7" s="551"/>
      <c r="M7" s="433" t="s">
        <v>249</v>
      </c>
      <c r="N7" s="382">
        <v>-0.39</v>
      </c>
      <c r="O7" s="383">
        <v>-0.39</v>
      </c>
      <c r="P7" s="383">
        <v>-0.38</v>
      </c>
      <c r="Q7" s="384">
        <v>-0.36</v>
      </c>
      <c r="R7" s="384">
        <v>-0.37</v>
      </c>
      <c r="S7" s="393">
        <v>-0.36</v>
      </c>
      <c r="T7" s="393">
        <v>-0.38</v>
      </c>
      <c r="U7" s="394">
        <v>-0.27</v>
      </c>
      <c r="V7" s="433"/>
      <c r="W7" s="551"/>
      <c r="X7" s="433" t="s">
        <v>249</v>
      </c>
      <c r="Y7" s="382">
        <v>-0.43</v>
      </c>
      <c r="Z7" s="383">
        <v>-0.43</v>
      </c>
      <c r="AA7" s="383">
        <v>-0.42</v>
      </c>
      <c r="AB7" s="384">
        <v>-0.4</v>
      </c>
      <c r="AC7" s="384">
        <v>-0.41</v>
      </c>
      <c r="AD7" s="393">
        <v>-0.4</v>
      </c>
      <c r="AE7" s="393">
        <v>-0.42</v>
      </c>
      <c r="AF7" s="394">
        <v>-0.31</v>
      </c>
      <c r="AG7" s="433"/>
      <c r="AH7" s="551"/>
      <c r="AI7" s="433" t="s">
        <v>249</v>
      </c>
      <c r="AJ7" s="382">
        <v>-0.54</v>
      </c>
      <c r="AK7" s="383">
        <v>-0.53</v>
      </c>
      <c r="AL7" s="383">
        <v>-0.52</v>
      </c>
      <c r="AM7" s="384">
        <v>-0.52</v>
      </c>
      <c r="AN7" s="384">
        <v>-0.51</v>
      </c>
      <c r="AO7" s="393">
        <v>-0.51</v>
      </c>
      <c r="AP7" s="393">
        <v>-0.52</v>
      </c>
      <c r="AQ7" s="394">
        <v>-0.4</v>
      </c>
    </row>
    <row r="8" spans="1:43" ht="14.45" x14ac:dyDescent="0.3">
      <c r="A8" s="432"/>
      <c r="B8" s="428" t="s">
        <v>257</v>
      </c>
      <c r="C8" s="382">
        <v>-0.34</v>
      </c>
      <c r="D8" s="383">
        <v>-0.33</v>
      </c>
      <c r="E8" s="383">
        <v>-0.33</v>
      </c>
      <c r="F8" s="384">
        <v>-0.35</v>
      </c>
      <c r="G8" s="384">
        <v>-0.33</v>
      </c>
      <c r="H8" s="393">
        <v>-0.32</v>
      </c>
      <c r="I8" s="393">
        <v>-0.34</v>
      </c>
      <c r="J8" s="394">
        <v>-0.23</v>
      </c>
      <c r="K8" s="433"/>
      <c r="L8" s="551"/>
      <c r="M8" s="433" t="s">
        <v>257</v>
      </c>
      <c r="N8" s="382">
        <v>-0.38</v>
      </c>
      <c r="O8" s="383">
        <v>-0.36</v>
      </c>
      <c r="P8" s="383">
        <v>-0.36</v>
      </c>
      <c r="Q8" s="384">
        <v>-0.39</v>
      </c>
      <c r="R8" s="384">
        <v>-0.36</v>
      </c>
      <c r="S8" s="393">
        <v>-0.36</v>
      </c>
      <c r="T8" s="393">
        <v>-0.37</v>
      </c>
      <c r="U8" s="394">
        <v>-0.26</v>
      </c>
      <c r="V8" s="433"/>
      <c r="W8" s="551"/>
      <c r="X8" s="433" t="s">
        <v>257</v>
      </c>
      <c r="Y8" s="382">
        <v>-0.41</v>
      </c>
      <c r="Z8" s="383">
        <v>-0.4</v>
      </c>
      <c r="AA8" s="383">
        <v>-0.4</v>
      </c>
      <c r="AB8" s="384">
        <v>-0.42</v>
      </c>
      <c r="AC8" s="384">
        <v>-0.39</v>
      </c>
      <c r="AD8" s="393">
        <v>-0.39</v>
      </c>
      <c r="AE8" s="393">
        <v>-0.4</v>
      </c>
      <c r="AF8" s="394">
        <v>-0.31</v>
      </c>
      <c r="AG8" s="433"/>
      <c r="AH8" s="551"/>
      <c r="AI8" s="433" t="s">
        <v>257</v>
      </c>
      <c r="AJ8" s="382">
        <v>-0.49</v>
      </c>
      <c r="AK8" s="383">
        <v>-0.48</v>
      </c>
      <c r="AL8" s="383">
        <v>-0.48</v>
      </c>
      <c r="AM8" s="384">
        <v>-0.49</v>
      </c>
      <c r="AN8" s="384">
        <v>-0.47</v>
      </c>
      <c r="AO8" s="393">
        <v>-0.47</v>
      </c>
      <c r="AP8" s="393">
        <v>-0.49</v>
      </c>
      <c r="AQ8" s="394">
        <v>-0.4</v>
      </c>
    </row>
    <row r="9" spans="1:43" ht="14.45" x14ac:dyDescent="0.3">
      <c r="A9" s="432"/>
      <c r="B9" s="428" t="s">
        <v>264</v>
      </c>
      <c r="C9" s="385">
        <v>-0.33</v>
      </c>
      <c r="D9" s="386">
        <v>-0.34</v>
      </c>
      <c r="E9" s="386">
        <v>-0.32</v>
      </c>
      <c r="F9" s="387">
        <v>-0.3</v>
      </c>
      <c r="G9" s="387">
        <v>-0.34</v>
      </c>
      <c r="H9" s="441">
        <v>-0.31</v>
      </c>
      <c r="I9" s="441">
        <v>-0.31</v>
      </c>
      <c r="J9" s="442">
        <v>-0.24</v>
      </c>
      <c r="K9" s="433"/>
      <c r="L9" s="551"/>
      <c r="M9" s="433" t="s">
        <v>264</v>
      </c>
      <c r="N9" s="385">
        <v>-0.36</v>
      </c>
      <c r="O9" s="386">
        <v>-0.38</v>
      </c>
      <c r="P9" s="386">
        <v>-0.38</v>
      </c>
      <c r="Q9" s="387">
        <v>-0.36</v>
      </c>
      <c r="R9" s="387">
        <v>-0.4</v>
      </c>
      <c r="S9" s="441">
        <v>-0.36</v>
      </c>
      <c r="T9" s="441">
        <v>-0.36</v>
      </c>
      <c r="U9" s="442">
        <v>-0.27</v>
      </c>
      <c r="V9" s="433"/>
      <c r="W9" s="551"/>
      <c r="X9" s="433" t="s">
        <v>264</v>
      </c>
      <c r="Y9" s="385">
        <v>-0.39</v>
      </c>
      <c r="Z9" s="386">
        <v>-0.41</v>
      </c>
      <c r="AA9" s="386">
        <v>-0.41</v>
      </c>
      <c r="AB9" s="387">
        <v>-0.39</v>
      </c>
      <c r="AC9" s="387">
        <v>-0.42</v>
      </c>
      <c r="AD9" s="441">
        <v>-0.38</v>
      </c>
      <c r="AE9" s="441">
        <v>-0.38</v>
      </c>
      <c r="AF9" s="442">
        <v>-0.31</v>
      </c>
      <c r="AG9" s="433"/>
      <c r="AH9" s="551"/>
      <c r="AI9" s="433" t="s">
        <v>264</v>
      </c>
      <c r="AJ9" s="385">
        <v>-0.48</v>
      </c>
      <c r="AK9" s="386">
        <v>-0.5</v>
      </c>
      <c r="AL9" s="386">
        <v>-0.5</v>
      </c>
      <c r="AM9" s="387">
        <v>-0.48</v>
      </c>
      <c r="AN9" s="387">
        <v>-0.5</v>
      </c>
      <c r="AO9" s="441">
        <v>-0.47</v>
      </c>
      <c r="AP9" s="441">
        <v>-0.45</v>
      </c>
      <c r="AQ9" s="442">
        <v>-0.38</v>
      </c>
    </row>
    <row r="10" spans="1:43" ht="14.45" x14ac:dyDescent="0.3">
      <c r="A10" s="432"/>
      <c r="B10" s="428" t="s">
        <v>272</v>
      </c>
      <c r="C10" s="385">
        <v>-0.32</v>
      </c>
      <c r="D10" s="386">
        <v>-0.3</v>
      </c>
      <c r="E10" s="386">
        <v>-0.32</v>
      </c>
      <c r="F10" s="387">
        <v>-0.32</v>
      </c>
      <c r="G10" s="387">
        <v>-0.33</v>
      </c>
      <c r="H10" s="441">
        <v>-0.31</v>
      </c>
      <c r="I10" s="441">
        <v>-0.31</v>
      </c>
      <c r="J10" s="442">
        <v>-0.22</v>
      </c>
      <c r="K10" s="433"/>
      <c r="L10" s="551"/>
      <c r="M10" s="433" t="s">
        <v>272</v>
      </c>
      <c r="N10" s="385">
        <v>-0.37</v>
      </c>
      <c r="O10" s="386">
        <v>-0.35</v>
      </c>
      <c r="P10" s="386">
        <v>-0.37</v>
      </c>
      <c r="Q10" s="387">
        <v>-0.37</v>
      </c>
      <c r="R10" s="387">
        <v>-0.37</v>
      </c>
      <c r="S10" s="441">
        <v>-0.34</v>
      </c>
      <c r="T10" s="441">
        <v>-0.34</v>
      </c>
      <c r="U10" s="442">
        <v>-0.27</v>
      </c>
      <c r="V10" s="432"/>
      <c r="X10" s="433" t="s">
        <v>272</v>
      </c>
      <c r="Y10" s="385">
        <v>-0.41</v>
      </c>
      <c r="Z10" s="386">
        <v>-0.38</v>
      </c>
      <c r="AA10" s="386">
        <v>-0.39</v>
      </c>
      <c r="AB10" s="387">
        <v>-0.39</v>
      </c>
      <c r="AC10" s="387">
        <v>-0.39</v>
      </c>
      <c r="AD10" s="441">
        <v>-0.37</v>
      </c>
      <c r="AE10" s="441">
        <v>-0.37</v>
      </c>
      <c r="AF10" s="442">
        <v>-0.3</v>
      </c>
      <c r="AG10" s="433"/>
      <c r="AH10" s="551"/>
      <c r="AI10" s="433" t="s">
        <v>272</v>
      </c>
      <c r="AJ10" s="385">
        <v>-0.5</v>
      </c>
      <c r="AK10" s="386">
        <v>-0.47</v>
      </c>
      <c r="AL10" s="386">
        <v>-0.48</v>
      </c>
      <c r="AM10" s="387">
        <v>-0.47</v>
      </c>
      <c r="AN10" s="387">
        <v>-0.47</v>
      </c>
      <c r="AO10" s="441">
        <v>-0.45</v>
      </c>
      <c r="AP10" s="441">
        <v>-0.44</v>
      </c>
      <c r="AQ10" s="442">
        <v>-0.38</v>
      </c>
    </row>
    <row r="11" spans="1:43" ht="14.45" x14ac:dyDescent="0.3">
      <c r="A11" s="432"/>
      <c r="B11" s="428" t="s">
        <v>278</v>
      </c>
      <c r="C11" s="385">
        <v>-0.32</v>
      </c>
      <c r="D11" s="386">
        <v>-0.3</v>
      </c>
      <c r="E11" s="386">
        <v>-0.32</v>
      </c>
      <c r="F11" s="387">
        <v>-0.33</v>
      </c>
      <c r="G11" s="387">
        <v>-0.35</v>
      </c>
      <c r="H11" s="441">
        <v>-0.32</v>
      </c>
      <c r="I11" s="441">
        <v>-0.33</v>
      </c>
      <c r="J11" s="442">
        <v>-0.23</v>
      </c>
      <c r="K11" s="433"/>
      <c r="L11" s="551"/>
      <c r="M11" s="433" t="s">
        <v>278</v>
      </c>
      <c r="N11" s="385">
        <v>-0.38</v>
      </c>
      <c r="O11" s="386">
        <v>-0.35</v>
      </c>
      <c r="P11" s="386">
        <v>-0.37</v>
      </c>
      <c r="Q11" s="387">
        <v>-0.38</v>
      </c>
      <c r="R11" s="387">
        <v>-0.39</v>
      </c>
      <c r="S11" s="441">
        <v>-0.36</v>
      </c>
      <c r="T11" s="441">
        <v>-0.37</v>
      </c>
      <c r="U11" s="442">
        <v>-0.28000000000000003</v>
      </c>
      <c r="V11" s="433"/>
      <c r="W11" s="551"/>
      <c r="X11" s="433" t="s">
        <v>278</v>
      </c>
      <c r="Y11" s="385">
        <v>-0.42</v>
      </c>
      <c r="Z11" s="386">
        <v>-0.39</v>
      </c>
      <c r="AA11" s="386">
        <v>-0.41</v>
      </c>
      <c r="AB11" s="387">
        <v>-0.42</v>
      </c>
      <c r="AC11" s="387">
        <v>-0.43</v>
      </c>
      <c r="AD11" s="441">
        <v>-0.4</v>
      </c>
      <c r="AE11" s="441">
        <v>-0.39</v>
      </c>
      <c r="AF11" s="442">
        <v>-0.34</v>
      </c>
      <c r="AG11" s="433"/>
      <c r="AH11" s="551"/>
      <c r="AI11" s="433" t="s">
        <v>278</v>
      </c>
      <c r="AJ11" s="385">
        <v>-0.5</v>
      </c>
      <c r="AK11" s="386">
        <v>-0.48</v>
      </c>
      <c r="AL11" s="386">
        <v>-0.5</v>
      </c>
      <c r="AM11" s="387">
        <v>-0.49</v>
      </c>
      <c r="AN11" s="387">
        <v>-0.5</v>
      </c>
      <c r="AO11" s="441">
        <v>-0.47</v>
      </c>
      <c r="AP11" s="441">
        <v>-0.46</v>
      </c>
      <c r="AQ11" s="442">
        <v>-0.38</v>
      </c>
    </row>
    <row r="12" spans="1:43" ht="14.45" x14ac:dyDescent="0.3">
      <c r="A12" s="432"/>
      <c r="B12" s="428" t="s">
        <v>284</v>
      </c>
      <c r="C12" s="388">
        <v>-0.3</v>
      </c>
      <c r="D12" s="389">
        <v>-0.32</v>
      </c>
      <c r="E12" s="389">
        <v>-0.32</v>
      </c>
      <c r="F12" s="390">
        <v>-0.32</v>
      </c>
      <c r="G12" s="390">
        <v>-0.32</v>
      </c>
      <c r="H12" s="443">
        <v>-0.3</v>
      </c>
      <c r="I12" s="443">
        <v>-0.32</v>
      </c>
      <c r="J12" s="444">
        <v>-0.25</v>
      </c>
      <c r="K12" s="433"/>
      <c r="L12" s="551"/>
      <c r="M12" s="433" t="s">
        <v>284</v>
      </c>
      <c r="N12" s="388">
        <v>-0.34</v>
      </c>
      <c r="O12" s="389">
        <v>-0.37</v>
      </c>
      <c r="P12" s="389">
        <v>-0.36</v>
      </c>
      <c r="Q12" s="390">
        <v>-0.36</v>
      </c>
      <c r="R12" s="390">
        <v>-0.36</v>
      </c>
      <c r="S12" s="443">
        <v>-0.33</v>
      </c>
      <c r="T12" s="443">
        <v>-0.35</v>
      </c>
      <c r="U12" s="444">
        <v>-0.28000000000000003</v>
      </c>
      <c r="V12" s="433"/>
      <c r="W12" s="551"/>
      <c r="X12" s="433" t="s">
        <v>284</v>
      </c>
      <c r="Y12" s="388">
        <v>-0.37</v>
      </c>
      <c r="Z12" s="389">
        <v>-0.39</v>
      </c>
      <c r="AA12" s="389">
        <v>-0.38</v>
      </c>
      <c r="AB12" s="390">
        <v>-0.38</v>
      </c>
      <c r="AC12" s="390">
        <v>-0.38</v>
      </c>
      <c r="AD12" s="443">
        <v>-0.35</v>
      </c>
      <c r="AE12" s="443">
        <v>-0.37</v>
      </c>
      <c r="AF12" s="444">
        <v>-0.3</v>
      </c>
      <c r="AG12" s="433"/>
      <c r="AH12" s="551"/>
      <c r="AI12" s="433" t="s">
        <v>284</v>
      </c>
      <c r="AJ12" s="388">
        <v>-0.44</v>
      </c>
      <c r="AK12" s="389">
        <v>-0.46</v>
      </c>
      <c r="AL12" s="389">
        <v>-0.45</v>
      </c>
      <c r="AM12" s="390">
        <v>-0.45</v>
      </c>
      <c r="AN12" s="390">
        <v>-0.45</v>
      </c>
      <c r="AO12" s="443">
        <v>-0.42</v>
      </c>
      <c r="AP12" s="443">
        <v>-0.44</v>
      </c>
      <c r="AQ12" s="444">
        <v>-0.37</v>
      </c>
    </row>
    <row r="13" spans="1:43" ht="14.45" x14ac:dyDescent="0.3">
      <c r="A13" s="432"/>
      <c r="C13" s="433"/>
      <c r="D13" s="433"/>
      <c r="E13" s="433"/>
      <c r="F13" s="433"/>
      <c r="G13" s="433"/>
      <c r="H13" s="433"/>
      <c r="I13" s="433"/>
      <c r="J13" s="433"/>
      <c r="K13" s="433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430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551" t="s">
        <v>1008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551" t="s">
        <v>1012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551" t="s">
        <v>1016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432"/>
      <c r="B15" s="428" t="s">
        <v>186</v>
      </c>
      <c r="C15" s="368">
        <v>-0.42</v>
      </c>
      <c r="D15" s="440">
        <v>-0.4</v>
      </c>
      <c r="E15" s="369">
        <v>-0.42</v>
      </c>
      <c r="F15" s="370">
        <v>-0.41</v>
      </c>
      <c r="G15" s="370">
        <v>-0.41</v>
      </c>
      <c r="H15" s="371">
        <v>-0.42</v>
      </c>
      <c r="I15" s="371">
        <v>-0.4</v>
      </c>
      <c r="J15" s="372">
        <v>-0.27</v>
      </c>
      <c r="K15" s="433"/>
      <c r="L15" s="551"/>
      <c r="M15" s="433" t="s">
        <v>186</v>
      </c>
      <c r="N15" s="368">
        <v>-0.49</v>
      </c>
      <c r="O15" s="440">
        <v>-0.46</v>
      </c>
      <c r="P15" s="369">
        <v>-0.46</v>
      </c>
      <c r="Q15" s="370">
        <v>-0.45</v>
      </c>
      <c r="R15" s="370">
        <v>-0.45</v>
      </c>
      <c r="S15" s="371">
        <v>-0.45</v>
      </c>
      <c r="T15" s="371">
        <v>-0.45</v>
      </c>
      <c r="U15" s="372">
        <v>-0.3</v>
      </c>
      <c r="V15" s="433"/>
      <c r="W15" s="551"/>
      <c r="X15" s="433" t="s">
        <v>186</v>
      </c>
      <c r="Y15" s="368">
        <v>-0.54</v>
      </c>
      <c r="Z15" s="440">
        <v>-0.49</v>
      </c>
      <c r="AA15" s="369">
        <v>-0.5</v>
      </c>
      <c r="AB15" s="370">
        <v>-0.5</v>
      </c>
      <c r="AC15" s="370">
        <v>-0.52</v>
      </c>
      <c r="AD15" s="371">
        <v>-0.49</v>
      </c>
      <c r="AE15" s="371">
        <v>-0.5</v>
      </c>
      <c r="AF15" s="372">
        <v>-0.34</v>
      </c>
      <c r="AG15" s="433"/>
      <c r="AH15" s="551"/>
      <c r="AI15" s="433" t="s">
        <v>186</v>
      </c>
      <c r="AJ15" s="368">
        <v>-0.65</v>
      </c>
      <c r="AK15" s="440">
        <v>-0.61</v>
      </c>
      <c r="AL15" s="369">
        <v>-0.61</v>
      </c>
      <c r="AM15" s="370">
        <v>-0.6</v>
      </c>
      <c r="AN15" s="370">
        <v>-0.62</v>
      </c>
      <c r="AO15" s="371">
        <v>-0.6</v>
      </c>
      <c r="AP15" s="371">
        <v>-0.6</v>
      </c>
      <c r="AQ15" s="372">
        <v>-0.44</v>
      </c>
    </row>
    <row r="16" spans="1:43" ht="14.45" x14ac:dyDescent="0.3">
      <c r="A16" s="432"/>
      <c r="B16" s="428" t="s">
        <v>213</v>
      </c>
      <c r="C16" s="373">
        <v>-0.4</v>
      </c>
      <c r="D16" s="374">
        <v>-0.39</v>
      </c>
      <c r="E16" s="375">
        <v>-0.39</v>
      </c>
      <c r="F16" s="376">
        <v>-0.42</v>
      </c>
      <c r="G16" s="376">
        <v>-0.41</v>
      </c>
      <c r="H16" s="377">
        <v>-0.39</v>
      </c>
      <c r="I16" s="377">
        <v>-0.38</v>
      </c>
      <c r="J16" s="378">
        <v>-0.28999999999999998</v>
      </c>
      <c r="K16" s="433"/>
      <c r="L16" s="551"/>
      <c r="M16" s="433" t="s">
        <v>213</v>
      </c>
      <c r="N16" s="373">
        <v>-0.44</v>
      </c>
      <c r="O16" s="374">
        <v>-0.43</v>
      </c>
      <c r="P16" s="375">
        <v>-0.43</v>
      </c>
      <c r="Q16" s="376">
        <v>-0.44</v>
      </c>
      <c r="R16" s="376">
        <v>-0.44</v>
      </c>
      <c r="S16" s="377">
        <v>-0.43</v>
      </c>
      <c r="T16" s="377">
        <v>-0.43</v>
      </c>
      <c r="U16" s="378">
        <v>-0.32</v>
      </c>
      <c r="V16" s="433"/>
      <c r="W16" s="551"/>
      <c r="X16" s="433" t="s">
        <v>213</v>
      </c>
      <c r="Y16" s="373">
        <v>-0.53</v>
      </c>
      <c r="Z16" s="374">
        <v>-0.49</v>
      </c>
      <c r="AA16" s="375">
        <v>-0.49</v>
      </c>
      <c r="AB16" s="376">
        <v>-0.5</v>
      </c>
      <c r="AC16" s="376">
        <v>-0.49</v>
      </c>
      <c r="AD16" s="377">
        <v>-0.49</v>
      </c>
      <c r="AE16" s="377">
        <v>-0.48</v>
      </c>
      <c r="AF16" s="378">
        <v>-0.38</v>
      </c>
      <c r="AG16" s="433"/>
      <c r="AH16" s="551"/>
      <c r="AI16" s="433" t="s">
        <v>213</v>
      </c>
      <c r="AJ16" s="373">
        <v>-0.64</v>
      </c>
      <c r="AK16" s="374">
        <v>-0.6</v>
      </c>
      <c r="AL16" s="375">
        <v>-0.6</v>
      </c>
      <c r="AM16" s="376">
        <v>-0.59</v>
      </c>
      <c r="AN16" s="376">
        <v>-0.6</v>
      </c>
      <c r="AO16" s="377">
        <v>-0.6</v>
      </c>
      <c r="AP16" s="377">
        <v>-0.59</v>
      </c>
      <c r="AQ16" s="378">
        <v>-0.48</v>
      </c>
    </row>
    <row r="17" spans="1:43" ht="14.45" x14ac:dyDescent="0.3">
      <c r="A17" s="432"/>
      <c r="B17" s="428" t="s">
        <v>232</v>
      </c>
      <c r="C17" s="379">
        <v>-0.37</v>
      </c>
      <c r="D17" s="380">
        <v>-0.36</v>
      </c>
      <c r="E17" s="381">
        <v>-0.38</v>
      </c>
      <c r="F17" s="376">
        <v>-0.39</v>
      </c>
      <c r="G17" s="376">
        <v>-0.39</v>
      </c>
      <c r="H17" s="377">
        <v>-0.37</v>
      </c>
      <c r="I17" s="377">
        <v>-0.37</v>
      </c>
      <c r="J17" s="378">
        <v>-0.28999999999999998</v>
      </c>
      <c r="K17" s="433"/>
      <c r="L17" s="551"/>
      <c r="M17" s="433" t="s">
        <v>232</v>
      </c>
      <c r="N17" s="379">
        <v>-0.41</v>
      </c>
      <c r="O17" s="380">
        <v>-0.4</v>
      </c>
      <c r="P17" s="381">
        <v>-0.4</v>
      </c>
      <c r="Q17" s="376">
        <v>-0.43</v>
      </c>
      <c r="R17" s="376">
        <v>-0.44</v>
      </c>
      <c r="S17" s="377">
        <v>-0.41</v>
      </c>
      <c r="T17" s="377">
        <v>-0.42</v>
      </c>
      <c r="U17" s="378">
        <v>-0.35</v>
      </c>
      <c r="V17" s="433"/>
      <c r="W17" s="551"/>
      <c r="X17" s="433" t="s">
        <v>232</v>
      </c>
      <c r="Y17" s="379">
        <v>-0.5</v>
      </c>
      <c r="Z17" s="380">
        <v>-0.48</v>
      </c>
      <c r="AA17" s="381">
        <v>-0.46</v>
      </c>
      <c r="AB17" s="376">
        <v>-0.49</v>
      </c>
      <c r="AC17" s="376">
        <v>-0.49</v>
      </c>
      <c r="AD17" s="377">
        <v>-0.47</v>
      </c>
      <c r="AE17" s="377">
        <v>-0.45</v>
      </c>
      <c r="AF17" s="378">
        <v>-0.38</v>
      </c>
      <c r="AG17" s="433"/>
      <c r="AH17" s="551"/>
      <c r="AI17" s="433" t="s">
        <v>232</v>
      </c>
      <c r="AJ17" s="379">
        <v>-0.61</v>
      </c>
      <c r="AK17" s="380">
        <v>-0.6</v>
      </c>
      <c r="AL17" s="381">
        <v>-0.57999999999999996</v>
      </c>
      <c r="AM17" s="376">
        <v>-0.61</v>
      </c>
      <c r="AN17" s="376">
        <v>-0.62</v>
      </c>
      <c r="AO17" s="377">
        <v>-0.59</v>
      </c>
      <c r="AP17" s="377">
        <v>-0.56999999999999995</v>
      </c>
      <c r="AQ17" s="378">
        <v>-0.49</v>
      </c>
    </row>
    <row r="18" spans="1:43" ht="14.45" x14ac:dyDescent="0.3">
      <c r="A18" s="432"/>
      <c r="B18" s="428" t="s">
        <v>215</v>
      </c>
      <c r="C18" s="382">
        <v>-0.37</v>
      </c>
      <c r="D18" s="383">
        <v>-0.36</v>
      </c>
      <c r="E18" s="383">
        <v>-0.36</v>
      </c>
      <c r="F18" s="384">
        <v>-0.36</v>
      </c>
      <c r="G18" s="384">
        <v>-0.36</v>
      </c>
      <c r="H18" s="393">
        <v>-0.37</v>
      </c>
      <c r="I18" s="393">
        <v>-0.38</v>
      </c>
      <c r="J18" s="394">
        <v>-0.28999999999999998</v>
      </c>
      <c r="K18" s="433"/>
      <c r="L18" s="551"/>
      <c r="M18" s="433" t="s">
        <v>215</v>
      </c>
      <c r="N18" s="382">
        <v>-0.45</v>
      </c>
      <c r="O18" s="383">
        <v>-0.42</v>
      </c>
      <c r="P18" s="383">
        <v>-0.42</v>
      </c>
      <c r="Q18" s="384">
        <v>-0.41</v>
      </c>
      <c r="R18" s="384">
        <v>-0.42</v>
      </c>
      <c r="S18" s="393">
        <v>-0.41</v>
      </c>
      <c r="T18" s="393">
        <v>-0.42</v>
      </c>
      <c r="U18" s="394">
        <v>-0.33</v>
      </c>
      <c r="V18" s="433"/>
      <c r="W18" s="551"/>
      <c r="X18" s="433" t="s">
        <v>215</v>
      </c>
      <c r="Y18" s="382">
        <v>-0.52</v>
      </c>
      <c r="Z18" s="383">
        <v>-0.49</v>
      </c>
      <c r="AA18" s="383">
        <v>-0.49</v>
      </c>
      <c r="AB18" s="384">
        <v>-0.48</v>
      </c>
      <c r="AC18" s="384">
        <v>-0.48</v>
      </c>
      <c r="AD18" s="393">
        <v>-0.47</v>
      </c>
      <c r="AE18" s="393">
        <v>-0.46</v>
      </c>
      <c r="AF18" s="394">
        <v>-0.37</v>
      </c>
      <c r="AG18" s="433"/>
      <c r="AH18" s="551"/>
      <c r="AI18" s="433" t="s">
        <v>215</v>
      </c>
      <c r="AJ18" s="382">
        <v>-0.62</v>
      </c>
      <c r="AK18" s="383">
        <v>-0.62</v>
      </c>
      <c r="AL18" s="383">
        <v>-0.6</v>
      </c>
      <c r="AM18" s="384">
        <v>-0.6</v>
      </c>
      <c r="AN18" s="384">
        <v>-0.6</v>
      </c>
      <c r="AO18" s="393">
        <v>-0.59</v>
      </c>
      <c r="AP18" s="393">
        <v>-0.58000000000000007</v>
      </c>
      <c r="AQ18" s="394">
        <v>-0.47</v>
      </c>
    </row>
    <row r="19" spans="1:43" ht="14.45" x14ac:dyDescent="0.3">
      <c r="A19" s="432"/>
      <c r="B19" s="428" t="s">
        <v>249</v>
      </c>
      <c r="C19" s="382">
        <v>-0.37</v>
      </c>
      <c r="D19" s="383">
        <v>-0.36</v>
      </c>
      <c r="E19" s="383">
        <v>-0.36</v>
      </c>
      <c r="F19" s="384">
        <v>-0.37</v>
      </c>
      <c r="G19" s="384">
        <v>-0.36</v>
      </c>
      <c r="H19" s="393">
        <v>-0.37</v>
      </c>
      <c r="I19" s="393">
        <v>-0.38</v>
      </c>
      <c r="J19" s="394">
        <v>-0.28999999999999998</v>
      </c>
      <c r="K19" s="433"/>
      <c r="L19" s="551"/>
      <c r="M19" s="433" t="s">
        <v>249</v>
      </c>
      <c r="N19" s="382">
        <v>-0.42</v>
      </c>
      <c r="O19" s="383">
        <v>-0.42</v>
      </c>
      <c r="P19" s="383">
        <v>-0.41</v>
      </c>
      <c r="Q19" s="384">
        <v>-0.4</v>
      </c>
      <c r="R19" s="384">
        <v>-0.39</v>
      </c>
      <c r="S19" s="393">
        <v>-0.39</v>
      </c>
      <c r="T19" s="393">
        <v>-0.4</v>
      </c>
      <c r="U19" s="394">
        <v>-0.33</v>
      </c>
      <c r="V19" s="433"/>
      <c r="W19" s="551"/>
      <c r="X19" s="433" t="s">
        <v>249</v>
      </c>
      <c r="Y19" s="382">
        <v>-0.48</v>
      </c>
      <c r="Z19" s="383">
        <v>-0.49</v>
      </c>
      <c r="AA19" s="383">
        <v>-0.48</v>
      </c>
      <c r="AB19" s="384">
        <v>-0.47</v>
      </c>
      <c r="AC19" s="384">
        <v>-0.46</v>
      </c>
      <c r="AD19" s="393">
        <v>-0.45</v>
      </c>
      <c r="AE19" s="393">
        <v>-0.44</v>
      </c>
      <c r="AF19" s="394">
        <v>-0.37</v>
      </c>
      <c r="AG19" s="433"/>
      <c r="AH19" s="551"/>
      <c r="AI19" s="433" t="s">
        <v>249</v>
      </c>
      <c r="AJ19" s="382">
        <v>-0.59</v>
      </c>
      <c r="AK19" s="383">
        <v>-0.59</v>
      </c>
      <c r="AL19" s="383">
        <v>-0.57999999999999996</v>
      </c>
      <c r="AM19" s="384">
        <v>-0.56999999999999995</v>
      </c>
      <c r="AN19" s="384">
        <v>-0.57000000000000006</v>
      </c>
      <c r="AO19" s="393">
        <v>-0.56999999999999995</v>
      </c>
      <c r="AP19" s="393">
        <v>-0.56000000000000005</v>
      </c>
      <c r="AQ19" s="394">
        <v>-0.45</v>
      </c>
    </row>
    <row r="20" spans="1:43" ht="14.45" x14ac:dyDescent="0.3">
      <c r="A20" s="432"/>
      <c r="B20" s="428" t="s">
        <v>257</v>
      </c>
      <c r="C20" s="382">
        <v>-0.37</v>
      </c>
      <c r="D20" s="383">
        <v>-0.36</v>
      </c>
      <c r="E20" s="383">
        <v>-0.36</v>
      </c>
      <c r="F20" s="384">
        <v>-0.37</v>
      </c>
      <c r="G20" s="384">
        <v>-0.35</v>
      </c>
      <c r="H20" s="393">
        <v>-0.35</v>
      </c>
      <c r="I20" s="393">
        <v>-0.37</v>
      </c>
      <c r="J20" s="394">
        <v>-0.27</v>
      </c>
      <c r="K20" s="433"/>
      <c r="L20" s="551"/>
      <c r="M20" s="433" t="s">
        <v>257</v>
      </c>
      <c r="N20" s="382">
        <v>-0.4</v>
      </c>
      <c r="O20" s="383">
        <v>-0.38</v>
      </c>
      <c r="P20" s="383">
        <v>-0.38</v>
      </c>
      <c r="Q20" s="384">
        <v>-0.41</v>
      </c>
      <c r="R20" s="384">
        <v>-0.41</v>
      </c>
      <c r="S20" s="393">
        <v>-0.4</v>
      </c>
      <c r="T20" s="393">
        <v>-0.4</v>
      </c>
      <c r="U20" s="394">
        <v>-0.32</v>
      </c>
      <c r="V20" s="433"/>
      <c r="W20" s="551"/>
      <c r="X20" s="433" t="s">
        <v>257</v>
      </c>
      <c r="Y20" s="382">
        <v>-0.45</v>
      </c>
      <c r="Z20" s="383">
        <v>-0.44</v>
      </c>
      <c r="AA20" s="383">
        <v>-0.44</v>
      </c>
      <c r="AB20" s="384">
        <v>-0.45</v>
      </c>
      <c r="AC20" s="384">
        <v>-0.44</v>
      </c>
      <c r="AD20" s="393">
        <v>-0.47</v>
      </c>
      <c r="AE20" s="393">
        <v>-0.47</v>
      </c>
      <c r="AF20" s="394">
        <v>-0.37</v>
      </c>
      <c r="AG20" s="433"/>
      <c r="AH20" s="551"/>
      <c r="AI20" s="433" t="s">
        <v>257</v>
      </c>
      <c r="AJ20" s="382">
        <v>-0.54</v>
      </c>
      <c r="AK20" s="383">
        <v>-0.53</v>
      </c>
      <c r="AL20" s="383">
        <v>-0.52</v>
      </c>
      <c r="AM20" s="384">
        <v>-0.54</v>
      </c>
      <c r="AN20" s="384">
        <v>-0.52</v>
      </c>
      <c r="AO20" s="393">
        <v>-0.54</v>
      </c>
      <c r="AP20" s="393">
        <v>-0.53</v>
      </c>
      <c r="AQ20" s="394">
        <v>-0.44</v>
      </c>
    </row>
    <row r="21" spans="1:43" ht="14.45" x14ac:dyDescent="0.3">
      <c r="A21" s="432"/>
      <c r="B21" s="428" t="s">
        <v>264</v>
      </c>
      <c r="C21" s="385">
        <v>-0.36</v>
      </c>
      <c r="D21" s="386">
        <v>-0.37</v>
      </c>
      <c r="E21" s="386">
        <v>-0.35</v>
      </c>
      <c r="F21" s="387">
        <v>-0.33</v>
      </c>
      <c r="G21" s="387">
        <v>-0.36</v>
      </c>
      <c r="H21" s="441">
        <v>-0.34</v>
      </c>
      <c r="I21" s="441">
        <v>-0.33</v>
      </c>
      <c r="J21" s="442">
        <v>-0.28000000000000003</v>
      </c>
      <c r="K21" s="433"/>
      <c r="L21" s="551"/>
      <c r="M21" s="433" t="s">
        <v>264</v>
      </c>
      <c r="N21" s="385">
        <v>-0.39</v>
      </c>
      <c r="O21" s="386">
        <v>-0.4</v>
      </c>
      <c r="P21" s="386">
        <v>-0.4</v>
      </c>
      <c r="Q21" s="387">
        <v>-0.38</v>
      </c>
      <c r="R21" s="387">
        <v>-0.42</v>
      </c>
      <c r="S21" s="441">
        <v>-0.38</v>
      </c>
      <c r="T21" s="441">
        <v>-0.38</v>
      </c>
      <c r="U21" s="442">
        <v>-0.31000000000000005</v>
      </c>
      <c r="V21" s="433"/>
      <c r="W21" s="551"/>
      <c r="X21" s="433" t="s">
        <v>264</v>
      </c>
      <c r="Y21" s="385">
        <v>-0.43</v>
      </c>
      <c r="Z21" s="386">
        <v>-0.46</v>
      </c>
      <c r="AA21" s="386">
        <v>-0.46</v>
      </c>
      <c r="AB21" s="387">
        <v>-0.44</v>
      </c>
      <c r="AC21" s="387">
        <v>-0.46</v>
      </c>
      <c r="AD21" s="441">
        <v>-0.42</v>
      </c>
      <c r="AE21" s="441">
        <v>-0.42</v>
      </c>
      <c r="AF21" s="442">
        <v>-0.38</v>
      </c>
      <c r="AG21" s="433"/>
      <c r="AH21" s="551"/>
      <c r="AI21" s="433" t="s">
        <v>264</v>
      </c>
      <c r="AJ21" s="385">
        <v>-0.52</v>
      </c>
      <c r="AK21" s="386">
        <v>-0.53</v>
      </c>
      <c r="AL21" s="386">
        <v>-0.54</v>
      </c>
      <c r="AM21" s="387">
        <v>-0.53</v>
      </c>
      <c r="AN21" s="387">
        <v>-0.53</v>
      </c>
      <c r="AO21" s="441">
        <v>-0.51</v>
      </c>
      <c r="AP21" s="441">
        <v>-0.5</v>
      </c>
      <c r="AQ21" s="442">
        <v>-0.44</v>
      </c>
    </row>
    <row r="22" spans="1:43" ht="14.45" x14ac:dyDescent="0.3">
      <c r="A22" s="432"/>
      <c r="B22" s="428" t="s">
        <v>272</v>
      </c>
      <c r="C22" s="385">
        <v>-0.36</v>
      </c>
      <c r="D22" s="386">
        <v>-0.34</v>
      </c>
      <c r="E22" s="386">
        <v>-0.35</v>
      </c>
      <c r="F22" s="387">
        <v>-0.35</v>
      </c>
      <c r="G22" s="387">
        <v>-0.35</v>
      </c>
      <c r="H22" s="441">
        <v>-0.33</v>
      </c>
      <c r="I22" s="441">
        <v>-0.33</v>
      </c>
      <c r="J22" s="442">
        <v>-0.26</v>
      </c>
      <c r="K22" s="433"/>
      <c r="L22" s="551"/>
      <c r="M22" s="433" t="s">
        <v>272</v>
      </c>
      <c r="N22" s="385">
        <v>-0.41</v>
      </c>
      <c r="O22" s="386">
        <v>-0.38</v>
      </c>
      <c r="P22" s="386">
        <v>-0.4</v>
      </c>
      <c r="Q22" s="387">
        <v>-0.39</v>
      </c>
      <c r="R22" s="387">
        <v>-0.4</v>
      </c>
      <c r="S22" s="441">
        <v>-0.39</v>
      </c>
      <c r="T22" s="441">
        <v>-0.39</v>
      </c>
      <c r="U22" s="442">
        <v>-0.31</v>
      </c>
      <c r="V22" s="433"/>
      <c r="W22" s="551"/>
      <c r="X22" s="433" t="s">
        <v>272</v>
      </c>
      <c r="Y22" s="385">
        <v>-0.48</v>
      </c>
      <c r="Z22" s="386">
        <v>-0.45</v>
      </c>
      <c r="AA22" s="386">
        <v>-0.45</v>
      </c>
      <c r="AB22" s="387">
        <v>-0.44</v>
      </c>
      <c r="AC22" s="387">
        <v>-0.44</v>
      </c>
      <c r="AD22" s="441">
        <v>-0.43</v>
      </c>
      <c r="AE22" s="441">
        <v>-0.44</v>
      </c>
      <c r="AF22" s="442">
        <v>-0.35</v>
      </c>
      <c r="AG22" s="433"/>
      <c r="AH22" s="551"/>
      <c r="AI22" s="433" t="s">
        <v>272</v>
      </c>
      <c r="AJ22" s="385">
        <v>-0.55000000000000004</v>
      </c>
      <c r="AK22" s="386">
        <v>-0.52</v>
      </c>
      <c r="AL22" s="386">
        <v>-0.53</v>
      </c>
      <c r="AM22" s="387">
        <v>-0.52</v>
      </c>
      <c r="AN22" s="387">
        <v>-0.52</v>
      </c>
      <c r="AO22" s="441">
        <v>-0.51</v>
      </c>
      <c r="AP22" s="441">
        <v>-0.5</v>
      </c>
      <c r="AQ22" s="442">
        <v>-0.44</v>
      </c>
    </row>
    <row r="23" spans="1:43" ht="14.45" x14ac:dyDescent="0.3">
      <c r="A23" s="432"/>
      <c r="B23" s="428" t="s">
        <v>278</v>
      </c>
      <c r="C23" s="385">
        <v>-0.35</v>
      </c>
      <c r="D23" s="386">
        <v>-0.33</v>
      </c>
      <c r="E23" s="386">
        <v>-0.35</v>
      </c>
      <c r="F23" s="387">
        <v>-0.36</v>
      </c>
      <c r="G23" s="387">
        <v>-0.37</v>
      </c>
      <c r="H23" s="441">
        <v>-0.34</v>
      </c>
      <c r="I23" s="441">
        <v>-0.35</v>
      </c>
      <c r="J23" s="442">
        <v>-0.25</v>
      </c>
      <c r="K23" s="433"/>
      <c r="L23" s="551"/>
      <c r="M23" s="433" t="s">
        <v>278</v>
      </c>
      <c r="N23" s="385">
        <v>-0.41</v>
      </c>
      <c r="O23" s="386">
        <v>-0.38</v>
      </c>
      <c r="P23" s="386">
        <v>-0.41</v>
      </c>
      <c r="Q23" s="387">
        <v>-0.41</v>
      </c>
      <c r="R23" s="387">
        <v>-0.41</v>
      </c>
      <c r="S23" s="441">
        <v>-0.39</v>
      </c>
      <c r="T23" s="441">
        <v>-0.39</v>
      </c>
      <c r="U23" s="442">
        <v>-0.31</v>
      </c>
      <c r="V23" s="433"/>
      <c r="W23" s="551"/>
      <c r="X23" s="433" t="s">
        <v>278</v>
      </c>
      <c r="Y23" s="385">
        <v>-0.45</v>
      </c>
      <c r="Z23" s="386">
        <v>-0.43</v>
      </c>
      <c r="AA23" s="386">
        <v>-0.47</v>
      </c>
      <c r="AB23" s="387">
        <v>-0.47</v>
      </c>
      <c r="AC23" s="387">
        <v>-0.47</v>
      </c>
      <c r="AD23" s="441">
        <v>-0.44</v>
      </c>
      <c r="AE23" s="441">
        <v>-0.44</v>
      </c>
      <c r="AF23" s="442">
        <v>-0.37</v>
      </c>
      <c r="AG23" s="433"/>
      <c r="AH23" s="551"/>
      <c r="AI23" s="433" t="s">
        <v>278</v>
      </c>
      <c r="AJ23" s="385">
        <v>-0.54</v>
      </c>
      <c r="AK23" s="386">
        <v>-0.51</v>
      </c>
      <c r="AL23" s="386">
        <v>-0.55000000000000004</v>
      </c>
      <c r="AM23" s="387">
        <v>-0.55000000000000004</v>
      </c>
      <c r="AN23" s="387">
        <v>-0.54</v>
      </c>
      <c r="AO23" s="441">
        <v>-0.51</v>
      </c>
      <c r="AP23" s="441">
        <v>-0.5</v>
      </c>
      <c r="AQ23" s="442">
        <v>-0.43</v>
      </c>
    </row>
    <row r="24" spans="1:43" ht="14.45" x14ac:dyDescent="0.3">
      <c r="A24" s="432"/>
      <c r="B24" s="428" t="s">
        <v>284</v>
      </c>
      <c r="C24" s="388">
        <v>-0.34</v>
      </c>
      <c r="D24" s="389">
        <v>-0.34</v>
      </c>
      <c r="E24" s="389">
        <v>-0.34</v>
      </c>
      <c r="F24" s="390">
        <v>-0.34</v>
      </c>
      <c r="G24" s="390">
        <v>-0.34</v>
      </c>
      <c r="H24" s="443">
        <v>-0.33</v>
      </c>
      <c r="I24" s="443">
        <v>-0.35</v>
      </c>
      <c r="J24" s="444">
        <v>-0.27</v>
      </c>
      <c r="K24" s="433"/>
      <c r="L24" s="551"/>
      <c r="M24" s="433" t="s">
        <v>284</v>
      </c>
      <c r="N24" s="388">
        <v>-0.39</v>
      </c>
      <c r="O24" s="389">
        <v>-0.4</v>
      </c>
      <c r="P24" s="389">
        <v>-0.38</v>
      </c>
      <c r="Q24" s="390">
        <v>-0.4</v>
      </c>
      <c r="R24" s="390">
        <v>-0.39</v>
      </c>
      <c r="S24" s="443">
        <v>-0.36</v>
      </c>
      <c r="T24" s="443">
        <v>-0.38</v>
      </c>
      <c r="U24" s="444">
        <v>-0.3</v>
      </c>
      <c r="V24" s="433"/>
      <c r="W24" s="551"/>
      <c r="X24" s="433" t="s">
        <v>284</v>
      </c>
      <c r="Y24" s="388">
        <v>-0.43</v>
      </c>
      <c r="Z24" s="389">
        <v>-0.45</v>
      </c>
      <c r="AA24" s="389">
        <v>-0.44</v>
      </c>
      <c r="AB24" s="390">
        <v>-0.46</v>
      </c>
      <c r="AC24" s="390">
        <v>-0.46</v>
      </c>
      <c r="AD24" s="443">
        <v>-0.43</v>
      </c>
      <c r="AE24" s="443">
        <v>-0.43</v>
      </c>
      <c r="AF24" s="444">
        <v>-0.35</v>
      </c>
      <c r="AG24" s="433"/>
      <c r="AH24" s="551"/>
      <c r="AI24" s="433" t="s">
        <v>284</v>
      </c>
      <c r="AJ24" s="388">
        <v>-0.51</v>
      </c>
      <c r="AK24" s="389">
        <v>-0.52</v>
      </c>
      <c r="AL24" s="389">
        <v>-0.51</v>
      </c>
      <c r="AM24" s="390">
        <v>-0.52</v>
      </c>
      <c r="AN24" s="390">
        <v>-0.52</v>
      </c>
      <c r="AO24" s="443">
        <v>-0.49</v>
      </c>
      <c r="AP24" s="443">
        <v>-0.49</v>
      </c>
      <c r="AQ24" s="444">
        <v>-0.42</v>
      </c>
    </row>
    <row r="25" spans="1:43" ht="14.45" x14ac:dyDescent="0.3">
      <c r="A25" s="432"/>
      <c r="C25" s="433"/>
      <c r="D25" s="433"/>
      <c r="E25" s="433"/>
      <c r="F25" s="433"/>
      <c r="G25" s="433"/>
      <c r="H25" s="433"/>
      <c r="I25" s="433"/>
      <c r="J25" s="433"/>
      <c r="K25" s="433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430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551" t="s">
        <v>1020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551" t="s">
        <v>1021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551" t="s">
        <v>1022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432"/>
      <c r="B27" s="428" t="s">
        <v>186</v>
      </c>
      <c r="C27" s="368">
        <v>-0.51</v>
      </c>
      <c r="D27" s="440">
        <v>-0.47</v>
      </c>
      <c r="E27" s="369">
        <v>-0.5</v>
      </c>
      <c r="F27" s="370">
        <v>-0.49</v>
      </c>
      <c r="G27" s="370">
        <v>-0.49</v>
      </c>
      <c r="H27" s="371">
        <v>-0.48</v>
      </c>
      <c r="I27" s="371">
        <v>-0.45</v>
      </c>
      <c r="J27" s="372">
        <v>-0.3</v>
      </c>
      <c r="K27" s="433"/>
      <c r="L27" s="551"/>
      <c r="M27" s="433" t="s">
        <v>186</v>
      </c>
      <c r="N27" s="368">
        <v>-0.56000000000000005</v>
      </c>
      <c r="O27" s="440">
        <v>-0.54</v>
      </c>
      <c r="P27" s="369">
        <v>-0.55000000000000004</v>
      </c>
      <c r="Q27" s="370">
        <v>-0.54</v>
      </c>
      <c r="R27" s="370">
        <v>-0.53</v>
      </c>
      <c r="S27" s="371">
        <v>-0.51</v>
      </c>
      <c r="T27" s="371">
        <v>-0.5</v>
      </c>
      <c r="U27" s="372">
        <v>-0.33</v>
      </c>
      <c r="V27" s="433"/>
      <c r="W27" s="551"/>
      <c r="X27" s="433" t="s">
        <v>186</v>
      </c>
      <c r="Y27" s="368">
        <v>-0.64</v>
      </c>
      <c r="Z27" s="440">
        <v>-0.6</v>
      </c>
      <c r="AA27" s="369">
        <v>-0.6</v>
      </c>
      <c r="AB27" s="370">
        <v>-0.57999999999999996</v>
      </c>
      <c r="AC27" s="370">
        <v>-0.57000000000000006</v>
      </c>
      <c r="AD27" s="371">
        <v>-0.56000000000000005</v>
      </c>
      <c r="AE27" s="371">
        <v>-0.54</v>
      </c>
      <c r="AF27" s="372">
        <v>-0.36</v>
      </c>
      <c r="AG27" s="433"/>
      <c r="AH27" s="551"/>
      <c r="AI27" s="433" t="s">
        <v>186</v>
      </c>
      <c r="AJ27" s="368">
        <v>-0.71</v>
      </c>
      <c r="AK27" s="440">
        <v>-0.66</v>
      </c>
      <c r="AL27" s="369">
        <v>-0.66</v>
      </c>
      <c r="AM27" s="370">
        <v>-0.63</v>
      </c>
      <c r="AN27" s="370">
        <v>-0.63</v>
      </c>
      <c r="AO27" s="371">
        <v>-0.6</v>
      </c>
      <c r="AP27" s="371">
        <v>-0.59</v>
      </c>
      <c r="AQ27" s="372">
        <v>-0.42</v>
      </c>
    </row>
    <row r="28" spans="1:43" x14ac:dyDescent="0.25">
      <c r="A28" s="432"/>
      <c r="B28" s="428" t="s">
        <v>213</v>
      </c>
      <c r="C28" s="373">
        <v>-0.48</v>
      </c>
      <c r="D28" s="374">
        <v>-0.46</v>
      </c>
      <c r="E28" s="375">
        <v>-0.47</v>
      </c>
      <c r="F28" s="376">
        <v>-0.49</v>
      </c>
      <c r="G28" s="376">
        <v>-0.48</v>
      </c>
      <c r="H28" s="377">
        <v>-0.46</v>
      </c>
      <c r="I28" s="377">
        <v>-0.45</v>
      </c>
      <c r="J28" s="378">
        <v>-0.34</v>
      </c>
      <c r="K28" s="433"/>
      <c r="L28" s="551"/>
      <c r="M28" s="433" t="s">
        <v>213</v>
      </c>
      <c r="N28" s="373">
        <v>-0.53</v>
      </c>
      <c r="O28" s="374">
        <v>-0.51</v>
      </c>
      <c r="P28" s="375">
        <v>-0.51</v>
      </c>
      <c r="Q28" s="376">
        <v>-0.51</v>
      </c>
      <c r="R28" s="376">
        <v>-0.53</v>
      </c>
      <c r="S28" s="377">
        <v>-0.51</v>
      </c>
      <c r="T28" s="377">
        <v>-0.49</v>
      </c>
      <c r="U28" s="378">
        <v>-0.4</v>
      </c>
      <c r="V28" s="433"/>
      <c r="W28" s="551"/>
      <c r="X28" s="433" t="s">
        <v>213</v>
      </c>
      <c r="Y28" s="373">
        <v>-0.61</v>
      </c>
      <c r="Z28" s="374">
        <v>-0.57999999999999996</v>
      </c>
      <c r="AA28" s="375">
        <v>-0.57999999999999996</v>
      </c>
      <c r="AB28" s="376">
        <v>-0.56999999999999995</v>
      </c>
      <c r="AC28" s="376">
        <v>-0.59</v>
      </c>
      <c r="AD28" s="377">
        <v>-0.56999999999999995</v>
      </c>
      <c r="AE28" s="377">
        <v>-0.54</v>
      </c>
      <c r="AF28" s="378">
        <v>-0.42</v>
      </c>
      <c r="AG28" s="433"/>
      <c r="AH28" s="551"/>
      <c r="AI28" s="433" t="s">
        <v>213</v>
      </c>
      <c r="AJ28" s="373">
        <v>-0.67</v>
      </c>
      <c r="AK28" s="374">
        <v>-0.64</v>
      </c>
      <c r="AL28" s="375">
        <v>-0.64</v>
      </c>
      <c r="AM28" s="376">
        <v>-0.62</v>
      </c>
      <c r="AN28" s="376">
        <v>-0.63</v>
      </c>
      <c r="AO28" s="377">
        <v>-0.63</v>
      </c>
      <c r="AP28" s="377">
        <v>-0.6</v>
      </c>
      <c r="AQ28" s="378">
        <v>-0.48</v>
      </c>
    </row>
    <row r="29" spans="1:43" x14ac:dyDescent="0.25">
      <c r="A29" s="432"/>
      <c r="B29" s="428" t="s">
        <v>232</v>
      </c>
      <c r="C29" s="379">
        <v>-0.45</v>
      </c>
      <c r="D29" s="380">
        <v>-0.44</v>
      </c>
      <c r="E29" s="381">
        <v>-0.46</v>
      </c>
      <c r="F29" s="376">
        <v>-0.47</v>
      </c>
      <c r="G29" s="376">
        <v>-0.47</v>
      </c>
      <c r="H29" s="377">
        <v>-0.44</v>
      </c>
      <c r="I29" s="377">
        <v>-0.43</v>
      </c>
      <c r="J29" s="378">
        <v>-0.35</v>
      </c>
      <c r="K29" s="433"/>
      <c r="L29" s="551"/>
      <c r="M29" s="433" t="s">
        <v>232</v>
      </c>
      <c r="N29" s="379">
        <v>-0.48</v>
      </c>
      <c r="O29" s="380">
        <v>-0.48</v>
      </c>
      <c r="P29" s="381">
        <v>-0.52</v>
      </c>
      <c r="Q29" s="376">
        <v>-0.51500000000000001</v>
      </c>
      <c r="R29" s="376">
        <v>-0.52</v>
      </c>
      <c r="S29" s="377">
        <v>-0.49</v>
      </c>
      <c r="T29" s="377">
        <v>-0.48</v>
      </c>
      <c r="U29" s="378">
        <v>-0.4</v>
      </c>
      <c r="V29" s="433"/>
      <c r="W29" s="551"/>
      <c r="X29" s="433" t="s">
        <v>232</v>
      </c>
      <c r="Y29" s="379">
        <v>-0.57999999999999996</v>
      </c>
      <c r="Z29" s="380">
        <v>-0.56999999999999995</v>
      </c>
      <c r="AA29" s="381">
        <v>-0.6</v>
      </c>
      <c r="AB29" s="376">
        <v>-0.6</v>
      </c>
      <c r="AC29" s="376">
        <v>-0.59</v>
      </c>
      <c r="AD29" s="377">
        <v>-0.56000000000000005</v>
      </c>
      <c r="AE29" s="377">
        <v>-0.54</v>
      </c>
      <c r="AF29" s="378">
        <v>-0.47</v>
      </c>
      <c r="AG29" s="433"/>
      <c r="AH29" s="551"/>
      <c r="AI29" s="433" t="s">
        <v>232</v>
      </c>
      <c r="AJ29" s="379">
        <v>-0.66</v>
      </c>
      <c r="AK29" s="380">
        <v>-0.65</v>
      </c>
      <c r="AL29" s="381">
        <v>-0.65</v>
      </c>
      <c r="AM29" s="376">
        <v>-0.66</v>
      </c>
      <c r="AN29" s="376">
        <v>-0.65</v>
      </c>
      <c r="AO29" s="377">
        <v>-0.62</v>
      </c>
      <c r="AP29" s="377">
        <v>-0.6</v>
      </c>
      <c r="AQ29" s="378">
        <v>-0.53</v>
      </c>
    </row>
    <row r="30" spans="1:43" x14ac:dyDescent="0.25">
      <c r="A30" s="432"/>
      <c r="B30" s="428" t="s">
        <v>215</v>
      </c>
      <c r="C30" s="382">
        <v>-0.46</v>
      </c>
      <c r="D30" s="383">
        <v>-0.43</v>
      </c>
      <c r="E30" s="383">
        <v>-0.42</v>
      </c>
      <c r="F30" s="384">
        <v>-0.42</v>
      </c>
      <c r="G30" s="384">
        <v>-0.42</v>
      </c>
      <c r="H30" s="393">
        <v>-0.43</v>
      </c>
      <c r="I30" s="393">
        <v>-0.44</v>
      </c>
      <c r="J30" s="394">
        <v>-0.34</v>
      </c>
      <c r="K30" s="433"/>
      <c r="L30" s="551"/>
      <c r="M30" s="433" t="s">
        <v>215</v>
      </c>
      <c r="N30" s="382">
        <v>-0.5</v>
      </c>
      <c r="O30" s="383">
        <v>-0.48</v>
      </c>
      <c r="P30" s="383">
        <v>-0.49</v>
      </c>
      <c r="Q30" s="384">
        <v>-0.47</v>
      </c>
      <c r="R30" s="384">
        <v>-0.48</v>
      </c>
      <c r="S30" s="393">
        <v>-0.46</v>
      </c>
      <c r="T30" s="393">
        <v>-0.46</v>
      </c>
      <c r="U30" s="394">
        <v>-0.38</v>
      </c>
      <c r="V30" s="433"/>
      <c r="W30" s="551"/>
      <c r="X30" s="433" t="s">
        <v>215</v>
      </c>
      <c r="Y30" s="382">
        <v>-0.57999999999999996</v>
      </c>
      <c r="Z30" s="383">
        <v>-0.56999999999999995</v>
      </c>
      <c r="AA30" s="383">
        <v>-0.57999999999999996</v>
      </c>
      <c r="AB30" s="384">
        <v>-0.56000000000000005</v>
      </c>
      <c r="AC30" s="384">
        <v>-0.56000000000000005</v>
      </c>
      <c r="AD30" s="393">
        <v>-0.54</v>
      </c>
      <c r="AE30" s="393">
        <v>-0.53</v>
      </c>
      <c r="AF30" s="394">
        <v>-0.47</v>
      </c>
      <c r="AG30" s="433"/>
      <c r="AH30" s="551"/>
      <c r="AI30" s="433" t="s">
        <v>215</v>
      </c>
      <c r="AJ30" s="382">
        <v>-0.67</v>
      </c>
      <c r="AK30" s="383">
        <v>-0.66</v>
      </c>
      <c r="AL30" s="383">
        <v>-0.67</v>
      </c>
      <c r="AM30" s="384">
        <v>-0.65</v>
      </c>
      <c r="AN30" s="384">
        <v>-0.65</v>
      </c>
      <c r="AO30" s="393">
        <v>-0.63</v>
      </c>
      <c r="AP30" s="393">
        <v>-0.62</v>
      </c>
      <c r="AQ30" s="394">
        <v>-0.53</v>
      </c>
    </row>
    <row r="31" spans="1:43" x14ac:dyDescent="0.25">
      <c r="A31" s="432"/>
      <c r="B31" s="428" t="s">
        <v>249</v>
      </c>
      <c r="C31" s="382">
        <v>-0.43</v>
      </c>
      <c r="D31" s="383">
        <v>-0.42</v>
      </c>
      <c r="E31" s="383">
        <v>-0.42</v>
      </c>
      <c r="F31" s="384">
        <v>-0.43</v>
      </c>
      <c r="G31" s="384">
        <v>-0.41</v>
      </c>
      <c r="H31" s="393">
        <v>-0.43</v>
      </c>
      <c r="I31" s="393">
        <v>-0.43</v>
      </c>
      <c r="J31" s="394">
        <v>-0.35</v>
      </c>
      <c r="K31" s="433"/>
      <c r="L31" s="551"/>
      <c r="M31" s="433" t="s">
        <v>249</v>
      </c>
      <c r="N31" s="382">
        <v>-0.49</v>
      </c>
      <c r="O31" s="383">
        <v>-0.48</v>
      </c>
      <c r="P31" s="383">
        <v>-0.45</v>
      </c>
      <c r="Q31" s="384">
        <v>-0.46</v>
      </c>
      <c r="R31" s="384">
        <v>-0.45</v>
      </c>
      <c r="S31" s="393">
        <v>-0.45</v>
      </c>
      <c r="T31" s="393">
        <v>-0.45</v>
      </c>
      <c r="U31" s="394">
        <v>-0.38</v>
      </c>
      <c r="V31" s="433"/>
      <c r="W31" s="551"/>
      <c r="X31" s="433" t="s">
        <v>249</v>
      </c>
      <c r="Y31" s="382">
        <v>-0.57999999999999996</v>
      </c>
      <c r="Z31" s="383">
        <v>-0.57999999999999996</v>
      </c>
      <c r="AA31" s="383">
        <v>-0.55000000000000004</v>
      </c>
      <c r="AB31" s="384">
        <v>-0.54</v>
      </c>
      <c r="AC31" s="384">
        <v>-0.53</v>
      </c>
      <c r="AD31" s="393">
        <v>-0.53</v>
      </c>
      <c r="AE31" s="393">
        <v>-0.54</v>
      </c>
      <c r="AF31" s="394">
        <v>-0.44</v>
      </c>
      <c r="AG31" s="433"/>
      <c r="AH31" s="551"/>
      <c r="AI31" s="433" t="s">
        <v>249</v>
      </c>
      <c r="AJ31" s="382">
        <v>-0.65</v>
      </c>
      <c r="AK31" s="383">
        <v>-0.65</v>
      </c>
      <c r="AL31" s="383">
        <v>-0.63</v>
      </c>
      <c r="AM31" s="384">
        <v>-0.62</v>
      </c>
      <c r="AN31" s="384">
        <v>-0.61</v>
      </c>
      <c r="AO31" s="393">
        <v>-0.62</v>
      </c>
      <c r="AP31" s="393">
        <v>-0.62</v>
      </c>
      <c r="AQ31" s="394">
        <v>-0.51</v>
      </c>
    </row>
    <row r="32" spans="1:43" x14ac:dyDescent="0.25">
      <c r="A32" s="432"/>
      <c r="B32" s="428" t="s">
        <v>257</v>
      </c>
      <c r="C32" s="382">
        <v>-0.43</v>
      </c>
      <c r="D32" s="383">
        <v>-0.4</v>
      </c>
      <c r="E32" s="383">
        <v>-0.41</v>
      </c>
      <c r="F32" s="384">
        <v>-0.42</v>
      </c>
      <c r="G32" s="384">
        <v>-0.4</v>
      </c>
      <c r="H32" s="393">
        <v>-0.4</v>
      </c>
      <c r="I32" s="393">
        <v>-0.41</v>
      </c>
      <c r="J32" s="394">
        <v>-0.3</v>
      </c>
      <c r="K32" s="433"/>
      <c r="L32" s="551"/>
      <c r="M32" s="433" t="s">
        <v>257</v>
      </c>
      <c r="N32" s="382">
        <v>-0.45</v>
      </c>
      <c r="O32" s="383">
        <v>-0.44</v>
      </c>
      <c r="P32" s="383">
        <v>-0.44</v>
      </c>
      <c r="Q32" s="384">
        <v>-0.44</v>
      </c>
      <c r="R32" s="384">
        <v>-0.42</v>
      </c>
      <c r="S32" s="393">
        <v>-0.43</v>
      </c>
      <c r="T32" s="393">
        <v>-0.43</v>
      </c>
      <c r="U32" s="394">
        <v>-0.37</v>
      </c>
      <c r="V32" s="433"/>
      <c r="W32" s="551"/>
      <c r="X32" s="433" t="s">
        <v>257</v>
      </c>
      <c r="Y32" s="382">
        <v>-0.52</v>
      </c>
      <c r="Z32" s="383">
        <v>-0.51</v>
      </c>
      <c r="AA32" s="383">
        <v>-0.49</v>
      </c>
      <c r="AB32" s="384">
        <v>-0.5</v>
      </c>
      <c r="AC32" s="384">
        <v>-0.51</v>
      </c>
      <c r="AD32" s="393">
        <v>-0.52</v>
      </c>
      <c r="AE32" s="393">
        <v>-0.52</v>
      </c>
      <c r="AF32" s="394">
        <v>-0.42</v>
      </c>
      <c r="AG32" s="433"/>
      <c r="AH32" s="551"/>
      <c r="AI32" s="433" t="s">
        <v>257</v>
      </c>
      <c r="AJ32" s="382">
        <v>-0.6</v>
      </c>
      <c r="AK32" s="383">
        <v>-0.59</v>
      </c>
      <c r="AL32" s="383">
        <v>-0.56999999999999995</v>
      </c>
      <c r="AM32" s="384">
        <v>-0.56999999999999995</v>
      </c>
      <c r="AN32" s="384">
        <v>-0.56000000000000005</v>
      </c>
      <c r="AO32" s="393">
        <v>-0.59</v>
      </c>
      <c r="AP32" s="393">
        <v>-0.6</v>
      </c>
      <c r="AQ32" s="394">
        <v>-0.48</v>
      </c>
    </row>
    <row r="33" spans="1:43" x14ac:dyDescent="0.25">
      <c r="A33" s="432"/>
      <c r="B33" s="428" t="s">
        <v>264</v>
      </c>
      <c r="C33" s="385">
        <v>-0.41</v>
      </c>
      <c r="D33" s="386">
        <v>-0.42</v>
      </c>
      <c r="E33" s="386">
        <v>-0.4</v>
      </c>
      <c r="F33" s="387">
        <v>-0.37</v>
      </c>
      <c r="G33" s="387">
        <v>-0.39</v>
      </c>
      <c r="H33" s="441">
        <v>-0.38</v>
      </c>
      <c r="I33" s="441">
        <v>-0.37</v>
      </c>
      <c r="J33" s="442">
        <v>-0.32</v>
      </c>
      <c r="K33" s="433"/>
      <c r="L33" s="551"/>
      <c r="M33" s="433" t="s">
        <v>264</v>
      </c>
      <c r="N33" s="385">
        <v>-0.45</v>
      </c>
      <c r="O33" s="386">
        <v>-0.46</v>
      </c>
      <c r="P33" s="386">
        <v>-0.45</v>
      </c>
      <c r="Q33" s="387">
        <v>-0.42</v>
      </c>
      <c r="R33" s="387">
        <v>-0.45</v>
      </c>
      <c r="S33" s="441">
        <v>-0.42</v>
      </c>
      <c r="T33" s="441">
        <v>-0.41</v>
      </c>
      <c r="U33" s="442">
        <v>-0.35</v>
      </c>
      <c r="V33" s="433"/>
      <c r="W33" s="551"/>
      <c r="X33" s="433" t="s">
        <v>264</v>
      </c>
      <c r="Y33" s="385">
        <v>-0.5</v>
      </c>
      <c r="Z33" s="386">
        <v>-0.52</v>
      </c>
      <c r="AA33" s="386">
        <v>-0.51</v>
      </c>
      <c r="AB33" s="387">
        <v>-0.49</v>
      </c>
      <c r="AC33" s="387">
        <v>-0.51</v>
      </c>
      <c r="AD33" s="441">
        <v>-0.48</v>
      </c>
      <c r="AE33" s="441">
        <v>-0.49</v>
      </c>
      <c r="AF33" s="442">
        <v>-0.44</v>
      </c>
      <c r="AG33" s="433"/>
      <c r="AH33" s="551"/>
      <c r="AI33" s="433" t="s">
        <v>264</v>
      </c>
      <c r="AJ33" s="385">
        <v>-0.56999999999999995</v>
      </c>
      <c r="AK33" s="386">
        <v>-0.59</v>
      </c>
      <c r="AL33" s="386">
        <v>-0.57999999999999996</v>
      </c>
      <c r="AM33" s="387">
        <v>-0.56000000000000005</v>
      </c>
      <c r="AN33" s="387">
        <v>-0.57999999999999996</v>
      </c>
      <c r="AO33" s="441">
        <v>-0.55000000000000004</v>
      </c>
      <c r="AP33" s="441">
        <v>-0.56000000000000005</v>
      </c>
      <c r="AQ33" s="442">
        <v>-0.51</v>
      </c>
    </row>
    <row r="34" spans="1:43" x14ac:dyDescent="0.25">
      <c r="A34" s="432"/>
      <c r="B34" s="428" t="s">
        <v>272</v>
      </c>
      <c r="C34" s="385">
        <v>-0.4</v>
      </c>
      <c r="D34" s="386">
        <v>-0.39</v>
      </c>
      <c r="E34" s="386">
        <v>-0.38</v>
      </c>
      <c r="F34" s="387">
        <v>-0.39</v>
      </c>
      <c r="G34" s="387">
        <v>-0.39</v>
      </c>
      <c r="H34" s="441">
        <v>-0.36</v>
      </c>
      <c r="I34" s="441">
        <v>-0.37</v>
      </c>
      <c r="J34" s="442">
        <v>-0.3</v>
      </c>
      <c r="K34" s="433"/>
      <c r="L34" s="551"/>
      <c r="M34" s="433" t="s">
        <v>272</v>
      </c>
      <c r="N34" s="385">
        <v>-0.47</v>
      </c>
      <c r="O34" s="386">
        <v>-0.45</v>
      </c>
      <c r="P34" s="386">
        <v>-0.45</v>
      </c>
      <c r="Q34" s="387">
        <v>-0.46</v>
      </c>
      <c r="R34" s="387">
        <v>-0.44</v>
      </c>
      <c r="S34" s="441">
        <v>-0.42</v>
      </c>
      <c r="T34" s="441">
        <v>-0.42</v>
      </c>
      <c r="U34" s="442">
        <v>-0.34</v>
      </c>
      <c r="V34" s="433"/>
      <c r="W34" s="551"/>
      <c r="X34" s="433" t="s">
        <v>272</v>
      </c>
      <c r="Y34" s="385">
        <v>-0.56000000000000005</v>
      </c>
      <c r="Z34" s="386">
        <v>-0.53</v>
      </c>
      <c r="AA34" s="386">
        <v>-0.53</v>
      </c>
      <c r="AB34" s="387">
        <v>-0.52</v>
      </c>
      <c r="AC34" s="387">
        <v>-0.5</v>
      </c>
      <c r="AD34" s="441">
        <v>-0.48</v>
      </c>
      <c r="AE34" s="441">
        <v>-0.48</v>
      </c>
      <c r="AF34" s="442">
        <v>-0.4</v>
      </c>
      <c r="AG34" s="433"/>
      <c r="AH34" s="551"/>
      <c r="AI34" s="433" t="s">
        <v>272</v>
      </c>
      <c r="AJ34" s="385">
        <v>-0.63</v>
      </c>
      <c r="AK34" s="386">
        <v>-0.61</v>
      </c>
      <c r="AL34" s="386">
        <v>-0.6</v>
      </c>
      <c r="AM34" s="387">
        <v>-0.59</v>
      </c>
      <c r="AN34" s="387">
        <v>-0.57000000000000006</v>
      </c>
      <c r="AO34" s="441">
        <v>-0.55000000000000004</v>
      </c>
      <c r="AP34" s="441">
        <v>-0.55000000000000004</v>
      </c>
      <c r="AQ34" s="442">
        <v>-0.48</v>
      </c>
    </row>
    <row r="35" spans="1:43" x14ac:dyDescent="0.25">
      <c r="A35" s="432"/>
      <c r="B35" s="428" t="s">
        <v>278</v>
      </c>
      <c r="C35" s="385">
        <v>-0.39</v>
      </c>
      <c r="D35" s="386">
        <v>-0.37</v>
      </c>
      <c r="E35" s="386">
        <v>-0.38</v>
      </c>
      <c r="F35" s="387">
        <v>-0.39</v>
      </c>
      <c r="G35" s="387">
        <v>-0.39</v>
      </c>
      <c r="H35" s="441">
        <v>-0.36</v>
      </c>
      <c r="I35" s="441">
        <v>-0.37</v>
      </c>
      <c r="J35" s="442">
        <v>-0.28000000000000003</v>
      </c>
      <c r="K35" s="433"/>
      <c r="L35" s="551"/>
      <c r="M35" s="433" t="s">
        <v>278</v>
      </c>
      <c r="N35" s="385">
        <v>-0.44</v>
      </c>
      <c r="O35" s="386">
        <v>-0.41</v>
      </c>
      <c r="P35" s="386">
        <v>-0.43</v>
      </c>
      <c r="Q35" s="387">
        <v>-0.43</v>
      </c>
      <c r="R35" s="387">
        <v>-0.43</v>
      </c>
      <c r="S35" s="441">
        <v>-0.42</v>
      </c>
      <c r="T35" s="441">
        <v>-0.42</v>
      </c>
      <c r="U35" s="442">
        <v>-0.36</v>
      </c>
      <c r="V35" s="433"/>
      <c r="W35" s="551"/>
      <c r="X35" s="433" t="s">
        <v>278</v>
      </c>
      <c r="Y35" s="385">
        <v>-0.52</v>
      </c>
      <c r="Z35" s="386">
        <v>-0.49</v>
      </c>
      <c r="AA35" s="386">
        <v>-0.5</v>
      </c>
      <c r="AB35" s="387">
        <v>-0.49</v>
      </c>
      <c r="AC35" s="387">
        <v>-0.5</v>
      </c>
      <c r="AD35" s="441">
        <v>-0.49</v>
      </c>
      <c r="AE35" s="441">
        <v>-0.49</v>
      </c>
      <c r="AF35" s="442">
        <v>-0.43</v>
      </c>
      <c r="AG35" s="433"/>
      <c r="AH35" s="551"/>
      <c r="AI35" s="433" t="s">
        <v>278</v>
      </c>
      <c r="AJ35" s="385">
        <v>-0.59000000000000008</v>
      </c>
      <c r="AK35" s="386">
        <v>-0.57000000000000006</v>
      </c>
      <c r="AL35" s="386">
        <v>-0.57999999999999996</v>
      </c>
      <c r="AM35" s="387">
        <v>-0.57999999999999996</v>
      </c>
      <c r="AN35" s="387">
        <v>-0.59000000000000008</v>
      </c>
      <c r="AO35" s="441">
        <v>-0.56999999999999995</v>
      </c>
      <c r="AP35" s="441">
        <v>-0.54</v>
      </c>
      <c r="AQ35" s="442">
        <v>-0.49</v>
      </c>
    </row>
    <row r="36" spans="1:43" x14ac:dyDescent="0.25">
      <c r="A36" s="432"/>
      <c r="B36" s="428" t="s">
        <v>284</v>
      </c>
      <c r="C36" s="388">
        <v>-0.39</v>
      </c>
      <c r="D36" s="389">
        <v>-0.38</v>
      </c>
      <c r="E36" s="389">
        <v>-0.39</v>
      </c>
      <c r="F36" s="390">
        <v>-0.38</v>
      </c>
      <c r="G36" s="390">
        <v>-0.38</v>
      </c>
      <c r="H36" s="443">
        <v>-0.36</v>
      </c>
      <c r="I36" s="443">
        <v>-0.38</v>
      </c>
      <c r="J36" s="444">
        <v>-0.3</v>
      </c>
      <c r="K36" s="433"/>
      <c r="L36" s="551"/>
      <c r="M36" s="433" t="s">
        <v>284</v>
      </c>
      <c r="N36" s="388">
        <v>-0.44</v>
      </c>
      <c r="O36" s="389">
        <v>-0.42</v>
      </c>
      <c r="P36" s="389">
        <v>-0.43</v>
      </c>
      <c r="Q36" s="390">
        <v>-0.43</v>
      </c>
      <c r="R36" s="390">
        <v>-0.42</v>
      </c>
      <c r="S36" s="443">
        <v>-0.39</v>
      </c>
      <c r="T36" s="443">
        <v>-0.4</v>
      </c>
      <c r="U36" s="444">
        <v>-0.33</v>
      </c>
      <c r="V36" s="433"/>
      <c r="W36" s="551"/>
      <c r="X36" s="433" t="s">
        <v>284</v>
      </c>
      <c r="Y36" s="388">
        <v>-0.47</v>
      </c>
      <c r="Z36" s="389">
        <v>-0.49</v>
      </c>
      <c r="AA36" s="389">
        <v>-0.48</v>
      </c>
      <c r="AB36" s="390">
        <v>-0.49</v>
      </c>
      <c r="AC36" s="390">
        <v>-0.48</v>
      </c>
      <c r="AD36" s="443">
        <v>-0.46</v>
      </c>
      <c r="AE36" s="443">
        <v>-0.46</v>
      </c>
      <c r="AF36" s="444">
        <v>-0.39</v>
      </c>
      <c r="AG36" s="433"/>
      <c r="AH36" s="551"/>
      <c r="AI36" s="433" t="s">
        <v>284</v>
      </c>
      <c r="AJ36" s="388">
        <v>-0.55000000000000004</v>
      </c>
      <c r="AK36" s="389">
        <v>-0.55000000000000004</v>
      </c>
      <c r="AL36" s="389">
        <v>-0.53</v>
      </c>
      <c r="AM36" s="390">
        <v>-0.56999999999999995</v>
      </c>
      <c r="AN36" s="390">
        <v>-0.55000000000000004</v>
      </c>
      <c r="AO36" s="443">
        <v>-0.53</v>
      </c>
      <c r="AP36" s="443">
        <v>-0.53</v>
      </c>
      <c r="AQ36" s="444">
        <v>-0.46</v>
      </c>
    </row>
    <row r="37" spans="1:43" x14ac:dyDescent="0.25">
      <c r="A37" s="432"/>
      <c r="C37" s="433"/>
      <c r="D37" s="433"/>
      <c r="E37" s="433"/>
      <c r="F37" s="433"/>
      <c r="G37" s="433"/>
      <c r="H37" s="433"/>
      <c r="I37" s="433"/>
      <c r="J37" s="433"/>
      <c r="K37" s="433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430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551" t="s">
        <v>1010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551" t="s">
        <v>1014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551" t="s">
        <v>1018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432"/>
      <c r="B39" s="428" t="s">
        <v>186</v>
      </c>
      <c r="C39" s="368">
        <v>-0.6</v>
      </c>
      <c r="D39" s="440">
        <v>-0.56000000000000005</v>
      </c>
      <c r="E39" s="369">
        <v>-0.57999999999999996</v>
      </c>
      <c r="F39" s="370">
        <v>-0.58000000000000007</v>
      </c>
      <c r="G39" s="370">
        <v>-0.56999999999999995</v>
      </c>
      <c r="H39" s="371">
        <v>-0.55000000000000004</v>
      </c>
      <c r="I39" s="371">
        <v>-0.52</v>
      </c>
      <c r="J39" s="372">
        <v>-0.37</v>
      </c>
      <c r="K39" s="433"/>
      <c r="L39" s="551"/>
      <c r="M39" s="433" t="s">
        <v>186</v>
      </c>
      <c r="N39" s="368">
        <v>-0.63</v>
      </c>
      <c r="O39" s="440">
        <v>-0.60000000000000009</v>
      </c>
      <c r="P39" s="369">
        <v>-0.60999999999999988</v>
      </c>
      <c r="Q39" s="370">
        <v>-0.6</v>
      </c>
      <c r="R39" s="370">
        <v>-0.6</v>
      </c>
      <c r="S39" s="371">
        <v>-0.57999999999999996</v>
      </c>
      <c r="T39" s="371">
        <v>-0.54</v>
      </c>
      <c r="U39" s="372">
        <v>-0.39</v>
      </c>
      <c r="V39" s="433"/>
      <c r="W39" s="551"/>
      <c r="X39" s="433" t="s">
        <v>186</v>
      </c>
      <c r="Y39" s="368">
        <v>-0.7</v>
      </c>
      <c r="Z39" s="440">
        <v>-0.65</v>
      </c>
      <c r="AA39" s="369">
        <v>-0.65</v>
      </c>
      <c r="AB39" s="370">
        <v>-0.64</v>
      </c>
      <c r="AC39" s="370">
        <v>-0.64</v>
      </c>
      <c r="AD39" s="371">
        <v>-0.61</v>
      </c>
      <c r="AE39" s="371">
        <v>-0.6</v>
      </c>
      <c r="AF39" s="372">
        <v>-0.44</v>
      </c>
      <c r="AG39" s="433"/>
      <c r="AH39" s="551"/>
      <c r="AI39" s="433" t="s">
        <v>186</v>
      </c>
      <c r="AJ39" s="368">
        <v>-0.76</v>
      </c>
      <c r="AK39" s="440">
        <v>-0.72</v>
      </c>
      <c r="AL39" s="369">
        <v>-0.71</v>
      </c>
      <c r="AM39" s="370">
        <v>-0.7</v>
      </c>
      <c r="AN39" s="370">
        <v>-0.7</v>
      </c>
      <c r="AO39" s="371">
        <v>-0.68</v>
      </c>
      <c r="AP39" s="371">
        <v>-0.66</v>
      </c>
      <c r="AQ39" s="372">
        <v>-0.53</v>
      </c>
    </row>
    <row r="40" spans="1:43" x14ac:dyDescent="0.25">
      <c r="A40" s="432"/>
      <c r="B40" s="428" t="s">
        <v>213</v>
      </c>
      <c r="C40" s="373">
        <v>-0.56000000000000005</v>
      </c>
      <c r="D40" s="374">
        <v>-0.55000000000000004</v>
      </c>
      <c r="E40" s="375">
        <v>-0.56000000000000005</v>
      </c>
      <c r="F40" s="376">
        <v>-0.58000000000000007</v>
      </c>
      <c r="G40" s="376">
        <v>-0.56000000000000005</v>
      </c>
      <c r="H40" s="377">
        <v>-0.53</v>
      </c>
      <c r="I40" s="377">
        <v>-0.52</v>
      </c>
      <c r="J40" s="378">
        <v>-0.38</v>
      </c>
      <c r="K40" s="433"/>
      <c r="L40" s="551"/>
      <c r="M40" s="433" t="s">
        <v>213</v>
      </c>
      <c r="N40" s="373">
        <v>-0.59</v>
      </c>
      <c r="O40" s="374">
        <v>-0.57999999999999996</v>
      </c>
      <c r="P40" s="375">
        <v>-0.6</v>
      </c>
      <c r="Q40" s="376">
        <v>-0.62</v>
      </c>
      <c r="R40" s="376">
        <v>-0.59</v>
      </c>
      <c r="S40" s="377">
        <v>-0.56000000000000005</v>
      </c>
      <c r="T40" s="377">
        <v>-0.55000000000000004</v>
      </c>
      <c r="U40" s="378">
        <v>-0.42</v>
      </c>
      <c r="V40" s="433"/>
      <c r="W40" s="551"/>
      <c r="X40" s="433" t="s">
        <v>213</v>
      </c>
      <c r="Y40" s="373">
        <v>-0.66</v>
      </c>
      <c r="Z40" s="374">
        <v>-0.63</v>
      </c>
      <c r="AA40" s="375">
        <v>-0.63</v>
      </c>
      <c r="AB40" s="376">
        <v>-0.64</v>
      </c>
      <c r="AC40" s="376">
        <v>-0.62</v>
      </c>
      <c r="AD40" s="377">
        <v>-0.6</v>
      </c>
      <c r="AE40" s="377">
        <v>-0.57999999999999996</v>
      </c>
      <c r="AF40" s="378">
        <v>-0.48</v>
      </c>
      <c r="AG40" s="433"/>
      <c r="AH40" s="551"/>
      <c r="AI40" s="433" t="s">
        <v>213</v>
      </c>
      <c r="AJ40" s="373">
        <v>-0.73</v>
      </c>
      <c r="AK40" s="374">
        <v>-0.7</v>
      </c>
      <c r="AL40" s="375">
        <v>-0.7</v>
      </c>
      <c r="AM40" s="376">
        <v>-0.69</v>
      </c>
      <c r="AN40" s="376">
        <v>-0.69</v>
      </c>
      <c r="AO40" s="377">
        <v>-0.68</v>
      </c>
      <c r="AP40" s="377">
        <v>-0.65</v>
      </c>
      <c r="AQ40" s="378">
        <v>-0.55000000000000004</v>
      </c>
    </row>
    <row r="41" spans="1:43" x14ac:dyDescent="0.25">
      <c r="A41" s="432"/>
      <c r="B41" s="428" t="s">
        <v>232</v>
      </c>
      <c r="C41" s="379">
        <v>-0.54</v>
      </c>
      <c r="D41" s="380">
        <v>-0.53</v>
      </c>
      <c r="E41" s="381">
        <v>-0.54</v>
      </c>
      <c r="F41" s="376">
        <v>-0.55000000000000004</v>
      </c>
      <c r="G41" s="376">
        <v>-0.54</v>
      </c>
      <c r="H41" s="377">
        <v>-0.51</v>
      </c>
      <c r="I41" s="377">
        <v>-0.5</v>
      </c>
      <c r="J41" s="378">
        <v>-0.4</v>
      </c>
      <c r="K41" s="433"/>
      <c r="L41" s="551"/>
      <c r="M41" s="433" t="s">
        <v>232</v>
      </c>
      <c r="N41" s="379">
        <v>-0.56999999999999995</v>
      </c>
      <c r="O41" s="380">
        <v>-0.55000000000000004</v>
      </c>
      <c r="P41" s="381">
        <v>-0.56999999999999995</v>
      </c>
      <c r="Q41" s="376">
        <v>-0.59</v>
      </c>
      <c r="R41" s="376">
        <v>-0.56999999999999995</v>
      </c>
      <c r="S41" s="377">
        <v>-0.54</v>
      </c>
      <c r="T41" s="377">
        <v>-0.52</v>
      </c>
      <c r="U41" s="378">
        <v>-0.47</v>
      </c>
      <c r="V41" s="433"/>
      <c r="W41" s="551"/>
      <c r="X41" s="433" t="s">
        <v>232</v>
      </c>
      <c r="Y41" s="379">
        <v>-0.65</v>
      </c>
      <c r="Z41" s="380">
        <v>-0.63</v>
      </c>
      <c r="AA41" s="381">
        <v>-0.65</v>
      </c>
      <c r="AB41" s="376">
        <v>-0.67</v>
      </c>
      <c r="AC41" s="376">
        <v>-0.64</v>
      </c>
      <c r="AD41" s="377">
        <v>-0.61</v>
      </c>
      <c r="AE41" s="377">
        <v>-0.59</v>
      </c>
      <c r="AF41" s="378">
        <v>-0.54</v>
      </c>
      <c r="AG41" s="433"/>
      <c r="AH41" s="551"/>
      <c r="AI41" s="433" t="s">
        <v>232</v>
      </c>
      <c r="AJ41" s="379">
        <v>-0.74</v>
      </c>
      <c r="AK41" s="380">
        <v>-0.72</v>
      </c>
      <c r="AL41" s="381">
        <v>-0.73</v>
      </c>
      <c r="AM41" s="376">
        <v>-0.75</v>
      </c>
      <c r="AN41" s="376">
        <v>-0.73</v>
      </c>
      <c r="AO41" s="377">
        <v>-0.68</v>
      </c>
      <c r="AP41" s="377">
        <v>-0.63</v>
      </c>
      <c r="AQ41" s="378">
        <v>-0.59</v>
      </c>
    </row>
    <row r="42" spans="1:43" x14ac:dyDescent="0.25">
      <c r="A42" s="432"/>
      <c r="B42" s="428" t="s">
        <v>215</v>
      </c>
      <c r="C42" s="382">
        <v>-0.51</v>
      </c>
      <c r="D42" s="383">
        <v>-0.49</v>
      </c>
      <c r="E42" s="383">
        <v>-0.48</v>
      </c>
      <c r="F42" s="384">
        <v>-0.5</v>
      </c>
      <c r="G42" s="384">
        <v>-0.5</v>
      </c>
      <c r="H42" s="393">
        <v>-0.49</v>
      </c>
      <c r="I42" s="393">
        <v>-0.49</v>
      </c>
      <c r="J42" s="394">
        <v>-0.39</v>
      </c>
      <c r="K42" s="433"/>
      <c r="L42" s="551"/>
      <c r="M42" s="433" t="s">
        <v>215</v>
      </c>
      <c r="N42" s="382">
        <v>-0.56999999999999995</v>
      </c>
      <c r="O42" s="383">
        <v>-0.55000000000000004</v>
      </c>
      <c r="P42" s="383">
        <v>-0.54</v>
      </c>
      <c r="Q42" s="384">
        <v>-0.54</v>
      </c>
      <c r="R42" s="384">
        <v>-0.56000000000000005</v>
      </c>
      <c r="S42" s="393">
        <v>-0.54</v>
      </c>
      <c r="T42" s="393">
        <v>-0.55000000000000004</v>
      </c>
      <c r="U42" s="394">
        <v>-0.46</v>
      </c>
      <c r="V42" s="433"/>
      <c r="W42" s="551"/>
      <c r="X42" s="433" t="s">
        <v>215</v>
      </c>
      <c r="Y42" s="382">
        <v>-0.66</v>
      </c>
      <c r="Z42" s="383">
        <v>-0.64</v>
      </c>
      <c r="AA42" s="383">
        <v>-0.63</v>
      </c>
      <c r="AB42" s="384">
        <v>-0.63</v>
      </c>
      <c r="AC42" s="384">
        <v>-0.63</v>
      </c>
      <c r="AD42" s="393">
        <v>-0.61</v>
      </c>
      <c r="AE42" s="393">
        <v>-0.62</v>
      </c>
      <c r="AF42" s="394">
        <v>-0.53</v>
      </c>
      <c r="AG42" s="433"/>
      <c r="AH42" s="551"/>
      <c r="AI42" s="433" t="s">
        <v>215</v>
      </c>
      <c r="AJ42" s="382">
        <v>-0.73</v>
      </c>
      <c r="AK42" s="383">
        <v>-0.72</v>
      </c>
      <c r="AL42" s="383">
        <v>-0.72</v>
      </c>
      <c r="AM42" s="384">
        <v>-0.72</v>
      </c>
      <c r="AN42" s="384">
        <v>-0.72</v>
      </c>
      <c r="AO42" s="393">
        <v>-0.7</v>
      </c>
      <c r="AP42" s="393">
        <v>-0.68</v>
      </c>
      <c r="AQ42" s="394">
        <v>-0.57999999999999996</v>
      </c>
    </row>
    <row r="43" spans="1:43" x14ac:dyDescent="0.25">
      <c r="A43" s="432"/>
      <c r="B43" s="428" t="s">
        <v>249</v>
      </c>
      <c r="C43" s="382">
        <v>-0.49</v>
      </c>
      <c r="D43" s="383">
        <v>-0.47</v>
      </c>
      <c r="E43" s="383">
        <v>-0.46</v>
      </c>
      <c r="F43" s="384">
        <v>-0.47</v>
      </c>
      <c r="G43" s="384">
        <v>-0.46</v>
      </c>
      <c r="H43" s="393">
        <v>-0.48</v>
      </c>
      <c r="I43" s="393">
        <v>-0.47</v>
      </c>
      <c r="J43" s="394">
        <v>-0.38</v>
      </c>
      <c r="K43" s="433"/>
      <c r="L43" s="551"/>
      <c r="M43" s="433" t="s">
        <v>249</v>
      </c>
      <c r="N43" s="382">
        <v>-0.55000000000000004</v>
      </c>
      <c r="O43" s="383">
        <v>-0.54</v>
      </c>
      <c r="P43" s="383">
        <v>-0.52</v>
      </c>
      <c r="Q43" s="384">
        <v>-0.54</v>
      </c>
      <c r="R43" s="384">
        <v>-0.52</v>
      </c>
      <c r="S43" s="393">
        <v>-0.53</v>
      </c>
      <c r="T43" s="393">
        <v>-0.53</v>
      </c>
      <c r="U43" s="394">
        <v>-0.43</v>
      </c>
      <c r="V43" s="433"/>
      <c r="W43" s="551"/>
      <c r="X43" s="433" t="s">
        <v>249</v>
      </c>
      <c r="Y43" s="382">
        <v>-0.62</v>
      </c>
      <c r="Z43" s="383">
        <v>-0.62</v>
      </c>
      <c r="AA43" s="383">
        <v>-0.6</v>
      </c>
      <c r="AB43" s="384">
        <v>-0.6</v>
      </c>
      <c r="AC43" s="384">
        <v>-0.59</v>
      </c>
      <c r="AD43" s="393">
        <v>-0.6</v>
      </c>
      <c r="AE43" s="393">
        <v>-0.6</v>
      </c>
      <c r="AF43" s="394">
        <v>-0.51</v>
      </c>
      <c r="AG43" s="433"/>
      <c r="AH43" s="551"/>
      <c r="AI43" s="433" t="s">
        <v>249</v>
      </c>
      <c r="AJ43" s="382">
        <v>-0.7</v>
      </c>
      <c r="AK43" s="383">
        <v>-0.71</v>
      </c>
      <c r="AL43" s="383">
        <v>-0.69</v>
      </c>
      <c r="AM43" s="384">
        <v>-0.69</v>
      </c>
      <c r="AN43" s="384">
        <v>-0.69</v>
      </c>
      <c r="AO43" s="393">
        <v>-0.69</v>
      </c>
      <c r="AP43" s="393">
        <v>-0.67</v>
      </c>
      <c r="AQ43" s="394">
        <v>-0.56000000000000005</v>
      </c>
    </row>
    <row r="44" spans="1:43" x14ac:dyDescent="0.25">
      <c r="A44" s="432"/>
      <c r="B44" s="428" t="s">
        <v>257</v>
      </c>
      <c r="C44" s="382">
        <v>-0.48</v>
      </c>
      <c r="D44" s="383">
        <v>-0.46</v>
      </c>
      <c r="E44" s="383">
        <v>-0.44</v>
      </c>
      <c r="F44" s="384">
        <v>-0.45</v>
      </c>
      <c r="G44" s="384">
        <v>-0.43</v>
      </c>
      <c r="H44" s="393">
        <v>-0.43</v>
      </c>
      <c r="I44" s="393">
        <v>-0.44</v>
      </c>
      <c r="J44" s="394">
        <v>-0.36</v>
      </c>
      <c r="K44" s="433"/>
      <c r="L44" s="551"/>
      <c r="M44" s="433" t="s">
        <v>257</v>
      </c>
      <c r="N44" s="382">
        <v>-0.53</v>
      </c>
      <c r="O44" s="383">
        <v>-0.52</v>
      </c>
      <c r="P44" s="383">
        <v>-0.49</v>
      </c>
      <c r="Q44" s="384">
        <v>-0.5</v>
      </c>
      <c r="R44" s="384">
        <v>-0.48</v>
      </c>
      <c r="S44" s="393">
        <v>-0.48</v>
      </c>
      <c r="T44" s="393">
        <v>-0.51</v>
      </c>
      <c r="U44" s="394">
        <v>-0.45</v>
      </c>
      <c r="V44" s="433"/>
      <c r="W44" s="551"/>
      <c r="X44" s="433" t="s">
        <v>257</v>
      </c>
      <c r="Y44" s="382">
        <v>-0.6</v>
      </c>
      <c r="Z44" s="383">
        <v>-0.59</v>
      </c>
      <c r="AA44" s="383">
        <v>-0.56000000000000005</v>
      </c>
      <c r="AB44" s="384">
        <v>-0.56999999999999995</v>
      </c>
      <c r="AC44" s="384">
        <v>-0.55000000000000004</v>
      </c>
      <c r="AD44" s="393">
        <v>-0.56999999999999995</v>
      </c>
      <c r="AE44" s="393">
        <v>-0.59</v>
      </c>
      <c r="AF44" s="394">
        <v>-0.5</v>
      </c>
      <c r="AG44" s="433"/>
      <c r="AH44" s="551"/>
      <c r="AI44" s="433" t="s">
        <v>257</v>
      </c>
      <c r="AJ44" s="382">
        <v>-0.66</v>
      </c>
      <c r="AK44" s="383">
        <v>-0.66</v>
      </c>
      <c r="AL44" s="383">
        <v>-0.65</v>
      </c>
      <c r="AM44" s="384">
        <v>-0.65</v>
      </c>
      <c r="AN44" s="384">
        <v>-0.64</v>
      </c>
      <c r="AO44" s="393">
        <v>-0.65</v>
      </c>
      <c r="AP44" s="393">
        <v>-0.66</v>
      </c>
      <c r="AQ44" s="394">
        <v>-0.55000000000000004</v>
      </c>
    </row>
    <row r="45" spans="1:43" x14ac:dyDescent="0.25">
      <c r="A45" s="432"/>
      <c r="B45" s="428" t="s">
        <v>264</v>
      </c>
      <c r="C45" s="385">
        <v>-0.46</v>
      </c>
      <c r="D45" s="386">
        <v>-0.44</v>
      </c>
      <c r="E45" s="386">
        <v>-0.42</v>
      </c>
      <c r="F45" s="387">
        <v>-0.4</v>
      </c>
      <c r="G45" s="387">
        <v>-0.42</v>
      </c>
      <c r="H45" s="441">
        <v>-0.41</v>
      </c>
      <c r="I45" s="441">
        <v>-0.4</v>
      </c>
      <c r="J45" s="442">
        <v>-0.36</v>
      </c>
      <c r="K45" s="433"/>
      <c r="L45" s="551"/>
      <c r="M45" s="433" t="s">
        <v>264</v>
      </c>
      <c r="N45" s="385">
        <v>-0.52</v>
      </c>
      <c r="O45" s="386">
        <v>-0.51</v>
      </c>
      <c r="P45" s="386">
        <v>-0.49</v>
      </c>
      <c r="Q45" s="387">
        <v>-0.47</v>
      </c>
      <c r="R45" s="387">
        <v>-0.48</v>
      </c>
      <c r="S45" s="441">
        <v>-0.46</v>
      </c>
      <c r="T45" s="441">
        <v>-0.45</v>
      </c>
      <c r="U45" s="442">
        <v>-0.41</v>
      </c>
      <c r="V45" s="433"/>
      <c r="W45" s="551"/>
      <c r="X45" s="433" t="s">
        <v>264</v>
      </c>
      <c r="Y45" s="385">
        <v>-0.59</v>
      </c>
      <c r="Z45" s="386">
        <v>-0.59</v>
      </c>
      <c r="AA45" s="386">
        <v>-0.57000000000000006</v>
      </c>
      <c r="AB45" s="387">
        <v>-0.55000000000000004</v>
      </c>
      <c r="AC45" s="387">
        <v>-0.56000000000000005</v>
      </c>
      <c r="AD45" s="441">
        <v>-0.54</v>
      </c>
      <c r="AE45" s="441">
        <v>-0.54</v>
      </c>
      <c r="AF45" s="442">
        <v>-0.48</v>
      </c>
      <c r="AG45" s="433"/>
      <c r="AH45" s="551"/>
      <c r="AI45" s="433" t="s">
        <v>264</v>
      </c>
      <c r="AJ45" s="385">
        <v>-0.65</v>
      </c>
      <c r="AK45" s="386">
        <v>-0.65</v>
      </c>
      <c r="AL45" s="386">
        <v>-0.64</v>
      </c>
      <c r="AM45" s="387">
        <v>-0.63</v>
      </c>
      <c r="AN45" s="387">
        <v>-0.62</v>
      </c>
      <c r="AO45" s="441">
        <v>-0.6</v>
      </c>
      <c r="AP45" s="441">
        <v>-0.62</v>
      </c>
      <c r="AQ45" s="442">
        <v>-0.53</v>
      </c>
    </row>
    <row r="46" spans="1:43" x14ac:dyDescent="0.25">
      <c r="A46" s="432"/>
      <c r="B46" s="428" t="s">
        <v>272</v>
      </c>
      <c r="C46" s="385">
        <v>-0.44</v>
      </c>
      <c r="D46" s="386">
        <v>-0.43</v>
      </c>
      <c r="E46" s="386">
        <v>-0.42</v>
      </c>
      <c r="F46" s="387">
        <v>-0.42</v>
      </c>
      <c r="G46" s="387">
        <v>-0.42</v>
      </c>
      <c r="H46" s="441">
        <v>-0.39</v>
      </c>
      <c r="I46" s="441">
        <v>-0.4</v>
      </c>
      <c r="J46" s="442">
        <v>-0.33</v>
      </c>
      <c r="K46" s="433"/>
      <c r="L46" s="551"/>
      <c r="M46" s="433" t="s">
        <v>272</v>
      </c>
      <c r="N46" s="385">
        <v>-0.52</v>
      </c>
      <c r="O46" s="386">
        <v>-0.51</v>
      </c>
      <c r="P46" s="386">
        <v>-0.49</v>
      </c>
      <c r="Q46" s="387">
        <v>-0.48</v>
      </c>
      <c r="R46" s="387">
        <v>-0.47</v>
      </c>
      <c r="S46" s="441">
        <v>-0.46</v>
      </c>
      <c r="T46" s="441">
        <v>-0.47</v>
      </c>
      <c r="U46" s="442">
        <v>-0.39</v>
      </c>
      <c r="V46" s="433"/>
      <c r="W46" s="551"/>
      <c r="X46" s="433" t="s">
        <v>272</v>
      </c>
      <c r="Y46" s="385">
        <v>-0.6</v>
      </c>
      <c r="Z46" s="386">
        <v>-0.57999999999999996</v>
      </c>
      <c r="AA46" s="386">
        <v>-0.56000000000000005</v>
      </c>
      <c r="AB46" s="387">
        <v>-0.55000000000000004</v>
      </c>
      <c r="AC46" s="387">
        <v>-0.54</v>
      </c>
      <c r="AD46" s="441">
        <v>-0.52</v>
      </c>
      <c r="AE46" s="441">
        <v>-0.5</v>
      </c>
      <c r="AF46" s="442">
        <v>-0.44</v>
      </c>
      <c r="AG46" s="433"/>
      <c r="AH46" s="551"/>
      <c r="AI46" s="433" t="s">
        <v>272</v>
      </c>
      <c r="AJ46" s="385">
        <v>-0.63</v>
      </c>
      <c r="AK46" s="386">
        <v>-0.62</v>
      </c>
      <c r="AL46" s="386">
        <v>-0.62</v>
      </c>
      <c r="AM46" s="387">
        <v>-0.61</v>
      </c>
      <c r="AN46" s="387">
        <v>-0.6</v>
      </c>
      <c r="AO46" s="441">
        <v>-0.57999999999999996</v>
      </c>
      <c r="AP46" s="441">
        <v>-0.56000000000000005</v>
      </c>
      <c r="AQ46" s="442">
        <v>-0.51</v>
      </c>
    </row>
    <row r="47" spans="1:43" x14ac:dyDescent="0.25">
      <c r="A47" s="432"/>
      <c r="B47" s="428" t="s">
        <v>278</v>
      </c>
      <c r="C47" s="385">
        <v>-0.43</v>
      </c>
      <c r="D47" s="386">
        <v>-0.41</v>
      </c>
      <c r="E47" s="386">
        <v>-0.42</v>
      </c>
      <c r="F47" s="387">
        <v>-0.43</v>
      </c>
      <c r="G47" s="387">
        <v>-0.42</v>
      </c>
      <c r="H47" s="441">
        <v>-0.39</v>
      </c>
      <c r="I47" s="441">
        <v>-0.4</v>
      </c>
      <c r="J47" s="442">
        <v>-0.32</v>
      </c>
      <c r="K47" s="433"/>
      <c r="L47" s="551"/>
      <c r="M47" s="433" t="s">
        <v>278</v>
      </c>
      <c r="N47" s="385">
        <v>-0.5</v>
      </c>
      <c r="O47" s="386">
        <v>-0.48</v>
      </c>
      <c r="P47" s="386">
        <v>-0.49</v>
      </c>
      <c r="Q47" s="387">
        <v>-0.5</v>
      </c>
      <c r="R47" s="387">
        <v>-0.48</v>
      </c>
      <c r="S47" s="441">
        <v>-0.45</v>
      </c>
      <c r="T47" s="441">
        <v>-0.47</v>
      </c>
      <c r="U47" s="442">
        <v>-0.4</v>
      </c>
      <c r="V47" s="433"/>
      <c r="W47" s="551"/>
      <c r="X47" s="433" t="s">
        <v>278</v>
      </c>
      <c r="Y47" s="385">
        <v>-0.55000000000000004</v>
      </c>
      <c r="Z47" s="386">
        <v>-0.53</v>
      </c>
      <c r="AA47" s="386">
        <v>-0.54</v>
      </c>
      <c r="AB47" s="387">
        <v>-0.55000000000000004</v>
      </c>
      <c r="AC47" s="387">
        <v>-0.53</v>
      </c>
      <c r="AD47" s="441">
        <v>-0.51</v>
      </c>
      <c r="AE47" s="441">
        <v>-0.51</v>
      </c>
      <c r="AF47" s="442">
        <v>-0.46</v>
      </c>
      <c r="AG47" s="433"/>
      <c r="AH47" s="551"/>
      <c r="AI47" s="433" t="s">
        <v>278</v>
      </c>
      <c r="AJ47" s="385">
        <v>-0.64</v>
      </c>
      <c r="AK47" s="386">
        <v>-0.62</v>
      </c>
      <c r="AL47" s="386">
        <v>-0.62</v>
      </c>
      <c r="AM47" s="387">
        <v>-0.63</v>
      </c>
      <c r="AN47" s="387">
        <v>-0.62</v>
      </c>
      <c r="AO47" s="441">
        <v>-0.6</v>
      </c>
      <c r="AP47" s="441">
        <v>-0.59</v>
      </c>
      <c r="AQ47" s="442">
        <v>-0.53</v>
      </c>
    </row>
    <row r="48" spans="1:43" x14ac:dyDescent="0.25">
      <c r="A48" s="432"/>
      <c r="B48" s="428" t="s">
        <v>284</v>
      </c>
      <c r="C48" s="388">
        <v>-0.44</v>
      </c>
      <c r="D48" s="389">
        <v>-0.43</v>
      </c>
      <c r="E48" s="389">
        <v>-0.44</v>
      </c>
      <c r="F48" s="390">
        <v>-0.43</v>
      </c>
      <c r="G48" s="390">
        <v>-0.41</v>
      </c>
      <c r="H48" s="443">
        <v>-0.39</v>
      </c>
      <c r="I48" s="443">
        <v>-0.41</v>
      </c>
      <c r="J48" s="444">
        <v>-0.34</v>
      </c>
      <c r="K48" s="433"/>
      <c r="L48" s="551"/>
      <c r="M48" s="433" t="s">
        <v>284</v>
      </c>
      <c r="N48" s="388">
        <v>-0.48</v>
      </c>
      <c r="O48" s="389">
        <v>-0.5</v>
      </c>
      <c r="P48" s="389">
        <v>-0.51</v>
      </c>
      <c r="Q48" s="390">
        <v>-0.5</v>
      </c>
      <c r="R48" s="390">
        <v>-0.48</v>
      </c>
      <c r="S48" s="443">
        <v>-0.46</v>
      </c>
      <c r="T48" s="443">
        <v>-0.47</v>
      </c>
      <c r="U48" s="444">
        <v>-0.41</v>
      </c>
      <c r="V48" s="433"/>
      <c r="W48" s="551"/>
      <c r="X48" s="433" t="s">
        <v>284</v>
      </c>
      <c r="Y48" s="388">
        <v>-0.51</v>
      </c>
      <c r="Z48" s="389">
        <v>-0.56999999999999995</v>
      </c>
      <c r="AA48" s="389">
        <v>-0.56000000000000005</v>
      </c>
      <c r="AB48" s="390">
        <v>-0.55000000000000004</v>
      </c>
      <c r="AC48" s="390">
        <v>-0.53</v>
      </c>
      <c r="AD48" s="443">
        <v>-0.51</v>
      </c>
      <c r="AE48" s="443">
        <v>-0.52</v>
      </c>
      <c r="AF48" s="444">
        <v>-0.46</v>
      </c>
      <c r="AG48" s="433"/>
      <c r="AH48" s="551"/>
      <c r="AI48" s="433" t="s">
        <v>284</v>
      </c>
      <c r="AJ48" s="388">
        <v>-0.6</v>
      </c>
      <c r="AK48" s="389">
        <v>-0.64</v>
      </c>
      <c r="AL48" s="389">
        <v>-0.63</v>
      </c>
      <c r="AM48" s="390">
        <v>-0.62</v>
      </c>
      <c r="AN48" s="390">
        <v>-0.6</v>
      </c>
      <c r="AO48" s="443">
        <v>-0.57999999999999996</v>
      </c>
      <c r="AP48" s="443">
        <v>-0.57999999999999996</v>
      </c>
      <c r="AQ48" s="444">
        <v>-0.53</v>
      </c>
    </row>
    <row r="49" spans="1:43" x14ac:dyDescent="0.25">
      <c r="A49" s="432"/>
      <c r="C49" s="433"/>
      <c r="D49" s="433"/>
      <c r="E49" s="433"/>
      <c r="F49" s="433"/>
      <c r="G49" s="433"/>
      <c r="H49" s="433"/>
      <c r="I49" s="433"/>
      <c r="J49" s="433"/>
      <c r="K49" s="433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430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551" t="s">
        <v>1005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551" t="s">
        <v>1006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551" t="s">
        <v>1019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432"/>
      <c r="B51" s="428" t="s">
        <v>186</v>
      </c>
      <c r="C51" s="368">
        <v>-0.65</v>
      </c>
      <c r="D51" s="440">
        <v>-0.6100000000000001</v>
      </c>
      <c r="E51" s="369">
        <v>-0.62999999999999989</v>
      </c>
      <c r="F51" s="370">
        <v>-0.63</v>
      </c>
      <c r="G51" s="370">
        <v>-0.61499999999999999</v>
      </c>
      <c r="H51" s="371">
        <v>-0.59499999999999997</v>
      </c>
      <c r="I51" s="371">
        <v>-0.57000000000000006</v>
      </c>
      <c r="J51" s="372">
        <v>-0.42</v>
      </c>
      <c r="K51" s="433"/>
      <c r="L51" s="551"/>
      <c r="M51" s="433" t="s">
        <v>186</v>
      </c>
      <c r="N51" s="368">
        <v>-0.67500000000000004</v>
      </c>
      <c r="O51" s="440">
        <v>-0.64500000000000002</v>
      </c>
      <c r="P51" s="369">
        <v>-0.65500000000000003</v>
      </c>
      <c r="Q51" s="370">
        <v>-0.65</v>
      </c>
      <c r="R51" s="370">
        <v>-0.65</v>
      </c>
      <c r="S51" s="371">
        <v>-0.625</v>
      </c>
      <c r="T51" s="371">
        <v>-0.58499999999999996</v>
      </c>
      <c r="U51" s="372">
        <v>-0.435</v>
      </c>
      <c r="V51" s="433"/>
      <c r="W51" s="551"/>
      <c r="X51" s="433" t="s">
        <v>186</v>
      </c>
      <c r="Y51" s="368">
        <v>-0.75</v>
      </c>
      <c r="Z51" s="440">
        <v>-0.69499999999999995</v>
      </c>
      <c r="AA51" s="369">
        <v>-0.69499999999999995</v>
      </c>
      <c r="AB51" s="370">
        <v>-0.69</v>
      </c>
      <c r="AC51" s="370">
        <v>-0.69</v>
      </c>
      <c r="AD51" s="371">
        <v>-0.65</v>
      </c>
      <c r="AE51" s="371">
        <v>-0.64</v>
      </c>
      <c r="AF51" s="372">
        <v>-0.495</v>
      </c>
      <c r="AG51" s="433"/>
      <c r="AH51" s="551"/>
      <c r="AI51" s="433" t="s">
        <v>186</v>
      </c>
      <c r="AJ51" s="368">
        <v>-0.81</v>
      </c>
      <c r="AK51" s="440">
        <v>-0.77</v>
      </c>
      <c r="AL51" s="369">
        <v>-0.76</v>
      </c>
      <c r="AM51" s="370">
        <v>-0.745</v>
      </c>
      <c r="AN51" s="370">
        <v>-0.745</v>
      </c>
      <c r="AO51" s="371">
        <v>-0.72499999999999998</v>
      </c>
      <c r="AP51" s="371">
        <v>-0.7</v>
      </c>
      <c r="AQ51" s="372">
        <v>-0.57999999999999996</v>
      </c>
    </row>
    <row r="52" spans="1:43" x14ac:dyDescent="0.25">
      <c r="A52" s="432"/>
      <c r="B52" s="428" t="s">
        <v>213</v>
      </c>
      <c r="C52" s="373">
        <v>-0.61</v>
      </c>
      <c r="D52" s="374">
        <v>-0.6</v>
      </c>
      <c r="E52" s="375">
        <v>-0.60999999999999988</v>
      </c>
      <c r="F52" s="376">
        <v>-0.63</v>
      </c>
      <c r="G52" s="376">
        <v>-0.60499999999999998</v>
      </c>
      <c r="H52" s="377">
        <v>-0.57999999999999996</v>
      </c>
      <c r="I52" s="377">
        <v>-0.56500000000000006</v>
      </c>
      <c r="J52" s="378">
        <v>-0.43</v>
      </c>
      <c r="K52" s="433"/>
      <c r="L52" s="551"/>
      <c r="M52" s="433" t="s">
        <v>213</v>
      </c>
      <c r="N52" s="373">
        <v>-0.63500000000000001</v>
      </c>
      <c r="O52" s="374">
        <v>-0.625</v>
      </c>
      <c r="P52" s="375">
        <v>-0.65</v>
      </c>
      <c r="Q52" s="376">
        <v>-0.67</v>
      </c>
      <c r="R52" s="376">
        <v>-0.63500000000000001</v>
      </c>
      <c r="S52" s="377">
        <v>-0.60499999999999998</v>
      </c>
      <c r="T52" s="377">
        <v>-0.6</v>
      </c>
      <c r="U52" s="378">
        <v>-0.46500000000000002</v>
      </c>
      <c r="V52" s="433"/>
      <c r="W52" s="551"/>
      <c r="X52" s="433" t="s">
        <v>213</v>
      </c>
      <c r="Y52" s="373">
        <v>-0.70499999999999996</v>
      </c>
      <c r="Z52" s="374">
        <v>-0.67500000000000004</v>
      </c>
      <c r="AA52" s="375">
        <v>-0.68</v>
      </c>
      <c r="AB52" s="376">
        <v>-0.69</v>
      </c>
      <c r="AC52" s="376">
        <v>-0.67</v>
      </c>
      <c r="AD52" s="377">
        <v>-0.64500000000000002</v>
      </c>
      <c r="AE52" s="377">
        <v>-0.62500000000000011</v>
      </c>
      <c r="AF52" s="378">
        <v>-0.53500000000000003</v>
      </c>
      <c r="AG52" s="433"/>
      <c r="AH52" s="551"/>
      <c r="AI52" s="433" t="s">
        <v>213</v>
      </c>
      <c r="AJ52" s="373">
        <v>-0.77500000000000002</v>
      </c>
      <c r="AK52" s="374">
        <v>-0.745</v>
      </c>
      <c r="AL52" s="375">
        <v>-0.75</v>
      </c>
      <c r="AM52" s="376">
        <v>-0.74</v>
      </c>
      <c r="AN52" s="376">
        <v>-0.73499999999999999</v>
      </c>
      <c r="AO52" s="377">
        <v>-0.72499999999999998</v>
      </c>
      <c r="AP52" s="377">
        <v>-0.69499999999999995</v>
      </c>
      <c r="AQ52" s="378">
        <v>-0.59499999999999997</v>
      </c>
    </row>
    <row r="53" spans="1:43" x14ac:dyDescent="0.25">
      <c r="A53" s="432"/>
      <c r="B53" s="428" t="s">
        <v>232</v>
      </c>
      <c r="C53" s="379">
        <v>-0.59</v>
      </c>
      <c r="D53" s="380">
        <v>-0.57999999999999996</v>
      </c>
      <c r="E53" s="381">
        <v>-0.59</v>
      </c>
      <c r="F53" s="376">
        <v>-0.59499999999999997</v>
      </c>
      <c r="G53" s="376">
        <v>-0.58499999999999996</v>
      </c>
      <c r="H53" s="377">
        <v>-0.56000000000000005</v>
      </c>
      <c r="I53" s="377">
        <v>-0.55000000000000004</v>
      </c>
      <c r="J53" s="378">
        <v>-0.45</v>
      </c>
      <c r="K53" s="433"/>
      <c r="L53" s="551"/>
      <c r="M53" s="433" t="s">
        <v>232</v>
      </c>
      <c r="N53" s="379">
        <v>-0.61499999999999999</v>
      </c>
      <c r="O53" s="380">
        <v>-0.59499999999999997</v>
      </c>
      <c r="P53" s="381">
        <v>-0.62000000000000011</v>
      </c>
      <c r="Q53" s="376">
        <v>-0.64</v>
      </c>
      <c r="R53" s="376">
        <v>-0.61499999999999999</v>
      </c>
      <c r="S53" s="377">
        <v>-0.59</v>
      </c>
      <c r="T53" s="377">
        <v>-0.56999999999999995</v>
      </c>
      <c r="U53" s="378">
        <v>-0.51500000000000001</v>
      </c>
      <c r="V53" s="433"/>
      <c r="W53" s="551"/>
      <c r="X53" s="433" t="s">
        <v>232</v>
      </c>
      <c r="Y53" s="379">
        <v>-0.7</v>
      </c>
      <c r="Z53" s="380">
        <v>-0.68</v>
      </c>
      <c r="AA53" s="381">
        <v>-0.7</v>
      </c>
      <c r="AB53" s="376">
        <v>-0.71499999999999997</v>
      </c>
      <c r="AC53" s="376">
        <v>-0.68500000000000005</v>
      </c>
      <c r="AD53" s="377">
        <v>-0.65</v>
      </c>
      <c r="AE53" s="377">
        <v>-0.63000000000000012</v>
      </c>
      <c r="AF53" s="378">
        <v>-0.59</v>
      </c>
      <c r="AG53" s="433"/>
      <c r="AH53" s="551"/>
      <c r="AI53" s="433" t="s">
        <v>232</v>
      </c>
      <c r="AJ53" s="379">
        <v>-0.79</v>
      </c>
      <c r="AK53" s="380">
        <v>-0.76500000000000001</v>
      </c>
      <c r="AL53" s="381">
        <v>-0.77500000000000002</v>
      </c>
      <c r="AM53" s="376">
        <v>-0.79500000000000004</v>
      </c>
      <c r="AN53" s="376">
        <v>-0.78</v>
      </c>
      <c r="AO53" s="377">
        <v>-0.73</v>
      </c>
      <c r="AP53" s="377">
        <v>-0.67</v>
      </c>
      <c r="AQ53" s="378">
        <v>-0.63500000000000001</v>
      </c>
    </row>
    <row r="54" spans="1:43" x14ac:dyDescent="0.25">
      <c r="A54" s="432"/>
      <c r="B54" s="428" t="s">
        <v>215</v>
      </c>
      <c r="C54" s="382">
        <v>-0.55500000000000005</v>
      </c>
      <c r="D54" s="383">
        <v>-0.54</v>
      </c>
      <c r="E54" s="383">
        <v>-0.53</v>
      </c>
      <c r="F54" s="384">
        <v>-0.55000000000000004</v>
      </c>
      <c r="G54" s="384">
        <v>-0.54500000000000004</v>
      </c>
      <c r="H54" s="393">
        <v>-0.54</v>
      </c>
      <c r="I54" s="393">
        <v>-0.53500000000000003</v>
      </c>
      <c r="J54" s="394">
        <v>-0.435</v>
      </c>
      <c r="K54" s="433"/>
      <c r="L54" s="551"/>
      <c r="M54" s="433" t="s">
        <v>215</v>
      </c>
      <c r="N54" s="382">
        <v>-0.62</v>
      </c>
      <c r="O54" s="383">
        <v>-0.59499999999999997</v>
      </c>
      <c r="P54" s="383">
        <v>-0.59</v>
      </c>
      <c r="Q54" s="384">
        <v>-0.59</v>
      </c>
      <c r="R54" s="384">
        <v>-0.61</v>
      </c>
      <c r="S54" s="393">
        <v>-0.58499999999999996</v>
      </c>
      <c r="T54" s="393">
        <v>-0.59</v>
      </c>
      <c r="U54" s="394">
        <v>-0.5</v>
      </c>
      <c r="V54" s="433"/>
      <c r="W54" s="551"/>
      <c r="X54" s="433" t="s">
        <v>215</v>
      </c>
      <c r="Y54" s="382">
        <v>-0.70499999999999996</v>
      </c>
      <c r="Z54" s="383">
        <v>-0.69</v>
      </c>
      <c r="AA54" s="383">
        <v>-0.68</v>
      </c>
      <c r="AB54" s="384">
        <v>-0.68</v>
      </c>
      <c r="AC54" s="384">
        <v>-0.68</v>
      </c>
      <c r="AD54" s="393">
        <v>-0.65500000000000003</v>
      </c>
      <c r="AE54" s="393">
        <v>-0.66500000000000004</v>
      </c>
      <c r="AF54" s="394">
        <v>-0.56500000000000006</v>
      </c>
      <c r="AG54" s="433"/>
      <c r="AH54" s="551"/>
      <c r="AI54" s="433" t="s">
        <v>215</v>
      </c>
      <c r="AJ54" s="382">
        <v>-0.77500000000000002</v>
      </c>
      <c r="AK54" s="383">
        <v>-0.77</v>
      </c>
      <c r="AL54" s="383">
        <v>-0.77</v>
      </c>
      <c r="AM54" s="384">
        <v>-0.77</v>
      </c>
      <c r="AN54" s="384">
        <v>-0.77</v>
      </c>
      <c r="AO54" s="393">
        <v>-0.75</v>
      </c>
      <c r="AP54" s="393">
        <v>-0.72499999999999998</v>
      </c>
      <c r="AQ54" s="394">
        <v>-0.61499999999999999</v>
      </c>
    </row>
    <row r="55" spans="1:43" x14ac:dyDescent="0.25">
      <c r="A55" s="432"/>
      <c r="B55" s="428" t="s">
        <v>249</v>
      </c>
      <c r="C55" s="382">
        <v>-0.54</v>
      </c>
      <c r="D55" s="383">
        <v>-0.52</v>
      </c>
      <c r="E55" s="383">
        <v>-0.505</v>
      </c>
      <c r="F55" s="384">
        <v>-0.51</v>
      </c>
      <c r="G55" s="384">
        <v>-0.51</v>
      </c>
      <c r="H55" s="393">
        <v>-0.52500000000000002</v>
      </c>
      <c r="I55" s="393">
        <v>-0.51500000000000001</v>
      </c>
      <c r="J55" s="394">
        <v>-0.43</v>
      </c>
      <c r="K55" s="433"/>
      <c r="L55" s="551"/>
      <c r="M55" s="433" t="s">
        <v>249</v>
      </c>
      <c r="N55" s="382">
        <v>-0.59499999999999997</v>
      </c>
      <c r="O55" s="383">
        <v>-0.59</v>
      </c>
      <c r="P55" s="383">
        <v>-0.56499999999999995</v>
      </c>
      <c r="Q55" s="384">
        <v>-0.57499999999999996</v>
      </c>
      <c r="R55" s="384">
        <v>-0.56999999999999995</v>
      </c>
      <c r="S55" s="393">
        <v>-0.57999999999999996</v>
      </c>
      <c r="T55" s="393">
        <v>-0.57999999999999996</v>
      </c>
      <c r="U55" s="394">
        <v>-0.48</v>
      </c>
      <c r="V55" s="433"/>
      <c r="W55" s="551"/>
      <c r="X55" s="433" t="s">
        <v>249</v>
      </c>
      <c r="Y55" s="382">
        <v>-0.67</v>
      </c>
      <c r="Z55" s="383">
        <v>-0.66</v>
      </c>
      <c r="AA55" s="383">
        <v>-0.64500000000000002</v>
      </c>
      <c r="AB55" s="384">
        <v>-0.65</v>
      </c>
      <c r="AC55" s="384">
        <v>-0.64</v>
      </c>
      <c r="AD55" s="393">
        <v>-0.64500000000000002</v>
      </c>
      <c r="AE55" s="393">
        <v>-0.63500000000000001</v>
      </c>
      <c r="AF55" s="394">
        <v>-0.54</v>
      </c>
      <c r="AG55" s="433"/>
      <c r="AH55" s="551"/>
      <c r="AI55" s="433" t="s">
        <v>249</v>
      </c>
      <c r="AJ55" s="382">
        <v>-0.75</v>
      </c>
      <c r="AK55" s="383">
        <v>-0.76</v>
      </c>
      <c r="AL55" s="383">
        <v>-0.74</v>
      </c>
      <c r="AM55" s="384">
        <v>-0.74</v>
      </c>
      <c r="AN55" s="384">
        <v>-0.73499999999999999</v>
      </c>
      <c r="AO55" s="393">
        <v>-0.74</v>
      </c>
      <c r="AP55" s="393">
        <v>-0.70499999999999996</v>
      </c>
      <c r="AQ55" s="394">
        <v>-0.57499999999999996</v>
      </c>
    </row>
    <row r="56" spans="1:43" x14ac:dyDescent="0.25">
      <c r="A56" s="432"/>
      <c r="B56" s="428" t="s">
        <v>257</v>
      </c>
      <c r="C56" s="382">
        <v>-0.53</v>
      </c>
      <c r="D56" s="383">
        <v>-0.51</v>
      </c>
      <c r="E56" s="383">
        <v>-0.48499999999999999</v>
      </c>
      <c r="F56" s="384">
        <v>-0.495</v>
      </c>
      <c r="G56" s="384">
        <v>-0.48</v>
      </c>
      <c r="H56" s="393">
        <v>-0.48</v>
      </c>
      <c r="I56" s="393">
        <v>-0.49</v>
      </c>
      <c r="J56" s="394">
        <v>-0.41</v>
      </c>
      <c r="K56" s="433"/>
      <c r="L56" s="551"/>
      <c r="M56" s="433" t="s">
        <v>257</v>
      </c>
      <c r="N56" s="382">
        <v>-0.56999999999999995</v>
      </c>
      <c r="O56" s="383">
        <v>-0.56999999999999995</v>
      </c>
      <c r="P56" s="383">
        <v>-0.54</v>
      </c>
      <c r="Q56" s="384">
        <v>-0.54500000000000004</v>
      </c>
      <c r="R56" s="384">
        <v>-0.53</v>
      </c>
      <c r="S56" s="393">
        <v>-0.53</v>
      </c>
      <c r="T56" s="393">
        <v>-0.55499999999999994</v>
      </c>
      <c r="U56" s="394">
        <v>-0.5</v>
      </c>
      <c r="V56" s="433"/>
      <c r="W56" s="551"/>
      <c r="X56" s="433" t="s">
        <v>257</v>
      </c>
      <c r="Y56" s="382">
        <v>-0.64500000000000002</v>
      </c>
      <c r="Z56" s="383">
        <v>-0.63500000000000012</v>
      </c>
      <c r="AA56" s="383">
        <v>-0.60499999999999998</v>
      </c>
      <c r="AB56" s="384">
        <v>-0.60999999999999988</v>
      </c>
      <c r="AC56" s="384">
        <v>-0.6</v>
      </c>
      <c r="AD56" s="393">
        <v>-0.6100000000000001</v>
      </c>
      <c r="AE56" s="393">
        <v>-0.63</v>
      </c>
      <c r="AF56" s="394">
        <v>-0.55500000000000005</v>
      </c>
      <c r="AG56" s="433"/>
      <c r="AH56" s="551"/>
      <c r="AI56" s="433" t="s">
        <v>257</v>
      </c>
      <c r="AJ56" s="382">
        <v>-0.70499999999999996</v>
      </c>
      <c r="AK56" s="383">
        <v>-0.70499999999999996</v>
      </c>
      <c r="AL56" s="383">
        <v>-0.7</v>
      </c>
      <c r="AM56" s="384">
        <v>-0.69</v>
      </c>
      <c r="AN56" s="384">
        <v>-0.69</v>
      </c>
      <c r="AO56" s="393">
        <v>-0.7</v>
      </c>
      <c r="AP56" s="393">
        <v>-0.7</v>
      </c>
      <c r="AQ56" s="394">
        <v>-0.59</v>
      </c>
    </row>
    <row r="57" spans="1:43" x14ac:dyDescent="0.25">
      <c r="A57" s="432"/>
      <c r="B57" s="428" t="s">
        <v>264</v>
      </c>
      <c r="C57" s="385">
        <v>-0.51</v>
      </c>
      <c r="D57" s="386">
        <v>-0.48499999999999999</v>
      </c>
      <c r="E57" s="386">
        <v>-0.47</v>
      </c>
      <c r="F57" s="387">
        <v>-0.44500000000000001</v>
      </c>
      <c r="G57" s="387">
        <v>-0.47</v>
      </c>
      <c r="H57" s="441">
        <v>-0.45500000000000002</v>
      </c>
      <c r="I57" s="441">
        <v>-0.44500000000000001</v>
      </c>
      <c r="J57" s="442">
        <v>-0.40500000000000003</v>
      </c>
      <c r="K57" s="433"/>
      <c r="L57" s="551"/>
      <c r="M57" s="433" t="s">
        <v>264</v>
      </c>
      <c r="N57" s="385">
        <v>-0.56499999999999995</v>
      </c>
      <c r="O57" s="386">
        <v>-0.55500000000000005</v>
      </c>
      <c r="P57" s="386">
        <v>-0.53500000000000003</v>
      </c>
      <c r="Q57" s="387">
        <v>-0.52</v>
      </c>
      <c r="R57" s="387">
        <v>-0.53</v>
      </c>
      <c r="S57" s="441">
        <v>-0.51</v>
      </c>
      <c r="T57" s="441">
        <v>-0.5</v>
      </c>
      <c r="U57" s="442">
        <v>-0.46</v>
      </c>
      <c r="V57" s="433"/>
      <c r="W57" s="551"/>
      <c r="X57" s="433" t="s">
        <v>264</v>
      </c>
      <c r="Y57" s="385">
        <v>-0.63500000000000012</v>
      </c>
      <c r="Z57" s="386">
        <v>-0.63000000000000012</v>
      </c>
      <c r="AA57" s="386">
        <v>-0.61499999999999999</v>
      </c>
      <c r="AB57" s="387">
        <v>-0.59</v>
      </c>
      <c r="AC57" s="387">
        <v>-0.60499999999999998</v>
      </c>
      <c r="AD57" s="441">
        <v>-0.58499999999999996</v>
      </c>
      <c r="AE57" s="441">
        <v>-0.58499999999999996</v>
      </c>
      <c r="AF57" s="442">
        <v>-0.52</v>
      </c>
      <c r="AG57" s="433"/>
      <c r="AH57" s="551"/>
      <c r="AI57" s="433" t="s">
        <v>264</v>
      </c>
      <c r="AJ57" s="385">
        <v>-0.7</v>
      </c>
      <c r="AK57" s="386">
        <v>-0.69499999999999995</v>
      </c>
      <c r="AL57" s="386">
        <v>-0.69</v>
      </c>
      <c r="AM57" s="387">
        <v>-0.68</v>
      </c>
      <c r="AN57" s="387">
        <v>-0.66</v>
      </c>
      <c r="AO57" s="441">
        <v>-0.64500000000000002</v>
      </c>
      <c r="AP57" s="441">
        <v>-0.66500000000000004</v>
      </c>
      <c r="AQ57" s="442">
        <v>-0.57499999999999996</v>
      </c>
    </row>
    <row r="58" spans="1:43" x14ac:dyDescent="0.25">
      <c r="A58" s="432"/>
      <c r="B58" s="428" t="s">
        <v>272</v>
      </c>
      <c r="C58" s="385">
        <v>-0.48499999999999999</v>
      </c>
      <c r="D58" s="386">
        <v>-0.47499999999999998</v>
      </c>
      <c r="E58" s="386">
        <v>-0.47</v>
      </c>
      <c r="F58" s="387">
        <v>-0.47</v>
      </c>
      <c r="G58" s="387">
        <v>-0.47</v>
      </c>
      <c r="H58" s="441">
        <v>-0.44</v>
      </c>
      <c r="I58" s="441">
        <v>-0.44500000000000001</v>
      </c>
      <c r="J58" s="442">
        <v>-0.375</v>
      </c>
      <c r="K58" s="433"/>
      <c r="L58" s="551"/>
      <c r="M58" s="433" t="s">
        <v>272</v>
      </c>
      <c r="N58" s="385">
        <v>-0.56499999999999995</v>
      </c>
      <c r="O58" s="386">
        <v>-0.55500000000000005</v>
      </c>
      <c r="P58" s="386">
        <v>-0.53500000000000003</v>
      </c>
      <c r="Q58" s="387">
        <v>-0.53</v>
      </c>
      <c r="R58" s="387">
        <v>-0.52</v>
      </c>
      <c r="S58" s="441">
        <v>-0.51</v>
      </c>
      <c r="T58" s="441">
        <v>-0.51500000000000001</v>
      </c>
      <c r="U58" s="442">
        <v>-0.435</v>
      </c>
      <c r="V58" s="433"/>
      <c r="W58" s="551"/>
      <c r="X58" s="433" t="s">
        <v>272</v>
      </c>
      <c r="Y58" s="385">
        <v>-0.64</v>
      </c>
      <c r="Z58" s="386">
        <v>-0.62000000000000011</v>
      </c>
      <c r="AA58" s="386">
        <v>-0.6</v>
      </c>
      <c r="AB58" s="387">
        <v>-0.59499999999999997</v>
      </c>
      <c r="AC58" s="387">
        <v>-0.57999999999999996</v>
      </c>
      <c r="AD58" s="441">
        <v>-0.55000000000000004</v>
      </c>
      <c r="AE58" s="441">
        <v>-0.53500000000000003</v>
      </c>
      <c r="AF58" s="442">
        <v>-0.48499999999999999</v>
      </c>
      <c r="AG58" s="433"/>
      <c r="AH58" s="551"/>
      <c r="AI58" s="433" t="s">
        <v>272</v>
      </c>
      <c r="AJ58" s="385">
        <v>-0.67500000000000004</v>
      </c>
      <c r="AK58" s="386">
        <v>-0.67</v>
      </c>
      <c r="AL58" s="386">
        <v>-0.66</v>
      </c>
      <c r="AM58" s="387">
        <v>-0.65500000000000003</v>
      </c>
      <c r="AN58" s="387">
        <v>-0.65</v>
      </c>
      <c r="AO58" s="441">
        <v>-0.625</v>
      </c>
      <c r="AP58" s="441">
        <v>-0.60500000000000009</v>
      </c>
      <c r="AQ58" s="442">
        <v>-0.55500000000000005</v>
      </c>
    </row>
    <row r="59" spans="1:43" x14ac:dyDescent="0.25">
      <c r="A59" s="432"/>
      <c r="B59" s="428" t="s">
        <v>278</v>
      </c>
      <c r="C59" s="385">
        <v>-0.48</v>
      </c>
      <c r="D59" s="386">
        <v>-0.46</v>
      </c>
      <c r="E59" s="386">
        <v>-0.47</v>
      </c>
      <c r="F59" s="387">
        <v>-0.47499999999999998</v>
      </c>
      <c r="G59" s="387">
        <v>-0.47</v>
      </c>
      <c r="H59" s="441">
        <v>-0.435</v>
      </c>
      <c r="I59" s="441">
        <v>-0.45</v>
      </c>
      <c r="J59" s="442">
        <v>-0.36499999999999999</v>
      </c>
      <c r="K59" s="433"/>
      <c r="L59" s="551"/>
      <c r="M59" s="433" t="s">
        <v>278</v>
      </c>
      <c r="N59" s="385">
        <v>-0.55000000000000004</v>
      </c>
      <c r="O59" s="386">
        <v>-0.52500000000000002</v>
      </c>
      <c r="P59" s="386">
        <v>-0.54</v>
      </c>
      <c r="Q59" s="387">
        <v>-0.55000000000000004</v>
      </c>
      <c r="R59" s="387">
        <v>-0.53</v>
      </c>
      <c r="S59" s="441">
        <v>-0.5</v>
      </c>
      <c r="T59" s="441">
        <v>-0.52</v>
      </c>
      <c r="U59" s="442">
        <v>-0.45</v>
      </c>
      <c r="V59" s="433"/>
      <c r="W59" s="551"/>
      <c r="X59" s="433" t="s">
        <v>278</v>
      </c>
      <c r="Y59" s="385">
        <v>-0.59</v>
      </c>
      <c r="Z59" s="386">
        <v>-0.56499999999999995</v>
      </c>
      <c r="AA59" s="386">
        <v>-0.57999999999999996</v>
      </c>
      <c r="AB59" s="387">
        <v>-0.58499999999999996</v>
      </c>
      <c r="AC59" s="387">
        <v>-0.57000000000000006</v>
      </c>
      <c r="AD59" s="441">
        <v>-0.54</v>
      </c>
      <c r="AE59" s="441">
        <v>-0.54500000000000004</v>
      </c>
      <c r="AF59" s="442">
        <v>-0.5</v>
      </c>
      <c r="AG59" s="433"/>
      <c r="AH59" s="551"/>
      <c r="AI59" s="433" t="s">
        <v>278</v>
      </c>
      <c r="AJ59" s="385">
        <v>-0.69</v>
      </c>
      <c r="AK59" s="386">
        <v>-0.67</v>
      </c>
      <c r="AL59" s="386">
        <v>-0.66500000000000004</v>
      </c>
      <c r="AM59" s="387">
        <v>-0.67500000000000004</v>
      </c>
      <c r="AN59" s="387">
        <v>-0.67</v>
      </c>
      <c r="AO59" s="441">
        <v>-0.64</v>
      </c>
      <c r="AP59" s="441">
        <v>-0.63500000000000012</v>
      </c>
      <c r="AQ59" s="442">
        <v>-0.57999999999999996</v>
      </c>
    </row>
    <row r="60" spans="1:43" x14ac:dyDescent="0.25">
      <c r="A60" s="432"/>
      <c r="B60" s="428" t="s">
        <v>284</v>
      </c>
      <c r="C60" s="388">
        <v>-0.48499999999999999</v>
      </c>
      <c r="D60" s="389">
        <v>-0.48</v>
      </c>
      <c r="E60" s="389">
        <v>-0.49</v>
      </c>
      <c r="F60" s="390">
        <v>-0.48</v>
      </c>
      <c r="G60" s="390">
        <v>-0.45500000000000002</v>
      </c>
      <c r="H60" s="443">
        <v>-0.44</v>
      </c>
      <c r="I60" s="443">
        <v>-0.46</v>
      </c>
      <c r="J60" s="444">
        <v>-0.38500000000000001</v>
      </c>
      <c r="K60" s="433"/>
      <c r="M60" s="433" t="s">
        <v>284</v>
      </c>
      <c r="N60" s="388">
        <v>-0.53</v>
      </c>
      <c r="O60" s="389">
        <v>-0.54499999999999993</v>
      </c>
      <c r="P60" s="389">
        <v>-0.55999999999999994</v>
      </c>
      <c r="Q60" s="390">
        <v>-0.54499999999999993</v>
      </c>
      <c r="R60" s="390">
        <v>-0.53</v>
      </c>
      <c r="S60" s="443">
        <v>-0.51</v>
      </c>
      <c r="T60" s="443">
        <v>-0.51500000000000001</v>
      </c>
      <c r="U60" s="444">
        <v>-0.46</v>
      </c>
      <c r="V60" s="433"/>
      <c r="X60" s="433" t="s">
        <v>284</v>
      </c>
      <c r="Y60" s="388">
        <v>-0.54500000000000004</v>
      </c>
      <c r="Z60" s="389">
        <v>-0.6100000000000001</v>
      </c>
      <c r="AA60" s="389">
        <v>-0.59499999999999997</v>
      </c>
      <c r="AB60" s="390">
        <v>-0.59000000000000008</v>
      </c>
      <c r="AC60" s="390">
        <v>-0.56999999999999995</v>
      </c>
      <c r="AD60" s="443">
        <v>-0.54</v>
      </c>
      <c r="AE60" s="443">
        <v>-0.55000000000000004</v>
      </c>
      <c r="AF60" s="444">
        <v>-0.505</v>
      </c>
      <c r="AG60" s="433"/>
      <c r="AI60" s="433" t="s">
        <v>284</v>
      </c>
      <c r="AJ60" s="388">
        <v>-0.65</v>
      </c>
      <c r="AK60" s="389">
        <v>-0.68500000000000005</v>
      </c>
      <c r="AL60" s="389">
        <v>-0.68</v>
      </c>
      <c r="AM60" s="390">
        <v>-0.66500000000000004</v>
      </c>
      <c r="AN60" s="390">
        <v>-0.65</v>
      </c>
      <c r="AO60" s="443">
        <v>-0.62</v>
      </c>
      <c r="AP60" s="443">
        <v>-0.625</v>
      </c>
      <c r="AQ60" s="444">
        <v>-0.57999999999999996</v>
      </c>
    </row>
    <row r="62" spans="1:43" x14ac:dyDescent="0.25">
      <c r="C62" s="434"/>
      <c r="N62" s="434"/>
      <c r="Y62" s="434"/>
      <c r="AJ62" s="434"/>
    </row>
  </sheetData>
  <sheetProtection algorithmName="SHA-512" hashValue="3joDtFfkY28IkS952RoNqzcqM9Ujh1+eeHRSDj6J0jQpvMSOzcCqSkqtJXx/Cx2iywaGhJQIo398+52G73Py8A==" saltValue="Fl3h+DQLjOojGIdvYG7WKg==" spinCount="100000" sheet="1" objects="1" scenarios="1" autoFilter="0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:AQ62"/>
  <sheetViews>
    <sheetView workbookViewId="0"/>
  </sheetViews>
  <sheetFormatPr defaultRowHeight="15" x14ac:dyDescent="0.25"/>
  <cols>
    <col min="1" max="1" width="9.28515625" style="356"/>
    <col min="2" max="2" width="5.7109375" customWidth="1"/>
    <col min="3" max="10" width="7.5703125" style="28" customWidth="1"/>
    <col min="11" max="11" width="5.28515625" style="28" customWidth="1"/>
    <col min="12" max="12" width="9.28515625" style="357"/>
    <col min="13" max="13" width="4" style="28" customWidth="1"/>
    <col min="14" max="21" width="7.5703125" style="28" customWidth="1"/>
    <col min="22" max="22" width="5.42578125" style="28" customWidth="1"/>
    <col min="23" max="23" width="9.28515625" style="357"/>
    <col min="24" max="24" width="4" style="28" customWidth="1"/>
    <col min="25" max="32" width="7.5703125" style="28" customWidth="1"/>
    <col min="33" max="33" width="5.5703125" style="28" customWidth="1"/>
    <col min="34" max="34" width="9.28515625" style="357"/>
    <col min="35" max="35" width="4" style="28" customWidth="1"/>
    <col min="36" max="43" width="7.5703125" style="28" customWidth="1"/>
  </cols>
  <sheetData>
    <row r="1" spans="1:43" ht="14.45" x14ac:dyDescent="0.3">
      <c r="A1" s="356" t="s">
        <v>310</v>
      </c>
      <c r="B1" t="s">
        <v>316</v>
      </c>
    </row>
    <row r="2" spans="1:43" ht="14.45" x14ac:dyDescent="0.3">
      <c r="A2" s="357" t="s">
        <v>317</v>
      </c>
      <c r="C2" s="355" t="s">
        <v>187</v>
      </c>
      <c r="D2" s="355" t="s">
        <v>214</v>
      </c>
      <c r="E2" s="355" t="s">
        <v>233</v>
      </c>
      <c r="F2" s="355" t="s">
        <v>242</v>
      </c>
      <c r="G2" s="355" t="s">
        <v>250</v>
      </c>
      <c r="H2" s="355" t="s">
        <v>258</v>
      </c>
      <c r="I2" s="355" t="s">
        <v>265</v>
      </c>
      <c r="J2" s="355" t="s">
        <v>279</v>
      </c>
      <c r="K2" s="355"/>
      <c r="L2" s="551" t="s">
        <v>1007</v>
      </c>
      <c r="M2" s="355"/>
      <c r="N2" s="355" t="s">
        <v>187</v>
      </c>
      <c r="O2" s="355" t="s">
        <v>214</v>
      </c>
      <c r="P2" s="355" t="s">
        <v>233</v>
      </c>
      <c r="Q2" s="355" t="s">
        <v>242</v>
      </c>
      <c r="R2" s="355" t="s">
        <v>250</v>
      </c>
      <c r="S2" s="355" t="s">
        <v>258</v>
      </c>
      <c r="T2" s="355" t="s">
        <v>265</v>
      </c>
      <c r="U2" s="355" t="s">
        <v>279</v>
      </c>
      <c r="V2" s="355"/>
      <c r="W2" s="551" t="s">
        <v>1011</v>
      </c>
      <c r="X2" s="355"/>
      <c r="Y2" s="355" t="s">
        <v>187</v>
      </c>
      <c r="Z2" s="355" t="s">
        <v>214</v>
      </c>
      <c r="AA2" s="355" t="s">
        <v>233</v>
      </c>
      <c r="AB2" s="355" t="s">
        <v>242</v>
      </c>
      <c r="AC2" s="355" t="s">
        <v>250</v>
      </c>
      <c r="AD2" s="355" t="s">
        <v>258</v>
      </c>
      <c r="AE2" s="355" t="s">
        <v>265</v>
      </c>
      <c r="AF2" s="355" t="s">
        <v>279</v>
      </c>
      <c r="AG2" s="355"/>
      <c r="AH2" s="551" t="s">
        <v>1015</v>
      </c>
      <c r="AJ2" s="355" t="s">
        <v>187</v>
      </c>
      <c r="AK2" s="355" t="s">
        <v>214</v>
      </c>
      <c r="AL2" s="355" t="s">
        <v>233</v>
      </c>
      <c r="AM2" s="355" t="s">
        <v>242</v>
      </c>
      <c r="AN2" s="355" t="s">
        <v>250</v>
      </c>
      <c r="AO2" s="355" t="s">
        <v>258</v>
      </c>
      <c r="AP2" s="355" t="s">
        <v>265</v>
      </c>
      <c r="AQ2" s="355" t="s">
        <v>279</v>
      </c>
    </row>
    <row r="3" spans="1:43" ht="14.45" x14ac:dyDescent="0.3">
      <c r="A3" s="358"/>
      <c r="B3" t="s">
        <v>186</v>
      </c>
      <c r="C3" s="368">
        <v>-0.32</v>
      </c>
      <c r="D3" s="440">
        <v>-0.3</v>
      </c>
      <c r="E3" s="369">
        <v>-0.35</v>
      </c>
      <c r="F3" s="370">
        <v>-0.35</v>
      </c>
      <c r="G3" s="370">
        <v>-0.35</v>
      </c>
      <c r="H3" s="371">
        <v>-0.34</v>
      </c>
      <c r="I3" s="371">
        <v>-0.34</v>
      </c>
      <c r="J3" s="372">
        <v>-0.2</v>
      </c>
      <c r="K3" s="433"/>
      <c r="L3" s="551"/>
      <c r="M3" s="433" t="s">
        <v>186</v>
      </c>
      <c r="N3" s="368">
        <v>-0.38</v>
      </c>
      <c r="O3" s="440">
        <v>-0.35</v>
      </c>
      <c r="P3" s="369">
        <v>-0.4</v>
      </c>
      <c r="Q3" s="370">
        <v>-0.39</v>
      </c>
      <c r="R3" s="370">
        <v>-0.39</v>
      </c>
      <c r="S3" s="371">
        <v>-0.37</v>
      </c>
      <c r="T3" s="371">
        <v>-0.36</v>
      </c>
      <c r="U3" s="372">
        <v>-0.22</v>
      </c>
      <c r="V3" s="433"/>
      <c r="W3" s="551"/>
      <c r="X3" s="433" t="s">
        <v>186</v>
      </c>
      <c r="Y3" s="368">
        <v>-0.4</v>
      </c>
      <c r="Z3" s="440">
        <v>-0.4</v>
      </c>
      <c r="AA3" s="369">
        <v>-0.42</v>
      </c>
      <c r="AB3" s="370">
        <v>-0.41</v>
      </c>
      <c r="AC3" s="370">
        <v>-0.41</v>
      </c>
      <c r="AD3" s="371">
        <v>-0.43</v>
      </c>
      <c r="AE3" s="371">
        <v>-0.38</v>
      </c>
      <c r="AF3" s="372">
        <v>-0.25</v>
      </c>
      <c r="AG3" s="433"/>
      <c r="AH3" s="551"/>
      <c r="AI3" s="433" t="s">
        <v>186</v>
      </c>
      <c r="AJ3" s="368">
        <v>-0.54</v>
      </c>
      <c r="AK3" s="440">
        <v>-0.52</v>
      </c>
      <c r="AL3" s="369">
        <v>-0.53</v>
      </c>
      <c r="AM3" s="370">
        <v>-0.52</v>
      </c>
      <c r="AN3" s="370">
        <v>-0.53</v>
      </c>
      <c r="AO3" s="371">
        <v>-0.55000000000000004</v>
      </c>
      <c r="AP3" s="371">
        <v>-0.52</v>
      </c>
      <c r="AQ3" s="372">
        <v>-0.36</v>
      </c>
    </row>
    <row r="4" spans="1:43" ht="14.45" x14ac:dyDescent="0.3">
      <c r="A4" s="358"/>
      <c r="B4" t="s">
        <v>213</v>
      </c>
      <c r="C4" s="373">
        <v>-0.34</v>
      </c>
      <c r="D4" s="374">
        <v>-0.35</v>
      </c>
      <c r="E4" s="375">
        <v>-0.33</v>
      </c>
      <c r="F4" s="376">
        <v>-0.34</v>
      </c>
      <c r="G4" s="376">
        <v>-0.34</v>
      </c>
      <c r="H4" s="377">
        <v>-0.35</v>
      </c>
      <c r="I4" s="377">
        <v>-0.32</v>
      </c>
      <c r="J4" s="378">
        <v>-0.23</v>
      </c>
      <c r="K4" s="433"/>
      <c r="L4" s="551"/>
      <c r="M4" s="433" t="s">
        <v>213</v>
      </c>
      <c r="N4" s="373">
        <v>-0.36</v>
      </c>
      <c r="O4" s="374">
        <v>-0.37</v>
      </c>
      <c r="P4" s="375">
        <v>-0.36</v>
      </c>
      <c r="Q4" s="376">
        <v>-0.37</v>
      </c>
      <c r="R4" s="376">
        <v>-0.37</v>
      </c>
      <c r="S4" s="377">
        <v>-0.39</v>
      </c>
      <c r="T4" s="377">
        <v>-0.35</v>
      </c>
      <c r="U4" s="378">
        <v>-0.25</v>
      </c>
      <c r="V4" s="433"/>
      <c r="W4" s="551"/>
      <c r="X4" s="433" t="s">
        <v>213</v>
      </c>
      <c r="Y4" s="373">
        <v>-0.4</v>
      </c>
      <c r="Z4" s="374">
        <v>-0.4</v>
      </c>
      <c r="AA4" s="375">
        <v>-0.4</v>
      </c>
      <c r="AB4" s="376">
        <v>-0.4</v>
      </c>
      <c r="AC4" s="376">
        <v>-0.39</v>
      </c>
      <c r="AD4" s="377">
        <v>-0.41</v>
      </c>
      <c r="AE4" s="377">
        <v>-0.38</v>
      </c>
      <c r="AF4" s="378">
        <v>-0.27</v>
      </c>
      <c r="AG4" s="433"/>
      <c r="AH4" s="551"/>
      <c r="AI4" s="433" t="s">
        <v>213</v>
      </c>
      <c r="AJ4" s="373">
        <v>-0.53</v>
      </c>
      <c r="AK4" s="374">
        <v>-0.53</v>
      </c>
      <c r="AL4" s="375">
        <v>-0.52</v>
      </c>
      <c r="AM4" s="376">
        <v>-0.5</v>
      </c>
      <c r="AN4" s="376">
        <v>-0.5</v>
      </c>
      <c r="AO4" s="377">
        <v>-0.54</v>
      </c>
      <c r="AP4" s="377">
        <v>-0.51</v>
      </c>
      <c r="AQ4" s="378">
        <v>-0.37</v>
      </c>
    </row>
    <row r="5" spans="1:43" ht="14.45" x14ac:dyDescent="0.3">
      <c r="A5" s="358"/>
      <c r="B5" t="s">
        <v>232</v>
      </c>
      <c r="C5" s="379">
        <v>-0.34</v>
      </c>
      <c r="D5" s="380">
        <v>-0.32</v>
      </c>
      <c r="E5" s="381">
        <v>-0.3</v>
      </c>
      <c r="F5" s="376">
        <v>-0.34</v>
      </c>
      <c r="G5" s="376">
        <v>-0.35</v>
      </c>
      <c r="H5" s="377">
        <v>-0.34</v>
      </c>
      <c r="I5" s="377">
        <v>-0.33</v>
      </c>
      <c r="J5" s="378">
        <v>-0.25</v>
      </c>
      <c r="K5" s="433"/>
      <c r="L5" s="551"/>
      <c r="M5" s="433" t="s">
        <v>232</v>
      </c>
      <c r="N5" s="379">
        <v>-0.36</v>
      </c>
      <c r="O5" s="380">
        <v>-0.35</v>
      </c>
      <c r="P5" s="381">
        <v>-0.33</v>
      </c>
      <c r="Q5" s="376">
        <v>-0.37</v>
      </c>
      <c r="R5" s="376">
        <v>-0.38</v>
      </c>
      <c r="S5" s="377">
        <v>-0.37</v>
      </c>
      <c r="T5" s="377">
        <v>-0.35</v>
      </c>
      <c r="U5" s="378">
        <v>-0.27</v>
      </c>
      <c r="V5" s="433"/>
      <c r="W5" s="551"/>
      <c r="X5" s="433" t="s">
        <v>232</v>
      </c>
      <c r="Y5" s="379">
        <v>-0.4</v>
      </c>
      <c r="Z5" s="380">
        <v>-0.39</v>
      </c>
      <c r="AA5" s="381">
        <v>-0.39</v>
      </c>
      <c r="AB5" s="376">
        <v>-0.4</v>
      </c>
      <c r="AC5" s="376">
        <v>-0.4</v>
      </c>
      <c r="AD5" s="377">
        <v>-0.41</v>
      </c>
      <c r="AE5" s="377">
        <v>-0.39</v>
      </c>
      <c r="AF5" s="378">
        <v>-0.3</v>
      </c>
      <c r="AG5" s="433"/>
      <c r="AH5" s="551"/>
      <c r="AI5" s="433" t="s">
        <v>232</v>
      </c>
      <c r="AJ5" s="379">
        <v>-0.52</v>
      </c>
      <c r="AK5" s="380">
        <v>-0.52</v>
      </c>
      <c r="AL5" s="381">
        <v>-0.5</v>
      </c>
      <c r="AM5" s="376">
        <v>-0.52</v>
      </c>
      <c r="AN5" s="376">
        <v>-0.51</v>
      </c>
      <c r="AO5" s="377">
        <v>-0.53</v>
      </c>
      <c r="AP5" s="377">
        <v>-0.5</v>
      </c>
      <c r="AQ5" s="378">
        <v>-0.39</v>
      </c>
    </row>
    <row r="6" spans="1:43" ht="14.45" x14ac:dyDescent="0.3">
      <c r="A6" s="358"/>
      <c r="B6" t="s">
        <v>215</v>
      </c>
      <c r="C6" s="382">
        <v>-0.33</v>
      </c>
      <c r="D6" s="383">
        <v>-0.32</v>
      </c>
      <c r="E6" s="383">
        <v>-0.33</v>
      </c>
      <c r="F6" s="384">
        <v>-0.32</v>
      </c>
      <c r="G6" s="384">
        <v>-0.34</v>
      </c>
      <c r="H6" s="393">
        <v>-0.35</v>
      </c>
      <c r="I6" s="393">
        <v>-0.36</v>
      </c>
      <c r="J6" s="394">
        <v>-0.27</v>
      </c>
      <c r="K6" s="433"/>
      <c r="L6" s="551"/>
      <c r="M6" s="433" t="s">
        <v>215</v>
      </c>
      <c r="N6" s="382">
        <v>-0.37</v>
      </c>
      <c r="O6" s="383">
        <v>-0.36</v>
      </c>
      <c r="P6" s="383">
        <v>-0.38</v>
      </c>
      <c r="Q6" s="384">
        <v>-0.36</v>
      </c>
      <c r="R6" s="384">
        <v>-0.39</v>
      </c>
      <c r="S6" s="393">
        <v>-0.38</v>
      </c>
      <c r="T6" s="393">
        <v>-0.39</v>
      </c>
      <c r="U6" s="394">
        <v>-0.3</v>
      </c>
      <c r="V6" s="433"/>
      <c r="W6" s="551"/>
      <c r="X6" s="433" t="s">
        <v>215</v>
      </c>
      <c r="Y6" s="382">
        <v>-0.39</v>
      </c>
      <c r="Z6" s="383">
        <v>-0.4</v>
      </c>
      <c r="AA6" s="383">
        <v>-0.4</v>
      </c>
      <c r="AB6" s="384">
        <v>-0.39</v>
      </c>
      <c r="AC6" s="384">
        <v>-0.41</v>
      </c>
      <c r="AD6" s="393">
        <v>-0.4</v>
      </c>
      <c r="AE6" s="393">
        <v>-0.41</v>
      </c>
      <c r="AF6" s="394">
        <v>-0.33</v>
      </c>
      <c r="AG6" s="433"/>
      <c r="AH6" s="551"/>
      <c r="AI6" s="433" t="s">
        <v>215</v>
      </c>
      <c r="AJ6" s="382">
        <v>-0.52</v>
      </c>
      <c r="AK6" s="383">
        <v>-0.51</v>
      </c>
      <c r="AL6" s="383">
        <v>-0.5</v>
      </c>
      <c r="AM6" s="384">
        <v>-0.5</v>
      </c>
      <c r="AN6" s="384">
        <v>-0.52</v>
      </c>
      <c r="AO6" s="393">
        <v>-0.52</v>
      </c>
      <c r="AP6" s="393">
        <v>-0.51</v>
      </c>
      <c r="AQ6" s="394">
        <v>-0.42</v>
      </c>
    </row>
    <row r="7" spans="1:43" ht="14.45" x14ac:dyDescent="0.3">
      <c r="A7" s="358"/>
      <c r="B7" t="s">
        <v>249</v>
      </c>
      <c r="C7" s="382">
        <v>-0.34</v>
      </c>
      <c r="D7" s="383">
        <v>-0.34</v>
      </c>
      <c r="E7" s="383">
        <v>-0.33</v>
      </c>
      <c r="F7" s="384">
        <v>-0.33</v>
      </c>
      <c r="G7" s="384">
        <v>-0.32</v>
      </c>
      <c r="H7" s="393">
        <v>-0.33</v>
      </c>
      <c r="I7" s="393">
        <v>-0.33</v>
      </c>
      <c r="J7" s="394">
        <v>-0.25</v>
      </c>
      <c r="K7" s="433"/>
      <c r="L7" s="551"/>
      <c r="M7" s="433" t="s">
        <v>249</v>
      </c>
      <c r="N7" s="382">
        <v>-0.36</v>
      </c>
      <c r="O7" s="383">
        <v>-0.37</v>
      </c>
      <c r="P7" s="383">
        <v>-0.35</v>
      </c>
      <c r="Q7" s="384">
        <v>-0.35</v>
      </c>
      <c r="R7" s="384">
        <v>-0.34</v>
      </c>
      <c r="S7" s="393">
        <v>-0.35</v>
      </c>
      <c r="T7" s="393">
        <v>-0.36</v>
      </c>
      <c r="U7" s="394">
        <v>-0.28000000000000003</v>
      </c>
      <c r="V7" s="433"/>
      <c r="W7" s="551"/>
      <c r="X7" s="433" t="s">
        <v>249</v>
      </c>
      <c r="Y7" s="382">
        <v>-0.39</v>
      </c>
      <c r="Z7" s="383">
        <v>-0.39</v>
      </c>
      <c r="AA7" s="383">
        <v>-0.4</v>
      </c>
      <c r="AB7" s="384">
        <v>-0.39</v>
      </c>
      <c r="AC7" s="384">
        <v>-0.39</v>
      </c>
      <c r="AD7" s="393">
        <v>-0.39</v>
      </c>
      <c r="AE7" s="393">
        <v>-0.39</v>
      </c>
      <c r="AF7" s="394">
        <v>-0.3</v>
      </c>
      <c r="AG7" s="433"/>
      <c r="AH7" s="551"/>
      <c r="AI7" s="433" t="s">
        <v>249</v>
      </c>
      <c r="AJ7" s="382">
        <v>-0.49</v>
      </c>
      <c r="AK7" s="383">
        <v>-0.5</v>
      </c>
      <c r="AL7" s="383">
        <v>-0.5</v>
      </c>
      <c r="AM7" s="384">
        <v>-0.49</v>
      </c>
      <c r="AN7" s="384">
        <v>-0.49</v>
      </c>
      <c r="AO7" s="393">
        <v>-0.49</v>
      </c>
      <c r="AP7" s="393">
        <v>-0.51</v>
      </c>
      <c r="AQ7" s="394">
        <v>-0.41</v>
      </c>
    </row>
    <row r="8" spans="1:43" ht="14.45" x14ac:dyDescent="0.3">
      <c r="A8" s="358"/>
      <c r="B8" t="s">
        <v>257</v>
      </c>
      <c r="C8" s="382">
        <v>-0.32</v>
      </c>
      <c r="D8" s="383">
        <v>-0.33</v>
      </c>
      <c r="E8" s="383">
        <v>-0.31</v>
      </c>
      <c r="F8" s="384">
        <v>-0.3</v>
      </c>
      <c r="G8" s="384">
        <v>-0.32</v>
      </c>
      <c r="H8" s="393">
        <v>-0.32</v>
      </c>
      <c r="I8" s="393">
        <v>-0.34</v>
      </c>
      <c r="J8" s="394">
        <v>-0.22</v>
      </c>
      <c r="K8" s="433"/>
      <c r="L8" s="551"/>
      <c r="M8" s="433" t="s">
        <v>257</v>
      </c>
      <c r="N8" s="382">
        <v>-0.36</v>
      </c>
      <c r="O8" s="383">
        <v>-0.36</v>
      </c>
      <c r="P8" s="383">
        <v>-0.35</v>
      </c>
      <c r="Q8" s="384">
        <v>-0.33</v>
      </c>
      <c r="R8" s="384">
        <v>-0.35</v>
      </c>
      <c r="S8" s="393">
        <v>-0.35</v>
      </c>
      <c r="T8" s="393">
        <v>-0.38</v>
      </c>
      <c r="U8" s="394">
        <v>-0.26</v>
      </c>
      <c r="V8" s="433"/>
      <c r="W8" s="551"/>
      <c r="X8" s="433" t="s">
        <v>257</v>
      </c>
      <c r="Y8" s="382">
        <v>-0.38</v>
      </c>
      <c r="Z8" s="383">
        <v>-0.38</v>
      </c>
      <c r="AA8" s="383">
        <v>-0.39</v>
      </c>
      <c r="AB8" s="384">
        <v>-0.38</v>
      </c>
      <c r="AC8" s="384">
        <v>-0.37</v>
      </c>
      <c r="AD8" s="393">
        <v>-0.38</v>
      </c>
      <c r="AE8" s="393">
        <v>-0.4</v>
      </c>
      <c r="AF8" s="394">
        <v>-0.3</v>
      </c>
      <c r="AG8" s="433"/>
      <c r="AH8" s="551"/>
      <c r="AI8" s="433" t="s">
        <v>257</v>
      </c>
      <c r="AJ8" s="382">
        <v>-0.5</v>
      </c>
      <c r="AK8" s="383">
        <v>-0.52</v>
      </c>
      <c r="AL8" s="383">
        <v>-0.51</v>
      </c>
      <c r="AM8" s="384">
        <v>-0.5</v>
      </c>
      <c r="AN8" s="384">
        <v>-0.49</v>
      </c>
      <c r="AO8" s="393">
        <v>-0.49</v>
      </c>
      <c r="AP8" s="393">
        <v>-0.51</v>
      </c>
      <c r="AQ8" s="394">
        <v>-0.45</v>
      </c>
    </row>
    <row r="9" spans="1:43" ht="14.45" x14ac:dyDescent="0.3">
      <c r="A9" s="358"/>
      <c r="B9" t="s">
        <v>264</v>
      </c>
      <c r="C9" s="385">
        <v>-0.31</v>
      </c>
      <c r="D9" s="386">
        <v>-0.3</v>
      </c>
      <c r="E9" s="386">
        <v>-0.31</v>
      </c>
      <c r="F9" s="387">
        <v>-0.3</v>
      </c>
      <c r="G9" s="387">
        <v>-0.3</v>
      </c>
      <c r="H9" s="441">
        <v>-0.3</v>
      </c>
      <c r="I9" s="441">
        <v>-0.34</v>
      </c>
      <c r="J9" s="442">
        <v>-0.21</v>
      </c>
      <c r="K9" s="433"/>
      <c r="L9" s="551"/>
      <c r="M9" s="433" t="s">
        <v>264</v>
      </c>
      <c r="N9" s="385">
        <v>-0.33</v>
      </c>
      <c r="O9" s="386">
        <v>-0.32</v>
      </c>
      <c r="P9" s="386">
        <v>-0.33</v>
      </c>
      <c r="Q9" s="387">
        <v>-0.33</v>
      </c>
      <c r="R9" s="387">
        <v>-0.33</v>
      </c>
      <c r="S9" s="441">
        <v>-0.33</v>
      </c>
      <c r="T9" s="441">
        <v>-0.36</v>
      </c>
      <c r="U9" s="442">
        <v>-0.23</v>
      </c>
      <c r="V9" s="433"/>
      <c r="W9" s="551"/>
      <c r="X9" s="433" t="s">
        <v>264</v>
      </c>
      <c r="Y9" s="385">
        <v>-0.37</v>
      </c>
      <c r="Z9" s="386">
        <v>-0.37</v>
      </c>
      <c r="AA9" s="386">
        <v>-0.37</v>
      </c>
      <c r="AB9" s="387">
        <v>-0.37</v>
      </c>
      <c r="AC9" s="387">
        <v>-0.38</v>
      </c>
      <c r="AD9" s="441">
        <v>-0.37</v>
      </c>
      <c r="AE9" s="441">
        <v>-0.38</v>
      </c>
      <c r="AF9" s="442">
        <v>-0.28999999999999998</v>
      </c>
      <c r="AG9" s="433"/>
      <c r="AH9" s="551"/>
      <c r="AI9" s="433" t="s">
        <v>264</v>
      </c>
      <c r="AJ9" s="385">
        <v>-0.49</v>
      </c>
      <c r="AK9" s="386">
        <v>-0.51</v>
      </c>
      <c r="AL9" s="386">
        <v>-0.5</v>
      </c>
      <c r="AM9" s="387">
        <v>-0.49</v>
      </c>
      <c r="AN9" s="387">
        <v>-0.5</v>
      </c>
      <c r="AO9" s="441">
        <v>-0.5</v>
      </c>
      <c r="AP9" s="441">
        <v>-0.49</v>
      </c>
      <c r="AQ9" s="442">
        <v>-0.41</v>
      </c>
    </row>
    <row r="10" spans="1:43" ht="14.45" x14ac:dyDescent="0.3">
      <c r="A10" s="358"/>
      <c r="B10" t="s">
        <v>272</v>
      </c>
      <c r="C10" s="385">
        <v>-0.33</v>
      </c>
      <c r="D10" s="386">
        <v>-0.32</v>
      </c>
      <c r="E10" s="386">
        <v>-0.32</v>
      </c>
      <c r="F10" s="387">
        <v>-0.28000000000000003</v>
      </c>
      <c r="G10" s="387">
        <v>-0.3</v>
      </c>
      <c r="H10" s="441">
        <v>-0.31</v>
      </c>
      <c r="I10" s="441">
        <v>-0.32</v>
      </c>
      <c r="J10" s="442">
        <v>-0.15</v>
      </c>
      <c r="K10" s="433"/>
      <c r="L10" s="551"/>
      <c r="M10" s="433" t="s">
        <v>272</v>
      </c>
      <c r="N10" s="385">
        <v>-0.36</v>
      </c>
      <c r="O10" s="386">
        <v>-0.36</v>
      </c>
      <c r="P10" s="386">
        <v>-0.34</v>
      </c>
      <c r="Q10" s="387">
        <v>-0.3</v>
      </c>
      <c r="R10" s="387">
        <v>-0.32</v>
      </c>
      <c r="S10" s="441">
        <v>-0.34</v>
      </c>
      <c r="T10" s="441">
        <v>-0.34</v>
      </c>
      <c r="U10" s="442">
        <v>-0.18</v>
      </c>
      <c r="V10" s="432"/>
      <c r="W10" s="430"/>
      <c r="X10" s="433" t="s">
        <v>272</v>
      </c>
      <c r="Y10" s="385">
        <v>-0.38</v>
      </c>
      <c r="Z10" s="386">
        <v>-0.38</v>
      </c>
      <c r="AA10" s="386">
        <v>-0.38</v>
      </c>
      <c r="AB10" s="387">
        <v>-0.37</v>
      </c>
      <c r="AC10" s="387">
        <v>-0.36</v>
      </c>
      <c r="AD10" s="441">
        <v>-0.36</v>
      </c>
      <c r="AE10" s="441">
        <v>-0.37</v>
      </c>
      <c r="AF10" s="442">
        <v>-0.22</v>
      </c>
      <c r="AG10" s="433"/>
      <c r="AH10" s="551"/>
      <c r="AI10" s="433" t="s">
        <v>272</v>
      </c>
      <c r="AJ10" s="385">
        <v>-0.5</v>
      </c>
      <c r="AK10" s="386">
        <v>-0.52</v>
      </c>
      <c r="AL10" s="386">
        <v>-0.49</v>
      </c>
      <c r="AM10" s="387">
        <v>-0.52</v>
      </c>
      <c r="AN10" s="387">
        <v>-0.5</v>
      </c>
      <c r="AO10" s="441">
        <v>-0.48</v>
      </c>
      <c r="AP10" s="441">
        <v>-0.49</v>
      </c>
      <c r="AQ10" s="442">
        <v>-0.34</v>
      </c>
    </row>
    <row r="11" spans="1:43" ht="14.45" x14ac:dyDescent="0.3">
      <c r="A11" s="358"/>
      <c r="B11" t="s">
        <v>278</v>
      </c>
      <c r="C11" s="385">
        <v>-0.3</v>
      </c>
      <c r="D11" s="386">
        <v>-0.28999999999999998</v>
      </c>
      <c r="E11" s="386">
        <v>-0.3</v>
      </c>
      <c r="F11" s="387">
        <v>-0.26</v>
      </c>
      <c r="G11" s="387">
        <v>-0.3</v>
      </c>
      <c r="H11" s="441">
        <v>-0.31</v>
      </c>
      <c r="I11" s="441">
        <v>-0.33</v>
      </c>
      <c r="J11" s="442">
        <v>-0.18</v>
      </c>
      <c r="K11" s="433"/>
      <c r="L11" s="551"/>
      <c r="M11" s="433" t="s">
        <v>278</v>
      </c>
      <c r="N11" s="385">
        <v>-0.32</v>
      </c>
      <c r="O11" s="386">
        <v>-0.32</v>
      </c>
      <c r="P11" s="386">
        <v>-0.33</v>
      </c>
      <c r="Q11" s="387">
        <v>-0.28999999999999998</v>
      </c>
      <c r="R11" s="387">
        <v>-0.32</v>
      </c>
      <c r="S11" s="441">
        <v>-0.33</v>
      </c>
      <c r="T11" s="441">
        <v>-0.35</v>
      </c>
      <c r="U11" s="442">
        <v>-0.2</v>
      </c>
      <c r="V11" s="433"/>
      <c r="W11" s="551"/>
      <c r="X11" s="433" t="s">
        <v>278</v>
      </c>
      <c r="Y11" s="385">
        <v>-0.35</v>
      </c>
      <c r="Z11" s="386">
        <v>-0.35</v>
      </c>
      <c r="AA11" s="386">
        <v>-0.36</v>
      </c>
      <c r="AB11" s="387">
        <v>-0.35</v>
      </c>
      <c r="AC11" s="387">
        <v>-0.36</v>
      </c>
      <c r="AD11" s="441">
        <v>-0.36</v>
      </c>
      <c r="AE11" s="441">
        <v>-0.37</v>
      </c>
      <c r="AF11" s="442">
        <v>-0.22</v>
      </c>
      <c r="AG11" s="433"/>
      <c r="AH11" s="551"/>
      <c r="AI11" s="433" t="s">
        <v>278</v>
      </c>
      <c r="AJ11" s="385">
        <v>-0.48</v>
      </c>
      <c r="AK11" s="386">
        <v>-0.48</v>
      </c>
      <c r="AL11" s="386">
        <v>-0.49</v>
      </c>
      <c r="AM11" s="387">
        <v>-0.48</v>
      </c>
      <c r="AN11" s="387">
        <v>-0.47</v>
      </c>
      <c r="AO11" s="441">
        <v>-0.46</v>
      </c>
      <c r="AP11" s="441">
        <v>-0.47</v>
      </c>
      <c r="AQ11" s="442">
        <v>-0.34</v>
      </c>
    </row>
    <row r="12" spans="1:43" ht="14.45" x14ac:dyDescent="0.3">
      <c r="A12" s="358"/>
      <c r="B12" t="s">
        <v>284</v>
      </c>
      <c r="C12" s="388">
        <v>-0.28000000000000003</v>
      </c>
      <c r="D12" s="389">
        <v>-0.24</v>
      </c>
      <c r="E12" s="389">
        <v>-0.25</v>
      </c>
      <c r="F12" s="390">
        <v>-0.28999999999999998</v>
      </c>
      <c r="G12" s="390">
        <v>-0.3</v>
      </c>
      <c r="H12" s="443">
        <v>-0.28999999999999998</v>
      </c>
      <c r="I12" s="443">
        <v>-0.28999999999999998</v>
      </c>
      <c r="J12" s="444">
        <v>-0.2</v>
      </c>
      <c r="K12" s="433"/>
      <c r="L12" s="551"/>
      <c r="M12" s="433" t="s">
        <v>284</v>
      </c>
      <c r="N12" s="388">
        <v>-0.33</v>
      </c>
      <c r="O12" s="389">
        <v>-0.28999999999999998</v>
      </c>
      <c r="P12" s="389">
        <v>-0.28000000000000003</v>
      </c>
      <c r="Q12" s="390">
        <v>-0.3</v>
      </c>
      <c r="R12" s="390">
        <v>-0.32</v>
      </c>
      <c r="S12" s="443">
        <v>-0.31</v>
      </c>
      <c r="T12" s="443">
        <v>-0.32</v>
      </c>
      <c r="U12" s="444">
        <v>-0.23</v>
      </c>
      <c r="V12" s="433"/>
      <c r="W12" s="551"/>
      <c r="X12" s="433" t="s">
        <v>284</v>
      </c>
      <c r="Y12" s="388">
        <v>-0.36</v>
      </c>
      <c r="Z12" s="389">
        <v>-0.33</v>
      </c>
      <c r="AA12" s="389">
        <v>-0.32</v>
      </c>
      <c r="AB12" s="390">
        <v>-0.35</v>
      </c>
      <c r="AC12" s="390">
        <v>-0.35</v>
      </c>
      <c r="AD12" s="443">
        <v>-0.35</v>
      </c>
      <c r="AE12" s="443">
        <v>-0.36</v>
      </c>
      <c r="AF12" s="444">
        <v>-0.27</v>
      </c>
      <c r="AG12" s="433"/>
      <c r="AH12" s="551"/>
      <c r="AI12" s="433" t="s">
        <v>284</v>
      </c>
      <c r="AJ12" s="388">
        <v>-0.51</v>
      </c>
      <c r="AK12" s="389">
        <v>-0.48</v>
      </c>
      <c r="AL12" s="389">
        <v>-0.46</v>
      </c>
      <c r="AM12" s="390">
        <v>-0.47</v>
      </c>
      <c r="AN12" s="390">
        <v>-0.45</v>
      </c>
      <c r="AO12" s="443">
        <v>-0.47</v>
      </c>
      <c r="AP12" s="443">
        <v>-0.45</v>
      </c>
      <c r="AQ12" s="444">
        <v>-0.36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0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0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0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551" t="s">
        <v>1008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551" t="s">
        <v>1012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551" t="s">
        <v>1016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358"/>
      <c r="B15" t="s">
        <v>186</v>
      </c>
      <c r="C15" s="368">
        <v>-0.41</v>
      </c>
      <c r="D15" s="440">
        <v>-0.39</v>
      </c>
      <c r="E15" s="369">
        <v>-0.42</v>
      </c>
      <c r="F15" s="370">
        <v>-0.41</v>
      </c>
      <c r="G15" s="370">
        <v>-0.4</v>
      </c>
      <c r="H15" s="371">
        <v>-0.4</v>
      </c>
      <c r="I15" s="371">
        <v>-0.38</v>
      </c>
      <c r="J15" s="372">
        <v>-0.23</v>
      </c>
      <c r="K15" s="433"/>
      <c r="L15" s="551"/>
      <c r="M15" s="433" t="s">
        <v>186</v>
      </c>
      <c r="N15" s="368">
        <v>-0.45</v>
      </c>
      <c r="O15" s="440">
        <v>-0.44</v>
      </c>
      <c r="P15" s="369">
        <v>-0.46</v>
      </c>
      <c r="Q15" s="370">
        <v>-0.44</v>
      </c>
      <c r="R15" s="370">
        <v>-0.43</v>
      </c>
      <c r="S15" s="371">
        <v>-0.42</v>
      </c>
      <c r="T15" s="371">
        <v>-0.4</v>
      </c>
      <c r="U15" s="372">
        <v>-0.26</v>
      </c>
      <c r="V15" s="433"/>
      <c r="W15" s="551"/>
      <c r="X15" s="433" t="s">
        <v>186</v>
      </c>
      <c r="Y15" s="368">
        <v>-0.49</v>
      </c>
      <c r="Z15" s="440">
        <v>-0.47</v>
      </c>
      <c r="AA15" s="369">
        <v>-0.48</v>
      </c>
      <c r="AB15" s="370">
        <v>-0.46</v>
      </c>
      <c r="AC15" s="370">
        <v>-0.46</v>
      </c>
      <c r="AD15" s="371">
        <v>-0.45</v>
      </c>
      <c r="AE15" s="371">
        <v>-0.42499999999999999</v>
      </c>
      <c r="AF15" s="372">
        <v>-0.3</v>
      </c>
      <c r="AG15" s="433"/>
      <c r="AH15" s="551"/>
      <c r="AI15" s="433" t="s">
        <v>186</v>
      </c>
      <c r="AJ15" s="368">
        <v>-0.6</v>
      </c>
      <c r="AK15" s="440">
        <v>-0.56999999999999995</v>
      </c>
      <c r="AL15" s="369">
        <v>-0.57999999999999996</v>
      </c>
      <c r="AM15" s="370">
        <v>-0.56999999999999995</v>
      </c>
      <c r="AN15" s="370">
        <v>-0.56000000000000005</v>
      </c>
      <c r="AO15" s="371">
        <v>-0.56999999999999995</v>
      </c>
      <c r="AP15" s="371">
        <v>-0.55000000000000004</v>
      </c>
      <c r="AQ15" s="372">
        <v>-0.38</v>
      </c>
    </row>
    <row r="16" spans="1:43" ht="14.45" x14ac:dyDescent="0.3">
      <c r="A16" s="358"/>
      <c r="B16" t="s">
        <v>213</v>
      </c>
      <c r="C16" s="373">
        <v>-0.42</v>
      </c>
      <c r="D16" s="374">
        <v>-0.41</v>
      </c>
      <c r="E16" s="375">
        <v>-0.4</v>
      </c>
      <c r="F16" s="376">
        <v>-0.41</v>
      </c>
      <c r="G16" s="376">
        <v>-0.41</v>
      </c>
      <c r="H16" s="377">
        <v>-0.39</v>
      </c>
      <c r="I16" s="377">
        <v>-0.36</v>
      </c>
      <c r="J16" s="378">
        <v>-0.26</v>
      </c>
      <c r="K16" s="433"/>
      <c r="L16" s="551"/>
      <c r="M16" s="433" t="s">
        <v>213</v>
      </c>
      <c r="N16" s="373">
        <v>-0.44</v>
      </c>
      <c r="O16" s="374">
        <v>-0.43</v>
      </c>
      <c r="P16" s="375">
        <v>-0.42</v>
      </c>
      <c r="Q16" s="376">
        <v>-0.44</v>
      </c>
      <c r="R16" s="376">
        <v>-0.435</v>
      </c>
      <c r="S16" s="377">
        <v>-0.44</v>
      </c>
      <c r="T16" s="377">
        <v>-0.38</v>
      </c>
      <c r="U16" s="378">
        <v>-0.28000000000000003</v>
      </c>
      <c r="V16" s="433"/>
      <c r="W16" s="551"/>
      <c r="X16" s="433" t="s">
        <v>213</v>
      </c>
      <c r="Y16" s="373">
        <v>-0.46</v>
      </c>
      <c r="Z16" s="374">
        <v>-0.45</v>
      </c>
      <c r="AA16" s="375">
        <v>-0.44</v>
      </c>
      <c r="AB16" s="376">
        <v>-0.46</v>
      </c>
      <c r="AC16" s="376">
        <v>-0.45</v>
      </c>
      <c r="AD16" s="377">
        <v>-0.46</v>
      </c>
      <c r="AE16" s="377">
        <v>-0.42</v>
      </c>
      <c r="AF16" s="378">
        <v>-0.31</v>
      </c>
      <c r="AG16" s="433"/>
      <c r="AH16" s="551"/>
      <c r="AI16" s="433" t="s">
        <v>213</v>
      </c>
      <c r="AJ16" s="373">
        <v>-0.56999999999999995</v>
      </c>
      <c r="AK16" s="374">
        <v>-0.56999999999999995</v>
      </c>
      <c r="AL16" s="375">
        <v>-0.56000000000000005</v>
      </c>
      <c r="AM16" s="376">
        <v>-0.55000000000000004</v>
      </c>
      <c r="AN16" s="376">
        <v>-0.57000000000000006</v>
      </c>
      <c r="AO16" s="377">
        <v>-0.57999999999999996</v>
      </c>
      <c r="AP16" s="377">
        <v>-0.56000000000000005</v>
      </c>
      <c r="AQ16" s="378">
        <v>-0.43</v>
      </c>
    </row>
    <row r="17" spans="1:43" ht="14.45" x14ac:dyDescent="0.3">
      <c r="A17" s="358"/>
      <c r="B17" t="s">
        <v>232</v>
      </c>
      <c r="C17" s="379">
        <v>-0.38</v>
      </c>
      <c r="D17" s="380">
        <v>-0.36</v>
      </c>
      <c r="E17" s="381">
        <v>-0.35</v>
      </c>
      <c r="F17" s="376">
        <v>-0.38</v>
      </c>
      <c r="G17" s="376">
        <v>-0.39</v>
      </c>
      <c r="H17" s="377">
        <v>-0.38</v>
      </c>
      <c r="I17" s="377">
        <v>-0.37</v>
      </c>
      <c r="J17" s="378">
        <v>-0.28999999999999998</v>
      </c>
      <c r="K17" s="433"/>
      <c r="L17" s="551"/>
      <c r="M17" s="433" t="s">
        <v>232</v>
      </c>
      <c r="N17" s="379">
        <v>-0.42</v>
      </c>
      <c r="O17" s="380">
        <v>-0.41</v>
      </c>
      <c r="P17" s="381">
        <v>-0.4</v>
      </c>
      <c r="Q17" s="376">
        <v>-0.43</v>
      </c>
      <c r="R17" s="376">
        <v>-0.43</v>
      </c>
      <c r="S17" s="377">
        <v>-0.42</v>
      </c>
      <c r="T17" s="377">
        <v>-0.42</v>
      </c>
      <c r="U17" s="378">
        <v>-0.32</v>
      </c>
      <c r="V17" s="433"/>
      <c r="W17" s="551"/>
      <c r="X17" s="433" t="s">
        <v>232</v>
      </c>
      <c r="Y17" s="379">
        <v>-0.45</v>
      </c>
      <c r="Z17" s="380">
        <v>-0.45</v>
      </c>
      <c r="AA17" s="381">
        <v>-0.43</v>
      </c>
      <c r="AB17" s="376">
        <v>-0.45</v>
      </c>
      <c r="AC17" s="376">
        <v>-0.45</v>
      </c>
      <c r="AD17" s="377">
        <v>-0.45</v>
      </c>
      <c r="AE17" s="377">
        <v>-0.44</v>
      </c>
      <c r="AF17" s="378">
        <v>-0.34</v>
      </c>
      <c r="AG17" s="433"/>
      <c r="AH17" s="551"/>
      <c r="AI17" s="433" t="s">
        <v>232</v>
      </c>
      <c r="AJ17" s="379">
        <v>-0.56000000000000005</v>
      </c>
      <c r="AK17" s="380">
        <v>-0.55000000000000004</v>
      </c>
      <c r="AL17" s="381">
        <v>-0.54</v>
      </c>
      <c r="AM17" s="376">
        <v>-0.55000000000000004</v>
      </c>
      <c r="AN17" s="376">
        <v>-0.56000000000000005</v>
      </c>
      <c r="AO17" s="377">
        <v>-0.56999999999999995</v>
      </c>
      <c r="AP17" s="377">
        <v>-0.55000000000000004</v>
      </c>
      <c r="AQ17" s="378">
        <v>-0.45</v>
      </c>
    </row>
    <row r="18" spans="1:43" ht="14.45" x14ac:dyDescent="0.3">
      <c r="A18" s="358"/>
      <c r="B18" t="s">
        <v>215</v>
      </c>
      <c r="C18" s="382">
        <v>-0.36</v>
      </c>
      <c r="D18" s="383">
        <v>-0.35</v>
      </c>
      <c r="E18" s="383">
        <v>-0.37</v>
      </c>
      <c r="F18" s="384">
        <v>-0.36</v>
      </c>
      <c r="G18" s="384">
        <v>-0.37</v>
      </c>
      <c r="H18" s="393">
        <v>-0.37</v>
      </c>
      <c r="I18" s="393">
        <v>-0.38</v>
      </c>
      <c r="J18" s="394">
        <v>-0.3</v>
      </c>
      <c r="K18" s="433"/>
      <c r="L18" s="551"/>
      <c r="M18" s="433" t="s">
        <v>215</v>
      </c>
      <c r="N18" s="382">
        <v>-0.39</v>
      </c>
      <c r="O18" s="383">
        <v>-0.39</v>
      </c>
      <c r="P18" s="383">
        <v>-0.4</v>
      </c>
      <c r="Q18" s="384">
        <v>-0.38</v>
      </c>
      <c r="R18" s="384">
        <v>-0.41</v>
      </c>
      <c r="S18" s="393">
        <v>-0.4</v>
      </c>
      <c r="T18" s="393">
        <v>-0.41</v>
      </c>
      <c r="U18" s="394">
        <v>-0.34</v>
      </c>
      <c r="V18" s="433"/>
      <c r="W18" s="551"/>
      <c r="X18" s="433" t="s">
        <v>215</v>
      </c>
      <c r="Y18" s="382">
        <v>-0.44</v>
      </c>
      <c r="Z18" s="383">
        <v>-0.42</v>
      </c>
      <c r="AA18" s="383">
        <v>-0.43</v>
      </c>
      <c r="AB18" s="384">
        <v>-0.42</v>
      </c>
      <c r="AC18" s="384">
        <v>-0.44</v>
      </c>
      <c r="AD18" s="393">
        <v>-0.44</v>
      </c>
      <c r="AE18" s="393">
        <v>-0.44</v>
      </c>
      <c r="AF18" s="394">
        <v>-0.36</v>
      </c>
      <c r="AG18" s="433"/>
      <c r="AH18" s="551"/>
      <c r="AI18" s="433" t="s">
        <v>215</v>
      </c>
      <c r="AJ18" s="382">
        <v>-0.55000000000000004</v>
      </c>
      <c r="AK18" s="383">
        <v>-0.53</v>
      </c>
      <c r="AL18" s="383">
        <v>-0.53</v>
      </c>
      <c r="AM18" s="384">
        <v>-0.53</v>
      </c>
      <c r="AN18" s="384">
        <v>-0.54</v>
      </c>
      <c r="AO18" s="393">
        <v>-0.54</v>
      </c>
      <c r="AP18" s="393">
        <v>-0.55000000000000004</v>
      </c>
      <c r="AQ18" s="394">
        <v>-0.45</v>
      </c>
    </row>
    <row r="19" spans="1:43" ht="14.45" x14ac:dyDescent="0.3">
      <c r="A19" s="358"/>
      <c r="B19" t="s">
        <v>249</v>
      </c>
      <c r="C19" s="382">
        <v>-0.39</v>
      </c>
      <c r="D19" s="383">
        <v>-0.39</v>
      </c>
      <c r="E19" s="383">
        <v>-0.35</v>
      </c>
      <c r="F19" s="384">
        <v>-0.36</v>
      </c>
      <c r="G19" s="384">
        <v>-0.36</v>
      </c>
      <c r="H19" s="393">
        <v>-0.36</v>
      </c>
      <c r="I19" s="393">
        <v>-0.35</v>
      </c>
      <c r="J19" s="394">
        <v>-0.28000000000000003</v>
      </c>
      <c r="K19" s="433"/>
      <c r="L19" s="551"/>
      <c r="M19" s="433" t="s">
        <v>249</v>
      </c>
      <c r="N19" s="382">
        <v>-0.43</v>
      </c>
      <c r="O19" s="383">
        <v>-0.41</v>
      </c>
      <c r="P19" s="383">
        <v>-0.38</v>
      </c>
      <c r="Q19" s="384">
        <v>-0.4</v>
      </c>
      <c r="R19" s="384">
        <v>-0.38</v>
      </c>
      <c r="S19" s="393">
        <v>-0.38</v>
      </c>
      <c r="T19" s="393">
        <v>-0.38</v>
      </c>
      <c r="U19" s="394">
        <v>-0.31</v>
      </c>
      <c r="V19" s="433"/>
      <c r="W19" s="551"/>
      <c r="X19" s="433" t="s">
        <v>249</v>
      </c>
      <c r="Y19" s="382">
        <v>-0.47</v>
      </c>
      <c r="Z19" s="383">
        <v>-0.46</v>
      </c>
      <c r="AA19" s="383">
        <v>-0.45</v>
      </c>
      <c r="AB19" s="384">
        <v>-0.44</v>
      </c>
      <c r="AC19" s="384">
        <v>-0.43</v>
      </c>
      <c r="AD19" s="393">
        <v>-0.43</v>
      </c>
      <c r="AE19" s="393">
        <v>-0.43</v>
      </c>
      <c r="AF19" s="394">
        <v>-0.35</v>
      </c>
      <c r="AG19" s="433"/>
      <c r="AH19" s="551"/>
      <c r="AI19" s="433" t="s">
        <v>249</v>
      </c>
      <c r="AJ19" s="382">
        <v>-0.53</v>
      </c>
      <c r="AK19" s="383">
        <v>-0.53</v>
      </c>
      <c r="AL19" s="383">
        <v>-0.53</v>
      </c>
      <c r="AM19" s="384">
        <v>-0.53</v>
      </c>
      <c r="AN19" s="384">
        <v>-0.52</v>
      </c>
      <c r="AO19" s="393">
        <v>-0.52</v>
      </c>
      <c r="AP19" s="393">
        <v>-0.53</v>
      </c>
      <c r="AQ19" s="394">
        <v>-0.44</v>
      </c>
    </row>
    <row r="20" spans="1:43" ht="14.45" x14ac:dyDescent="0.3">
      <c r="A20" s="358"/>
      <c r="B20" t="s">
        <v>257</v>
      </c>
      <c r="C20" s="382">
        <v>-0.35</v>
      </c>
      <c r="D20" s="383">
        <v>-0.36</v>
      </c>
      <c r="E20" s="383">
        <v>-0.36</v>
      </c>
      <c r="F20" s="384">
        <v>-0.34</v>
      </c>
      <c r="G20" s="384">
        <v>-0.36</v>
      </c>
      <c r="H20" s="393">
        <v>-0.36</v>
      </c>
      <c r="I20" s="393">
        <v>-0.37</v>
      </c>
      <c r="J20" s="394">
        <v>-0.26</v>
      </c>
      <c r="K20" s="433"/>
      <c r="L20" s="551"/>
      <c r="M20" s="433" t="s">
        <v>257</v>
      </c>
      <c r="N20" s="382">
        <v>-0.38</v>
      </c>
      <c r="O20" s="383">
        <v>-0.38</v>
      </c>
      <c r="P20" s="383">
        <v>-0.39</v>
      </c>
      <c r="Q20" s="384">
        <v>-0.37</v>
      </c>
      <c r="R20" s="384">
        <v>-0.38</v>
      </c>
      <c r="S20" s="393">
        <v>-0.4</v>
      </c>
      <c r="T20" s="393">
        <v>-0.41</v>
      </c>
      <c r="U20" s="394">
        <v>-0.3</v>
      </c>
      <c r="V20" s="433"/>
      <c r="W20" s="551"/>
      <c r="X20" s="433" t="s">
        <v>257</v>
      </c>
      <c r="Y20" s="382">
        <v>-0.43</v>
      </c>
      <c r="Z20" s="383">
        <v>-0.42</v>
      </c>
      <c r="AA20" s="383">
        <v>-0.42</v>
      </c>
      <c r="AB20" s="384">
        <v>-0.41</v>
      </c>
      <c r="AC20" s="384">
        <v>-0.4</v>
      </c>
      <c r="AD20" s="393">
        <v>-0.42</v>
      </c>
      <c r="AE20" s="393">
        <v>-0.44</v>
      </c>
      <c r="AF20" s="394">
        <v>-0.33</v>
      </c>
      <c r="AG20" s="433"/>
      <c r="AH20" s="551"/>
      <c r="AI20" s="433" t="s">
        <v>257</v>
      </c>
      <c r="AJ20" s="382">
        <v>-0.55000000000000004</v>
      </c>
      <c r="AK20" s="383">
        <v>-0.54</v>
      </c>
      <c r="AL20" s="383">
        <v>-0.54</v>
      </c>
      <c r="AM20" s="384">
        <v>-0.54</v>
      </c>
      <c r="AN20" s="384">
        <v>-0.52</v>
      </c>
      <c r="AO20" s="393">
        <v>-0.51</v>
      </c>
      <c r="AP20" s="393">
        <v>-0.53</v>
      </c>
      <c r="AQ20" s="394">
        <v>-0.46</v>
      </c>
    </row>
    <row r="21" spans="1:43" ht="14.45" x14ac:dyDescent="0.3">
      <c r="A21" s="358"/>
      <c r="B21" t="s">
        <v>264</v>
      </c>
      <c r="C21" s="385">
        <v>-0.33</v>
      </c>
      <c r="D21" s="386">
        <v>-0.33</v>
      </c>
      <c r="E21" s="386">
        <v>-0.33</v>
      </c>
      <c r="F21" s="387">
        <v>-0.33</v>
      </c>
      <c r="G21" s="387">
        <v>-0.33</v>
      </c>
      <c r="H21" s="441">
        <v>-0.34</v>
      </c>
      <c r="I21" s="441">
        <v>-0.36</v>
      </c>
      <c r="J21" s="442">
        <v>-0.23</v>
      </c>
      <c r="K21" s="433"/>
      <c r="L21" s="551"/>
      <c r="M21" s="433" t="s">
        <v>264</v>
      </c>
      <c r="N21" s="385">
        <v>-0.36</v>
      </c>
      <c r="O21" s="386">
        <v>-0.35</v>
      </c>
      <c r="P21" s="386">
        <v>-0.35</v>
      </c>
      <c r="Q21" s="387">
        <v>-0.35</v>
      </c>
      <c r="R21" s="387">
        <v>-0.35</v>
      </c>
      <c r="S21" s="441">
        <v>-0.36</v>
      </c>
      <c r="T21" s="441">
        <v>-0.375</v>
      </c>
      <c r="U21" s="442">
        <v>-0.26</v>
      </c>
      <c r="V21" s="433"/>
      <c r="W21" s="551"/>
      <c r="X21" s="433" t="s">
        <v>264</v>
      </c>
      <c r="Y21" s="385">
        <v>-0.41</v>
      </c>
      <c r="Z21" s="386">
        <v>-0.4</v>
      </c>
      <c r="AA21" s="386">
        <v>-0.4</v>
      </c>
      <c r="AB21" s="387">
        <v>-0.4</v>
      </c>
      <c r="AC21" s="387">
        <v>-0.41</v>
      </c>
      <c r="AD21" s="441">
        <v>-0.4</v>
      </c>
      <c r="AE21" s="441">
        <v>-0.4</v>
      </c>
      <c r="AF21" s="442">
        <v>-0.32</v>
      </c>
      <c r="AG21" s="433"/>
      <c r="AH21" s="551"/>
      <c r="AI21" s="433" t="s">
        <v>264</v>
      </c>
      <c r="AJ21" s="385">
        <v>-0.52</v>
      </c>
      <c r="AK21" s="386">
        <v>-0.53</v>
      </c>
      <c r="AL21" s="386">
        <v>-0.53</v>
      </c>
      <c r="AM21" s="387">
        <v>-0.52</v>
      </c>
      <c r="AN21" s="387">
        <v>-0.54</v>
      </c>
      <c r="AO21" s="441">
        <v>-0.52</v>
      </c>
      <c r="AP21" s="441">
        <v>-0.52</v>
      </c>
      <c r="AQ21" s="442">
        <v>-0.43</v>
      </c>
    </row>
    <row r="22" spans="1:43" ht="14.45" x14ac:dyDescent="0.3">
      <c r="A22" s="358"/>
      <c r="B22" t="s">
        <v>272</v>
      </c>
      <c r="C22" s="385">
        <v>-0.36</v>
      </c>
      <c r="D22" s="386">
        <v>-0.34</v>
      </c>
      <c r="E22" s="386">
        <v>-0.34</v>
      </c>
      <c r="F22" s="387">
        <v>-0.31</v>
      </c>
      <c r="G22" s="387">
        <v>-0.33</v>
      </c>
      <c r="H22" s="441">
        <v>-0.33</v>
      </c>
      <c r="I22" s="441">
        <v>-0.34</v>
      </c>
      <c r="J22" s="442">
        <v>-0.18</v>
      </c>
      <c r="K22" s="433"/>
      <c r="L22" s="551"/>
      <c r="M22" s="433" t="s">
        <v>272</v>
      </c>
      <c r="N22" s="385">
        <v>-0.39</v>
      </c>
      <c r="O22" s="386">
        <v>-0.39</v>
      </c>
      <c r="P22" s="386">
        <v>-0.37</v>
      </c>
      <c r="Q22" s="387">
        <v>-0.33</v>
      </c>
      <c r="R22" s="387">
        <v>-0.35</v>
      </c>
      <c r="S22" s="441">
        <v>-0.36</v>
      </c>
      <c r="T22" s="441">
        <v>-0.37</v>
      </c>
      <c r="U22" s="442">
        <v>-0.2</v>
      </c>
      <c r="V22" s="433"/>
      <c r="W22" s="551"/>
      <c r="X22" s="433" t="s">
        <v>272</v>
      </c>
      <c r="Y22" s="385">
        <v>-0.42</v>
      </c>
      <c r="Z22" s="386">
        <v>-0.42</v>
      </c>
      <c r="AA22" s="386">
        <v>-0.42</v>
      </c>
      <c r="AB22" s="387">
        <v>-0.41</v>
      </c>
      <c r="AC22" s="387">
        <v>-0.4</v>
      </c>
      <c r="AD22" s="441">
        <v>-0.39</v>
      </c>
      <c r="AE22" s="441">
        <v>-0.4</v>
      </c>
      <c r="AF22" s="442">
        <v>-0.26</v>
      </c>
      <c r="AG22" s="433"/>
      <c r="AH22" s="551"/>
      <c r="AI22" s="433" t="s">
        <v>272</v>
      </c>
      <c r="AJ22" s="385">
        <v>-0.54</v>
      </c>
      <c r="AK22" s="386">
        <v>-0.56000000000000005</v>
      </c>
      <c r="AL22" s="386">
        <v>-0.54</v>
      </c>
      <c r="AM22" s="387">
        <v>-0.55000000000000004</v>
      </c>
      <c r="AN22" s="387">
        <v>-0.53</v>
      </c>
      <c r="AO22" s="441">
        <v>-0.5</v>
      </c>
      <c r="AP22" s="441">
        <v>-0.52</v>
      </c>
      <c r="AQ22" s="442">
        <v>-0.37</v>
      </c>
    </row>
    <row r="23" spans="1:43" ht="14.45" x14ac:dyDescent="0.3">
      <c r="A23" s="358"/>
      <c r="B23" t="s">
        <v>278</v>
      </c>
      <c r="C23" s="385">
        <v>-0.34</v>
      </c>
      <c r="D23" s="386">
        <v>-0.33</v>
      </c>
      <c r="E23" s="386">
        <v>-0.34</v>
      </c>
      <c r="F23" s="387">
        <v>-0.3</v>
      </c>
      <c r="G23" s="387">
        <v>-0.34</v>
      </c>
      <c r="H23" s="441">
        <v>-0.34</v>
      </c>
      <c r="I23" s="441">
        <v>-0.37</v>
      </c>
      <c r="J23" s="442">
        <v>-0.22</v>
      </c>
      <c r="K23" s="433"/>
      <c r="L23" s="551"/>
      <c r="M23" s="433" t="s">
        <v>278</v>
      </c>
      <c r="N23" s="385">
        <v>-0.38</v>
      </c>
      <c r="O23" s="386">
        <v>-0.36</v>
      </c>
      <c r="P23" s="386">
        <v>-0.36</v>
      </c>
      <c r="Q23" s="387">
        <v>-0.33</v>
      </c>
      <c r="R23" s="387">
        <v>-0.36</v>
      </c>
      <c r="S23" s="441">
        <v>-0.36</v>
      </c>
      <c r="T23" s="441">
        <v>-0.39</v>
      </c>
      <c r="U23" s="442">
        <v>-0.25</v>
      </c>
      <c r="V23" s="433"/>
      <c r="W23" s="551"/>
      <c r="X23" s="433" t="s">
        <v>278</v>
      </c>
      <c r="Y23" s="385">
        <v>-0.42</v>
      </c>
      <c r="Z23" s="386">
        <v>-0.39</v>
      </c>
      <c r="AA23" s="386">
        <v>-0.4</v>
      </c>
      <c r="AB23" s="387">
        <v>-0.36</v>
      </c>
      <c r="AC23" s="387">
        <v>-0.38</v>
      </c>
      <c r="AD23" s="441">
        <v>-0.39</v>
      </c>
      <c r="AE23" s="441">
        <v>-0.41</v>
      </c>
      <c r="AF23" s="442">
        <v>-0.28000000000000003</v>
      </c>
      <c r="AG23" s="433"/>
      <c r="AH23" s="551"/>
      <c r="AI23" s="433" t="s">
        <v>278</v>
      </c>
      <c r="AJ23" s="385">
        <v>-0.53</v>
      </c>
      <c r="AK23" s="386">
        <v>-0.53</v>
      </c>
      <c r="AL23" s="386">
        <v>-0.54</v>
      </c>
      <c r="AM23" s="387">
        <v>-0.52</v>
      </c>
      <c r="AN23" s="387">
        <v>-0.5</v>
      </c>
      <c r="AO23" s="441">
        <v>-0.49</v>
      </c>
      <c r="AP23" s="441">
        <v>-0.49</v>
      </c>
      <c r="AQ23" s="442">
        <v>-0.38</v>
      </c>
    </row>
    <row r="24" spans="1:43" ht="14.45" x14ac:dyDescent="0.3">
      <c r="A24" s="358"/>
      <c r="B24" t="s">
        <v>284</v>
      </c>
      <c r="C24" s="388">
        <v>-0.34</v>
      </c>
      <c r="D24" s="389">
        <v>-0.3</v>
      </c>
      <c r="E24" s="389">
        <v>-0.3</v>
      </c>
      <c r="F24" s="390">
        <v>-0.32</v>
      </c>
      <c r="G24" s="390">
        <v>-0.33</v>
      </c>
      <c r="H24" s="443">
        <v>-0.32</v>
      </c>
      <c r="I24" s="443">
        <v>-0.32</v>
      </c>
      <c r="J24" s="444">
        <v>-0.23</v>
      </c>
      <c r="K24" s="433"/>
      <c r="L24" s="551"/>
      <c r="M24" s="433" t="s">
        <v>284</v>
      </c>
      <c r="N24" s="388">
        <v>-0.38</v>
      </c>
      <c r="O24" s="389">
        <v>-0.34</v>
      </c>
      <c r="P24" s="389">
        <v>-0.33</v>
      </c>
      <c r="Q24" s="390">
        <v>-0.35</v>
      </c>
      <c r="R24" s="390">
        <v>-0.37</v>
      </c>
      <c r="S24" s="443">
        <v>-0.36</v>
      </c>
      <c r="T24" s="443">
        <v>-0.35</v>
      </c>
      <c r="U24" s="444">
        <v>-0.26</v>
      </c>
      <c r="V24" s="433"/>
      <c r="W24" s="551"/>
      <c r="X24" s="433" t="s">
        <v>284</v>
      </c>
      <c r="Y24" s="388">
        <v>-0.41</v>
      </c>
      <c r="Z24" s="389">
        <v>-0.37</v>
      </c>
      <c r="AA24" s="389">
        <v>-0.35</v>
      </c>
      <c r="AB24" s="390">
        <v>-0.37</v>
      </c>
      <c r="AC24" s="390">
        <v>-0.39</v>
      </c>
      <c r="AD24" s="443">
        <v>-0.38</v>
      </c>
      <c r="AE24" s="443">
        <v>-0.39</v>
      </c>
      <c r="AF24" s="444">
        <v>-0.3</v>
      </c>
      <c r="AG24" s="433"/>
      <c r="AH24" s="551"/>
      <c r="AI24" s="433" t="s">
        <v>284</v>
      </c>
      <c r="AJ24" s="388">
        <v>-0.54</v>
      </c>
      <c r="AK24" s="389">
        <v>-0.51</v>
      </c>
      <c r="AL24" s="389">
        <v>-0.48</v>
      </c>
      <c r="AM24" s="390">
        <v>-0.5</v>
      </c>
      <c r="AN24" s="390">
        <v>-0.49</v>
      </c>
      <c r="AO24" s="443">
        <v>-0.5</v>
      </c>
      <c r="AP24" s="443">
        <v>-0.48</v>
      </c>
      <c r="AQ24" s="444">
        <v>-0.38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0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0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0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551" t="s">
        <v>1009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551" t="s">
        <v>1013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551" t="s">
        <v>1017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358"/>
      <c r="B27" t="s">
        <v>186</v>
      </c>
      <c r="C27" s="368">
        <v>-0.5</v>
      </c>
      <c r="D27" s="440">
        <v>-0.48</v>
      </c>
      <c r="E27" s="369">
        <v>-0.5</v>
      </c>
      <c r="F27" s="370">
        <v>-0.49</v>
      </c>
      <c r="G27" s="370">
        <v>-0.47</v>
      </c>
      <c r="H27" s="371">
        <v>-0.45</v>
      </c>
      <c r="I27" s="371">
        <v>-0.42</v>
      </c>
      <c r="J27" s="372">
        <v>-0.3</v>
      </c>
      <c r="K27" s="433"/>
      <c r="L27" s="551"/>
      <c r="M27" s="433" t="s">
        <v>186</v>
      </c>
      <c r="N27" s="368">
        <v>-0.55000000000000004</v>
      </c>
      <c r="O27" s="440">
        <v>-0.51</v>
      </c>
      <c r="P27" s="369">
        <v>-0.53</v>
      </c>
      <c r="Q27" s="370">
        <v>-0.51</v>
      </c>
      <c r="R27" s="370">
        <v>-0.51</v>
      </c>
      <c r="S27" s="371">
        <v>-0.47</v>
      </c>
      <c r="T27" s="371">
        <v>-0.44</v>
      </c>
      <c r="U27" s="372">
        <v>-0.32</v>
      </c>
      <c r="V27" s="433"/>
      <c r="W27" s="551"/>
      <c r="X27" s="433" t="s">
        <v>186</v>
      </c>
      <c r="Y27" s="368">
        <v>-0.59</v>
      </c>
      <c r="Z27" s="440">
        <v>-0.56000000000000005</v>
      </c>
      <c r="AA27" s="369">
        <v>-0.56000000000000005</v>
      </c>
      <c r="AB27" s="370">
        <v>-0.55000000000000004</v>
      </c>
      <c r="AC27" s="370">
        <v>-0.54</v>
      </c>
      <c r="AD27" s="371">
        <v>-0.52</v>
      </c>
      <c r="AE27" s="371">
        <v>-0.49</v>
      </c>
      <c r="AF27" s="372">
        <v>-0.36</v>
      </c>
      <c r="AG27" s="433"/>
      <c r="AH27" s="551"/>
      <c r="AI27" s="433" t="s">
        <v>186</v>
      </c>
      <c r="AJ27" s="368">
        <v>-0.65</v>
      </c>
      <c r="AK27" s="440">
        <v>-0.63</v>
      </c>
      <c r="AL27" s="369">
        <v>-0.63</v>
      </c>
      <c r="AM27" s="370">
        <v>-0.63</v>
      </c>
      <c r="AN27" s="370">
        <v>-0.61</v>
      </c>
      <c r="AO27" s="371">
        <v>-0.6</v>
      </c>
      <c r="AP27" s="371">
        <v>-0.57999999999999996</v>
      </c>
      <c r="AQ27" s="372">
        <v>-0.45</v>
      </c>
    </row>
    <row r="28" spans="1:43" x14ac:dyDescent="0.25">
      <c r="A28" s="358"/>
      <c r="B28" t="s">
        <v>213</v>
      </c>
      <c r="C28" s="373">
        <v>-0.5</v>
      </c>
      <c r="D28" s="374">
        <v>-0.48</v>
      </c>
      <c r="E28" s="375">
        <v>-0.47</v>
      </c>
      <c r="F28" s="376">
        <v>-0.48</v>
      </c>
      <c r="G28" s="376">
        <v>-0.47499999999999998</v>
      </c>
      <c r="H28" s="377">
        <v>-0.45</v>
      </c>
      <c r="I28" s="377">
        <v>-0.41</v>
      </c>
      <c r="J28" s="378">
        <v>-0.32</v>
      </c>
      <c r="K28" s="433"/>
      <c r="L28" s="551"/>
      <c r="M28" s="433" t="s">
        <v>213</v>
      </c>
      <c r="N28" s="373">
        <v>-0.54</v>
      </c>
      <c r="O28" s="374">
        <v>-0.49</v>
      </c>
      <c r="P28" s="375">
        <v>-0.49</v>
      </c>
      <c r="Q28" s="376">
        <v>-0.51</v>
      </c>
      <c r="R28" s="376">
        <v>-0.51500000000000001</v>
      </c>
      <c r="S28" s="377">
        <v>-0.48</v>
      </c>
      <c r="T28" s="377">
        <v>-0.45</v>
      </c>
      <c r="U28" s="378">
        <v>-0.34</v>
      </c>
      <c r="V28" s="433"/>
      <c r="W28" s="551"/>
      <c r="X28" s="433" t="s">
        <v>213</v>
      </c>
      <c r="Y28" s="373">
        <v>-0.55000000000000004</v>
      </c>
      <c r="Z28" s="374">
        <v>-0.54</v>
      </c>
      <c r="AA28" s="375">
        <v>-0.53</v>
      </c>
      <c r="AB28" s="376">
        <v>-0.54</v>
      </c>
      <c r="AC28" s="376">
        <v>-0.53</v>
      </c>
      <c r="AD28" s="377">
        <v>-0.51</v>
      </c>
      <c r="AE28" s="377">
        <v>-0.49</v>
      </c>
      <c r="AF28" s="378">
        <v>-0.39</v>
      </c>
      <c r="AG28" s="433"/>
      <c r="AH28" s="551"/>
      <c r="AI28" s="433" t="s">
        <v>213</v>
      </c>
      <c r="AJ28" s="373">
        <v>-0.64</v>
      </c>
      <c r="AK28" s="374">
        <v>-0.62</v>
      </c>
      <c r="AL28" s="375">
        <v>-0.62</v>
      </c>
      <c r="AM28" s="376">
        <v>-0.61</v>
      </c>
      <c r="AN28" s="376">
        <v>-0.61</v>
      </c>
      <c r="AO28" s="377">
        <v>-0.6</v>
      </c>
      <c r="AP28" s="377">
        <v>-0.57999999999999996</v>
      </c>
      <c r="AQ28" s="378">
        <v>-0.47</v>
      </c>
    </row>
    <row r="29" spans="1:43" x14ac:dyDescent="0.25">
      <c r="A29" s="358"/>
      <c r="B29" t="s">
        <v>232</v>
      </c>
      <c r="C29" s="379">
        <v>-0.48</v>
      </c>
      <c r="D29" s="380">
        <v>-0.46</v>
      </c>
      <c r="E29" s="381">
        <v>-0.45</v>
      </c>
      <c r="F29" s="376">
        <v>-0.45500000000000002</v>
      </c>
      <c r="G29" s="376">
        <v>-0.46500000000000002</v>
      </c>
      <c r="H29" s="377">
        <v>-0.44500000000000001</v>
      </c>
      <c r="I29" s="377">
        <v>-0.42</v>
      </c>
      <c r="J29" s="378">
        <v>-0.34</v>
      </c>
      <c r="K29" s="433"/>
      <c r="L29" s="551"/>
      <c r="M29" s="433" t="s">
        <v>232</v>
      </c>
      <c r="N29" s="379">
        <v>-0.52</v>
      </c>
      <c r="O29" s="380">
        <v>-0.5</v>
      </c>
      <c r="P29" s="381">
        <v>-0.48</v>
      </c>
      <c r="Q29" s="376">
        <v>-0.49</v>
      </c>
      <c r="R29" s="376">
        <v>-0.48</v>
      </c>
      <c r="S29" s="377">
        <v>-0.46500000000000002</v>
      </c>
      <c r="T29" s="377">
        <v>-0.46</v>
      </c>
      <c r="U29" s="378">
        <v>-0.36</v>
      </c>
      <c r="V29" s="433"/>
      <c r="W29" s="551"/>
      <c r="X29" s="433" t="s">
        <v>232</v>
      </c>
      <c r="Y29" s="379">
        <v>-0.54</v>
      </c>
      <c r="Z29" s="380">
        <v>-0.53</v>
      </c>
      <c r="AA29" s="381">
        <v>-0.53</v>
      </c>
      <c r="AB29" s="376">
        <v>-0.53</v>
      </c>
      <c r="AC29" s="376">
        <v>-0.51</v>
      </c>
      <c r="AD29" s="377">
        <v>-0.5</v>
      </c>
      <c r="AE29" s="377">
        <v>-0.5</v>
      </c>
      <c r="AF29" s="378">
        <v>-0.38</v>
      </c>
      <c r="AG29" s="433"/>
      <c r="AH29" s="551"/>
      <c r="AI29" s="433" t="s">
        <v>232</v>
      </c>
      <c r="AJ29" s="379">
        <v>-0.63</v>
      </c>
      <c r="AK29" s="380">
        <v>-0.62</v>
      </c>
      <c r="AL29" s="381">
        <v>-0.6</v>
      </c>
      <c r="AM29" s="376">
        <v>-0.61</v>
      </c>
      <c r="AN29" s="376">
        <v>-0.59</v>
      </c>
      <c r="AO29" s="377">
        <v>-0.59</v>
      </c>
      <c r="AP29" s="377">
        <v>-0.57999999999999996</v>
      </c>
      <c r="AQ29" s="378">
        <v>-0.47</v>
      </c>
    </row>
    <row r="30" spans="1:43" x14ac:dyDescent="0.25">
      <c r="A30" s="358"/>
      <c r="B30" t="s">
        <v>215</v>
      </c>
      <c r="C30" s="382">
        <v>-0.45</v>
      </c>
      <c r="D30" s="383">
        <v>-0.45</v>
      </c>
      <c r="E30" s="383">
        <v>-0.45</v>
      </c>
      <c r="F30" s="384">
        <v>-0.44</v>
      </c>
      <c r="G30" s="384">
        <v>-0.44</v>
      </c>
      <c r="H30" s="393">
        <v>-0.43</v>
      </c>
      <c r="I30" s="393">
        <v>-0.43</v>
      </c>
      <c r="J30" s="394">
        <v>-0.34</v>
      </c>
      <c r="K30" s="433"/>
      <c r="L30" s="551"/>
      <c r="M30" s="433" t="s">
        <v>215</v>
      </c>
      <c r="N30" s="382">
        <v>-0.47</v>
      </c>
      <c r="O30" s="383">
        <v>-0.48</v>
      </c>
      <c r="P30" s="383">
        <v>-0.48</v>
      </c>
      <c r="Q30" s="384">
        <v>-0.47</v>
      </c>
      <c r="R30" s="384">
        <v>-0.47</v>
      </c>
      <c r="S30" s="393">
        <v>-0.45</v>
      </c>
      <c r="T30" s="393">
        <v>-0.45</v>
      </c>
      <c r="U30" s="394">
        <v>-0.39</v>
      </c>
      <c r="V30" s="433"/>
      <c r="W30" s="551"/>
      <c r="X30" s="433" t="s">
        <v>215</v>
      </c>
      <c r="Y30" s="382">
        <v>-0.52</v>
      </c>
      <c r="Z30" s="383">
        <v>-0.51</v>
      </c>
      <c r="AA30" s="383">
        <v>-0.5</v>
      </c>
      <c r="AB30" s="384">
        <v>-0.49</v>
      </c>
      <c r="AC30" s="384">
        <v>-0.49</v>
      </c>
      <c r="AD30" s="393">
        <v>-0.49</v>
      </c>
      <c r="AE30" s="393">
        <v>-0.5</v>
      </c>
      <c r="AF30" s="394">
        <v>-0.42</v>
      </c>
      <c r="AG30" s="433"/>
      <c r="AH30" s="551"/>
      <c r="AI30" s="433" t="s">
        <v>215</v>
      </c>
      <c r="AJ30" s="382">
        <v>-0.6</v>
      </c>
      <c r="AK30" s="383">
        <v>-0.59</v>
      </c>
      <c r="AL30" s="383">
        <v>-0.56999999999999995</v>
      </c>
      <c r="AM30" s="384">
        <v>-0.56999999999999995</v>
      </c>
      <c r="AN30" s="384">
        <v>-0.57999999999999996</v>
      </c>
      <c r="AO30" s="393">
        <v>-0.57999999999999996</v>
      </c>
      <c r="AP30" s="393">
        <v>-0.59</v>
      </c>
      <c r="AQ30" s="394">
        <v>-0.49</v>
      </c>
    </row>
    <row r="31" spans="1:43" x14ac:dyDescent="0.25">
      <c r="A31" s="358"/>
      <c r="B31" t="s">
        <v>249</v>
      </c>
      <c r="C31" s="382">
        <v>-0.44</v>
      </c>
      <c r="D31" s="383">
        <v>-0.44</v>
      </c>
      <c r="E31" s="383">
        <v>-0.4</v>
      </c>
      <c r="F31" s="384">
        <v>-0.42</v>
      </c>
      <c r="G31" s="384">
        <v>-0.42</v>
      </c>
      <c r="H31" s="393">
        <v>-0.41</v>
      </c>
      <c r="I31" s="393">
        <v>-0.4</v>
      </c>
      <c r="J31" s="394">
        <v>-0.34</v>
      </c>
      <c r="K31" s="433"/>
      <c r="L31" s="551"/>
      <c r="M31" s="433" t="s">
        <v>249</v>
      </c>
      <c r="N31" s="382">
        <v>-0.48</v>
      </c>
      <c r="O31" s="383">
        <v>-0.46</v>
      </c>
      <c r="P31" s="383">
        <v>-0.43</v>
      </c>
      <c r="Q31" s="384">
        <v>-0.45</v>
      </c>
      <c r="R31" s="384">
        <v>-0.44</v>
      </c>
      <c r="S31" s="393">
        <v>-0.43</v>
      </c>
      <c r="T31" s="393">
        <v>-0.44</v>
      </c>
      <c r="U31" s="394">
        <v>-0.37</v>
      </c>
      <c r="V31" s="433"/>
      <c r="W31" s="551"/>
      <c r="X31" s="433" t="s">
        <v>249</v>
      </c>
      <c r="Y31" s="382">
        <v>-0.52</v>
      </c>
      <c r="Z31" s="383">
        <v>-0.5</v>
      </c>
      <c r="AA31" s="383">
        <v>-0.48</v>
      </c>
      <c r="AB31" s="384">
        <v>-0.47</v>
      </c>
      <c r="AC31" s="384">
        <v>-0.47</v>
      </c>
      <c r="AD31" s="393">
        <v>-0.46</v>
      </c>
      <c r="AE31" s="393">
        <v>-0.49</v>
      </c>
      <c r="AF31" s="394">
        <v>-0.41</v>
      </c>
      <c r="AG31" s="433"/>
      <c r="AH31" s="551"/>
      <c r="AI31" s="433" t="s">
        <v>249</v>
      </c>
      <c r="AJ31" s="382">
        <v>-0.59</v>
      </c>
      <c r="AK31" s="383">
        <v>-0.57999999999999996</v>
      </c>
      <c r="AL31" s="383">
        <v>-0.57999999999999996</v>
      </c>
      <c r="AM31" s="384">
        <v>-0.56000000000000005</v>
      </c>
      <c r="AN31" s="384">
        <v>-0.56000000000000005</v>
      </c>
      <c r="AO31" s="393">
        <v>-0.55000000000000004</v>
      </c>
      <c r="AP31" s="393">
        <v>-0.57999999999999996</v>
      </c>
      <c r="AQ31" s="394">
        <v>-0.48</v>
      </c>
    </row>
    <row r="32" spans="1:43" x14ac:dyDescent="0.25">
      <c r="A32" s="358"/>
      <c r="B32" t="s">
        <v>257</v>
      </c>
      <c r="C32" s="382">
        <v>-0.39</v>
      </c>
      <c r="D32" s="383">
        <v>-0.40500000000000003</v>
      </c>
      <c r="E32" s="383">
        <v>-0.38</v>
      </c>
      <c r="F32" s="384">
        <v>-0.38</v>
      </c>
      <c r="G32" s="384">
        <v>-0.4</v>
      </c>
      <c r="H32" s="393">
        <v>-0.4</v>
      </c>
      <c r="I32" s="393">
        <v>-0.4</v>
      </c>
      <c r="J32" s="394">
        <v>-0.32</v>
      </c>
      <c r="K32" s="433"/>
      <c r="L32" s="551"/>
      <c r="M32" s="433" t="s">
        <v>257</v>
      </c>
      <c r="N32" s="382">
        <v>-0.45</v>
      </c>
      <c r="O32" s="383">
        <v>-0.46</v>
      </c>
      <c r="P32" s="383">
        <v>-0.43</v>
      </c>
      <c r="Q32" s="384">
        <v>-0.44</v>
      </c>
      <c r="R32" s="384">
        <v>-0.45</v>
      </c>
      <c r="S32" s="393">
        <v>-0.43</v>
      </c>
      <c r="T32" s="393">
        <v>-0.45</v>
      </c>
      <c r="U32" s="394">
        <v>-0.35</v>
      </c>
      <c r="V32" s="433"/>
      <c r="W32" s="551"/>
      <c r="X32" s="433" t="s">
        <v>257</v>
      </c>
      <c r="Y32" s="382">
        <v>-0.48</v>
      </c>
      <c r="Z32" s="383">
        <v>-0.48</v>
      </c>
      <c r="AA32" s="383">
        <v>-0.48</v>
      </c>
      <c r="AB32" s="384">
        <v>-0.47</v>
      </c>
      <c r="AC32" s="384">
        <v>-0.47</v>
      </c>
      <c r="AD32" s="393">
        <v>-0.47</v>
      </c>
      <c r="AE32" s="393">
        <v>-0.49</v>
      </c>
      <c r="AF32" s="394">
        <v>-0.37</v>
      </c>
      <c r="AG32" s="433"/>
      <c r="AH32" s="551"/>
      <c r="AI32" s="433" t="s">
        <v>257</v>
      </c>
      <c r="AJ32" s="382">
        <v>-0.57999999999999996</v>
      </c>
      <c r="AK32" s="383">
        <v>-0.56999999999999995</v>
      </c>
      <c r="AL32" s="383">
        <v>-0.56000000000000005</v>
      </c>
      <c r="AM32" s="384">
        <v>-0.56000000000000005</v>
      </c>
      <c r="AN32" s="384">
        <v>-0.55000000000000004</v>
      </c>
      <c r="AO32" s="393">
        <v>-0.54</v>
      </c>
      <c r="AP32" s="393">
        <v>-0.56000000000000005</v>
      </c>
      <c r="AQ32" s="394">
        <v>-0.49</v>
      </c>
    </row>
    <row r="33" spans="1:43" x14ac:dyDescent="0.25">
      <c r="A33" s="358"/>
      <c r="B33" t="s">
        <v>264</v>
      </c>
      <c r="C33" s="385">
        <v>-0.36</v>
      </c>
      <c r="D33" s="386">
        <v>-0.36</v>
      </c>
      <c r="E33" s="386">
        <v>-0.36</v>
      </c>
      <c r="F33" s="387">
        <v>-0.36</v>
      </c>
      <c r="G33" s="387">
        <v>-0.36</v>
      </c>
      <c r="H33" s="441">
        <v>-0.37</v>
      </c>
      <c r="I33" s="441">
        <v>-0.37</v>
      </c>
      <c r="J33" s="442">
        <v>-0.29000000000000004</v>
      </c>
      <c r="K33" s="433"/>
      <c r="L33" s="551"/>
      <c r="M33" s="433" t="s">
        <v>264</v>
      </c>
      <c r="N33" s="385">
        <v>-0.42</v>
      </c>
      <c r="O33" s="386">
        <v>-0.41</v>
      </c>
      <c r="P33" s="386">
        <v>-0.41</v>
      </c>
      <c r="Q33" s="387">
        <v>-0.41</v>
      </c>
      <c r="R33" s="387">
        <v>-0.41</v>
      </c>
      <c r="S33" s="441">
        <v>-0.4</v>
      </c>
      <c r="T33" s="441">
        <v>-0.42</v>
      </c>
      <c r="U33" s="442">
        <v>-0.3</v>
      </c>
      <c r="V33" s="433"/>
      <c r="W33" s="551"/>
      <c r="X33" s="433" t="s">
        <v>264</v>
      </c>
      <c r="Y33" s="385">
        <v>-0.46</v>
      </c>
      <c r="Z33" s="386">
        <v>-0.48</v>
      </c>
      <c r="AA33" s="386">
        <v>-0.46</v>
      </c>
      <c r="AB33" s="387">
        <v>-0.44</v>
      </c>
      <c r="AC33" s="387">
        <v>-0.45</v>
      </c>
      <c r="AD33" s="441">
        <v>-0.45</v>
      </c>
      <c r="AE33" s="441">
        <v>-0.46</v>
      </c>
      <c r="AF33" s="442">
        <v>-0.36</v>
      </c>
      <c r="AG33" s="433"/>
      <c r="AH33" s="551"/>
      <c r="AI33" s="433" t="s">
        <v>264</v>
      </c>
      <c r="AJ33" s="385">
        <v>-0.56000000000000005</v>
      </c>
      <c r="AK33" s="386">
        <v>-0.57999999999999996</v>
      </c>
      <c r="AL33" s="386">
        <v>-0.56000000000000005</v>
      </c>
      <c r="AM33" s="387">
        <v>-0.55000000000000004</v>
      </c>
      <c r="AN33" s="387">
        <v>-0.56000000000000005</v>
      </c>
      <c r="AO33" s="441">
        <v>-0.55000000000000004</v>
      </c>
      <c r="AP33" s="441">
        <v>-0.56000000000000005</v>
      </c>
      <c r="AQ33" s="442">
        <v>-0.45</v>
      </c>
    </row>
    <row r="34" spans="1:43" x14ac:dyDescent="0.25">
      <c r="A34" s="358"/>
      <c r="B34" t="s">
        <v>272</v>
      </c>
      <c r="C34" s="385">
        <v>-0.39</v>
      </c>
      <c r="D34" s="386">
        <v>-0.36</v>
      </c>
      <c r="E34" s="386">
        <v>-0.36</v>
      </c>
      <c r="F34" s="387">
        <v>-0.33</v>
      </c>
      <c r="G34" s="387">
        <v>-0.35</v>
      </c>
      <c r="H34" s="441">
        <v>-0.36</v>
      </c>
      <c r="I34" s="441">
        <v>-0.37</v>
      </c>
      <c r="J34" s="442">
        <v>-0.22</v>
      </c>
      <c r="K34" s="433"/>
      <c r="L34" s="551"/>
      <c r="M34" s="433" t="s">
        <v>272</v>
      </c>
      <c r="N34" s="385">
        <v>-0.42</v>
      </c>
      <c r="O34" s="386">
        <v>-0.41</v>
      </c>
      <c r="P34" s="386">
        <v>-0.39</v>
      </c>
      <c r="Q34" s="387">
        <v>-0.38</v>
      </c>
      <c r="R34" s="387">
        <v>-0.39</v>
      </c>
      <c r="S34" s="441">
        <v>-0.41</v>
      </c>
      <c r="T34" s="441">
        <v>-0.41</v>
      </c>
      <c r="U34" s="442">
        <v>-0.26</v>
      </c>
      <c r="V34" s="433"/>
      <c r="W34" s="551"/>
      <c r="X34" s="433" t="s">
        <v>272</v>
      </c>
      <c r="Y34" s="385">
        <v>-0.47</v>
      </c>
      <c r="Z34" s="386">
        <v>-0.47</v>
      </c>
      <c r="AA34" s="386">
        <v>-0.46</v>
      </c>
      <c r="AB34" s="387">
        <v>-0.43</v>
      </c>
      <c r="AC34" s="387">
        <v>-0.44</v>
      </c>
      <c r="AD34" s="441">
        <v>-0.44</v>
      </c>
      <c r="AE34" s="441">
        <v>-0.44</v>
      </c>
      <c r="AF34" s="442">
        <v>-0.33</v>
      </c>
      <c r="AG34" s="433"/>
      <c r="AH34" s="551"/>
      <c r="AI34" s="433" t="s">
        <v>272</v>
      </c>
      <c r="AJ34" s="385">
        <v>-0.57999999999999996</v>
      </c>
      <c r="AK34" s="386">
        <v>-0.57999999999999996</v>
      </c>
      <c r="AL34" s="386">
        <v>-0.56999999999999995</v>
      </c>
      <c r="AM34" s="387">
        <v>-0.57999999999999996</v>
      </c>
      <c r="AN34" s="387">
        <v>-0.56000000000000005</v>
      </c>
      <c r="AO34" s="441">
        <v>-0.54</v>
      </c>
      <c r="AP34" s="441">
        <v>-0.55000000000000004</v>
      </c>
      <c r="AQ34" s="442">
        <v>-0.41</v>
      </c>
    </row>
    <row r="35" spans="1:43" x14ac:dyDescent="0.25">
      <c r="A35" s="358"/>
      <c r="B35" t="s">
        <v>278</v>
      </c>
      <c r="C35" s="385">
        <v>-0.37</v>
      </c>
      <c r="D35" s="386">
        <v>-0.36</v>
      </c>
      <c r="E35" s="386">
        <v>-0.36</v>
      </c>
      <c r="F35" s="387">
        <v>-0.32</v>
      </c>
      <c r="G35" s="387">
        <v>-0.37</v>
      </c>
      <c r="H35" s="441">
        <v>-0.37</v>
      </c>
      <c r="I35" s="441">
        <v>-0.38500000000000001</v>
      </c>
      <c r="J35" s="442">
        <v>-0.25</v>
      </c>
      <c r="K35" s="433"/>
      <c r="L35" s="551"/>
      <c r="M35" s="433" t="s">
        <v>278</v>
      </c>
      <c r="N35" s="385">
        <v>-0.43</v>
      </c>
      <c r="O35" s="386">
        <v>-0.41</v>
      </c>
      <c r="P35" s="386">
        <v>-0.39</v>
      </c>
      <c r="Q35" s="387">
        <v>-0.36</v>
      </c>
      <c r="R35" s="387">
        <v>-0.4</v>
      </c>
      <c r="S35" s="441">
        <v>-0.4</v>
      </c>
      <c r="T35" s="441">
        <v>-0.42</v>
      </c>
      <c r="U35" s="442">
        <v>-0.31000000000000005</v>
      </c>
      <c r="V35" s="433"/>
      <c r="W35" s="551"/>
      <c r="X35" s="433" t="s">
        <v>278</v>
      </c>
      <c r="Y35" s="385">
        <v>-0.47</v>
      </c>
      <c r="Z35" s="386">
        <v>-0.45</v>
      </c>
      <c r="AA35" s="386">
        <v>-0.43</v>
      </c>
      <c r="AB35" s="387">
        <v>-0.42</v>
      </c>
      <c r="AC35" s="387">
        <v>-0.43</v>
      </c>
      <c r="AD35" s="441">
        <v>-0.43</v>
      </c>
      <c r="AE35" s="441">
        <v>-0.44</v>
      </c>
      <c r="AF35" s="442">
        <v>-0.33</v>
      </c>
      <c r="AG35" s="433"/>
      <c r="AH35" s="551"/>
      <c r="AI35" s="433" t="s">
        <v>278</v>
      </c>
      <c r="AJ35" s="385">
        <v>-0.59</v>
      </c>
      <c r="AK35" s="386">
        <v>-0.57999999999999996</v>
      </c>
      <c r="AL35" s="386">
        <v>-0.56000000000000005</v>
      </c>
      <c r="AM35" s="387">
        <v>-0.54</v>
      </c>
      <c r="AN35" s="387">
        <v>-0.53</v>
      </c>
      <c r="AO35" s="441">
        <v>-0.53</v>
      </c>
      <c r="AP35" s="441">
        <v>-0.53</v>
      </c>
      <c r="AQ35" s="442">
        <v>-0.42</v>
      </c>
    </row>
    <row r="36" spans="1:43" x14ac:dyDescent="0.25">
      <c r="A36" s="358"/>
      <c r="B36" t="s">
        <v>284</v>
      </c>
      <c r="C36" s="388">
        <v>-0.38</v>
      </c>
      <c r="D36" s="389">
        <v>-0.33500000000000002</v>
      </c>
      <c r="E36" s="389">
        <v>-0.33</v>
      </c>
      <c r="F36" s="390">
        <v>-0.35</v>
      </c>
      <c r="G36" s="390">
        <v>-0.36</v>
      </c>
      <c r="H36" s="443">
        <v>-0.34</v>
      </c>
      <c r="I36" s="443">
        <v>-0.37</v>
      </c>
      <c r="J36" s="444">
        <v>-0.27</v>
      </c>
      <c r="K36" s="433"/>
      <c r="L36" s="551"/>
      <c r="M36" s="433" t="s">
        <v>284</v>
      </c>
      <c r="N36" s="388">
        <v>-0.44</v>
      </c>
      <c r="O36" s="389">
        <v>-0.4</v>
      </c>
      <c r="P36" s="389">
        <v>-0.39</v>
      </c>
      <c r="Q36" s="390">
        <v>-0.39</v>
      </c>
      <c r="R36" s="390">
        <v>-0.4</v>
      </c>
      <c r="S36" s="443">
        <v>-0.38</v>
      </c>
      <c r="T36" s="443">
        <v>-0.42</v>
      </c>
      <c r="U36" s="444">
        <v>-0.32</v>
      </c>
      <c r="V36" s="433"/>
      <c r="W36" s="551"/>
      <c r="X36" s="433" t="s">
        <v>284</v>
      </c>
      <c r="Y36" s="388">
        <v>-0.46</v>
      </c>
      <c r="Z36" s="389">
        <v>-0.42</v>
      </c>
      <c r="AA36" s="389">
        <v>-0.41</v>
      </c>
      <c r="AB36" s="390">
        <v>-0.42</v>
      </c>
      <c r="AC36" s="390">
        <v>-0.42</v>
      </c>
      <c r="AD36" s="443">
        <v>-0.41</v>
      </c>
      <c r="AE36" s="443">
        <v>-0.43</v>
      </c>
      <c r="AF36" s="444">
        <v>-0.33</v>
      </c>
      <c r="AG36" s="433"/>
      <c r="AH36" s="551"/>
      <c r="AI36" s="433" t="s">
        <v>284</v>
      </c>
      <c r="AJ36" s="388">
        <v>-0.57999999999999996</v>
      </c>
      <c r="AK36" s="389">
        <v>-0.55000000000000004</v>
      </c>
      <c r="AL36" s="389">
        <v>-0.52</v>
      </c>
      <c r="AM36" s="390">
        <v>-0.53</v>
      </c>
      <c r="AN36" s="390">
        <v>-0.52</v>
      </c>
      <c r="AO36" s="443">
        <v>-0.52</v>
      </c>
      <c r="AP36" s="443">
        <v>-0.5</v>
      </c>
      <c r="AQ36" s="444">
        <v>-0.4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0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0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0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551" t="s">
        <v>1010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551" t="s">
        <v>1014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551" t="s">
        <v>1018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358"/>
      <c r="B39" t="s">
        <v>186</v>
      </c>
      <c r="C39" s="368">
        <v>-0.62</v>
      </c>
      <c r="D39" s="440">
        <v>-0.57000000000000006</v>
      </c>
      <c r="E39" s="369">
        <v>-0.59000000000000008</v>
      </c>
      <c r="F39" s="370">
        <v>-0.56000000000000005</v>
      </c>
      <c r="G39" s="370">
        <v>-0.54</v>
      </c>
      <c r="H39" s="371">
        <v>-0.51</v>
      </c>
      <c r="I39" s="371">
        <v>-0.5</v>
      </c>
      <c r="J39" s="372">
        <v>-0.36</v>
      </c>
      <c r="K39" s="433"/>
      <c r="L39" s="551"/>
      <c r="M39" s="433" t="s">
        <v>186</v>
      </c>
      <c r="N39" s="368">
        <v>-0.66</v>
      </c>
      <c r="O39" s="440">
        <v>-0.6</v>
      </c>
      <c r="P39" s="369">
        <v>-0.60999999999999988</v>
      </c>
      <c r="Q39" s="370">
        <v>-0.57999999999999996</v>
      </c>
      <c r="R39" s="370">
        <v>-0.56000000000000005</v>
      </c>
      <c r="S39" s="371">
        <v>-0.54</v>
      </c>
      <c r="T39" s="371">
        <v>-0.52</v>
      </c>
      <c r="U39" s="372">
        <v>-0.38</v>
      </c>
      <c r="V39" s="433"/>
      <c r="W39" s="551"/>
      <c r="X39" s="433" t="s">
        <v>186</v>
      </c>
      <c r="Y39" s="368">
        <v>-0.68</v>
      </c>
      <c r="Z39" s="440">
        <v>-0.64</v>
      </c>
      <c r="AA39" s="369">
        <v>-0.64</v>
      </c>
      <c r="AB39" s="370">
        <v>-0.61</v>
      </c>
      <c r="AC39" s="370">
        <v>-0.61</v>
      </c>
      <c r="AD39" s="371">
        <v>-0.56000000000000005</v>
      </c>
      <c r="AE39" s="371">
        <v>-0.54</v>
      </c>
      <c r="AF39" s="372">
        <v>-0.4</v>
      </c>
      <c r="AG39" s="433"/>
      <c r="AH39" s="551"/>
      <c r="AI39" s="433" t="s">
        <v>186</v>
      </c>
      <c r="AJ39" s="368">
        <v>-0.72</v>
      </c>
      <c r="AK39" s="440">
        <v>-0.67</v>
      </c>
      <c r="AL39" s="369">
        <v>-0.68</v>
      </c>
      <c r="AM39" s="370">
        <v>-0.67</v>
      </c>
      <c r="AN39" s="370">
        <v>-0.65</v>
      </c>
      <c r="AO39" s="371">
        <v>-0.64</v>
      </c>
      <c r="AP39" s="371">
        <v>-0.63</v>
      </c>
      <c r="AQ39" s="372">
        <v>-0.47</v>
      </c>
    </row>
    <row r="40" spans="1:43" x14ac:dyDescent="0.25">
      <c r="A40" s="358"/>
      <c r="B40" t="s">
        <v>213</v>
      </c>
      <c r="C40" s="373">
        <v>-0.56000000000000005</v>
      </c>
      <c r="D40" s="374">
        <v>-0.54</v>
      </c>
      <c r="E40" s="375">
        <v>-0.56000000000000005</v>
      </c>
      <c r="F40" s="376">
        <v>-0.54500000000000004</v>
      </c>
      <c r="G40" s="376">
        <v>-0.53500000000000003</v>
      </c>
      <c r="H40" s="377">
        <v>-0.5</v>
      </c>
      <c r="I40" s="377">
        <v>-0.47</v>
      </c>
      <c r="J40" s="378">
        <v>-0.35</v>
      </c>
      <c r="K40" s="433"/>
      <c r="L40" s="551"/>
      <c r="M40" s="433" t="s">
        <v>213</v>
      </c>
      <c r="N40" s="373">
        <v>-0.59</v>
      </c>
      <c r="O40" s="374">
        <v>-0.57000000000000006</v>
      </c>
      <c r="P40" s="375">
        <v>-0.57999999999999996</v>
      </c>
      <c r="Q40" s="376">
        <v>-0.57500000000000007</v>
      </c>
      <c r="R40" s="376">
        <v>-0.56499999999999995</v>
      </c>
      <c r="S40" s="377">
        <v>-0.53</v>
      </c>
      <c r="T40" s="377">
        <v>-0.5</v>
      </c>
      <c r="U40" s="378">
        <v>-0.37</v>
      </c>
      <c r="V40" s="433"/>
      <c r="W40" s="551"/>
      <c r="X40" s="433" t="s">
        <v>213</v>
      </c>
      <c r="Y40" s="373">
        <v>-0.63</v>
      </c>
      <c r="Z40" s="374">
        <v>-0.61</v>
      </c>
      <c r="AA40" s="375">
        <v>-0.61</v>
      </c>
      <c r="AB40" s="376">
        <v>-0.6</v>
      </c>
      <c r="AC40" s="376">
        <v>-0.59</v>
      </c>
      <c r="AD40" s="377">
        <v>-0.56999999999999995</v>
      </c>
      <c r="AE40" s="377">
        <v>-0.54</v>
      </c>
      <c r="AF40" s="378">
        <v>-0.43</v>
      </c>
      <c r="AG40" s="433"/>
      <c r="AH40" s="551"/>
      <c r="AI40" s="433" t="s">
        <v>213</v>
      </c>
      <c r="AJ40" s="373">
        <v>-0.69</v>
      </c>
      <c r="AK40" s="374">
        <v>-0.67</v>
      </c>
      <c r="AL40" s="375">
        <v>-0.67</v>
      </c>
      <c r="AM40" s="376">
        <v>-0.68</v>
      </c>
      <c r="AN40" s="376">
        <v>-0.68</v>
      </c>
      <c r="AO40" s="377">
        <v>-0.66</v>
      </c>
      <c r="AP40" s="377">
        <v>-0.63</v>
      </c>
      <c r="AQ40" s="378">
        <v>-0.52</v>
      </c>
    </row>
    <row r="41" spans="1:43" x14ac:dyDescent="0.25">
      <c r="A41" s="358"/>
      <c r="B41" t="s">
        <v>232</v>
      </c>
      <c r="C41" s="379">
        <v>-0.54</v>
      </c>
      <c r="D41" s="380">
        <v>-0.52</v>
      </c>
      <c r="E41" s="381">
        <v>-0.53</v>
      </c>
      <c r="F41" s="376">
        <v>-0.52</v>
      </c>
      <c r="G41" s="376">
        <v>-0.52</v>
      </c>
      <c r="H41" s="377">
        <v>-0.49</v>
      </c>
      <c r="I41" s="377">
        <v>-0.47</v>
      </c>
      <c r="J41" s="378">
        <v>-0.37</v>
      </c>
      <c r="K41" s="433"/>
      <c r="L41" s="551"/>
      <c r="M41" s="433" t="s">
        <v>232</v>
      </c>
      <c r="N41" s="379">
        <v>-0.57999999999999996</v>
      </c>
      <c r="O41" s="380">
        <v>-0.56999999999999995</v>
      </c>
      <c r="P41" s="381">
        <v>-0.55000000000000004</v>
      </c>
      <c r="Q41" s="376">
        <v>-0.55000000000000004</v>
      </c>
      <c r="R41" s="376">
        <v>-0.54</v>
      </c>
      <c r="S41" s="377">
        <v>-0.51</v>
      </c>
      <c r="T41" s="377">
        <v>-0.5</v>
      </c>
      <c r="U41" s="378">
        <v>-0.39</v>
      </c>
      <c r="V41" s="433"/>
      <c r="W41" s="551"/>
      <c r="X41" s="433" t="s">
        <v>232</v>
      </c>
      <c r="Y41" s="379">
        <v>-0.61</v>
      </c>
      <c r="Z41" s="380">
        <v>-0.61</v>
      </c>
      <c r="AA41" s="381">
        <v>-0.57999999999999996</v>
      </c>
      <c r="AB41" s="376">
        <v>-0.57999999999999996</v>
      </c>
      <c r="AC41" s="376">
        <v>-0.56999999999999995</v>
      </c>
      <c r="AD41" s="377">
        <v>-0.55000000000000004</v>
      </c>
      <c r="AE41" s="377">
        <v>-0.56000000000000005</v>
      </c>
      <c r="AF41" s="378">
        <v>-0.43</v>
      </c>
      <c r="AG41" s="433"/>
      <c r="AH41" s="551"/>
      <c r="AI41" s="433" t="s">
        <v>232</v>
      </c>
      <c r="AJ41" s="379">
        <v>-0.68</v>
      </c>
      <c r="AK41" s="380">
        <v>-0.66</v>
      </c>
      <c r="AL41" s="381">
        <v>-0.65</v>
      </c>
      <c r="AM41" s="376">
        <v>-0.67</v>
      </c>
      <c r="AN41" s="376">
        <v>-0.66</v>
      </c>
      <c r="AO41" s="377">
        <v>-0.64</v>
      </c>
      <c r="AP41" s="377">
        <v>-0.64</v>
      </c>
      <c r="AQ41" s="378">
        <v>-0.52</v>
      </c>
    </row>
    <row r="42" spans="1:43" x14ac:dyDescent="0.25">
      <c r="A42" s="358"/>
      <c r="B42" t="s">
        <v>215</v>
      </c>
      <c r="C42" s="382">
        <v>-0.52</v>
      </c>
      <c r="D42" s="383">
        <v>-0.51</v>
      </c>
      <c r="E42" s="383">
        <v>-0.51</v>
      </c>
      <c r="F42" s="384">
        <v>-0.5</v>
      </c>
      <c r="G42" s="384">
        <v>-0.49</v>
      </c>
      <c r="H42" s="393">
        <v>-0.46</v>
      </c>
      <c r="I42" s="393">
        <v>-0.46</v>
      </c>
      <c r="J42" s="394">
        <v>-0.37</v>
      </c>
      <c r="K42" s="433"/>
      <c r="L42" s="551"/>
      <c r="M42" s="433" t="s">
        <v>215</v>
      </c>
      <c r="N42" s="382">
        <v>-0.54</v>
      </c>
      <c r="O42" s="383">
        <v>-0.53</v>
      </c>
      <c r="P42" s="383">
        <v>-0.53</v>
      </c>
      <c r="Q42" s="384">
        <v>-0.52</v>
      </c>
      <c r="R42" s="384">
        <v>-0.51</v>
      </c>
      <c r="S42" s="393">
        <v>-0.5</v>
      </c>
      <c r="T42" s="393">
        <v>-0.5</v>
      </c>
      <c r="U42" s="394">
        <v>-0.43</v>
      </c>
      <c r="V42" s="433"/>
      <c r="W42" s="551"/>
      <c r="X42" s="433" t="s">
        <v>215</v>
      </c>
      <c r="Y42" s="382">
        <v>-0.57999999999999996</v>
      </c>
      <c r="Z42" s="383">
        <v>-0.57999999999999996</v>
      </c>
      <c r="AA42" s="383">
        <v>-0.56000000000000005</v>
      </c>
      <c r="AB42" s="384">
        <v>-0.55000000000000004</v>
      </c>
      <c r="AC42" s="384">
        <v>-0.54</v>
      </c>
      <c r="AD42" s="393">
        <v>-0.54</v>
      </c>
      <c r="AE42" s="393">
        <v>-0.56000000000000005</v>
      </c>
      <c r="AF42" s="394">
        <v>-0.48</v>
      </c>
      <c r="AG42" s="433"/>
      <c r="AH42" s="551"/>
      <c r="AI42" s="433" t="s">
        <v>215</v>
      </c>
      <c r="AJ42" s="382">
        <v>-0.64</v>
      </c>
      <c r="AK42" s="383">
        <v>-0.62</v>
      </c>
      <c r="AL42" s="383">
        <v>-0.62</v>
      </c>
      <c r="AM42" s="384">
        <v>-0.64</v>
      </c>
      <c r="AN42" s="384">
        <v>-0.64</v>
      </c>
      <c r="AO42" s="393">
        <v>-0.62</v>
      </c>
      <c r="AP42" s="393">
        <v>-0.63</v>
      </c>
      <c r="AQ42" s="394">
        <v>-0.52</v>
      </c>
    </row>
    <row r="43" spans="1:43" x14ac:dyDescent="0.25">
      <c r="A43" s="358"/>
      <c r="B43" t="s">
        <v>249</v>
      </c>
      <c r="C43" s="382">
        <v>-0.49</v>
      </c>
      <c r="D43" s="383">
        <v>-0.49</v>
      </c>
      <c r="E43" s="383">
        <v>-0.46</v>
      </c>
      <c r="F43" s="384">
        <v>-0.46</v>
      </c>
      <c r="G43" s="384">
        <v>-0.47</v>
      </c>
      <c r="H43" s="393">
        <v>-0.46</v>
      </c>
      <c r="I43" s="393">
        <v>-0.44</v>
      </c>
      <c r="J43" s="394">
        <v>-0.37</v>
      </c>
      <c r="K43" s="433"/>
      <c r="L43" s="551"/>
      <c r="M43" s="433" t="s">
        <v>249</v>
      </c>
      <c r="N43" s="382">
        <v>-0.51</v>
      </c>
      <c r="O43" s="383">
        <v>-0.51</v>
      </c>
      <c r="P43" s="383">
        <v>-0.48</v>
      </c>
      <c r="Q43" s="384">
        <v>-0.5</v>
      </c>
      <c r="R43" s="384">
        <v>-0.49</v>
      </c>
      <c r="S43" s="393">
        <v>-0.49</v>
      </c>
      <c r="T43" s="393">
        <v>-0.48</v>
      </c>
      <c r="U43" s="394">
        <v>-0.41</v>
      </c>
      <c r="V43" s="433"/>
      <c r="W43" s="551"/>
      <c r="X43" s="433" t="s">
        <v>249</v>
      </c>
      <c r="Y43" s="382">
        <v>-0.57999999999999996</v>
      </c>
      <c r="Z43" s="383">
        <v>-0.56999999999999995</v>
      </c>
      <c r="AA43" s="383">
        <v>-0.55000000000000004</v>
      </c>
      <c r="AB43" s="384">
        <v>-0.54</v>
      </c>
      <c r="AC43" s="384">
        <v>-0.53</v>
      </c>
      <c r="AD43" s="393">
        <v>-0.54</v>
      </c>
      <c r="AE43" s="393">
        <v>-0.56000000000000005</v>
      </c>
      <c r="AF43" s="394">
        <v>-0.46</v>
      </c>
      <c r="AG43" s="433"/>
      <c r="AH43" s="551"/>
      <c r="AI43" s="433" t="s">
        <v>249</v>
      </c>
      <c r="AJ43" s="382">
        <v>-0.64</v>
      </c>
      <c r="AK43" s="383">
        <v>-0.63</v>
      </c>
      <c r="AL43" s="383">
        <v>-0.63</v>
      </c>
      <c r="AM43" s="384">
        <v>-0.62</v>
      </c>
      <c r="AN43" s="384">
        <v>-0.6</v>
      </c>
      <c r="AO43" s="393">
        <v>-0.61</v>
      </c>
      <c r="AP43" s="393">
        <v>-0.63</v>
      </c>
      <c r="AQ43" s="394">
        <v>-0.52</v>
      </c>
    </row>
    <row r="44" spans="1:43" x14ac:dyDescent="0.25">
      <c r="A44" s="358"/>
      <c r="B44" t="s">
        <v>257</v>
      </c>
      <c r="C44" s="382">
        <v>-0.44</v>
      </c>
      <c r="D44" s="383">
        <v>-0.43</v>
      </c>
      <c r="E44" s="383">
        <v>-0.4</v>
      </c>
      <c r="F44" s="384">
        <v>-0.43</v>
      </c>
      <c r="G44" s="384">
        <v>-0.43</v>
      </c>
      <c r="H44" s="393">
        <v>-0.44</v>
      </c>
      <c r="I44" s="393">
        <v>-0.44</v>
      </c>
      <c r="J44" s="394">
        <v>-0.35</v>
      </c>
      <c r="K44" s="433"/>
      <c r="L44" s="551"/>
      <c r="M44" s="433" t="s">
        <v>257</v>
      </c>
      <c r="N44" s="382">
        <v>-0.5</v>
      </c>
      <c r="O44" s="383">
        <v>-0.49</v>
      </c>
      <c r="P44" s="383">
        <v>-0.49</v>
      </c>
      <c r="Q44" s="384">
        <v>-0.48</v>
      </c>
      <c r="R44" s="384">
        <v>-0.48</v>
      </c>
      <c r="S44" s="393">
        <v>-0.46</v>
      </c>
      <c r="T44" s="393">
        <v>-0.49</v>
      </c>
      <c r="U44" s="394">
        <v>-0.39</v>
      </c>
      <c r="V44" s="433"/>
      <c r="W44" s="551"/>
      <c r="X44" s="433" t="s">
        <v>257</v>
      </c>
      <c r="Y44" s="382">
        <v>-0.55000000000000004</v>
      </c>
      <c r="Z44" s="383">
        <v>-0.54</v>
      </c>
      <c r="AA44" s="383">
        <v>-0.54</v>
      </c>
      <c r="AB44" s="384">
        <v>-0.51</v>
      </c>
      <c r="AC44" s="384">
        <v>-0.5</v>
      </c>
      <c r="AD44" s="393">
        <v>-0.52</v>
      </c>
      <c r="AE44" s="393">
        <v>-0.54</v>
      </c>
      <c r="AF44" s="394">
        <v>-0.43</v>
      </c>
      <c r="AG44" s="433"/>
      <c r="AH44" s="551"/>
      <c r="AI44" s="433" t="s">
        <v>257</v>
      </c>
      <c r="AJ44" s="382">
        <v>-0.62</v>
      </c>
      <c r="AK44" s="383">
        <v>-0.61</v>
      </c>
      <c r="AL44" s="383">
        <v>-0.61</v>
      </c>
      <c r="AM44" s="384">
        <v>-0.6</v>
      </c>
      <c r="AN44" s="384">
        <v>-0.59</v>
      </c>
      <c r="AO44" s="393">
        <v>-0.57999999999999996</v>
      </c>
      <c r="AP44" s="393">
        <v>-0.61</v>
      </c>
      <c r="AQ44" s="394">
        <v>-0.51</v>
      </c>
    </row>
    <row r="45" spans="1:43" x14ac:dyDescent="0.25">
      <c r="A45" s="358"/>
      <c r="B45" t="s">
        <v>264</v>
      </c>
      <c r="C45" s="385">
        <v>-0.43</v>
      </c>
      <c r="D45" s="386">
        <v>-0.42</v>
      </c>
      <c r="E45" s="386">
        <v>-0.41</v>
      </c>
      <c r="F45" s="387">
        <v>-0.4</v>
      </c>
      <c r="G45" s="387">
        <v>-0.4</v>
      </c>
      <c r="H45" s="441">
        <v>-0.42</v>
      </c>
      <c r="I45" s="441">
        <v>-0.41</v>
      </c>
      <c r="J45" s="442">
        <v>-0.32</v>
      </c>
      <c r="K45" s="433"/>
      <c r="L45" s="551"/>
      <c r="M45" s="433" t="s">
        <v>264</v>
      </c>
      <c r="N45" s="385">
        <v>-0.47</v>
      </c>
      <c r="O45" s="386">
        <v>-0.47</v>
      </c>
      <c r="P45" s="386">
        <v>-0.47</v>
      </c>
      <c r="Q45" s="387">
        <v>-0.47</v>
      </c>
      <c r="R45" s="387">
        <v>-0.47</v>
      </c>
      <c r="S45" s="441">
        <v>-0.48</v>
      </c>
      <c r="T45" s="441">
        <v>-0.46</v>
      </c>
      <c r="U45" s="442">
        <v>-0.35</v>
      </c>
      <c r="V45" s="433"/>
      <c r="W45" s="551"/>
      <c r="X45" s="433" t="s">
        <v>264</v>
      </c>
      <c r="Y45" s="385">
        <v>-0.52</v>
      </c>
      <c r="Z45" s="386">
        <v>-0.52</v>
      </c>
      <c r="AA45" s="386">
        <v>-0.51</v>
      </c>
      <c r="AB45" s="387">
        <v>-0.5</v>
      </c>
      <c r="AC45" s="387">
        <v>-0.52</v>
      </c>
      <c r="AD45" s="441">
        <v>-0.52</v>
      </c>
      <c r="AE45" s="441">
        <v>-0.5</v>
      </c>
      <c r="AF45" s="442">
        <v>-0.39</v>
      </c>
      <c r="AG45" s="433"/>
      <c r="AH45" s="551"/>
      <c r="AI45" s="433" t="s">
        <v>264</v>
      </c>
      <c r="AJ45" s="385">
        <v>-0.6</v>
      </c>
      <c r="AK45" s="386">
        <v>-0.61</v>
      </c>
      <c r="AL45" s="386">
        <v>-0.6</v>
      </c>
      <c r="AM45" s="387">
        <v>-0.59</v>
      </c>
      <c r="AN45" s="387">
        <v>-0.63</v>
      </c>
      <c r="AO45" s="441">
        <v>-0.63</v>
      </c>
      <c r="AP45" s="441">
        <v>-0.61</v>
      </c>
      <c r="AQ45" s="442">
        <v>-0.48</v>
      </c>
    </row>
    <row r="46" spans="1:43" x14ac:dyDescent="0.25">
      <c r="A46" s="358"/>
      <c r="B46" t="s">
        <v>272</v>
      </c>
      <c r="C46" s="385">
        <v>-0.41</v>
      </c>
      <c r="D46" s="386">
        <v>-0.41</v>
      </c>
      <c r="E46" s="386">
        <v>-0.41</v>
      </c>
      <c r="F46" s="387">
        <v>-0.39</v>
      </c>
      <c r="G46" s="387">
        <v>-0.4</v>
      </c>
      <c r="H46" s="441">
        <v>-0.38</v>
      </c>
      <c r="I46" s="441">
        <v>-0.39</v>
      </c>
      <c r="J46" s="442">
        <v>-0.28999999999999998</v>
      </c>
      <c r="K46" s="433"/>
      <c r="L46" s="551"/>
      <c r="M46" s="433" t="s">
        <v>272</v>
      </c>
      <c r="N46" s="385">
        <v>-0.46</v>
      </c>
      <c r="O46" s="386">
        <v>-0.46</v>
      </c>
      <c r="P46" s="386">
        <v>-0.45</v>
      </c>
      <c r="Q46" s="387">
        <v>-0.44</v>
      </c>
      <c r="R46" s="387">
        <v>-0.45</v>
      </c>
      <c r="S46" s="441">
        <v>-0.46</v>
      </c>
      <c r="T46" s="441">
        <v>-0.45</v>
      </c>
      <c r="U46" s="442">
        <v>-0.32</v>
      </c>
      <c r="V46" s="433"/>
      <c r="W46" s="551"/>
      <c r="X46" s="433" t="s">
        <v>272</v>
      </c>
      <c r="Y46" s="385">
        <v>-0.52</v>
      </c>
      <c r="Z46" s="386">
        <v>-0.51</v>
      </c>
      <c r="AA46" s="386">
        <v>-0.49</v>
      </c>
      <c r="AB46" s="387">
        <v>-0.49</v>
      </c>
      <c r="AC46" s="387">
        <v>-0.48</v>
      </c>
      <c r="AD46" s="441">
        <v>-0.49</v>
      </c>
      <c r="AE46" s="441">
        <v>-0.48</v>
      </c>
      <c r="AF46" s="442">
        <v>-0.38</v>
      </c>
      <c r="AG46" s="433"/>
      <c r="AH46" s="551"/>
      <c r="AI46" s="433" t="s">
        <v>272</v>
      </c>
      <c r="AJ46" s="385">
        <v>-0.63</v>
      </c>
      <c r="AK46" s="386">
        <v>-0.62</v>
      </c>
      <c r="AL46" s="386">
        <v>-0.61</v>
      </c>
      <c r="AM46" s="387">
        <v>-0.61</v>
      </c>
      <c r="AN46" s="387">
        <v>-0.6</v>
      </c>
      <c r="AO46" s="441">
        <v>-0.6</v>
      </c>
      <c r="AP46" s="441">
        <v>-0.61</v>
      </c>
      <c r="AQ46" s="442">
        <v>-0.49</v>
      </c>
    </row>
    <row r="47" spans="1:43" x14ac:dyDescent="0.25">
      <c r="A47" s="358"/>
      <c r="B47" t="s">
        <v>278</v>
      </c>
      <c r="C47" s="385">
        <v>-0.42</v>
      </c>
      <c r="D47" s="386">
        <v>-0.41</v>
      </c>
      <c r="E47" s="386">
        <v>-0.4</v>
      </c>
      <c r="F47" s="387">
        <v>-0.38</v>
      </c>
      <c r="G47" s="387">
        <v>-0.4</v>
      </c>
      <c r="H47" s="441">
        <v>-0.41</v>
      </c>
      <c r="I47" s="441">
        <v>-0.42</v>
      </c>
      <c r="J47" s="442">
        <v>-0.28999999999999998</v>
      </c>
      <c r="K47" s="433"/>
      <c r="L47" s="551"/>
      <c r="M47" s="433" t="s">
        <v>278</v>
      </c>
      <c r="N47" s="385">
        <v>-0.48</v>
      </c>
      <c r="O47" s="386">
        <v>-0.45</v>
      </c>
      <c r="P47" s="386">
        <v>-0.42</v>
      </c>
      <c r="Q47" s="387">
        <v>-0.41</v>
      </c>
      <c r="R47" s="387">
        <v>-0.42</v>
      </c>
      <c r="S47" s="441">
        <v>-0.43</v>
      </c>
      <c r="T47" s="441">
        <v>-0.44</v>
      </c>
      <c r="U47" s="442">
        <v>-0.35</v>
      </c>
      <c r="V47" s="433"/>
      <c r="W47" s="551"/>
      <c r="X47" s="433" t="s">
        <v>278</v>
      </c>
      <c r="Y47" s="385">
        <v>-0.52</v>
      </c>
      <c r="Z47" s="386">
        <v>-0.5</v>
      </c>
      <c r="AA47" s="386">
        <v>-0.48</v>
      </c>
      <c r="AB47" s="387">
        <v>-0.47</v>
      </c>
      <c r="AC47" s="387">
        <v>-0.48</v>
      </c>
      <c r="AD47" s="441">
        <v>-0.49</v>
      </c>
      <c r="AE47" s="441">
        <v>-0.47</v>
      </c>
      <c r="AF47" s="442">
        <v>-0.36</v>
      </c>
      <c r="AG47" s="433"/>
      <c r="AH47" s="551"/>
      <c r="AI47" s="433" t="s">
        <v>278</v>
      </c>
      <c r="AJ47" s="385">
        <v>-0.63</v>
      </c>
      <c r="AK47" s="386">
        <v>-0.6</v>
      </c>
      <c r="AL47" s="386">
        <v>-0.57999999999999996</v>
      </c>
      <c r="AM47" s="387">
        <v>-0.56999999999999995</v>
      </c>
      <c r="AN47" s="387">
        <v>-0.56999999999999995</v>
      </c>
      <c r="AO47" s="441">
        <v>-0.57999999999999996</v>
      </c>
      <c r="AP47" s="441">
        <v>-0.56000000000000005</v>
      </c>
      <c r="AQ47" s="442">
        <v>-0.45</v>
      </c>
    </row>
    <row r="48" spans="1:43" x14ac:dyDescent="0.25">
      <c r="A48" s="358"/>
      <c r="B48" t="s">
        <v>284</v>
      </c>
      <c r="C48" s="388">
        <v>-0.42</v>
      </c>
      <c r="D48" s="389">
        <v>-0.38</v>
      </c>
      <c r="E48" s="389">
        <v>-0.38</v>
      </c>
      <c r="F48" s="390">
        <v>-0.4</v>
      </c>
      <c r="G48" s="390">
        <v>-0.4</v>
      </c>
      <c r="H48" s="443">
        <v>-0.37</v>
      </c>
      <c r="I48" s="443">
        <v>-0.4</v>
      </c>
      <c r="J48" s="444">
        <v>-0.3</v>
      </c>
      <c r="K48" s="433"/>
      <c r="L48" s="551"/>
      <c r="M48" s="433" t="s">
        <v>284</v>
      </c>
      <c r="N48" s="388">
        <v>-0.48</v>
      </c>
      <c r="O48" s="389">
        <v>-0.45</v>
      </c>
      <c r="P48" s="389">
        <v>-0.44</v>
      </c>
      <c r="Q48" s="390">
        <v>-0.43</v>
      </c>
      <c r="R48" s="390">
        <v>-0.43</v>
      </c>
      <c r="S48" s="443">
        <v>-0.43</v>
      </c>
      <c r="T48" s="443">
        <v>-0.46</v>
      </c>
      <c r="U48" s="444">
        <v>-0.36</v>
      </c>
      <c r="V48" s="433"/>
      <c r="W48" s="551"/>
      <c r="X48" s="433" t="s">
        <v>284</v>
      </c>
      <c r="Y48" s="388">
        <v>-0.51</v>
      </c>
      <c r="Z48" s="389">
        <v>-0.49</v>
      </c>
      <c r="AA48" s="389">
        <v>-0.47</v>
      </c>
      <c r="AB48" s="390">
        <v>-0.48</v>
      </c>
      <c r="AC48" s="390">
        <v>-0.47</v>
      </c>
      <c r="AD48" s="443">
        <v>-0.45</v>
      </c>
      <c r="AE48" s="443">
        <v>-0.48</v>
      </c>
      <c r="AF48" s="444">
        <v>-0.38</v>
      </c>
      <c r="AG48" s="433"/>
      <c r="AH48" s="551"/>
      <c r="AI48" s="433" t="s">
        <v>284</v>
      </c>
      <c r="AJ48" s="388">
        <v>-0.6</v>
      </c>
      <c r="AK48" s="389">
        <v>-0.57999999999999996</v>
      </c>
      <c r="AL48" s="389">
        <v>-0.55000000000000004</v>
      </c>
      <c r="AM48" s="390">
        <v>-0.56000000000000005</v>
      </c>
      <c r="AN48" s="390">
        <v>-0.55000000000000004</v>
      </c>
      <c r="AO48" s="443">
        <v>-0.54</v>
      </c>
      <c r="AP48" s="443">
        <v>-0.53</v>
      </c>
      <c r="AQ48" s="444">
        <v>-0.45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0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0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0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551" t="s">
        <v>1005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551" t="s">
        <v>1006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551" t="s">
        <v>1019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358"/>
      <c r="B51" t="s">
        <v>186</v>
      </c>
      <c r="C51" s="368">
        <v>-0.65</v>
      </c>
      <c r="D51" s="440">
        <v>-0.60000000000000009</v>
      </c>
      <c r="E51" s="369">
        <v>-0.62000000000000011</v>
      </c>
      <c r="F51" s="370">
        <v>-0.59</v>
      </c>
      <c r="G51" s="370">
        <v>-0.56999999999999995</v>
      </c>
      <c r="H51" s="371">
        <v>-0.54</v>
      </c>
      <c r="I51" s="371">
        <v>-0.53</v>
      </c>
      <c r="J51" s="372">
        <v>-0.39</v>
      </c>
      <c r="K51" s="433"/>
      <c r="L51" s="551"/>
      <c r="M51" s="433" t="s">
        <v>186</v>
      </c>
      <c r="N51" s="368">
        <v>-0.69</v>
      </c>
      <c r="O51" s="440">
        <v>-0.63</v>
      </c>
      <c r="P51" s="369">
        <v>-0.6399999999999999</v>
      </c>
      <c r="Q51" s="370">
        <v>-0.61</v>
      </c>
      <c r="R51" s="370">
        <v>-0.59</v>
      </c>
      <c r="S51" s="371">
        <v>-0.56999999999999995</v>
      </c>
      <c r="T51" s="371">
        <v>-0.55000000000000004</v>
      </c>
      <c r="U51" s="372">
        <v>-0.41</v>
      </c>
      <c r="V51" s="433"/>
      <c r="W51" s="551"/>
      <c r="X51" s="433" t="s">
        <v>186</v>
      </c>
      <c r="Y51" s="368">
        <v>-0.71</v>
      </c>
      <c r="Z51" s="440">
        <v>-0.67</v>
      </c>
      <c r="AA51" s="369">
        <v>-0.67</v>
      </c>
      <c r="AB51" s="370">
        <v>-0.64</v>
      </c>
      <c r="AC51" s="370">
        <v>-0.64</v>
      </c>
      <c r="AD51" s="371">
        <v>-0.59</v>
      </c>
      <c r="AE51" s="371">
        <v>-0.56999999999999995</v>
      </c>
      <c r="AF51" s="372">
        <v>-0.43</v>
      </c>
      <c r="AG51" s="433"/>
      <c r="AH51" s="551"/>
      <c r="AI51" s="433" t="s">
        <v>186</v>
      </c>
      <c r="AJ51" s="368">
        <v>-0.75</v>
      </c>
      <c r="AK51" s="440">
        <v>-0.7</v>
      </c>
      <c r="AL51" s="369">
        <v>-0.71</v>
      </c>
      <c r="AM51" s="370">
        <v>-0.7</v>
      </c>
      <c r="AN51" s="370">
        <v>-0.68</v>
      </c>
      <c r="AO51" s="371">
        <v>-0.67</v>
      </c>
      <c r="AP51" s="371">
        <v>-0.66</v>
      </c>
      <c r="AQ51" s="372">
        <v>-0.5</v>
      </c>
    </row>
    <row r="52" spans="1:43" x14ac:dyDescent="0.25">
      <c r="A52" s="358"/>
      <c r="B52" t="s">
        <v>213</v>
      </c>
      <c r="C52" s="373">
        <v>-0.59</v>
      </c>
      <c r="D52" s="374">
        <v>-0.56999999999999995</v>
      </c>
      <c r="E52" s="375">
        <v>-0.59</v>
      </c>
      <c r="F52" s="376">
        <v>-0.57499999999999996</v>
      </c>
      <c r="G52" s="376">
        <v>-0.56499999999999995</v>
      </c>
      <c r="H52" s="377">
        <v>-0.53</v>
      </c>
      <c r="I52" s="377">
        <v>-0.5</v>
      </c>
      <c r="J52" s="378">
        <v>-0.38</v>
      </c>
      <c r="K52" s="433"/>
      <c r="L52" s="551"/>
      <c r="M52" s="433" t="s">
        <v>213</v>
      </c>
      <c r="N52" s="373">
        <v>-0.62</v>
      </c>
      <c r="O52" s="374">
        <v>-0.60000000000000009</v>
      </c>
      <c r="P52" s="375">
        <v>-0.61</v>
      </c>
      <c r="Q52" s="376">
        <v>-0.60500000000000009</v>
      </c>
      <c r="R52" s="376">
        <v>-0.59499999999999997</v>
      </c>
      <c r="S52" s="377">
        <v>-0.56000000000000005</v>
      </c>
      <c r="T52" s="377">
        <v>-0.53</v>
      </c>
      <c r="U52" s="378">
        <v>-0.4</v>
      </c>
      <c r="V52" s="433"/>
      <c r="W52" s="551"/>
      <c r="X52" s="433" t="s">
        <v>213</v>
      </c>
      <c r="Y52" s="373">
        <v>-0.66</v>
      </c>
      <c r="Z52" s="374">
        <v>-0.64</v>
      </c>
      <c r="AA52" s="375">
        <v>-0.64</v>
      </c>
      <c r="AB52" s="376">
        <v>-0.63</v>
      </c>
      <c r="AC52" s="376">
        <v>-0.62</v>
      </c>
      <c r="AD52" s="377">
        <v>-0.6</v>
      </c>
      <c r="AE52" s="377">
        <v>-0.56999999999999995</v>
      </c>
      <c r="AF52" s="378">
        <v>-0.46</v>
      </c>
      <c r="AG52" s="433"/>
      <c r="AH52" s="551"/>
      <c r="AI52" s="433" t="s">
        <v>213</v>
      </c>
      <c r="AJ52" s="373">
        <v>-0.72</v>
      </c>
      <c r="AK52" s="374">
        <v>-0.7</v>
      </c>
      <c r="AL52" s="375">
        <v>-0.7</v>
      </c>
      <c r="AM52" s="376">
        <v>-0.71</v>
      </c>
      <c r="AN52" s="376">
        <v>-0.71</v>
      </c>
      <c r="AO52" s="377">
        <v>-0.69</v>
      </c>
      <c r="AP52" s="377">
        <v>-0.66</v>
      </c>
      <c r="AQ52" s="378">
        <v>-0.55000000000000004</v>
      </c>
    </row>
    <row r="53" spans="1:43" x14ac:dyDescent="0.25">
      <c r="A53" s="358"/>
      <c r="B53" t="s">
        <v>232</v>
      </c>
      <c r="C53" s="379">
        <v>-0.56999999999999995</v>
      </c>
      <c r="D53" s="380">
        <v>-0.55000000000000004</v>
      </c>
      <c r="E53" s="381">
        <v>-0.56000000000000005</v>
      </c>
      <c r="F53" s="376">
        <v>-0.55000000000000004</v>
      </c>
      <c r="G53" s="376">
        <v>-0.55000000000000004</v>
      </c>
      <c r="H53" s="377">
        <v>-0.52</v>
      </c>
      <c r="I53" s="377">
        <v>-0.5</v>
      </c>
      <c r="J53" s="378">
        <v>-0.4</v>
      </c>
      <c r="K53" s="433"/>
      <c r="L53" s="551"/>
      <c r="M53" s="433" t="s">
        <v>232</v>
      </c>
      <c r="N53" s="379">
        <v>-0.61</v>
      </c>
      <c r="O53" s="380">
        <v>-0.6</v>
      </c>
      <c r="P53" s="381">
        <v>-0.57999999999999996</v>
      </c>
      <c r="Q53" s="376">
        <v>-0.57999999999999996</v>
      </c>
      <c r="R53" s="376">
        <v>-0.56999999999999995</v>
      </c>
      <c r="S53" s="377">
        <v>-0.54</v>
      </c>
      <c r="T53" s="377">
        <v>-0.53</v>
      </c>
      <c r="U53" s="378">
        <v>-0.42</v>
      </c>
      <c r="V53" s="433"/>
      <c r="W53" s="551"/>
      <c r="X53" s="433" t="s">
        <v>232</v>
      </c>
      <c r="Y53" s="379">
        <v>-0.64</v>
      </c>
      <c r="Z53" s="380">
        <v>-0.64</v>
      </c>
      <c r="AA53" s="381">
        <v>-0.61</v>
      </c>
      <c r="AB53" s="376">
        <v>-0.60999999999999988</v>
      </c>
      <c r="AC53" s="376">
        <v>-0.6</v>
      </c>
      <c r="AD53" s="377">
        <v>-0.58000000000000007</v>
      </c>
      <c r="AE53" s="377">
        <v>-0.59000000000000008</v>
      </c>
      <c r="AF53" s="378">
        <v>-0.46</v>
      </c>
      <c r="AG53" s="433"/>
      <c r="AH53" s="551"/>
      <c r="AI53" s="433" t="s">
        <v>232</v>
      </c>
      <c r="AJ53" s="379">
        <v>-0.71</v>
      </c>
      <c r="AK53" s="380">
        <v>-0.69</v>
      </c>
      <c r="AL53" s="381">
        <v>-0.68</v>
      </c>
      <c r="AM53" s="376">
        <v>-0.7</v>
      </c>
      <c r="AN53" s="376">
        <v>-0.69</v>
      </c>
      <c r="AO53" s="377">
        <v>-0.67</v>
      </c>
      <c r="AP53" s="377">
        <v>-0.67</v>
      </c>
      <c r="AQ53" s="378">
        <v>-0.55000000000000004</v>
      </c>
    </row>
    <row r="54" spans="1:43" x14ac:dyDescent="0.25">
      <c r="A54" s="358"/>
      <c r="B54" t="s">
        <v>215</v>
      </c>
      <c r="C54" s="382">
        <v>-0.55000000000000004</v>
      </c>
      <c r="D54" s="383">
        <v>-0.54</v>
      </c>
      <c r="E54" s="383">
        <v>-0.54</v>
      </c>
      <c r="F54" s="384">
        <v>-0.53</v>
      </c>
      <c r="G54" s="384">
        <v>-0.52</v>
      </c>
      <c r="H54" s="393">
        <v>-0.49</v>
      </c>
      <c r="I54" s="393">
        <v>-0.49</v>
      </c>
      <c r="J54" s="394">
        <v>-0.4</v>
      </c>
      <c r="K54" s="433"/>
      <c r="L54" s="551"/>
      <c r="M54" s="433" t="s">
        <v>215</v>
      </c>
      <c r="N54" s="382">
        <v>-0.56999999999999995</v>
      </c>
      <c r="O54" s="383">
        <v>-0.56000000000000005</v>
      </c>
      <c r="P54" s="383">
        <v>-0.56000000000000005</v>
      </c>
      <c r="Q54" s="384">
        <v>-0.55000000000000004</v>
      </c>
      <c r="R54" s="384">
        <v>-0.54</v>
      </c>
      <c r="S54" s="393">
        <v>-0.53</v>
      </c>
      <c r="T54" s="393">
        <v>-0.53</v>
      </c>
      <c r="U54" s="394">
        <v>-0.46</v>
      </c>
      <c r="V54" s="433"/>
      <c r="W54" s="551"/>
      <c r="X54" s="433" t="s">
        <v>215</v>
      </c>
      <c r="Y54" s="382">
        <v>-0.60999999999999988</v>
      </c>
      <c r="Z54" s="383">
        <v>-0.60999999999999988</v>
      </c>
      <c r="AA54" s="383">
        <v>-0.59000000000000008</v>
      </c>
      <c r="AB54" s="384">
        <v>-0.58000000000000007</v>
      </c>
      <c r="AC54" s="384">
        <v>-0.56999999999999995</v>
      </c>
      <c r="AD54" s="393">
        <v>-0.56999999999999995</v>
      </c>
      <c r="AE54" s="393">
        <v>-0.59</v>
      </c>
      <c r="AF54" s="394">
        <v>-0.51</v>
      </c>
      <c r="AG54" s="433"/>
      <c r="AH54" s="551"/>
      <c r="AI54" s="433" t="s">
        <v>215</v>
      </c>
      <c r="AJ54" s="382">
        <v>-0.67</v>
      </c>
      <c r="AK54" s="383">
        <v>-0.65</v>
      </c>
      <c r="AL54" s="383">
        <v>-0.65</v>
      </c>
      <c r="AM54" s="384">
        <v>-0.67</v>
      </c>
      <c r="AN54" s="384">
        <v>-0.67</v>
      </c>
      <c r="AO54" s="393">
        <v>-0.65</v>
      </c>
      <c r="AP54" s="393">
        <v>-0.66</v>
      </c>
      <c r="AQ54" s="394">
        <v>-0.55000000000000004</v>
      </c>
    </row>
    <row r="55" spans="1:43" x14ac:dyDescent="0.25">
      <c r="A55" s="358"/>
      <c r="B55" t="s">
        <v>249</v>
      </c>
      <c r="C55" s="382">
        <v>-0.52</v>
      </c>
      <c r="D55" s="383">
        <v>-0.52</v>
      </c>
      <c r="E55" s="383">
        <v>-0.49</v>
      </c>
      <c r="F55" s="384">
        <v>-0.49</v>
      </c>
      <c r="G55" s="384">
        <v>-0.5</v>
      </c>
      <c r="H55" s="393">
        <v>-0.49</v>
      </c>
      <c r="I55" s="393">
        <v>-0.47</v>
      </c>
      <c r="J55" s="394">
        <v>-0.4</v>
      </c>
      <c r="K55" s="433"/>
      <c r="L55" s="551"/>
      <c r="M55" s="433" t="s">
        <v>249</v>
      </c>
      <c r="N55" s="382">
        <v>-0.54</v>
      </c>
      <c r="O55" s="383">
        <v>-0.54</v>
      </c>
      <c r="P55" s="383">
        <v>-0.51</v>
      </c>
      <c r="Q55" s="384">
        <v>-0.53</v>
      </c>
      <c r="R55" s="384">
        <v>-0.52</v>
      </c>
      <c r="S55" s="393">
        <v>-0.52</v>
      </c>
      <c r="T55" s="393">
        <v>-0.51</v>
      </c>
      <c r="U55" s="394">
        <v>-0.44</v>
      </c>
      <c r="V55" s="433"/>
      <c r="W55" s="551"/>
      <c r="X55" s="433" t="s">
        <v>249</v>
      </c>
      <c r="Y55" s="382">
        <v>-0.60999999999999988</v>
      </c>
      <c r="Z55" s="383">
        <v>-0.6</v>
      </c>
      <c r="AA55" s="383">
        <v>-0.57999999999999996</v>
      </c>
      <c r="AB55" s="384">
        <v>-0.56999999999999995</v>
      </c>
      <c r="AC55" s="384">
        <v>-0.56000000000000005</v>
      </c>
      <c r="AD55" s="393">
        <v>-0.56999999999999995</v>
      </c>
      <c r="AE55" s="393">
        <v>-0.59</v>
      </c>
      <c r="AF55" s="394">
        <v>-0.49</v>
      </c>
      <c r="AG55" s="433"/>
      <c r="AH55" s="551"/>
      <c r="AI55" s="433" t="s">
        <v>249</v>
      </c>
      <c r="AJ55" s="382">
        <v>-0.67</v>
      </c>
      <c r="AK55" s="383">
        <v>-0.66</v>
      </c>
      <c r="AL55" s="383">
        <v>-0.66</v>
      </c>
      <c r="AM55" s="384">
        <v>-0.65</v>
      </c>
      <c r="AN55" s="384">
        <v>-0.63</v>
      </c>
      <c r="AO55" s="393">
        <v>-0.64</v>
      </c>
      <c r="AP55" s="393">
        <v>-0.66</v>
      </c>
      <c r="AQ55" s="394">
        <v>-0.55000000000000004</v>
      </c>
    </row>
    <row r="56" spans="1:43" x14ac:dyDescent="0.25">
      <c r="A56" s="358"/>
      <c r="B56" t="s">
        <v>257</v>
      </c>
      <c r="C56" s="382">
        <v>-0.47</v>
      </c>
      <c r="D56" s="383">
        <v>-0.46</v>
      </c>
      <c r="E56" s="383">
        <v>-0.43</v>
      </c>
      <c r="F56" s="384">
        <v>-0.46</v>
      </c>
      <c r="G56" s="384">
        <v>-0.46</v>
      </c>
      <c r="H56" s="393">
        <v>-0.47</v>
      </c>
      <c r="I56" s="393">
        <v>-0.47</v>
      </c>
      <c r="J56" s="394">
        <v>-0.38</v>
      </c>
      <c r="K56" s="433"/>
      <c r="L56" s="551"/>
      <c r="M56" s="433" t="s">
        <v>257</v>
      </c>
      <c r="N56" s="382">
        <v>-0.53</v>
      </c>
      <c r="O56" s="383">
        <v>-0.52</v>
      </c>
      <c r="P56" s="383">
        <v>-0.52</v>
      </c>
      <c r="Q56" s="384">
        <v>-0.51</v>
      </c>
      <c r="R56" s="384">
        <v>-0.51</v>
      </c>
      <c r="S56" s="393">
        <v>-0.49</v>
      </c>
      <c r="T56" s="393">
        <v>-0.52</v>
      </c>
      <c r="U56" s="394">
        <v>-0.42</v>
      </c>
      <c r="V56" s="433"/>
      <c r="W56" s="551"/>
      <c r="X56" s="433" t="s">
        <v>257</v>
      </c>
      <c r="Y56" s="382">
        <v>-0.57999999999999996</v>
      </c>
      <c r="Z56" s="383">
        <v>-0.56999999999999995</v>
      </c>
      <c r="AA56" s="383">
        <v>-0.56999999999999995</v>
      </c>
      <c r="AB56" s="384">
        <v>-0.54</v>
      </c>
      <c r="AC56" s="384">
        <v>-0.53</v>
      </c>
      <c r="AD56" s="393">
        <v>-0.55000000000000004</v>
      </c>
      <c r="AE56" s="393">
        <v>-0.56999999999999995</v>
      </c>
      <c r="AF56" s="394">
        <v>-0.46</v>
      </c>
      <c r="AG56" s="433"/>
      <c r="AH56" s="551"/>
      <c r="AI56" s="433" t="s">
        <v>257</v>
      </c>
      <c r="AJ56" s="382">
        <v>-0.65</v>
      </c>
      <c r="AK56" s="383">
        <v>-0.64</v>
      </c>
      <c r="AL56" s="383">
        <v>-0.64</v>
      </c>
      <c r="AM56" s="384">
        <v>-0.63</v>
      </c>
      <c r="AN56" s="384">
        <v>-0.62</v>
      </c>
      <c r="AO56" s="393">
        <v>-0.61</v>
      </c>
      <c r="AP56" s="393">
        <v>-0.64</v>
      </c>
      <c r="AQ56" s="394">
        <v>-0.54</v>
      </c>
    </row>
    <row r="57" spans="1:43" x14ac:dyDescent="0.25">
      <c r="A57" s="358"/>
      <c r="B57" t="s">
        <v>264</v>
      </c>
      <c r="C57" s="385">
        <v>-0.46</v>
      </c>
      <c r="D57" s="386">
        <v>-0.45</v>
      </c>
      <c r="E57" s="386">
        <v>-0.44</v>
      </c>
      <c r="F57" s="387">
        <v>-0.43</v>
      </c>
      <c r="G57" s="387">
        <v>-0.43</v>
      </c>
      <c r="H57" s="441">
        <v>-0.45</v>
      </c>
      <c r="I57" s="441">
        <v>-0.44</v>
      </c>
      <c r="J57" s="442">
        <v>-0.35</v>
      </c>
      <c r="K57" s="433"/>
      <c r="L57" s="551"/>
      <c r="M57" s="433" t="s">
        <v>264</v>
      </c>
      <c r="N57" s="385">
        <v>-0.5</v>
      </c>
      <c r="O57" s="386">
        <v>-0.5</v>
      </c>
      <c r="P57" s="386">
        <v>-0.5</v>
      </c>
      <c r="Q57" s="387">
        <v>-0.5</v>
      </c>
      <c r="R57" s="387">
        <v>-0.5</v>
      </c>
      <c r="S57" s="441">
        <v>-0.51</v>
      </c>
      <c r="T57" s="441">
        <v>-0.49</v>
      </c>
      <c r="U57" s="442">
        <v>-0.38</v>
      </c>
      <c r="V57" s="433"/>
      <c r="W57" s="551"/>
      <c r="X57" s="433" t="s">
        <v>264</v>
      </c>
      <c r="Y57" s="385">
        <v>-0.55000000000000004</v>
      </c>
      <c r="Z57" s="386">
        <v>-0.55000000000000004</v>
      </c>
      <c r="AA57" s="386">
        <v>-0.54</v>
      </c>
      <c r="AB57" s="387">
        <v>-0.53</v>
      </c>
      <c r="AC57" s="387">
        <v>-0.55000000000000004</v>
      </c>
      <c r="AD57" s="441">
        <v>-0.55000000000000004</v>
      </c>
      <c r="AE57" s="441">
        <v>-0.53</v>
      </c>
      <c r="AF57" s="442">
        <v>-0.42</v>
      </c>
      <c r="AG57" s="433"/>
      <c r="AH57" s="551"/>
      <c r="AI57" s="433" t="s">
        <v>264</v>
      </c>
      <c r="AJ57" s="385">
        <v>-0.63</v>
      </c>
      <c r="AK57" s="386">
        <v>-0.64</v>
      </c>
      <c r="AL57" s="386">
        <v>-0.63</v>
      </c>
      <c r="AM57" s="387">
        <v>-0.62</v>
      </c>
      <c r="AN57" s="387">
        <v>-0.66</v>
      </c>
      <c r="AO57" s="441">
        <v>-0.66</v>
      </c>
      <c r="AP57" s="441">
        <v>-0.64</v>
      </c>
      <c r="AQ57" s="442">
        <v>-0.51</v>
      </c>
    </row>
    <row r="58" spans="1:43" x14ac:dyDescent="0.25">
      <c r="A58" s="358"/>
      <c r="B58" t="s">
        <v>272</v>
      </c>
      <c r="C58" s="385">
        <v>-0.44</v>
      </c>
      <c r="D58" s="386">
        <v>-0.44</v>
      </c>
      <c r="E58" s="386">
        <v>-0.44</v>
      </c>
      <c r="F58" s="387">
        <v>-0.42</v>
      </c>
      <c r="G58" s="387">
        <v>-0.43</v>
      </c>
      <c r="H58" s="441">
        <v>-0.41</v>
      </c>
      <c r="I58" s="441">
        <v>-0.42</v>
      </c>
      <c r="J58" s="442">
        <v>-0.32</v>
      </c>
      <c r="K58" s="433"/>
      <c r="L58" s="551"/>
      <c r="M58" s="433" t="s">
        <v>272</v>
      </c>
      <c r="N58" s="385">
        <v>-0.49</v>
      </c>
      <c r="O58" s="386">
        <v>-0.49</v>
      </c>
      <c r="P58" s="386">
        <v>-0.48</v>
      </c>
      <c r="Q58" s="387">
        <v>-0.47</v>
      </c>
      <c r="R58" s="387">
        <v>-0.48</v>
      </c>
      <c r="S58" s="441">
        <v>-0.49</v>
      </c>
      <c r="T58" s="441">
        <v>-0.48</v>
      </c>
      <c r="U58" s="442">
        <v>-0.35</v>
      </c>
      <c r="V58" s="433"/>
      <c r="W58" s="551"/>
      <c r="X58" s="433" t="s">
        <v>272</v>
      </c>
      <c r="Y58" s="385">
        <v>-0.55000000000000004</v>
      </c>
      <c r="Z58" s="386">
        <v>-0.54</v>
      </c>
      <c r="AA58" s="386">
        <v>-0.52</v>
      </c>
      <c r="AB58" s="387">
        <v>-0.52</v>
      </c>
      <c r="AC58" s="387">
        <v>-0.51</v>
      </c>
      <c r="AD58" s="441">
        <v>-0.52</v>
      </c>
      <c r="AE58" s="441">
        <v>-0.51</v>
      </c>
      <c r="AF58" s="442">
        <v>-0.41</v>
      </c>
      <c r="AG58" s="433"/>
      <c r="AH58" s="551"/>
      <c r="AI58" s="433" t="s">
        <v>272</v>
      </c>
      <c r="AJ58" s="385">
        <v>-0.66</v>
      </c>
      <c r="AK58" s="386">
        <v>-0.65</v>
      </c>
      <c r="AL58" s="386">
        <v>-0.64</v>
      </c>
      <c r="AM58" s="387">
        <v>-0.64</v>
      </c>
      <c r="AN58" s="387">
        <v>-0.63</v>
      </c>
      <c r="AO58" s="441">
        <v>-0.63</v>
      </c>
      <c r="AP58" s="441">
        <v>-0.64</v>
      </c>
      <c r="AQ58" s="442">
        <v>-0.52</v>
      </c>
    </row>
    <row r="59" spans="1:43" x14ac:dyDescent="0.25">
      <c r="A59" s="358"/>
      <c r="B59" t="s">
        <v>278</v>
      </c>
      <c r="C59" s="385">
        <v>-0.45</v>
      </c>
      <c r="D59" s="386">
        <v>-0.44</v>
      </c>
      <c r="E59" s="386">
        <v>-0.43</v>
      </c>
      <c r="F59" s="387">
        <v>-0.41</v>
      </c>
      <c r="G59" s="387">
        <v>-0.43</v>
      </c>
      <c r="H59" s="441">
        <v>-0.44</v>
      </c>
      <c r="I59" s="441">
        <v>-0.45</v>
      </c>
      <c r="J59" s="442">
        <v>-0.32</v>
      </c>
      <c r="K59" s="433"/>
      <c r="L59" s="551"/>
      <c r="M59" s="433" t="s">
        <v>278</v>
      </c>
      <c r="N59" s="385">
        <v>-0.51</v>
      </c>
      <c r="O59" s="386">
        <v>-0.48</v>
      </c>
      <c r="P59" s="386">
        <v>-0.45</v>
      </c>
      <c r="Q59" s="387">
        <v>-0.44</v>
      </c>
      <c r="R59" s="387">
        <v>-0.45</v>
      </c>
      <c r="S59" s="441">
        <v>-0.46</v>
      </c>
      <c r="T59" s="441">
        <v>-0.47</v>
      </c>
      <c r="U59" s="442">
        <v>-0.38</v>
      </c>
      <c r="V59" s="433"/>
      <c r="W59" s="551"/>
      <c r="X59" s="433" t="s">
        <v>278</v>
      </c>
      <c r="Y59" s="385">
        <v>-0.55000000000000004</v>
      </c>
      <c r="Z59" s="386">
        <v>-0.53</v>
      </c>
      <c r="AA59" s="386">
        <v>-0.51</v>
      </c>
      <c r="AB59" s="387">
        <v>-0.5</v>
      </c>
      <c r="AC59" s="387">
        <v>-0.51</v>
      </c>
      <c r="AD59" s="441">
        <v>-0.52</v>
      </c>
      <c r="AE59" s="441">
        <v>-0.5</v>
      </c>
      <c r="AF59" s="442">
        <v>-0.39</v>
      </c>
      <c r="AG59" s="433"/>
      <c r="AH59" s="551"/>
      <c r="AI59" s="433" t="s">
        <v>278</v>
      </c>
      <c r="AJ59" s="385">
        <v>-0.66</v>
      </c>
      <c r="AK59" s="386">
        <v>-0.63</v>
      </c>
      <c r="AL59" s="386">
        <v>-0.60999999999999988</v>
      </c>
      <c r="AM59" s="387">
        <v>-0.6</v>
      </c>
      <c r="AN59" s="387">
        <v>-0.6</v>
      </c>
      <c r="AO59" s="441">
        <v>-0.60999999999999988</v>
      </c>
      <c r="AP59" s="441">
        <v>-0.59</v>
      </c>
      <c r="AQ59" s="442">
        <v>-0.48</v>
      </c>
    </row>
    <row r="60" spans="1:43" x14ac:dyDescent="0.25">
      <c r="A60" s="358"/>
      <c r="B60" t="s">
        <v>284</v>
      </c>
      <c r="C60" s="388">
        <v>-0.45</v>
      </c>
      <c r="D60" s="389">
        <v>-0.41</v>
      </c>
      <c r="E60" s="389">
        <v>-0.41</v>
      </c>
      <c r="F60" s="390">
        <v>-0.43</v>
      </c>
      <c r="G60" s="390">
        <v>-0.43</v>
      </c>
      <c r="H60" s="443">
        <v>-0.4</v>
      </c>
      <c r="I60" s="443">
        <v>-0.43</v>
      </c>
      <c r="J60" s="444">
        <v>-0.33</v>
      </c>
      <c r="K60" s="433"/>
      <c r="M60" s="433" t="s">
        <v>284</v>
      </c>
      <c r="N60" s="388">
        <v>-0.51</v>
      </c>
      <c r="O60" s="389">
        <v>-0.48</v>
      </c>
      <c r="P60" s="389">
        <v>-0.47</v>
      </c>
      <c r="Q60" s="390">
        <v>-0.46</v>
      </c>
      <c r="R60" s="390">
        <v>-0.46</v>
      </c>
      <c r="S60" s="443">
        <v>-0.46</v>
      </c>
      <c r="T60" s="443">
        <v>-0.49</v>
      </c>
      <c r="U60" s="444">
        <v>-0.39</v>
      </c>
      <c r="V60" s="433"/>
      <c r="X60" s="433" t="s">
        <v>284</v>
      </c>
      <c r="Y60" s="388">
        <v>-0.54</v>
      </c>
      <c r="Z60" s="389">
        <v>-0.52</v>
      </c>
      <c r="AA60" s="389">
        <v>-0.5</v>
      </c>
      <c r="AB60" s="390">
        <v>-0.51</v>
      </c>
      <c r="AC60" s="390">
        <v>-0.5</v>
      </c>
      <c r="AD60" s="443">
        <v>-0.48</v>
      </c>
      <c r="AE60" s="443">
        <v>-0.51</v>
      </c>
      <c r="AF60" s="444">
        <v>-0.41</v>
      </c>
      <c r="AG60" s="433"/>
      <c r="AI60" s="433" t="s">
        <v>284</v>
      </c>
      <c r="AJ60" s="388">
        <v>-0.63</v>
      </c>
      <c r="AK60" s="389">
        <v>-0.61</v>
      </c>
      <c r="AL60" s="389">
        <v>-0.57999999999999996</v>
      </c>
      <c r="AM60" s="390">
        <v>-0.59</v>
      </c>
      <c r="AN60" s="390">
        <v>-0.57999999999999996</v>
      </c>
      <c r="AO60" s="443">
        <v>-0.56999999999999995</v>
      </c>
      <c r="AP60" s="443">
        <v>-0.56000000000000005</v>
      </c>
      <c r="AQ60" s="444">
        <v>-0.48</v>
      </c>
    </row>
    <row r="62" spans="1:43" x14ac:dyDescent="0.25">
      <c r="C62" s="37"/>
      <c r="N62" s="37"/>
      <c r="Y62" s="37"/>
      <c r="AJ62" s="37"/>
    </row>
  </sheetData>
  <sheetProtection algorithmName="SHA-512" hashValue="/cZUOKzFMwSIvHJtuC9JcbIoBzB7AQ6VDBJuozC+LXoqvIKIr0SGJDFrZk1hOotgOAa2bpuJp2mX+k4AK4XP9A==" saltValue="NH1WlmvkQN5O4Q73TGvsXA==" spinCount="100000" sheet="1" objects="1" scenarios="1" autoFilter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:AO16"/>
  <sheetViews>
    <sheetView workbookViewId="0"/>
  </sheetViews>
  <sheetFormatPr defaultRowHeight="15" x14ac:dyDescent="0.25"/>
  <cols>
    <col min="1" max="1" width="7.7109375" customWidth="1"/>
    <col min="2" max="2" width="8" customWidth="1"/>
    <col min="5" max="5" width="7.7109375" customWidth="1"/>
    <col min="7" max="7" width="8.42578125" customWidth="1"/>
  </cols>
  <sheetData>
    <row r="1" spans="1:41" x14ac:dyDescent="0.3">
      <c r="A1" s="38" t="s">
        <v>164</v>
      </c>
      <c r="B1" s="38" t="s">
        <v>337</v>
      </c>
      <c r="D1" s="38" t="s">
        <v>165</v>
      </c>
      <c r="E1" s="38" t="s">
        <v>338</v>
      </c>
      <c r="G1" s="38" t="s">
        <v>8</v>
      </c>
      <c r="H1" s="38" t="s">
        <v>339</v>
      </c>
      <c r="J1" s="38" t="s">
        <v>3</v>
      </c>
      <c r="K1" s="38" t="s">
        <v>340</v>
      </c>
      <c r="M1" s="38" t="s">
        <v>341</v>
      </c>
      <c r="N1" s="38" t="s">
        <v>340</v>
      </c>
      <c r="S1" s="38" t="s">
        <v>167</v>
      </c>
      <c r="T1" s="38" t="s">
        <v>340</v>
      </c>
      <c r="V1" s="38" t="s">
        <v>3</v>
      </c>
      <c r="W1" s="38" t="s">
        <v>340</v>
      </c>
      <c r="Y1" s="38" t="s">
        <v>164</v>
      </c>
      <c r="Z1" s="38" t="s">
        <v>340</v>
      </c>
      <c r="AB1" s="38" t="s">
        <v>165</v>
      </c>
      <c r="AC1" s="38" t="s">
        <v>340</v>
      </c>
      <c r="AE1" s="38" t="s">
        <v>916</v>
      </c>
      <c r="AF1" s="38"/>
      <c r="AH1" s="38" t="s">
        <v>3</v>
      </c>
      <c r="AI1" s="38" t="s">
        <v>340</v>
      </c>
      <c r="AK1" s="38" t="s">
        <v>164</v>
      </c>
      <c r="AL1" s="38" t="s">
        <v>340</v>
      </c>
      <c r="AN1" s="38" t="s">
        <v>165</v>
      </c>
      <c r="AO1" s="38" t="s">
        <v>340</v>
      </c>
    </row>
    <row r="2" spans="1:41" x14ac:dyDescent="0.3">
      <c r="A2" t="s">
        <v>186</v>
      </c>
      <c r="B2">
        <v>2</v>
      </c>
      <c r="D2" t="s">
        <v>187</v>
      </c>
      <c r="E2">
        <v>4</v>
      </c>
      <c r="G2">
        <v>0.3</v>
      </c>
      <c r="H2" t="str">
        <f t="shared" ref="H2:H12" si="0">TEXT(G2,"0.00")&amp;"-"&amp;TEXT(G3-0.01,"0.00")</f>
        <v>0.30-0.34</v>
      </c>
      <c r="J2" t="s">
        <v>22</v>
      </c>
      <c r="K2">
        <v>0</v>
      </c>
      <c r="M2" t="s">
        <v>342</v>
      </c>
      <c r="N2">
        <v>0</v>
      </c>
      <c r="S2" t="s">
        <v>343</v>
      </c>
      <c r="T2">
        <v>0</v>
      </c>
      <c r="V2" t="s">
        <v>22</v>
      </c>
      <c r="W2">
        <v>2</v>
      </c>
      <c r="Y2" t="s">
        <v>186</v>
      </c>
      <c r="Z2">
        <v>1</v>
      </c>
      <c r="AB2" t="s">
        <v>187</v>
      </c>
      <c r="AC2">
        <v>3</v>
      </c>
      <c r="AE2" t="s">
        <v>918</v>
      </c>
      <c r="AF2">
        <v>0</v>
      </c>
      <c r="AH2" t="s">
        <v>22</v>
      </c>
      <c r="AI2">
        <v>2</v>
      </c>
      <c r="AK2" t="s">
        <v>186</v>
      </c>
      <c r="AL2">
        <v>1</v>
      </c>
      <c r="AN2" t="s">
        <v>187</v>
      </c>
      <c r="AO2">
        <v>3</v>
      </c>
    </row>
    <row r="3" spans="1:41" x14ac:dyDescent="0.3">
      <c r="A3" t="s">
        <v>213</v>
      </c>
      <c r="B3">
        <v>3</v>
      </c>
      <c r="D3" t="s">
        <v>214</v>
      </c>
      <c r="E3">
        <v>5</v>
      </c>
      <c r="G3">
        <v>0.35</v>
      </c>
      <c r="H3" t="str">
        <f t="shared" si="0"/>
        <v>0.35-0.39</v>
      </c>
      <c r="J3" t="s">
        <v>36</v>
      </c>
      <c r="K3">
        <v>12</v>
      </c>
      <c r="M3" t="s">
        <v>188</v>
      </c>
      <c r="N3">
        <f>N2+11</f>
        <v>11</v>
      </c>
      <c r="S3" t="s">
        <v>342</v>
      </c>
      <c r="T3">
        <v>0</v>
      </c>
      <c r="V3" t="s">
        <v>36</v>
      </c>
      <c r="W3">
        <f>W2+12</f>
        <v>14</v>
      </c>
      <c r="Y3" t="s">
        <v>213</v>
      </c>
      <c r="Z3">
        <v>2</v>
      </c>
      <c r="AB3" t="s">
        <v>214</v>
      </c>
      <c r="AC3">
        <v>4</v>
      </c>
      <c r="AE3" t="s">
        <v>188</v>
      </c>
      <c r="AF3">
        <f>AF2+11</f>
        <v>11</v>
      </c>
      <c r="AH3" t="s">
        <v>36</v>
      </c>
      <c r="AI3">
        <f>AI2+12</f>
        <v>14</v>
      </c>
      <c r="AK3" t="s">
        <v>213</v>
      </c>
      <c r="AL3">
        <v>2</v>
      </c>
      <c r="AN3" t="s">
        <v>214</v>
      </c>
      <c r="AO3">
        <v>4</v>
      </c>
    </row>
    <row r="4" spans="1:41" x14ac:dyDescent="0.3">
      <c r="A4" t="s">
        <v>232</v>
      </c>
      <c r="B4">
        <v>4</v>
      </c>
      <c r="D4" t="s">
        <v>233</v>
      </c>
      <c r="E4">
        <v>6</v>
      </c>
      <c r="G4">
        <v>0.4</v>
      </c>
      <c r="H4" t="str">
        <f t="shared" si="0"/>
        <v>0.40-0.44</v>
      </c>
      <c r="J4" t="s">
        <v>58</v>
      </c>
      <c r="K4">
        <f>K3+12</f>
        <v>24</v>
      </c>
      <c r="M4" t="s">
        <v>202</v>
      </c>
      <c r="N4">
        <f>N3+11</f>
        <v>22</v>
      </c>
      <c r="S4" t="s">
        <v>188</v>
      </c>
      <c r="T4">
        <f>T3+11</f>
        <v>11</v>
      </c>
      <c r="V4" t="s">
        <v>58</v>
      </c>
      <c r="W4">
        <f>W3+12</f>
        <v>26</v>
      </c>
      <c r="Y4" t="s">
        <v>232</v>
      </c>
      <c r="Z4">
        <v>3</v>
      </c>
      <c r="AB4" t="s">
        <v>233</v>
      </c>
      <c r="AC4">
        <v>5</v>
      </c>
      <c r="AE4" t="s">
        <v>202</v>
      </c>
      <c r="AF4">
        <f>AF3+11</f>
        <v>22</v>
      </c>
      <c r="AH4" t="s">
        <v>58</v>
      </c>
      <c r="AI4">
        <f>AI3+12</f>
        <v>26</v>
      </c>
      <c r="AK4" t="s">
        <v>232</v>
      </c>
      <c r="AL4">
        <v>3</v>
      </c>
      <c r="AN4" t="s">
        <v>233</v>
      </c>
      <c r="AO4">
        <v>5</v>
      </c>
    </row>
    <row r="5" spans="1:41" x14ac:dyDescent="0.3">
      <c r="A5" t="s">
        <v>215</v>
      </c>
      <c r="B5">
        <v>5</v>
      </c>
      <c r="D5" t="s">
        <v>242</v>
      </c>
      <c r="E5">
        <v>7</v>
      </c>
      <c r="G5">
        <v>0.45</v>
      </c>
      <c r="H5" t="str">
        <f t="shared" si="0"/>
        <v>0.45-0.49</v>
      </c>
      <c r="J5" t="s">
        <v>69</v>
      </c>
      <c r="K5">
        <f>K4+12</f>
        <v>36</v>
      </c>
      <c r="M5" t="s">
        <v>215</v>
      </c>
      <c r="N5">
        <f>N4+11</f>
        <v>33</v>
      </c>
      <c r="S5" t="s">
        <v>202</v>
      </c>
      <c r="T5">
        <f>T4+11</f>
        <v>22</v>
      </c>
      <c r="V5" t="s">
        <v>69</v>
      </c>
      <c r="W5">
        <f>W4+12</f>
        <v>38</v>
      </c>
      <c r="Y5" t="s">
        <v>215</v>
      </c>
      <c r="Z5">
        <v>4</v>
      </c>
      <c r="AB5" t="s">
        <v>242</v>
      </c>
      <c r="AC5">
        <v>6</v>
      </c>
      <c r="AE5" t="s">
        <v>215</v>
      </c>
      <c r="AF5">
        <f>AF4+11</f>
        <v>33</v>
      </c>
      <c r="AK5" t="s">
        <v>215</v>
      </c>
      <c r="AL5">
        <v>4</v>
      </c>
      <c r="AN5" t="s">
        <v>242</v>
      </c>
      <c r="AO5">
        <v>6</v>
      </c>
    </row>
    <row r="6" spans="1:41" x14ac:dyDescent="0.3">
      <c r="A6" t="s">
        <v>249</v>
      </c>
      <c r="B6">
        <v>6</v>
      </c>
      <c r="D6" t="s">
        <v>250</v>
      </c>
      <c r="E6">
        <v>8</v>
      </c>
      <c r="G6">
        <v>0.5</v>
      </c>
      <c r="H6" t="str">
        <f t="shared" si="0"/>
        <v>0.50-0.59</v>
      </c>
      <c r="J6" t="s">
        <v>90</v>
      </c>
      <c r="K6">
        <f>K5+12</f>
        <v>48</v>
      </c>
      <c r="S6" t="s">
        <v>215</v>
      </c>
      <c r="T6">
        <f>T5+11</f>
        <v>33</v>
      </c>
      <c r="V6" t="s">
        <v>90</v>
      </c>
      <c r="W6">
        <f>W5+12</f>
        <v>50</v>
      </c>
      <c r="Y6" t="s">
        <v>249</v>
      </c>
      <c r="Z6">
        <v>5</v>
      </c>
      <c r="AB6" t="s">
        <v>250</v>
      </c>
      <c r="AC6">
        <v>7</v>
      </c>
      <c r="AK6" t="s">
        <v>249</v>
      </c>
      <c r="AL6">
        <v>5</v>
      </c>
      <c r="AN6" t="s">
        <v>250</v>
      </c>
      <c r="AO6">
        <v>7</v>
      </c>
    </row>
    <row r="7" spans="1:41" x14ac:dyDescent="0.3">
      <c r="A7" t="s">
        <v>257</v>
      </c>
      <c r="B7">
        <v>7</v>
      </c>
      <c r="D7" t="s">
        <v>258</v>
      </c>
      <c r="E7">
        <v>9</v>
      </c>
      <c r="G7">
        <v>0.6</v>
      </c>
      <c r="H7" t="str">
        <f t="shared" si="0"/>
        <v>0.60-0.69</v>
      </c>
      <c r="Y7" t="s">
        <v>257</v>
      </c>
      <c r="Z7">
        <v>6</v>
      </c>
      <c r="AB7" t="s">
        <v>258</v>
      </c>
      <c r="AC7">
        <v>8</v>
      </c>
      <c r="AK7" t="s">
        <v>257</v>
      </c>
      <c r="AL7">
        <v>6</v>
      </c>
      <c r="AN7" t="s">
        <v>258</v>
      </c>
      <c r="AO7">
        <v>8</v>
      </c>
    </row>
    <row r="8" spans="1:41" x14ac:dyDescent="0.3">
      <c r="A8" t="s">
        <v>264</v>
      </c>
      <c r="B8">
        <v>8</v>
      </c>
      <c r="D8" t="s">
        <v>265</v>
      </c>
      <c r="E8">
        <v>10</v>
      </c>
      <c r="G8">
        <v>0.7</v>
      </c>
      <c r="H8" t="str">
        <f t="shared" si="0"/>
        <v>0.70-0.74</v>
      </c>
      <c r="Y8" t="s">
        <v>264</v>
      </c>
      <c r="Z8">
        <v>7</v>
      </c>
      <c r="AB8" t="s">
        <v>265</v>
      </c>
      <c r="AC8">
        <v>9</v>
      </c>
      <c r="AK8" t="s">
        <v>264</v>
      </c>
      <c r="AL8">
        <v>7</v>
      </c>
      <c r="AN8" t="s">
        <v>265</v>
      </c>
      <c r="AO8">
        <v>9</v>
      </c>
    </row>
    <row r="9" spans="1:41" x14ac:dyDescent="0.3">
      <c r="A9" t="s">
        <v>272</v>
      </c>
      <c r="B9">
        <v>9</v>
      </c>
      <c r="G9">
        <v>0.75</v>
      </c>
      <c r="H9" t="str">
        <f t="shared" si="0"/>
        <v>0.75-0.79</v>
      </c>
      <c r="Y9" t="s">
        <v>272</v>
      </c>
      <c r="Z9">
        <v>8</v>
      </c>
      <c r="AB9" t="s">
        <v>279</v>
      </c>
      <c r="AC9">
        <v>10</v>
      </c>
      <c r="AK9" t="s">
        <v>272</v>
      </c>
      <c r="AL9">
        <v>8</v>
      </c>
      <c r="AN9" t="s">
        <v>279</v>
      </c>
      <c r="AO9">
        <v>10</v>
      </c>
    </row>
    <row r="10" spans="1:41" x14ac:dyDescent="0.3">
      <c r="A10" t="s">
        <v>278</v>
      </c>
      <c r="B10">
        <v>10</v>
      </c>
      <c r="G10">
        <v>0.8</v>
      </c>
      <c r="H10" t="str">
        <f t="shared" si="0"/>
        <v>0.80-0.89</v>
      </c>
      <c r="J10" t="s">
        <v>344</v>
      </c>
      <c r="K10">
        <v>0</v>
      </c>
      <c r="Y10" t="s">
        <v>278</v>
      </c>
      <c r="Z10">
        <v>9</v>
      </c>
    </row>
    <row r="11" spans="1:41" x14ac:dyDescent="0.3">
      <c r="A11" t="s">
        <v>284</v>
      </c>
      <c r="B11">
        <v>11</v>
      </c>
      <c r="G11">
        <v>0.9</v>
      </c>
      <c r="H11" t="str">
        <f t="shared" si="0"/>
        <v>0.90-0.94</v>
      </c>
      <c r="Y11" t="s">
        <v>284</v>
      </c>
      <c r="Z11">
        <v>10</v>
      </c>
    </row>
    <row r="12" spans="1:41" x14ac:dyDescent="0.3">
      <c r="G12">
        <v>0.95</v>
      </c>
      <c r="H12" t="str">
        <f t="shared" si="0"/>
        <v>0.95-0.99</v>
      </c>
    </row>
    <row r="13" spans="1:41" x14ac:dyDescent="0.3">
      <c r="G13">
        <v>1</v>
      </c>
    </row>
    <row r="16" spans="1:41" x14ac:dyDescent="0.3">
      <c r="A16" s="856" t="s">
        <v>907</v>
      </c>
      <c r="B16" s="856"/>
      <c r="C16" s="856"/>
      <c r="D16" s="856"/>
      <c r="E16" s="856"/>
      <c r="F16" s="856"/>
      <c r="G16" s="856"/>
      <c r="H16" s="856"/>
      <c r="I16" s="856"/>
      <c r="J16" s="856"/>
      <c r="K16" s="856"/>
      <c r="L16" s="856"/>
      <c r="M16" s="856"/>
      <c r="N16" s="856"/>
      <c r="S16" s="855" t="s">
        <v>908</v>
      </c>
      <c r="T16" s="855"/>
      <c r="U16" s="855"/>
      <c r="V16" s="855"/>
      <c r="W16" s="855"/>
      <c r="X16" s="855"/>
      <c r="Y16" s="855"/>
      <c r="Z16" s="855"/>
      <c r="AA16" s="855"/>
      <c r="AB16" s="855"/>
      <c r="AC16" s="855"/>
      <c r="AE16" s="855" t="s">
        <v>917</v>
      </c>
      <c r="AF16" s="855"/>
      <c r="AG16" s="855"/>
      <c r="AH16" s="855"/>
      <c r="AI16" s="855"/>
      <c r="AJ16" s="855"/>
      <c r="AK16" s="855"/>
      <c r="AL16" s="855"/>
      <c r="AM16" s="855"/>
      <c r="AN16" s="855"/>
      <c r="AO16" s="855"/>
    </row>
  </sheetData>
  <sheetProtection algorithmName="SHA-512" hashValue="nX3nny4m8L2A9TGHtqOuOQqrsCjgpHGgRuJ2N7hmbDm/MVIkJdaIQSLNkfjxANMmRtUyN107/trgspNOOFOSGg==" saltValue="N8YUg1w9KZwGN3iCD68+mw==" spinCount="100000" sheet="1" objects="1" scenarios="1" autoFilter="0"/>
  <mergeCells count="3">
    <mergeCell ref="S16:AC16"/>
    <mergeCell ref="A16:N16"/>
    <mergeCell ref="AE16:AO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>
    <tabColor theme="7" tint="0.59999389629810485"/>
  </sheetPr>
  <dimension ref="A1:O60"/>
  <sheetViews>
    <sheetView topLeftCell="B1" workbookViewId="0"/>
  </sheetViews>
  <sheetFormatPr defaultRowHeight="15" x14ac:dyDescent="0.25"/>
  <cols>
    <col min="1" max="1" width="16.7109375" hidden="1" customWidth="1"/>
    <col min="2" max="2" width="9.7109375" customWidth="1"/>
    <col min="11" max="11" width="12.5703125" customWidth="1"/>
    <col min="12" max="12" width="10.28515625" style="354" bestFit="1" customWidth="1"/>
  </cols>
  <sheetData>
    <row r="1" spans="1:15" ht="15.6" x14ac:dyDescent="0.3">
      <c r="B1" s="39" t="s">
        <v>924</v>
      </c>
      <c r="K1" t="s">
        <v>925</v>
      </c>
    </row>
    <row r="3" spans="1:15" ht="14.45" x14ac:dyDescent="0.3">
      <c r="B3" s="40" t="s">
        <v>926</v>
      </c>
      <c r="C3" s="41" t="s">
        <v>187</v>
      </c>
      <c r="D3" s="41" t="s">
        <v>214</v>
      </c>
      <c r="E3" s="41" t="s">
        <v>233</v>
      </c>
      <c r="F3" s="41" t="s">
        <v>242</v>
      </c>
      <c r="G3" s="41" t="s">
        <v>250</v>
      </c>
      <c r="H3" s="41" t="s">
        <v>258</v>
      </c>
      <c r="I3" s="41" t="s">
        <v>265</v>
      </c>
      <c r="K3" s="857" t="s">
        <v>927</v>
      </c>
      <c r="L3" s="858"/>
      <c r="N3" s="857" t="s">
        <v>3</v>
      </c>
      <c r="O3" s="858"/>
    </row>
    <row r="4" spans="1:15" ht="14.45" x14ac:dyDescent="0.3">
      <c r="A4" t="s">
        <v>928</v>
      </c>
      <c r="B4" s="42" t="s">
        <v>186</v>
      </c>
      <c r="C4" s="422">
        <v>1775</v>
      </c>
      <c r="D4" s="422">
        <v>1625</v>
      </c>
      <c r="E4" s="422">
        <v>1525</v>
      </c>
      <c r="F4" s="422">
        <v>1375</v>
      </c>
      <c r="G4" s="422">
        <v>1325</v>
      </c>
      <c r="H4" s="422"/>
      <c r="I4" s="422"/>
      <c r="K4" s="423" t="s">
        <v>929</v>
      </c>
      <c r="L4" s="290">
        <v>0</v>
      </c>
      <c r="N4" s="423" t="s">
        <v>22</v>
      </c>
      <c r="O4" s="290">
        <v>0</v>
      </c>
    </row>
    <row r="5" spans="1:15" ht="14.45" x14ac:dyDescent="0.3">
      <c r="A5" t="s">
        <v>930</v>
      </c>
      <c r="B5" s="42" t="s">
        <v>213</v>
      </c>
      <c r="C5" s="422">
        <v>1525</v>
      </c>
      <c r="D5" s="422">
        <v>1475</v>
      </c>
      <c r="E5" s="422">
        <v>1425</v>
      </c>
      <c r="F5" s="422">
        <v>1325</v>
      </c>
      <c r="G5" s="422">
        <v>1275</v>
      </c>
      <c r="H5" s="422"/>
      <c r="I5" s="422"/>
      <c r="K5" s="423" t="s">
        <v>931</v>
      </c>
      <c r="L5" s="290">
        <v>-2.5000000000000001E-2</v>
      </c>
      <c r="N5" s="423" t="s">
        <v>36</v>
      </c>
      <c r="O5" s="290">
        <v>0</v>
      </c>
    </row>
    <row r="6" spans="1:15" ht="14.45" x14ac:dyDescent="0.3">
      <c r="A6" t="s">
        <v>932</v>
      </c>
      <c r="B6" s="42" t="s">
        <v>232</v>
      </c>
      <c r="C6" s="422">
        <v>1475</v>
      </c>
      <c r="D6" s="422">
        <v>1425</v>
      </c>
      <c r="E6" s="422">
        <v>1375</v>
      </c>
      <c r="F6" s="422">
        <v>1275</v>
      </c>
      <c r="G6" s="422">
        <v>1225</v>
      </c>
      <c r="H6" s="422"/>
      <c r="I6" s="422"/>
      <c r="K6" s="423" t="s">
        <v>933</v>
      </c>
      <c r="L6" s="290">
        <v>-2.5000000000000001E-2</v>
      </c>
      <c r="N6" s="423" t="s">
        <v>58</v>
      </c>
      <c r="O6" s="290">
        <v>-0.05</v>
      </c>
    </row>
    <row r="7" spans="1:15" ht="14.45" x14ac:dyDescent="0.3">
      <c r="A7" t="s">
        <v>934</v>
      </c>
      <c r="B7" s="42" t="s">
        <v>215</v>
      </c>
      <c r="C7" s="422">
        <v>1375</v>
      </c>
      <c r="D7" s="422">
        <v>1325</v>
      </c>
      <c r="E7" s="422">
        <v>1275</v>
      </c>
      <c r="F7" s="422">
        <v>1225</v>
      </c>
      <c r="G7" s="422">
        <v>1175</v>
      </c>
      <c r="H7" s="422"/>
      <c r="I7" s="422"/>
      <c r="K7" s="423" t="s">
        <v>935</v>
      </c>
      <c r="L7" s="290">
        <v>-0.05</v>
      </c>
      <c r="N7" s="423" t="s">
        <v>69</v>
      </c>
      <c r="O7" s="290">
        <v>-0.1</v>
      </c>
    </row>
    <row r="8" spans="1:15" ht="14.45" x14ac:dyDescent="0.3">
      <c r="A8" t="s">
        <v>936</v>
      </c>
      <c r="B8" s="42" t="s">
        <v>249</v>
      </c>
      <c r="C8" s="422">
        <v>1325</v>
      </c>
      <c r="D8" s="422">
        <v>1275</v>
      </c>
      <c r="E8" s="422">
        <v>1225</v>
      </c>
      <c r="F8" s="422">
        <v>1175</v>
      </c>
      <c r="G8" s="422">
        <v>1125</v>
      </c>
      <c r="H8" s="422"/>
      <c r="I8" s="422"/>
      <c r="K8" s="424" t="s">
        <v>937</v>
      </c>
      <c r="L8" s="290">
        <v>-0.05</v>
      </c>
    </row>
    <row r="9" spans="1:15" ht="14.45" x14ac:dyDescent="0.3">
      <c r="A9" t="s">
        <v>938</v>
      </c>
      <c r="B9" s="42" t="s">
        <v>257</v>
      </c>
      <c r="C9" s="422"/>
      <c r="D9" s="422"/>
      <c r="E9" s="422"/>
      <c r="F9" s="422"/>
      <c r="G9" s="422"/>
      <c r="H9" s="422"/>
      <c r="I9" s="422"/>
      <c r="K9" s="424" t="s">
        <v>939</v>
      </c>
      <c r="L9" s="290">
        <v>-0.05</v>
      </c>
    </row>
    <row r="10" spans="1:15" ht="14.45" x14ac:dyDescent="0.3">
      <c r="C10" s="13"/>
      <c r="D10" s="13"/>
      <c r="E10" s="13"/>
      <c r="F10" s="13"/>
      <c r="G10" s="13"/>
      <c r="H10" s="13"/>
      <c r="I10" s="13"/>
      <c r="K10" s="424" t="s">
        <v>940</v>
      </c>
      <c r="L10" s="290">
        <v>-0.05</v>
      </c>
    </row>
    <row r="11" spans="1:15" ht="14.45" x14ac:dyDescent="0.3">
      <c r="B11" s="40" t="s">
        <v>941</v>
      </c>
      <c r="C11" s="425" t="s">
        <v>187</v>
      </c>
      <c r="D11" s="425" t="s">
        <v>214</v>
      </c>
      <c r="E11" s="425" t="s">
        <v>233</v>
      </c>
      <c r="F11" s="425" t="s">
        <v>242</v>
      </c>
      <c r="G11" s="426" t="s">
        <v>250</v>
      </c>
      <c r="H11" s="425" t="s">
        <v>258</v>
      </c>
      <c r="I11" s="425" t="s">
        <v>265</v>
      </c>
      <c r="K11" s="424" t="s">
        <v>942</v>
      </c>
      <c r="L11" s="290">
        <v>-0.05</v>
      </c>
    </row>
    <row r="12" spans="1:15" ht="14.45" x14ac:dyDescent="0.3">
      <c r="A12" t="s">
        <v>943</v>
      </c>
      <c r="B12" s="42" t="s">
        <v>186</v>
      </c>
      <c r="C12" s="422">
        <v>1825</v>
      </c>
      <c r="D12" s="422">
        <v>1675</v>
      </c>
      <c r="E12" s="422">
        <v>1575</v>
      </c>
      <c r="F12" s="422">
        <v>1425</v>
      </c>
      <c r="G12" s="422">
        <v>1375</v>
      </c>
      <c r="H12" s="422"/>
      <c r="I12" s="422"/>
    </row>
    <row r="13" spans="1:15" ht="14.45" x14ac:dyDescent="0.3">
      <c r="A13" t="s">
        <v>944</v>
      </c>
      <c r="B13" s="42" t="s">
        <v>213</v>
      </c>
      <c r="C13" s="422">
        <v>1575</v>
      </c>
      <c r="D13" s="422">
        <v>1525</v>
      </c>
      <c r="E13" s="422">
        <v>1475</v>
      </c>
      <c r="F13" s="422">
        <v>1375</v>
      </c>
      <c r="G13" s="422">
        <v>1325</v>
      </c>
      <c r="H13" s="422"/>
      <c r="I13" s="422"/>
      <c r="L13" s="310"/>
    </row>
    <row r="14" spans="1:15" ht="14.45" x14ac:dyDescent="0.3">
      <c r="A14" t="s">
        <v>945</v>
      </c>
      <c r="B14" s="42" t="s">
        <v>232</v>
      </c>
      <c r="C14" s="422">
        <v>1525</v>
      </c>
      <c r="D14" s="422">
        <v>1475</v>
      </c>
      <c r="E14" s="422">
        <v>1425</v>
      </c>
      <c r="F14" s="422">
        <v>1325</v>
      </c>
      <c r="G14" s="422">
        <v>1275</v>
      </c>
      <c r="H14" s="422"/>
      <c r="I14" s="422"/>
    </row>
    <row r="15" spans="1:15" ht="14.45" x14ac:dyDescent="0.3">
      <c r="A15" t="s">
        <v>946</v>
      </c>
      <c r="B15" s="42" t="s">
        <v>215</v>
      </c>
      <c r="C15" s="422">
        <v>1425</v>
      </c>
      <c r="D15" s="422">
        <v>1375</v>
      </c>
      <c r="E15" s="422">
        <v>1325</v>
      </c>
      <c r="F15" s="422">
        <v>1275</v>
      </c>
      <c r="G15" s="422">
        <v>1225</v>
      </c>
      <c r="H15" s="422"/>
      <c r="I15" s="422"/>
    </row>
    <row r="16" spans="1:15" ht="14.45" x14ac:dyDescent="0.3">
      <c r="A16" t="s">
        <v>947</v>
      </c>
      <c r="B16" s="42" t="s">
        <v>249</v>
      </c>
      <c r="C16" s="422">
        <v>1375</v>
      </c>
      <c r="D16" s="422">
        <v>1325</v>
      </c>
      <c r="E16" s="422">
        <v>1275</v>
      </c>
      <c r="F16" s="422">
        <v>1225</v>
      </c>
      <c r="G16" s="422">
        <v>1175</v>
      </c>
      <c r="H16" s="422"/>
      <c r="I16" s="422"/>
    </row>
    <row r="17" spans="1:9" ht="14.45" x14ac:dyDescent="0.3">
      <c r="A17" t="s">
        <v>948</v>
      </c>
      <c r="B17" s="42" t="s">
        <v>257</v>
      </c>
      <c r="C17" s="422"/>
      <c r="D17" s="422"/>
      <c r="E17" s="422"/>
      <c r="F17" s="422"/>
      <c r="G17" s="422"/>
      <c r="H17" s="422"/>
      <c r="I17" s="422"/>
    </row>
    <row r="18" spans="1:9" ht="14.45" x14ac:dyDescent="0.3">
      <c r="C18" s="13"/>
      <c r="D18" s="13"/>
      <c r="E18" s="13"/>
      <c r="F18" s="13"/>
      <c r="G18" s="13"/>
      <c r="H18" s="13"/>
      <c r="I18" s="13"/>
    </row>
    <row r="19" spans="1:9" ht="14.45" x14ac:dyDescent="0.3">
      <c r="B19" s="40" t="s">
        <v>949</v>
      </c>
      <c r="C19" s="425" t="s">
        <v>187</v>
      </c>
      <c r="D19" s="425" t="s">
        <v>214</v>
      </c>
      <c r="E19" s="425" t="s">
        <v>233</v>
      </c>
      <c r="F19" s="425" t="s">
        <v>242</v>
      </c>
      <c r="G19" s="425" t="s">
        <v>250</v>
      </c>
      <c r="H19" s="425" t="s">
        <v>258</v>
      </c>
      <c r="I19" s="425" t="s">
        <v>265</v>
      </c>
    </row>
    <row r="20" spans="1:9" ht="14.45" x14ac:dyDescent="0.3">
      <c r="A20" t="s">
        <v>950</v>
      </c>
      <c r="B20" s="42" t="s">
        <v>186</v>
      </c>
      <c r="C20" s="422">
        <v>1975</v>
      </c>
      <c r="D20" s="422">
        <v>1700</v>
      </c>
      <c r="E20" s="422">
        <v>1600</v>
      </c>
      <c r="F20" s="422">
        <v>1525</v>
      </c>
      <c r="G20" s="422">
        <v>1475</v>
      </c>
      <c r="H20" s="422"/>
      <c r="I20" s="422"/>
    </row>
    <row r="21" spans="1:9" ht="14.45" x14ac:dyDescent="0.3">
      <c r="A21" t="s">
        <v>951</v>
      </c>
      <c r="B21" s="42" t="s">
        <v>213</v>
      </c>
      <c r="C21" s="422">
        <v>1625</v>
      </c>
      <c r="D21" s="422">
        <v>1575</v>
      </c>
      <c r="E21" s="422">
        <v>1525</v>
      </c>
      <c r="F21" s="422">
        <v>1475</v>
      </c>
      <c r="G21" s="422">
        <v>1425</v>
      </c>
      <c r="H21" s="422"/>
      <c r="I21" s="422"/>
    </row>
    <row r="22" spans="1:9" ht="14.45" x14ac:dyDescent="0.3">
      <c r="A22" t="s">
        <v>952</v>
      </c>
      <c r="B22" s="42" t="s">
        <v>232</v>
      </c>
      <c r="C22" s="422">
        <v>1625</v>
      </c>
      <c r="D22" s="422">
        <v>1525</v>
      </c>
      <c r="E22" s="422">
        <v>1475</v>
      </c>
      <c r="F22" s="422">
        <v>1425</v>
      </c>
      <c r="G22" s="422">
        <v>1375</v>
      </c>
      <c r="H22" s="422"/>
      <c r="I22" s="422"/>
    </row>
    <row r="23" spans="1:9" ht="14.45" x14ac:dyDescent="0.3">
      <c r="A23" t="s">
        <v>953</v>
      </c>
      <c r="B23" s="42" t="s">
        <v>215</v>
      </c>
      <c r="C23" s="422">
        <v>1525</v>
      </c>
      <c r="D23" s="422">
        <v>1475</v>
      </c>
      <c r="E23" s="422">
        <v>1425</v>
      </c>
      <c r="F23" s="422">
        <v>1325</v>
      </c>
      <c r="G23" s="422">
        <v>1275</v>
      </c>
      <c r="H23" s="422"/>
      <c r="I23" s="422"/>
    </row>
    <row r="24" spans="1:9" ht="14.45" x14ac:dyDescent="0.3">
      <c r="A24" t="s">
        <v>954</v>
      </c>
      <c r="B24" s="42" t="s">
        <v>249</v>
      </c>
      <c r="C24" s="422">
        <v>1425</v>
      </c>
      <c r="D24" s="422">
        <v>1375</v>
      </c>
      <c r="E24" s="422">
        <v>1325</v>
      </c>
      <c r="F24" s="422">
        <v>1275</v>
      </c>
      <c r="G24" s="422">
        <v>1225</v>
      </c>
      <c r="H24" s="422"/>
      <c r="I24" s="422"/>
    </row>
    <row r="25" spans="1:9" ht="14.45" x14ac:dyDescent="0.3">
      <c r="A25" t="s">
        <v>955</v>
      </c>
      <c r="B25" s="42" t="s">
        <v>257</v>
      </c>
      <c r="C25" s="422"/>
      <c r="D25" s="422"/>
      <c r="E25" s="422"/>
      <c r="F25" s="422"/>
      <c r="G25" s="422"/>
      <c r="H25" s="422"/>
      <c r="I25" s="422"/>
    </row>
    <row r="26" spans="1:9" ht="14.45" x14ac:dyDescent="0.3">
      <c r="C26" s="13"/>
      <c r="D26" s="13"/>
      <c r="E26" s="13"/>
      <c r="F26" s="13"/>
      <c r="G26" s="13"/>
      <c r="H26" s="13"/>
      <c r="I26" s="13"/>
    </row>
    <row r="27" spans="1:9" ht="14.45" x14ac:dyDescent="0.3">
      <c r="B27" s="40" t="s">
        <v>956</v>
      </c>
      <c r="C27" s="425" t="s">
        <v>187</v>
      </c>
      <c r="D27" s="425" t="s">
        <v>214</v>
      </c>
      <c r="E27" s="425" t="s">
        <v>233</v>
      </c>
      <c r="F27" s="425" t="s">
        <v>242</v>
      </c>
      <c r="G27" s="425" t="s">
        <v>250</v>
      </c>
      <c r="H27" s="425" t="s">
        <v>258</v>
      </c>
      <c r="I27" s="425" t="s">
        <v>265</v>
      </c>
    </row>
    <row r="28" spans="1:9" x14ac:dyDescent="0.25">
      <c r="A28" t="s">
        <v>957</v>
      </c>
      <c r="B28" s="42" t="s">
        <v>186</v>
      </c>
      <c r="C28" s="422">
        <v>2025</v>
      </c>
      <c r="D28" s="422">
        <v>1750</v>
      </c>
      <c r="E28" s="422">
        <v>1650</v>
      </c>
      <c r="F28" s="422">
        <v>1575</v>
      </c>
      <c r="G28" s="422">
        <v>1525</v>
      </c>
      <c r="H28" s="422"/>
      <c r="I28" s="422"/>
    </row>
    <row r="29" spans="1:9" x14ac:dyDescent="0.25">
      <c r="A29" t="s">
        <v>958</v>
      </c>
      <c r="B29" s="42" t="s">
        <v>213</v>
      </c>
      <c r="C29" s="422">
        <v>1675</v>
      </c>
      <c r="D29" s="422">
        <v>1625</v>
      </c>
      <c r="E29" s="422">
        <v>1575</v>
      </c>
      <c r="F29" s="422">
        <v>1525</v>
      </c>
      <c r="G29" s="422">
        <v>1475</v>
      </c>
      <c r="H29" s="422"/>
      <c r="I29" s="422"/>
    </row>
    <row r="30" spans="1:9" x14ac:dyDescent="0.25">
      <c r="A30" t="s">
        <v>959</v>
      </c>
      <c r="B30" s="42" t="s">
        <v>232</v>
      </c>
      <c r="C30" s="422">
        <v>1675</v>
      </c>
      <c r="D30" s="422">
        <v>1575</v>
      </c>
      <c r="E30" s="422">
        <v>1525</v>
      </c>
      <c r="F30" s="422">
        <v>1475</v>
      </c>
      <c r="G30" s="422">
        <v>1425</v>
      </c>
      <c r="H30" s="422"/>
      <c r="I30" s="422"/>
    </row>
    <row r="31" spans="1:9" x14ac:dyDescent="0.25">
      <c r="A31" t="s">
        <v>960</v>
      </c>
      <c r="B31" s="42" t="s">
        <v>215</v>
      </c>
      <c r="C31" s="422">
        <v>1575</v>
      </c>
      <c r="D31" s="422">
        <v>1525</v>
      </c>
      <c r="E31" s="422">
        <v>1475</v>
      </c>
      <c r="F31" s="422">
        <v>1375</v>
      </c>
      <c r="G31" s="422">
        <v>1325</v>
      </c>
      <c r="H31" s="422"/>
      <c r="I31" s="422"/>
    </row>
    <row r="32" spans="1:9" x14ac:dyDescent="0.25">
      <c r="A32" t="s">
        <v>961</v>
      </c>
      <c r="B32" s="42" t="s">
        <v>249</v>
      </c>
      <c r="C32" s="422">
        <v>1475</v>
      </c>
      <c r="D32" s="422">
        <v>1425</v>
      </c>
      <c r="E32" s="422">
        <v>1375</v>
      </c>
      <c r="F32" s="422">
        <v>1325</v>
      </c>
      <c r="G32" s="422">
        <v>1275</v>
      </c>
      <c r="H32" s="422"/>
      <c r="I32" s="422"/>
    </row>
    <row r="33" spans="1:9" x14ac:dyDescent="0.25">
      <c r="A33" t="s">
        <v>962</v>
      </c>
      <c r="B33" s="42" t="s">
        <v>257</v>
      </c>
      <c r="C33" s="422"/>
      <c r="D33" s="422"/>
      <c r="E33" s="422"/>
      <c r="F33" s="422"/>
      <c r="G33" s="422"/>
      <c r="H33" s="422"/>
      <c r="I33" s="422"/>
    </row>
    <row r="34" spans="1:9" x14ac:dyDescent="0.25">
      <c r="C34" s="13"/>
      <c r="D34" s="13"/>
      <c r="E34" s="13"/>
      <c r="F34" s="13"/>
      <c r="G34" s="13"/>
      <c r="H34" s="13"/>
      <c r="I34" s="13"/>
    </row>
    <row r="35" spans="1:9" x14ac:dyDescent="0.25">
      <c r="C35" s="13"/>
      <c r="D35" s="13"/>
      <c r="E35" s="13"/>
      <c r="F35" s="13"/>
      <c r="G35" s="13"/>
      <c r="H35" s="13"/>
      <c r="I35" s="13"/>
    </row>
    <row r="36" spans="1:9" x14ac:dyDescent="0.25">
      <c r="C36" s="13"/>
      <c r="D36" s="13"/>
      <c r="E36" s="13"/>
      <c r="F36" s="13"/>
      <c r="G36" s="13"/>
      <c r="H36" s="13"/>
      <c r="I36" s="13"/>
    </row>
    <row r="37" spans="1:9" x14ac:dyDescent="0.25">
      <c r="C37" s="13"/>
      <c r="D37" s="13"/>
      <c r="E37" s="13"/>
      <c r="F37" s="13"/>
      <c r="G37" s="13"/>
      <c r="H37" s="13"/>
      <c r="I37" s="13"/>
    </row>
    <row r="38" spans="1:9" x14ac:dyDescent="0.25">
      <c r="C38" s="13"/>
      <c r="D38" s="13"/>
      <c r="E38" s="13"/>
      <c r="F38" s="13"/>
      <c r="G38" s="13"/>
      <c r="H38" s="13"/>
      <c r="I38" s="13"/>
    </row>
    <row r="39" spans="1:9" x14ac:dyDescent="0.25">
      <c r="C39" s="13"/>
      <c r="D39" s="13"/>
      <c r="E39" s="13"/>
      <c r="F39" s="13"/>
      <c r="G39" s="13"/>
      <c r="H39" s="13"/>
      <c r="I39" s="13"/>
    </row>
    <row r="40" spans="1:9" x14ac:dyDescent="0.25">
      <c r="C40" s="13"/>
      <c r="D40" s="13"/>
      <c r="E40" s="13"/>
      <c r="F40" s="13"/>
      <c r="G40" s="13"/>
      <c r="H40" s="13"/>
      <c r="I40" s="13"/>
    </row>
    <row r="41" spans="1:9" x14ac:dyDescent="0.25">
      <c r="C41" s="13"/>
      <c r="D41" s="13"/>
      <c r="E41" s="13"/>
      <c r="F41" s="13"/>
      <c r="G41" s="13"/>
      <c r="H41" s="13"/>
      <c r="I41" s="13"/>
    </row>
    <row r="42" spans="1:9" x14ac:dyDescent="0.25">
      <c r="C42" s="13"/>
      <c r="D42" s="13"/>
      <c r="E42" s="13"/>
      <c r="F42" s="13"/>
      <c r="G42" s="13"/>
      <c r="H42" s="13"/>
      <c r="I42" s="13"/>
    </row>
    <row r="43" spans="1:9" x14ac:dyDescent="0.25">
      <c r="C43" s="13"/>
      <c r="D43" s="13"/>
      <c r="E43" s="13"/>
      <c r="F43" s="13"/>
      <c r="G43" s="13"/>
      <c r="H43" s="13"/>
      <c r="I43" s="13"/>
    </row>
    <row r="44" spans="1:9" x14ac:dyDescent="0.25">
      <c r="C44" s="13"/>
      <c r="D44" s="13"/>
      <c r="E44" s="13"/>
      <c r="F44" s="13"/>
      <c r="G44" s="13"/>
      <c r="H44" s="13"/>
      <c r="I44" s="13"/>
    </row>
    <row r="45" spans="1:9" x14ac:dyDescent="0.25">
      <c r="C45" s="13"/>
      <c r="D45" s="13"/>
      <c r="E45" s="13"/>
      <c r="F45" s="13"/>
      <c r="G45" s="13"/>
      <c r="H45" s="13"/>
      <c r="I45" s="13"/>
    </row>
    <row r="46" spans="1:9" x14ac:dyDescent="0.25">
      <c r="C46" s="13"/>
      <c r="D46" s="13"/>
      <c r="E46" s="13"/>
      <c r="F46" s="13"/>
      <c r="G46" s="13"/>
      <c r="H46" s="13"/>
      <c r="I46" s="13"/>
    </row>
    <row r="47" spans="1:9" x14ac:dyDescent="0.25">
      <c r="C47" s="13"/>
      <c r="D47" s="13"/>
      <c r="E47" s="13"/>
      <c r="F47" s="13"/>
      <c r="G47" s="13"/>
      <c r="H47" s="13"/>
      <c r="I47" s="13"/>
    </row>
    <row r="48" spans="1:9" x14ac:dyDescent="0.25">
      <c r="C48" s="13"/>
      <c r="D48" s="13"/>
      <c r="E48" s="13"/>
      <c r="F48" s="13"/>
      <c r="G48" s="13"/>
      <c r="H48" s="13"/>
      <c r="I48" s="13"/>
    </row>
    <row r="49" spans="3:9" x14ac:dyDescent="0.25">
      <c r="C49" s="13"/>
      <c r="D49" s="13"/>
      <c r="E49" s="13"/>
      <c r="F49" s="13"/>
      <c r="G49" s="13"/>
      <c r="H49" s="13"/>
      <c r="I49" s="13"/>
    </row>
    <row r="50" spans="3:9" x14ac:dyDescent="0.25">
      <c r="C50" s="13"/>
      <c r="D50" s="13"/>
      <c r="E50" s="13"/>
      <c r="F50" s="13"/>
      <c r="G50" s="13"/>
      <c r="H50" s="13"/>
      <c r="I50" s="13"/>
    </row>
    <row r="51" spans="3:9" x14ac:dyDescent="0.25">
      <c r="C51" s="13"/>
      <c r="D51" s="13"/>
      <c r="E51" s="13"/>
      <c r="F51" s="13"/>
      <c r="G51" s="13"/>
      <c r="H51" s="13"/>
      <c r="I51" s="13"/>
    </row>
    <row r="52" spans="3:9" x14ac:dyDescent="0.25">
      <c r="C52" s="13"/>
      <c r="D52" s="13"/>
      <c r="E52" s="13"/>
      <c r="F52" s="13"/>
      <c r="G52" s="13"/>
      <c r="H52" s="13"/>
      <c r="I52" s="13"/>
    </row>
    <row r="53" spans="3:9" x14ac:dyDescent="0.25">
      <c r="C53" s="13"/>
      <c r="D53" s="13"/>
      <c r="E53" s="13"/>
      <c r="F53" s="13"/>
      <c r="G53" s="13"/>
      <c r="H53" s="13"/>
      <c r="I53" s="13"/>
    </row>
    <row r="54" spans="3:9" x14ac:dyDescent="0.25">
      <c r="C54" s="13"/>
      <c r="D54" s="13"/>
      <c r="E54" s="13"/>
      <c r="F54" s="13"/>
      <c r="G54" s="13"/>
      <c r="H54" s="13"/>
      <c r="I54" s="13"/>
    </row>
    <row r="55" spans="3:9" x14ac:dyDescent="0.25">
      <c r="C55" s="13"/>
      <c r="D55" s="13"/>
      <c r="E55" s="13"/>
      <c r="F55" s="13"/>
      <c r="G55" s="13"/>
      <c r="H55" s="13"/>
      <c r="I55" s="13"/>
    </row>
    <row r="56" spans="3:9" x14ac:dyDescent="0.25">
      <c r="C56" s="13"/>
      <c r="D56" s="13"/>
      <c r="E56" s="13"/>
      <c r="F56" s="13"/>
      <c r="G56" s="13"/>
      <c r="H56" s="13"/>
      <c r="I56" s="13"/>
    </row>
    <row r="57" spans="3:9" x14ac:dyDescent="0.25">
      <c r="C57" s="13"/>
      <c r="D57" s="13"/>
      <c r="E57" s="13"/>
      <c r="F57" s="13"/>
      <c r="G57" s="13"/>
      <c r="H57" s="13"/>
      <c r="I57" s="13"/>
    </row>
    <row r="58" spans="3:9" x14ac:dyDescent="0.25">
      <c r="C58" s="13"/>
      <c r="D58" s="13"/>
      <c r="E58" s="13"/>
      <c r="F58" s="13"/>
      <c r="G58" s="13"/>
      <c r="H58" s="13"/>
      <c r="I58" s="13"/>
    </row>
    <row r="59" spans="3:9" x14ac:dyDescent="0.25">
      <c r="C59" s="13"/>
      <c r="D59" s="13"/>
      <c r="E59" s="13"/>
      <c r="F59" s="13"/>
      <c r="G59" s="13"/>
      <c r="H59" s="13"/>
      <c r="I59" s="13"/>
    </row>
    <row r="60" spans="3:9" x14ac:dyDescent="0.25">
      <c r="C60" s="13"/>
      <c r="D60" s="13"/>
      <c r="E60" s="13"/>
      <c r="F60" s="13"/>
      <c r="G60" s="13"/>
      <c r="H60" s="13"/>
      <c r="I60" s="13"/>
    </row>
  </sheetData>
  <sheetProtection algorithmName="SHA-512" hashValue="x+hd5y3aR+DyxRYp83xo9UNPCCMMHO+ctde4eMs7uaQJxRJw4xmAGlYkHxurB4YnVyzMkN+FzOsy9o+USnm5HQ==" saltValue="avll3VvGTVnGGMeadBoDmQ==" spinCount="100000" sheet="1" objects="1" scenarios="1" autoFilter="0"/>
  <mergeCells count="2">
    <mergeCell ref="K3:L3"/>
    <mergeCell ref="N3:O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2:G411"/>
  <sheetViews>
    <sheetView topLeftCell="B1" workbookViewId="0"/>
  </sheetViews>
  <sheetFormatPr defaultColWidth="9.28515625" defaultRowHeight="12" x14ac:dyDescent="0.2"/>
  <cols>
    <col min="1" max="1" width="20.7109375" style="43" hidden="1" customWidth="1"/>
    <col min="2" max="2" width="13.28515625" style="43" customWidth="1"/>
    <col min="3" max="3" width="10.42578125" style="43" bestFit="1" customWidth="1"/>
    <col min="4" max="4" width="12.42578125" style="43" customWidth="1"/>
    <col min="5" max="8" width="9.28515625" style="43"/>
    <col min="9" max="9" width="14.42578125" style="43" customWidth="1"/>
    <col min="10" max="16384" width="9.28515625" style="43"/>
  </cols>
  <sheetData>
    <row r="2" spans="1:7" x14ac:dyDescent="0.25">
      <c r="E2" s="859"/>
      <c r="F2" s="859"/>
      <c r="G2" s="859"/>
    </row>
    <row r="3" spans="1:7" ht="13.9" x14ac:dyDescent="0.25">
      <c r="B3" s="44" t="s">
        <v>346</v>
      </c>
      <c r="C3" s="45" t="s">
        <v>347</v>
      </c>
      <c r="D3" s="46" t="s">
        <v>348</v>
      </c>
      <c r="E3" s="44" t="s">
        <v>188</v>
      </c>
      <c r="F3" s="45" t="s">
        <v>202</v>
      </c>
      <c r="G3" s="46" t="s">
        <v>215</v>
      </c>
    </row>
    <row r="4" spans="1:7" ht="13.9" x14ac:dyDescent="0.3">
      <c r="A4" s="43" t="str">
        <f>SUBSTITUTE(B4," ","/")&amp;"/"&amp;C4</f>
        <v>DF/VVS/0.180-0.188</v>
      </c>
      <c r="B4" s="47" t="s">
        <v>349</v>
      </c>
      <c r="C4" s="47" t="s">
        <v>350</v>
      </c>
      <c r="D4" s="47" t="s">
        <v>351</v>
      </c>
      <c r="E4" s="47">
        <v>1150</v>
      </c>
      <c r="F4" s="47">
        <v>1080</v>
      </c>
      <c r="G4" s="47">
        <v>972</v>
      </c>
    </row>
    <row r="5" spans="1:7" ht="13.9" x14ac:dyDescent="0.3">
      <c r="A5" s="43" t="str">
        <f t="shared" ref="A5:A68" si="0">SUBSTITUTE(B5," ","/")&amp;"/"&amp;C5</f>
        <v>DF/VS1/0.180-0.188</v>
      </c>
      <c r="B5" s="47" t="s">
        <v>352</v>
      </c>
      <c r="C5" s="47" t="s">
        <v>350</v>
      </c>
      <c r="D5" s="47" t="s">
        <v>353</v>
      </c>
      <c r="E5" s="47">
        <v>1000</v>
      </c>
      <c r="F5" s="47">
        <v>945</v>
      </c>
      <c r="G5" s="47">
        <v>850</v>
      </c>
    </row>
    <row r="6" spans="1:7" ht="13.9" x14ac:dyDescent="0.3">
      <c r="A6" s="43" t="str">
        <f t="shared" si="0"/>
        <v>DF/VS2/0.180-0.188</v>
      </c>
      <c r="B6" s="47" t="s">
        <v>354</v>
      </c>
      <c r="C6" s="47" t="s">
        <v>350</v>
      </c>
      <c r="D6" s="47" t="s">
        <v>355</v>
      </c>
      <c r="E6" s="47">
        <v>900</v>
      </c>
      <c r="F6" s="47">
        <v>810</v>
      </c>
      <c r="G6" s="47">
        <v>729</v>
      </c>
    </row>
    <row r="7" spans="1:7" ht="13.9" x14ac:dyDescent="0.3">
      <c r="A7" s="43" t="str">
        <f t="shared" si="0"/>
        <v>GH/VVS/0.180-0.188</v>
      </c>
      <c r="B7" s="47" t="s">
        <v>356</v>
      </c>
      <c r="C7" s="47" t="s">
        <v>350</v>
      </c>
      <c r="D7" s="47" t="s">
        <v>357</v>
      </c>
      <c r="E7" s="47">
        <v>1050</v>
      </c>
      <c r="F7" s="47">
        <v>990</v>
      </c>
      <c r="G7" s="47">
        <v>891</v>
      </c>
    </row>
    <row r="8" spans="1:7" ht="13.9" x14ac:dyDescent="0.3">
      <c r="A8" s="43" t="str">
        <f t="shared" si="0"/>
        <v>GH/VS1/0.180-0.188</v>
      </c>
      <c r="B8" s="47" t="s">
        <v>358</v>
      </c>
      <c r="C8" s="47" t="s">
        <v>350</v>
      </c>
      <c r="D8" s="47" t="s">
        <v>359</v>
      </c>
      <c r="E8" s="47">
        <v>900</v>
      </c>
      <c r="F8" s="47">
        <v>855</v>
      </c>
      <c r="G8" s="47">
        <v>765</v>
      </c>
    </row>
    <row r="9" spans="1:7" ht="13.9" x14ac:dyDescent="0.3">
      <c r="A9" s="43" t="str">
        <f t="shared" si="0"/>
        <v>GH/VS2/0.180-0.188</v>
      </c>
      <c r="B9" s="47" t="s">
        <v>360</v>
      </c>
      <c r="C9" s="47" t="s">
        <v>350</v>
      </c>
      <c r="D9" s="47" t="s">
        <v>361</v>
      </c>
      <c r="E9" s="47">
        <v>800</v>
      </c>
      <c r="F9" s="47">
        <v>765</v>
      </c>
      <c r="G9" s="47">
        <v>685</v>
      </c>
    </row>
    <row r="10" spans="1:7" ht="13.9" x14ac:dyDescent="0.3">
      <c r="A10" s="43" t="str">
        <f t="shared" si="0"/>
        <v>IJ/VVS/0.180-0.188</v>
      </c>
      <c r="B10" s="47" t="s">
        <v>362</v>
      </c>
      <c r="C10" s="47" t="s">
        <v>350</v>
      </c>
      <c r="D10" s="47" t="s">
        <v>363</v>
      </c>
      <c r="E10" s="47">
        <v>800</v>
      </c>
      <c r="F10" s="47">
        <v>765</v>
      </c>
      <c r="G10" s="47">
        <v>685</v>
      </c>
    </row>
    <row r="11" spans="1:7" ht="13.9" x14ac:dyDescent="0.3">
      <c r="A11" s="43" t="str">
        <f t="shared" si="0"/>
        <v>IJ/VS1/0.180-0.188</v>
      </c>
      <c r="B11" s="47" t="s">
        <v>364</v>
      </c>
      <c r="C11" s="47" t="s">
        <v>350</v>
      </c>
      <c r="D11" s="47" t="s">
        <v>365</v>
      </c>
      <c r="E11" s="47">
        <v>750</v>
      </c>
      <c r="F11" s="47">
        <v>720</v>
      </c>
      <c r="G11" s="47">
        <v>648</v>
      </c>
    </row>
    <row r="12" spans="1:7" ht="13.9" x14ac:dyDescent="0.3">
      <c r="A12" s="43" t="str">
        <f t="shared" si="0"/>
        <v>IJ/VS2/0.180-0.188</v>
      </c>
      <c r="B12" s="47" t="s">
        <v>366</v>
      </c>
      <c r="C12" s="47" t="s">
        <v>350</v>
      </c>
      <c r="D12" s="47" t="s">
        <v>367</v>
      </c>
      <c r="E12" s="47">
        <v>700</v>
      </c>
      <c r="F12" s="47">
        <v>675</v>
      </c>
      <c r="G12" s="47">
        <v>605</v>
      </c>
    </row>
    <row r="13" spans="1:7" ht="13.9" x14ac:dyDescent="0.3">
      <c r="A13" s="43" t="str">
        <f t="shared" si="0"/>
        <v>DG/SI1/0.180-0.188</v>
      </c>
      <c r="B13" s="47" t="s">
        <v>368</v>
      </c>
      <c r="C13" s="47" t="s">
        <v>350</v>
      </c>
      <c r="D13" s="47" t="s">
        <v>369</v>
      </c>
      <c r="E13" s="47">
        <v>750</v>
      </c>
      <c r="F13" s="47">
        <v>720</v>
      </c>
      <c r="G13" s="47">
        <v>648</v>
      </c>
    </row>
    <row r="14" spans="1:7" ht="13.9" x14ac:dyDescent="0.3">
      <c r="A14" s="43" t="str">
        <f t="shared" si="0"/>
        <v>DG/SI2/0.180-0.188</v>
      </c>
      <c r="B14" s="47" t="s">
        <v>370</v>
      </c>
      <c r="C14" s="47" t="s">
        <v>350</v>
      </c>
      <c r="D14" s="47" t="s">
        <v>371</v>
      </c>
      <c r="E14" s="47">
        <v>650</v>
      </c>
      <c r="F14" s="47">
        <v>630</v>
      </c>
      <c r="G14" s="47">
        <v>567</v>
      </c>
    </row>
    <row r="15" spans="1:7" ht="13.9" x14ac:dyDescent="0.3">
      <c r="A15" s="43" t="str">
        <f t="shared" si="0"/>
        <v>DG/SI3/0.180-0.188</v>
      </c>
      <c r="B15" s="47" t="s">
        <v>372</v>
      </c>
      <c r="C15" s="47" t="s">
        <v>350</v>
      </c>
      <c r="D15" s="47" t="s">
        <v>373</v>
      </c>
      <c r="E15" s="47">
        <v>575</v>
      </c>
      <c r="F15" s="47">
        <v>540</v>
      </c>
      <c r="G15" s="47">
        <v>486</v>
      </c>
    </row>
    <row r="16" spans="1:7" ht="13.9" x14ac:dyDescent="0.3">
      <c r="A16" s="43" t="str">
        <f t="shared" si="0"/>
        <v>HIJ/SI1/0.180-0.188</v>
      </c>
      <c r="B16" s="47" t="s">
        <v>374</v>
      </c>
      <c r="C16" s="47" t="s">
        <v>350</v>
      </c>
      <c r="D16" s="47" t="s">
        <v>375</v>
      </c>
      <c r="E16" s="47">
        <v>660</v>
      </c>
      <c r="F16" s="47">
        <v>630</v>
      </c>
      <c r="G16" s="47">
        <v>567</v>
      </c>
    </row>
    <row r="17" spans="1:7" ht="13.9" x14ac:dyDescent="0.3">
      <c r="A17" s="43" t="str">
        <f t="shared" si="0"/>
        <v>HIJ/SI2/0.180-0.188</v>
      </c>
      <c r="B17" s="47" t="s">
        <v>376</v>
      </c>
      <c r="C17" s="47" t="s">
        <v>350</v>
      </c>
      <c r="D17" s="47" t="s">
        <v>377</v>
      </c>
      <c r="E17" s="47">
        <v>575</v>
      </c>
      <c r="F17" s="47">
        <v>540</v>
      </c>
      <c r="G17" s="47">
        <v>486</v>
      </c>
    </row>
    <row r="18" spans="1:7" ht="13.9" x14ac:dyDescent="0.3">
      <c r="A18" s="43" t="str">
        <f t="shared" si="0"/>
        <v>HIJ/SI3/0.180-0.188</v>
      </c>
      <c r="B18" s="47" t="s">
        <v>378</v>
      </c>
      <c r="C18" s="47" t="s">
        <v>350</v>
      </c>
      <c r="D18" s="47" t="s">
        <v>379</v>
      </c>
      <c r="E18" s="47">
        <v>500</v>
      </c>
      <c r="F18" s="47">
        <v>470</v>
      </c>
      <c r="G18" s="47">
        <v>423</v>
      </c>
    </row>
    <row r="19" spans="1:7" ht="13.9" x14ac:dyDescent="0.3">
      <c r="A19" s="43" t="str">
        <f t="shared" si="0"/>
        <v>KL/VVS-VS1/0.180-0.188</v>
      </c>
      <c r="B19" s="47" t="s">
        <v>380</v>
      </c>
      <c r="C19" s="47" t="s">
        <v>350</v>
      </c>
      <c r="D19" s="47" t="s">
        <v>381</v>
      </c>
      <c r="E19" s="47">
        <v>495</v>
      </c>
      <c r="F19" s="47">
        <v>495</v>
      </c>
      <c r="G19" s="47">
        <v>445</v>
      </c>
    </row>
    <row r="20" spans="1:7" ht="13.9" x14ac:dyDescent="0.3">
      <c r="A20" s="43" t="str">
        <f t="shared" si="0"/>
        <v>MN/VVS-VS1/0.180-0.188</v>
      </c>
      <c r="B20" s="47" t="s">
        <v>382</v>
      </c>
      <c r="C20" s="47" t="s">
        <v>350</v>
      </c>
      <c r="D20" s="47" t="s">
        <v>383</v>
      </c>
      <c r="E20" s="47">
        <v>405</v>
      </c>
      <c r="F20" s="47">
        <v>405</v>
      </c>
      <c r="G20" s="47">
        <v>365</v>
      </c>
    </row>
    <row r="21" spans="1:7" ht="13.9" x14ac:dyDescent="0.3">
      <c r="A21" s="43" t="str">
        <f t="shared" si="0"/>
        <v>O-/IF-VS1/0.180-0.188</v>
      </c>
      <c r="B21" s="47" t="s">
        <v>384</v>
      </c>
      <c r="C21" s="47" t="s">
        <v>350</v>
      </c>
      <c r="D21" s="47" t="s">
        <v>385</v>
      </c>
      <c r="E21" s="47">
        <v>315</v>
      </c>
      <c r="F21" s="47">
        <v>315</v>
      </c>
      <c r="G21" s="47">
        <v>280</v>
      </c>
    </row>
    <row r="22" spans="1:7" ht="13.9" x14ac:dyDescent="0.3">
      <c r="A22" s="43" t="str">
        <f t="shared" si="0"/>
        <v>KL/VS2-SI1/0.180-0.188</v>
      </c>
      <c r="B22" s="47" t="s">
        <v>386</v>
      </c>
      <c r="C22" s="47" t="s">
        <v>350</v>
      </c>
      <c r="D22" s="47" t="s">
        <v>387</v>
      </c>
      <c r="E22" s="47">
        <v>405</v>
      </c>
      <c r="F22" s="47">
        <v>405</v>
      </c>
      <c r="G22" s="47">
        <v>365</v>
      </c>
    </row>
    <row r="23" spans="1:7" ht="13.9" x14ac:dyDescent="0.3">
      <c r="A23" s="43" t="str">
        <f t="shared" si="0"/>
        <v>MN/VS2-SI1/0.180-0.188</v>
      </c>
      <c r="B23" s="47" t="s">
        <v>388</v>
      </c>
      <c r="C23" s="47" t="s">
        <v>350</v>
      </c>
      <c r="D23" s="47" t="s">
        <v>389</v>
      </c>
      <c r="E23" s="47">
        <v>315</v>
      </c>
      <c r="F23" s="47">
        <v>315</v>
      </c>
      <c r="G23" s="47">
        <v>280</v>
      </c>
    </row>
    <row r="24" spans="1:7" ht="13.9" x14ac:dyDescent="0.3">
      <c r="A24" s="43" t="str">
        <f t="shared" si="0"/>
        <v>O-/VS2-SI1/0.180-0.188</v>
      </c>
      <c r="B24" s="47" t="s">
        <v>390</v>
      </c>
      <c r="C24" s="47" t="s">
        <v>350</v>
      </c>
      <c r="D24" s="47" t="s">
        <v>391</v>
      </c>
      <c r="E24" s="47">
        <v>270</v>
      </c>
      <c r="F24" s="47">
        <v>270</v>
      </c>
      <c r="G24" s="47">
        <v>243</v>
      </c>
    </row>
    <row r="25" spans="1:7" ht="13.9" x14ac:dyDescent="0.3">
      <c r="A25" s="43" t="str">
        <f t="shared" si="0"/>
        <v>KL/SI2-SI3/0.180-0.188</v>
      </c>
      <c r="B25" s="47" t="s">
        <v>392</v>
      </c>
      <c r="C25" s="47" t="s">
        <v>350</v>
      </c>
      <c r="D25" s="47" t="s">
        <v>393</v>
      </c>
      <c r="E25" s="47">
        <v>315</v>
      </c>
      <c r="F25" s="47">
        <v>315</v>
      </c>
      <c r="G25" s="47">
        <v>280</v>
      </c>
    </row>
    <row r="26" spans="1:7" ht="13.9" x14ac:dyDescent="0.3">
      <c r="A26" s="43" t="str">
        <f t="shared" si="0"/>
        <v>MN/SI2-SI3/0.180-0.188</v>
      </c>
      <c r="B26" s="47" t="s">
        <v>394</v>
      </c>
      <c r="C26" s="47" t="s">
        <v>350</v>
      </c>
      <c r="D26" s="47" t="s">
        <v>395</v>
      </c>
      <c r="E26" s="47">
        <v>270</v>
      </c>
      <c r="F26" s="47">
        <v>270</v>
      </c>
      <c r="G26" s="47">
        <v>243</v>
      </c>
    </row>
    <row r="27" spans="1:7" ht="13.9" x14ac:dyDescent="0.3">
      <c r="A27" s="43" t="str">
        <f t="shared" si="0"/>
        <v>O-/SI2-SI3/0.180-0.188</v>
      </c>
      <c r="B27" s="47" t="s">
        <v>396</v>
      </c>
      <c r="C27" s="47" t="s">
        <v>350</v>
      </c>
      <c r="D27" s="47" t="s">
        <v>397</v>
      </c>
      <c r="E27" s="47">
        <v>180</v>
      </c>
      <c r="F27" s="47">
        <v>180</v>
      </c>
      <c r="G27" s="47">
        <v>162</v>
      </c>
    </row>
    <row r="28" spans="1:7" ht="13.9" x14ac:dyDescent="0.3">
      <c r="A28" s="43" t="str">
        <f t="shared" si="0"/>
        <v>K-/I1-I3/0.180-0.188</v>
      </c>
      <c r="B28" s="47" t="s">
        <v>398</v>
      </c>
      <c r="C28" s="47" t="s">
        <v>350</v>
      </c>
      <c r="D28" s="47" t="s">
        <v>399</v>
      </c>
      <c r="E28" s="47">
        <v>135</v>
      </c>
      <c r="F28" s="47">
        <v>135</v>
      </c>
      <c r="G28" s="47">
        <v>120</v>
      </c>
    </row>
    <row r="29" spans="1:7" ht="13.9" x14ac:dyDescent="0.3">
      <c r="A29" s="43" t="str">
        <f t="shared" si="0"/>
        <v>4A/0.180-0.188</v>
      </c>
      <c r="B29" s="47" t="s">
        <v>400</v>
      </c>
      <c r="C29" s="47" t="s">
        <v>350</v>
      </c>
      <c r="D29" s="47" t="s">
        <v>401</v>
      </c>
      <c r="E29" s="47">
        <v>475</v>
      </c>
      <c r="F29" s="47">
        <v>450</v>
      </c>
      <c r="G29" s="47">
        <v>405</v>
      </c>
    </row>
    <row r="30" spans="1:7" ht="12.75" x14ac:dyDescent="0.2">
      <c r="A30" s="43" t="str">
        <f t="shared" si="0"/>
        <v>4B/0.180-0.188</v>
      </c>
      <c r="B30" s="47" t="s">
        <v>402</v>
      </c>
      <c r="C30" s="47" t="s">
        <v>350</v>
      </c>
      <c r="D30" s="47" t="s">
        <v>403</v>
      </c>
      <c r="E30" s="47">
        <v>400</v>
      </c>
      <c r="F30" s="47">
        <v>360</v>
      </c>
      <c r="G30" s="47">
        <v>324</v>
      </c>
    </row>
    <row r="31" spans="1:7" ht="12.75" x14ac:dyDescent="0.2">
      <c r="A31" s="43" t="str">
        <f t="shared" si="0"/>
        <v>5/0.180-0.188</v>
      </c>
      <c r="B31" s="47">
        <v>5</v>
      </c>
      <c r="C31" s="47" t="s">
        <v>350</v>
      </c>
      <c r="D31" s="47" t="s">
        <v>404</v>
      </c>
      <c r="E31" s="47">
        <v>300</v>
      </c>
      <c r="F31" s="47">
        <v>270</v>
      </c>
      <c r="G31" s="47">
        <v>243</v>
      </c>
    </row>
    <row r="32" spans="1:7" ht="12.75" x14ac:dyDescent="0.2">
      <c r="A32" s="43" t="str">
        <f t="shared" si="0"/>
        <v>6/0.180-0.188</v>
      </c>
      <c r="B32" s="47">
        <v>6</v>
      </c>
      <c r="C32" s="47" t="s">
        <v>350</v>
      </c>
      <c r="D32" s="47" t="s">
        <v>405</v>
      </c>
      <c r="E32" s="47">
        <v>180</v>
      </c>
      <c r="F32" s="47">
        <v>180</v>
      </c>
      <c r="G32" s="47">
        <v>162</v>
      </c>
    </row>
    <row r="33" spans="1:7" ht="12.75" x14ac:dyDescent="0.2">
      <c r="A33" s="43" t="str">
        <f t="shared" si="0"/>
        <v>7/0.180-0.188</v>
      </c>
      <c r="B33" s="47">
        <v>7</v>
      </c>
      <c r="C33" s="47" t="s">
        <v>350</v>
      </c>
      <c r="D33" s="47" t="s">
        <v>406</v>
      </c>
      <c r="E33" s="47">
        <v>135</v>
      </c>
      <c r="F33" s="47">
        <v>135</v>
      </c>
      <c r="G33" s="47">
        <v>120</v>
      </c>
    </row>
    <row r="34" spans="1:7" ht="12.75" x14ac:dyDescent="0.2">
      <c r="A34" s="43" t="str">
        <f t="shared" si="0"/>
        <v>8/0.180-0.188</v>
      </c>
      <c r="B34" s="47">
        <v>8</v>
      </c>
      <c r="C34" s="47" t="s">
        <v>350</v>
      </c>
      <c r="D34" s="47" t="s">
        <v>407</v>
      </c>
      <c r="E34" s="47">
        <v>90</v>
      </c>
      <c r="F34" s="47">
        <v>90</v>
      </c>
      <c r="G34" s="47">
        <v>81</v>
      </c>
    </row>
    <row r="35" spans="1:7" ht="12.75" x14ac:dyDescent="0.2">
      <c r="A35" s="43" t="str">
        <f t="shared" si="0"/>
        <v>NATTS-1/0.180-0.188</v>
      </c>
      <c r="B35" s="47" t="s">
        <v>408</v>
      </c>
      <c r="C35" s="47" t="s">
        <v>350</v>
      </c>
      <c r="D35" s="47" t="s">
        <v>409</v>
      </c>
      <c r="E35" s="47">
        <v>270</v>
      </c>
      <c r="F35" s="47">
        <v>270</v>
      </c>
      <c r="G35" s="47">
        <v>243</v>
      </c>
    </row>
    <row r="36" spans="1:7" ht="12.75" x14ac:dyDescent="0.2">
      <c r="A36" s="43" t="str">
        <f t="shared" si="0"/>
        <v>NATTS-2/0.180-0.188</v>
      </c>
      <c r="B36" s="47" t="s">
        <v>410</v>
      </c>
      <c r="C36" s="47" t="s">
        <v>350</v>
      </c>
      <c r="D36" s="47" t="s">
        <v>411</v>
      </c>
      <c r="E36" s="47">
        <v>180</v>
      </c>
      <c r="F36" s="47">
        <v>180</v>
      </c>
      <c r="G36" s="47">
        <v>162</v>
      </c>
    </row>
    <row r="37" spans="1:7" ht="12.75" x14ac:dyDescent="0.2">
      <c r="A37" s="43" t="str">
        <f t="shared" si="0"/>
        <v>BROWN/0.180-0.188</v>
      </c>
      <c r="B37" s="47" t="s">
        <v>412</v>
      </c>
      <c r="C37" s="47" t="s">
        <v>350</v>
      </c>
      <c r="D37" s="47" t="s">
        <v>413</v>
      </c>
      <c r="E37" s="47">
        <v>270</v>
      </c>
      <c r="F37" s="47">
        <v>270</v>
      </c>
      <c r="G37" s="47">
        <v>243</v>
      </c>
    </row>
    <row r="38" spans="1:7" ht="12.75" x14ac:dyDescent="0.2">
      <c r="A38" s="43" t="str">
        <f t="shared" si="0"/>
        <v>DF/VVS/0.189-0.228</v>
      </c>
      <c r="B38" s="47" t="s">
        <v>349</v>
      </c>
      <c r="C38" s="47" t="s">
        <v>414</v>
      </c>
      <c r="D38" s="47" t="s">
        <v>351</v>
      </c>
      <c r="E38" s="47">
        <v>1325</v>
      </c>
      <c r="F38" s="47">
        <v>1200</v>
      </c>
      <c r="G38" s="47">
        <v>1080</v>
      </c>
    </row>
    <row r="39" spans="1:7" ht="12.75" x14ac:dyDescent="0.2">
      <c r="A39" s="43" t="str">
        <f t="shared" si="0"/>
        <v>DF/VS1/0.189-0.228</v>
      </c>
      <c r="B39" s="47" t="s">
        <v>352</v>
      </c>
      <c r="C39" s="47" t="s">
        <v>414</v>
      </c>
      <c r="D39" s="47" t="s">
        <v>353</v>
      </c>
      <c r="E39" s="47">
        <v>1125</v>
      </c>
      <c r="F39" s="47">
        <v>1050</v>
      </c>
      <c r="G39" s="47">
        <v>945</v>
      </c>
    </row>
    <row r="40" spans="1:7" ht="12.75" x14ac:dyDescent="0.2">
      <c r="A40" s="43" t="str">
        <f t="shared" si="0"/>
        <v>DF/VS2/0.189-0.228</v>
      </c>
      <c r="B40" s="47" t="s">
        <v>354</v>
      </c>
      <c r="C40" s="47" t="s">
        <v>414</v>
      </c>
      <c r="D40" s="47" t="s">
        <v>355</v>
      </c>
      <c r="E40" s="47">
        <v>1000</v>
      </c>
      <c r="F40" s="47">
        <v>900</v>
      </c>
      <c r="G40" s="47">
        <v>810</v>
      </c>
    </row>
    <row r="41" spans="1:7" ht="12.75" x14ac:dyDescent="0.2">
      <c r="A41" s="43" t="str">
        <f t="shared" si="0"/>
        <v>GH/VVS/0.189-0.228</v>
      </c>
      <c r="B41" s="47" t="s">
        <v>356</v>
      </c>
      <c r="C41" s="47" t="s">
        <v>414</v>
      </c>
      <c r="D41" s="47" t="s">
        <v>357</v>
      </c>
      <c r="E41" s="47">
        <v>1200</v>
      </c>
      <c r="F41" s="47">
        <v>1100</v>
      </c>
      <c r="G41" s="47">
        <v>990</v>
      </c>
    </row>
    <row r="42" spans="1:7" ht="12.75" x14ac:dyDescent="0.2">
      <c r="A42" s="43" t="str">
        <f t="shared" si="0"/>
        <v>GH/VS1/0.189-0.228</v>
      </c>
      <c r="B42" s="47" t="s">
        <v>358</v>
      </c>
      <c r="C42" s="47" t="s">
        <v>414</v>
      </c>
      <c r="D42" s="47" t="s">
        <v>359</v>
      </c>
      <c r="E42" s="47">
        <v>1050</v>
      </c>
      <c r="F42" s="47">
        <v>950</v>
      </c>
      <c r="G42" s="47">
        <v>855</v>
      </c>
    </row>
    <row r="43" spans="1:7" ht="12.75" x14ac:dyDescent="0.2">
      <c r="A43" s="43" t="str">
        <f t="shared" si="0"/>
        <v>GH/VS2/0.189-0.228</v>
      </c>
      <c r="B43" s="47" t="s">
        <v>360</v>
      </c>
      <c r="C43" s="47" t="s">
        <v>414</v>
      </c>
      <c r="D43" s="47" t="s">
        <v>361</v>
      </c>
      <c r="E43" s="47">
        <v>925</v>
      </c>
      <c r="F43" s="47">
        <v>850</v>
      </c>
      <c r="G43" s="47">
        <v>765</v>
      </c>
    </row>
    <row r="44" spans="1:7" ht="12.75" x14ac:dyDescent="0.2">
      <c r="A44" s="43" t="str">
        <f t="shared" si="0"/>
        <v>IJ/VVS/0.189-0.228</v>
      </c>
      <c r="B44" s="47" t="s">
        <v>362</v>
      </c>
      <c r="C44" s="47" t="s">
        <v>414</v>
      </c>
      <c r="D44" s="47" t="s">
        <v>363</v>
      </c>
      <c r="E44" s="47">
        <v>900</v>
      </c>
      <c r="F44" s="47">
        <v>850</v>
      </c>
      <c r="G44" s="47">
        <v>765</v>
      </c>
    </row>
    <row r="45" spans="1:7" ht="12.75" x14ac:dyDescent="0.2">
      <c r="A45" s="43" t="str">
        <f t="shared" si="0"/>
        <v>IJ/VS1/0.189-0.228</v>
      </c>
      <c r="B45" s="47" t="s">
        <v>364</v>
      </c>
      <c r="C45" s="47" t="s">
        <v>414</v>
      </c>
      <c r="D45" s="47" t="s">
        <v>365</v>
      </c>
      <c r="E45" s="47">
        <v>850</v>
      </c>
      <c r="F45" s="47">
        <v>800</v>
      </c>
      <c r="G45" s="47">
        <v>720</v>
      </c>
    </row>
    <row r="46" spans="1:7" ht="12.75" x14ac:dyDescent="0.2">
      <c r="A46" s="43" t="str">
        <f t="shared" si="0"/>
        <v>IJ/VS2/0.189-0.228</v>
      </c>
      <c r="B46" s="47" t="s">
        <v>366</v>
      </c>
      <c r="C46" s="47" t="s">
        <v>414</v>
      </c>
      <c r="D46" s="47" t="s">
        <v>367</v>
      </c>
      <c r="E46" s="47">
        <v>800</v>
      </c>
      <c r="F46" s="47">
        <v>750</v>
      </c>
      <c r="G46" s="47">
        <v>675</v>
      </c>
    </row>
    <row r="47" spans="1:7" ht="12.75" x14ac:dyDescent="0.2">
      <c r="A47" s="43" t="str">
        <f t="shared" si="0"/>
        <v>DG/SI1/0.189-0.228</v>
      </c>
      <c r="B47" s="47" t="s">
        <v>368</v>
      </c>
      <c r="C47" s="47" t="s">
        <v>414</v>
      </c>
      <c r="D47" s="47" t="s">
        <v>369</v>
      </c>
      <c r="E47" s="47">
        <v>850</v>
      </c>
      <c r="F47" s="47">
        <v>800</v>
      </c>
      <c r="G47" s="47">
        <v>720</v>
      </c>
    </row>
    <row r="48" spans="1:7" ht="12.75" x14ac:dyDescent="0.2">
      <c r="A48" s="43" t="str">
        <f t="shared" si="0"/>
        <v>DG/SI2/0.189-0.228</v>
      </c>
      <c r="B48" s="47" t="s">
        <v>370</v>
      </c>
      <c r="C48" s="47" t="s">
        <v>414</v>
      </c>
      <c r="D48" s="47" t="s">
        <v>371</v>
      </c>
      <c r="E48" s="47">
        <v>750</v>
      </c>
      <c r="F48" s="47">
        <v>700</v>
      </c>
      <c r="G48" s="47">
        <v>630</v>
      </c>
    </row>
    <row r="49" spans="1:7" ht="12.75" x14ac:dyDescent="0.2">
      <c r="A49" s="43" t="str">
        <f t="shared" si="0"/>
        <v>DG/SI3/0.189-0.228</v>
      </c>
      <c r="B49" s="47" t="s">
        <v>372</v>
      </c>
      <c r="C49" s="47" t="s">
        <v>414</v>
      </c>
      <c r="D49" s="47" t="s">
        <v>373</v>
      </c>
      <c r="E49" s="47">
        <v>650</v>
      </c>
      <c r="F49" s="47">
        <v>600</v>
      </c>
      <c r="G49" s="47">
        <v>540</v>
      </c>
    </row>
    <row r="50" spans="1:7" ht="12.75" x14ac:dyDescent="0.2">
      <c r="A50" s="43" t="str">
        <f t="shared" si="0"/>
        <v>HIJ/SI1/0.189-0.228</v>
      </c>
      <c r="B50" s="47" t="s">
        <v>374</v>
      </c>
      <c r="C50" s="47" t="s">
        <v>414</v>
      </c>
      <c r="D50" s="47" t="s">
        <v>375</v>
      </c>
      <c r="E50" s="47">
        <v>750</v>
      </c>
      <c r="F50" s="47">
        <v>700</v>
      </c>
      <c r="G50" s="47">
        <v>630</v>
      </c>
    </row>
    <row r="51" spans="1:7" ht="12.75" x14ac:dyDescent="0.2">
      <c r="A51" s="43" t="str">
        <f t="shared" si="0"/>
        <v>HIJ/SI2/0.189-0.228</v>
      </c>
      <c r="B51" s="47" t="s">
        <v>376</v>
      </c>
      <c r="C51" s="47" t="s">
        <v>414</v>
      </c>
      <c r="D51" s="47" t="s">
        <v>377</v>
      </c>
      <c r="E51" s="47">
        <v>650</v>
      </c>
      <c r="F51" s="47">
        <v>600</v>
      </c>
      <c r="G51" s="47">
        <v>540</v>
      </c>
    </row>
    <row r="52" spans="1:7" ht="12.75" x14ac:dyDescent="0.2">
      <c r="A52" s="43" t="str">
        <f t="shared" si="0"/>
        <v>HIJ/SI3/0.189-0.228</v>
      </c>
      <c r="B52" s="47" t="s">
        <v>378</v>
      </c>
      <c r="C52" s="47" t="s">
        <v>414</v>
      </c>
      <c r="D52" s="47" t="s">
        <v>379</v>
      </c>
      <c r="E52" s="47">
        <v>550</v>
      </c>
      <c r="F52" s="47">
        <v>525</v>
      </c>
      <c r="G52" s="47">
        <v>470</v>
      </c>
    </row>
    <row r="53" spans="1:7" ht="12.75" x14ac:dyDescent="0.2">
      <c r="A53" s="43" t="str">
        <f t="shared" si="0"/>
        <v>KL/VVS-VS1/0.189-0.228</v>
      </c>
      <c r="B53" s="47" t="s">
        <v>380</v>
      </c>
      <c r="C53" s="47" t="s">
        <v>414</v>
      </c>
      <c r="D53" s="47" t="s">
        <v>381</v>
      </c>
      <c r="E53" s="47">
        <v>550</v>
      </c>
      <c r="F53" s="47">
        <v>550</v>
      </c>
      <c r="G53" s="47">
        <v>495</v>
      </c>
    </row>
    <row r="54" spans="1:7" ht="12.75" x14ac:dyDescent="0.2">
      <c r="A54" s="43" t="str">
        <f t="shared" si="0"/>
        <v>MN/VVS-VS1/0.189-0.228</v>
      </c>
      <c r="B54" s="47" t="s">
        <v>382</v>
      </c>
      <c r="C54" s="47" t="s">
        <v>414</v>
      </c>
      <c r="D54" s="47" t="s">
        <v>383</v>
      </c>
      <c r="E54" s="47">
        <v>450</v>
      </c>
      <c r="F54" s="47">
        <v>450</v>
      </c>
      <c r="G54" s="47">
        <v>405</v>
      </c>
    </row>
    <row r="55" spans="1:7" ht="12.75" x14ac:dyDescent="0.2">
      <c r="A55" s="43" t="str">
        <f t="shared" si="0"/>
        <v>O-/IF-VS1/0.189-0.228</v>
      </c>
      <c r="B55" s="47" t="s">
        <v>384</v>
      </c>
      <c r="C55" s="47" t="s">
        <v>414</v>
      </c>
      <c r="D55" s="47" t="s">
        <v>385</v>
      </c>
      <c r="E55" s="47">
        <v>350</v>
      </c>
      <c r="F55" s="47">
        <v>350</v>
      </c>
      <c r="G55" s="47">
        <v>315</v>
      </c>
    </row>
    <row r="56" spans="1:7" ht="12.75" x14ac:dyDescent="0.2">
      <c r="A56" s="43" t="str">
        <f t="shared" si="0"/>
        <v>KL/VS2-SI1/0.189-0.228</v>
      </c>
      <c r="B56" s="47" t="s">
        <v>386</v>
      </c>
      <c r="C56" s="47" t="s">
        <v>414</v>
      </c>
      <c r="D56" s="47" t="s">
        <v>387</v>
      </c>
      <c r="E56" s="47">
        <v>450</v>
      </c>
      <c r="F56" s="47">
        <v>450</v>
      </c>
      <c r="G56" s="47">
        <v>405</v>
      </c>
    </row>
    <row r="57" spans="1:7" ht="12.75" x14ac:dyDescent="0.2">
      <c r="A57" s="43" t="str">
        <f t="shared" si="0"/>
        <v>MN/VS2-SI1/0.189-0.228</v>
      </c>
      <c r="B57" s="47" t="s">
        <v>388</v>
      </c>
      <c r="C57" s="47" t="s">
        <v>414</v>
      </c>
      <c r="D57" s="47" t="s">
        <v>389</v>
      </c>
      <c r="E57" s="47">
        <v>350</v>
      </c>
      <c r="F57" s="47">
        <v>350</v>
      </c>
      <c r="G57" s="47">
        <v>315</v>
      </c>
    </row>
    <row r="58" spans="1:7" ht="12.75" x14ac:dyDescent="0.2">
      <c r="A58" s="43" t="str">
        <f t="shared" si="0"/>
        <v>O-/VS2-SI1/0.189-0.228</v>
      </c>
      <c r="B58" s="47" t="s">
        <v>390</v>
      </c>
      <c r="C58" s="47" t="s">
        <v>414</v>
      </c>
      <c r="D58" s="47" t="s">
        <v>391</v>
      </c>
      <c r="E58" s="47">
        <v>300</v>
      </c>
      <c r="F58" s="47">
        <v>300</v>
      </c>
      <c r="G58" s="47">
        <v>270</v>
      </c>
    </row>
    <row r="59" spans="1:7" ht="12.75" x14ac:dyDescent="0.2">
      <c r="A59" s="43" t="str">
        <f t="shared" si="0"/>
        <v>KL/SI2-SI3/0.189-0.228</v>
      </c>
      <c r="B59" s="47" t="s">
        <v>392</v>
      </c>
      <c r="C59" s="47" t="s">
        <v>414</v>
      </c>
      <c r="D59" s="47" t="s">
        <v>393</v>
      </c>
      <c r="E59" s="47">
        <v>350</v>
      </c>
      <c r="F59" s="47">
        <v>350</v>
      </c>
      <c r="G59" s="47">
        <v>315</v>
      </c>
    </row>
    <row r="60" spans="1:7" ht="12.75" x14ac:dyDescent="0.2">
      <c r="A60" s="43" t="str">
        <f t="shared" si="0"/>
        <v>MN/SI2-SI3/0.189-0.228</v>
      </c>
      <c r="B60" s="47" t="s">
        <v>394</v>
      </c>
      <c r="C60" s="47" t="s">
        <v>414</v>
      </c>
      <c r="D60" s="47" t="s">
        <v>395</v>
      </c>
      <c r="E60" s="47">
        <v>300</v>
      </c>
      <c r="F60" s="47">
        <v>300</v>
      </c>
      <c r="G60" s="47">
        <v>270</v>
      </c>
    </row>
    <row r="61" spans="1:7" ht="12.75" x14ac:dyDescent="0.2">
      <c r="A61" s="43" t="str">
        <f t="shared" si="0"/>
        <v>O-/SI2-SI3/0.189-0.228</v>
      </c>
      <c r="B61" s="47" t="s">
        <v>396</v>
      </c>
      <c r="C61" s="47" t="s">
        <v>414</v>
      </c>
      <c r="D61" s="47" t="s">
        <v>397</v>
      </c>
      <c r="E61" s="47">
        <v>200</v>
      </c>
      <c r="F61" s="47">
        <v>200</v>
      </c>
      <c r="G61" s="47">
        <v>180</v>
      </c>
    </row>
    <row r="62" spans="1:7" ht="12.75" x14ac:dyDescent="0.2">
      <c r="A62" s="43" t="str">
        <f t="shared" si="0"/>
        <v>K-/I1-I3/0.189-0.228</v>
      </c>
      <c r="B62" s="47" t="s">
        <v>398</v>
      </c>
      <c r="C62" s="47" t="s">
        <v>414</v>
      </c>
      <c r="D62" s="47" t="s">
        <v>399</v>
      </c>
      <c r="E62" s="47">
        <v>150</v>
      </c>
      <c r="F62" s="47">
        <v>150</v>
      </c>
      <c r="G62" s="47">
        <v>135</v>
      </c>
    </row>
    <row r="63" spans="1:7" ht="12.75" x14ac:dyDescent="0.2">
      <c r="A63" s="43" t="str">
        <f t="shared" si="0"/>
        <v>4A/0.189-0.228</v>
      </c>
      <c r="B63" s="47" t="s">
        <v>400</v>
      </c>
      <c r="C63" s="47" t="s">
        <v>414</v>
      </c>
      <c r="D63" s="47" t="s">
        <v>401</v>
      </c>
      <c r="E63" s="47">
        <v>550</v>
      </c>
      <c r="F63" s="47">
        <v>500</v>
      </c>
      <c r="G63" s="47">
        <v>450</v>
      </c>
    </row>
    <row r="64" spans="1:7" ht="12.75" x14ac:dyDescent="0.2">
      <c r="A64" s="43" t="str">
        <f t="shared" si="0"/>
        <v>4B/0.189-0.228</v>
      </c>
      <c r="B64" s="47" t="s">
        <v>402</v>
      </c>
      <c r="C64" s="47" t="s">
        <v>414</v>
      </c>
      <c r="D64" s="47" t="s">
        <v>403</v>
      </c>
      <c r="E64" s="47">
        <v>450</v>
      </c>
      <c r="F64" s="47">
        <v>400</v>
      </c>
      <c r="G64" s="47">
        <v>360</v>
      </c>
    </row>
    <row r="65" spans="1:7" ht="12.75" x14ac:dyDescent="0.2">
      <c r="A65" s="43" t="str">
        <f t="shared" si="0"/>
        <v>5/0.189-0.228</v>
      </c>
      <c r="B65" s="47">
        <v>5</v>
      </c>
      <c r="C65" s="47" t="s">
        <v>414</v>
      </c>
      <c r="D65" s="47" t="s">
        <v>404</v>
      </c>
      <c r="E65" s="47">
        <v>325</v>
      </c>
      <c r="F65" s="47">
        <v>300</v>
      </c>
      <c r="G65" s="47">
        <v>270</v>
      </c>
    </row>
    <row r="66" spans="1:7" ht="12.75" x14ac:dyDescent="0.2">
      <c r="A66" s="43" t="str">
        <f t="shared" si="0"/>
        <v>6/0.189-0.228</v>
      </c>
      <c r="B66" s="47">
        <v>6</v>
      </c>
      <c r="C66" s="47" t="s">
        <v>414</v>
      </c>
      <c r="D66" s="47" t="s">
        <v>405</v>
      </c>
      <c r="E66" s="47">
        <v>200</v>
      </c>
      <c r="F66" s="47">
        <v>200</v>
      </c>
      <c r="G66" s="47">
        <v>180</v>
      </c>
    </row>
    <row r="67" spans="1:7" ht="12.75" x14ac:dyDescent="0.2">
      <c r="A67" s="43" t="str">
        <f t="shared" si="0"/>
        <v>7/0.189-0.228</v>
      </c>
      <c r="B67" s="47">
        <v>7</v>
      </c>
      <c r="C67" s="47" t="s">
        <v>414</v>
      </c>
      <c r="D67" s="47" t="s">
        <v>406</v>
      </c>
      <c r="E67" s="47">
        <v>150</v>
      </c>
      <c r="F67" s="47">
        <v>150</v>
      </c>
      <c r="G67" s="47">
        <v>135</v>
      </c>
    </row>
    <row r="68" spans="1:7" ht="12.75" x14ac:dyDescent="0.2">
      <c r="A68" s="43" t="str">
        <f t="shared" si="0"/>
        <v>8/0.189-0.228</v>
      </c>
      <c r="B68" s="47">
        <v>8</v>
      </c>
      <c r="C68" s="47" t="s">
        <v>414</v>
      </c>
      <c r="D68" s="47" t="s">
        <v>407</v>
      </c>
      <c r="E68" s="47">
        <v>100</v>
      </c>
      <c r="F68" s="47">
        <v>100</v>
      </c>
      <c r="G68" s="47">
        <v>90</v>
      </c>
    </row>
    <row r="69" spans="1:7" ht="12.75" x14ac:dyDescent="0.2">
      <c r="A69" s="43" t="str">
        <f>SUBSTITUTE(B69," ","/")&amp;"/"&amp;C69</f>
        <v>NATTS-1/0.189-0.228</v>
      </c>
      <c r="B69" s="47" t="s">
        <v>408</v>
      </c>
      <c r="C69" s="47" t="s">
        <v>414</v>
      </c>
      <c r="D69" s="47" t="s">
        <v>409</v>
      </c>
      <c r="E69" s="47">
        <v>400</v>
      </c>
      <c r="F69" s="47">
        <v>300</v>
      </c>
      <c r="G69" s="47">
        <v>270</v>
      </c>
    </row>
    <row r="70" spans="1:7" ht="12.75" x14ac:dyDescent="0.2">
      <c r="A70" s="43" t="str">
        <f>SUBSTITUTE(B70," ","/")&amp;"/"&amp;C70</f>
        <v>NATTS-2/0.189-0.228</v>
      </c>
      <c r="B70" s="47" t="s">
        <v>410</v>
      </c>
      <c r="C70" s="47" t="s">
        <v>414</v>
      </c>
      <c r="D70" s="47" t="s">
        <v>411</v>
      </c>
      <c r="E70" s="47">
        <v>250</v>
      </c>
      <c r="F70" s="47">
        <v>200</v>
      </c>
      <c r="G70" s="47">
        <v>180</v>
      </c>
    </row>
    <row r="71" spans="1:7" ht="12.75" x14ac:dyDescent="0.2">
      <c r="A71" s="43" t="str">
        <f>SUBSTITUTE(B71," ","/")&amp;"/"&amp;C71</f>
        <v>BROWN/0.189-0.228</v>
      </c>
      <c r="B71" s="47" t="s">
        <v>412</v>
      </c>
      <c r="C71" s="47" t="s">
        <v>414</v>
      </c>
      <c r="D71" s="47" t="s">
        <v>413</v>
      </c>
      <c r="E71" s="47">
        <v>300</v>
      </c>
      <c r="F71" s="47">
        <v>300</v>
      </c>
      <c r="G71" s="47">
        <v>270</v>
      </c>
    </row>
    <row r="72" spans="1:7" ht="12.75" x14ac:dyDescent="0.2">
      <c r="A72" s="43" t="str">
        <f>SUBSTITUTE(B72," ","/")&amp;"/"&amp;C72</f>
        <v>DF/VVS/0.229-0.238</v>
      </c>
      <c r="B72" s="47" t="s">
        <v>349</v>
      </c>
      <c r="C72" s="47" t="s">
        <v>415</v>
      </c>
      <c r="D72" s="47" t="s">
        <v>416</v>
      </c>
      <c r="E72" s="47">
        <v>1370</v>
      </c>
      <c r="F72" s="47">
        <v>1305</v>
      </c>
      <c r="G72" s="47">
        <v>1170</v>
      </c>
    </row>
    <row r="73" spans="1:7" ht="12.75" x14ac:dyDescent="0.2">
      <c r="A73" s="43" t="str">
        <f t="shared" ref="A73:A136" si="1">SUBSTITUTE(B73," ","/")&amp;"/"&amp;C73</f>
        <v>DF/VS1/0.229-0.238</v>
      </c>
      <c r="B73" s="47" t="s">
        <v>352</v>
      </c>
      <c r="C73" s="47" t="s">
        <v>415</v>
      </c>
      <c r="D73" s="47" t="s">
        <v>417</v>
      </c>
      <c r="E73" s="47">
        <v>1180</v>
      </c>
      <c r="F73" s="47">
        <v>1125</v>
      </c>
      <c r="G73" s="47">
        <v>1010</v>
      </c>
    </row>
    <row r="74" spans="1:7" ht="12.75" x14ac:dyDescent="0.2">
      <c r="A74" s="43" t="str">
        <f t="shared" si="1"/>
        <v>DF/VS2/0.229-0.238</v>
      </c>
      <c r="B74" s="47" t="s">
        <v>354</v>
      </c>
      <c r="C74" s="47" t="s">
        <v>415</v>
      </c>
      <c r="D74" s="47" t="s">
        <v>418</v>
      </c>
      <c r="E74" s="47">
        <v>1040</v>
      </c>
      <c r="F74" s="47">
        <v>990</v>
      </c>
      <c r="G74" s="47">
        <v>891</v>
      </c>
    </row>
    <row r="75" spans="1:7" ht="12.75" x14ac:dyDescent="0.2">
      <c r="A75" s="43" t="str">
        <f t="shared" si="1"/>
        <v>GH/VVS/0.229-0.238</v>
      </c>
      <c r="B75" s="47" t="s">
        <v>356</v>
      </c>
      <c r="C75" s="47" t="s">
        <v>415</v>
      </c>
      <c r="D75" s="47" t="s">
        <v>419</v>
      </c>
      <c r="E75" s="47">
        <v>1230</v>
      </c>
      <c r="F75" s="47">
        <v>1170</v>
      </c>
      <c r="G75" s="47">
        <v>1053</v>
      </c>
    </row>
    <row r="76" spans="1:7" ht="12.75" x14ac:dyDescent="0.2">
      <c r="A76" s="43" t="str">
        <f t="shared" si="1"/>
        <v>GH/VS1/0.229-0.238</v>
      </c>
      <c r="B76" s="47" t="s">
        <v>358</v>
      </c>
      <c r="C76" s="47" t="s">
        <v>415</v>
      </c>
      <c r="D76" s="47" t="s">
        <v>420</v>
      </c>
      <c r="E76" s="47">
        <v>1040</v>
      </c>
      <c r="F76" s="47">
        <v>990</v>
      </c>
      <c r="G76" s="47">
        <v>891</v>
      </c>
    </row>
    <row r="77" spans="1:7" ht="12.75" x14ac:dyDescent="0.2">
      <c r="A77" s="43" t="str">
        <f t="shared" si="1"/>
        <v>GH/VS2/0.229-0.238</v>
      </c>
      <c r="B77" s="47" t="s">
        <v>360</v>
      </c>
      <c r="C77" s="47" t="s">
        <v>415</v>
      </c>
      <c r="D77" s="47" t="s">
        <v>421</v>
      </c>
      <c r="E77" s="47">
        <v>945</v>
      </c>
      <c r="F77" s="47">
        <v>900</v>
      </c>
      <c r="G77" s="47">
        <v>810</v>
      </c>
    </row>
    <row r="78" spans="1:7" ht="12.75" x14ac:dyDescent="0.2">
      <c r="A78" s="43" t="str">
        <f t="shared" si="1"/>
        <v>IJ/VVS/0.229-0.238</v>
      </c>
      <c r="B78" s="47" t="s">
        <v>362</v>
      </c>
      <c r="C78" s="47" t="s">
        <v>415</v>
      </c>
      <c r="D78" s="47" t="s">
        <v>422</v>
      </c>
      <c r="E78" s="47">
        <v>900</v>
      </c>
      <c r="F78" s="47">
        <v>855</v>
      </c>
      <c r="G78" s="47">
        <v>765</v>
      </c>
    </row>
    <row r="79" spans="1:7" ht="12.75" x14ac:dyDescent="0.2">
      <c r="A79" s="43" t="str">
        <f t="shared" si="1"/>
        <v>IJ/VS1/0.229-0.238</v>
      </c>
      <c r="B79" s="47" t="s">
        <v>364</v>
      </c>
      <c r="C79" s="47" t="s">
        <v>415</v>
      </c>
      <c r="D79" s="47" t="s">
        <v>423</v>
      </c>
      <c r="E79" s="47">
        <v>850</v>
      </c>
      <c r="F79" s="47">
        <v>810</v>
      </c>
      <c r="G79" s="47">
        <v>729</v>
      </c>
    </row>
    <row r="80" spans="1:7" ht="12.75" x14ac:dyDescent="0.2">
      <c r="A80" s="43" t="str">
        <f t="shared" si="1"/>
        <v>IJ/VS2/0.229-0.238</v>
      </c>
      <c r="B80" s="47" t="s">
        <v>366</v>
      </c>
      <c r="C80" s="47" t="s">
        <v>415</v>
      </c>
      <c r="D80" s="47" t="s">
        <v>424</v>
      </c>
      <c r="E80" s="47">
        <v>800</v>
      </c>
      <c r="F80" s="47">
        <v>765</v>
      </c>
      <c r="G80" s="47">
        <v>685</v>
      </c>
    </row>
    <row r="81" spans="1:7" ht="12.75" x14ac:dyDescent="0.2">
      <c r="A81" s="43" t="str">
        <f t="shared" si="1"/>
        <v>DG/SI1/0.229-0.238</v>
      </c>
      <c r="B81" s="47" t="s">
        <v>368</v>
      </c>
      <c r="C81" s="47" t="s">
        <v>415</v>
      </c>
      <c r="D81" s="47" t="s">
        <v>425</v>
      </c>
      <c r="E81" s="47">
        <v>900</v>
      </c>
      <c r="F81" s="47">
        <v>810</v>
      </c>
      <c r="G81" s="47">
        <v>765</v>
      </c>
    </row>
    <row r="82" spans="1:7" ht="12.75" x14ac:dyDescent="0.2">
      <c r="A82" s="43" t="str">
        <f t="shared" si="1"/>
        <v>DG/SI2/0.229-0.238</v>
      </c>
      <c r="B82" s="47" t="s">
        <v>370</v>
      </c>
      <c r="C82" s="47" t="s">
        <v>415</v>
      </c>
      <c r="D82" s="47" t="s">
        <v>426</v>
      </c>
      <c r="E82" s="47">
        <v>755</v>
      </c>
      <c r="F82" s="47">
        <v>720</v>
      </c>
      <c r="G82" s="47">
        <v>648</v>
      </c>
    </row>
    <row r="83" spans="1:7" ht="12.75" x14ac:dyDescent="0.2">
      <c r="A83" s="43" t="str">
        <f t="shared" si="1"/>
        <v>DG/SI3/0.229-0.238</v>
      </c>
      <c r="B83" s="47" t="s">
        <v>372</v>
      </c>
      <c r="C83" s="47" t="s">
        <v>415</v>
      </c>
      <c r="D83" s="47" t="s">
        <v>427</v>
      </c>
      <c r="E83" s="47">
        <v>660</v>
      </c>
      <c r="F83" s="47">
        <v>630</v>
      </c>
      <c r="G83" s="47">
        <v>567</v>
      </c>
    </row>
    <row r="84" spans="1:7" ht="12.75" x14ac:dyDescent="0.2">
      <c r="A84" s="43" t="str">
        <f t="shared" si="1"/>
        <v>HIJ/SI1/0.229-0.238</v>
      </c>
      <c r="B84" s="47" t="s">
        <v>374</v>
      </c>
      <c r="C84" s="47" t="s">
        <v>415</v>
      </c>
      <c r="D84" s="47" t="s">
        <v>428</v>
      </c>
      <c r="E84" s="47">
        <v>755</v>
      </c>
      <c r="F84" s="47">
        <v>720</v>
      </c>
      <c r="G84" s="47">
        <v>648</v>
      </c>
    </row>
    <row r="85" spans="1:7" ht="12.75" x14ac:dyDescent="0.2">
      <c r="A85" s="43" t="str">
        <f t="shared" si="1"/>
        <v>HIJ/SI2/0.229-0.238</v>
      </c>
      <c r="B85" s="47" t="s">
        <v>376</v>
      </c>
      <c r="C85" s="47" t="s">
        <v>415</v>
      </c>
      <c r="D85" s="47" t="s">
        <v>429</v>
      </c>
      <c r="E85" s="47">
        <v>660</v>
      </c>
      <c r="F85" s="47">
        <v>630</v>
      </c>
      <c r="G85" s="47">
        <v>567</v>
      </c>
    </row>
    <row r="86" spans="1:7" ht="12.75" x14ac:dyDescent="0.2">
      <c r="A86" s="43" t="str">
        <f t="shared" si="1"/>
        <v>HIJ/SI3/0.229-0.238</v>
      </c>
      <c r="B86" s="47" t="s">
        <v>378</v>
      </c>
      <c r="C86" s="47" t="s">
        <v>415</v>
      </c>
      <c r="D86" s="47" t="s">
        <v>430</v>
      </c>
      <c r="E86" s="47">
        <v>585</v>
      </c>
      <c r="F86" s="47">
        <v>560</v>
      </c>
      <c r="G86" s="47">
        <v>504</v>
      </c>
    </row>
    <row r="87" spans="1:7" ht="12.75" x14ac:dyDescent="0.2">
      <c r="A87" s="43" t="str">
        <f t="shared" si="1"/>
        <v>KL/VVS-VS1/0.229-0.238</v>
      </c>
      <c r="B87" s="47" t="s">
        <v>380</v>
      </c>
      <c r="C87" s="47" t="s">
        <v>415</v>
      </c>
      <c r="D87" s="47" t="s">
        <v>431</v>
      </c>
      <c r="E87" s="47">
        <v>585</v>
      </c>
      <c r="F87" s="47">
        <v>585</v>
      </c>
      <c r="G87" s="47">
        <v>525</v>
      </c>
    </row>
    <row r="88" spans="1:7" ht="12.75" x14ac:dyDescent="0.2">
      <c r="A88" s="43" t="str">
        <f t="shared" si="1"/>
        <v>MN/VVS-VS1/0.229-0.238</v>
      </c>
      <c r="B88" s="47" t="s">
        <v>382</v>
      </c>
      <c r="C88" s="47" t="s">
        <v>415</v>
      </c>
      <c r="D88" s="47" t="s">
        <v>432</v>
      </c>
      <c r="E88" s="47">
        <v>495</v>
      </c>
      <c r="F88" s="47">
        <v>495</v>
      </c>
      <c r="G88" s="47">
        <v>445</v>
      </c>
    </row>
    <row r="89" spans="1:7" ht="12.75" x14ac:dyDescent="0.2">
      <c r="A89" s="43" t="str">
        <f t="shared" si="1"/>
        <v>O-/IF-VS1/0.229-0.238</v>
      </c>
      <c r="B89" s="47" t="s">
        <v>384</v>
      </c>
      <c r="C89" s="47" t="s">
        <v>415</v>
      </c>
      <c r="D89" s="47" t="s">
        <v>433</v>
      </c>
      <c r="E89" s="47">
        <v>405</v>
      </c>
      <c r="F89" s="47">
        <v>405</v>
      </c>
      <c r="G89" s="47">
        <v>365</v>
      </c>
    </row>
    <row r="90" spans="1:7" ht="12.75" x14ac:dyDescent="0.2">
      <c r="A90" s="43" t="str">
        <f t="shared" si="1"/>
        <v>KL/VS2-SI1/0.229-0.238</v>
      </c>
      <c r="B90" s="47" t="s">
        <v>386</v>
      </c>
      <c r="C90" s="47" t="s">
        <v>415</v>
      </c>
      <c r="D90" s="47" t="s">
        <v>434</v>
      </c>
      <c r="E90" s="47">
        <v>495</v>
      </c>
      <c r="F90" s="47">
        <v>495</v>
      </c>
      <c r="G90" s="47">
        <v>445</v>
      </c>
    </row>
    <row r="91" spans="1:7" ht="12.75" x14ac:dyDescent="0.2">
      <c r="A91" s="43" t="str">
        <f t="shared" si="1"/>
        <v>MN/VS2-SI1/0.229-0.238</v>
      </c>
      <c r="B91" s="47" t="s">
        <v>388</v>
      </c>
      <c r="C91" s="47" t="s">
        <v>415</v>
      </c>
      <c r="D91" s="47" t="s">
        <v>435</v>
      </c>
      <c r="E91" s="47">
        <v>405</v>
      </c>
      <c r="F91" s="47">
        <v>405</v>
      </c>
      <c r="G91" s="47">
        <v>365</v>
      </c>
    </row>
    <row r="92" spans="1:7" ht="12.75" x14ac:dyDescent="0.2">
      <c r="A92" s="43" t="str">
        <f t="shared" si="1"/>
        <v>O-/VS2-SI1/0.229-0.238</v>
      </c>
      <c r="B92" s="47" t="s">
        <v>390</v>
      </c>
      <c r="C92" s="47" t="s">
        <v>415</v>
      </c>
      <c r="D92" s="47" t="s">
        <v>436</v>
      </c>
      <c r="E92" s="47">
        <v>315</v>
      </c>
      <c r="F92" s="47">
        <v>315</v>
      </c>
      <c r="G92" s="47">
        <v>280</v>
      </c>
    </row>
    <row r="93" spans="1:7" ht="12.75" x14ac:dyDescent="0.2">
      <c r="A93" s="43" t="str">
        <f t="shared" si="1"/>
        <v>KL/SI2-SI3/0.229-0.238</v>
      </c>
      <c r="B93" s="47" t="s">
        <v>392</v>
      </c>
      <c r="C93" s="47" t="s">
        <v>415</v>
      </c>
      <c r="D93" s="47" t="s">
        <v>437</v>
      </c>
      <c r="E93" s="47">
        <v>405</v>
      </c>
      <c r="F93" s="47">
        <v>405</v>
      </c>
      <c r="G93" s="47">
        <v>365</v>
      </c>
    </row>
    <row r="94" spans="1:7" ht="12.75" x14ac:dyDescent="0.2">
      <c r="A94" s="43" t="str">
        <f t="shared" si="1"/>
        <v>MN/SI2-SI3/0.229-0.238</v>
      </c>
      <c r="B94" s="47" t="s">
        <v>394</v>
      </c>
      <c r="C94" s="47" t="s">
        <v>415</v>
      </c>
      <c r="D94" s="47" t="s">
        <v>438</v>
      </c>
      <c r="E94" s="47">
        <v>315</v>
      </c>
      <c r="F94" s="47">
        <v>315</v>
      </c>
      <c r="G94" s="47">
        <v>280</v>
      </c>
    </row>
    <row r="95" spans="1:7" ht="12.75" x14ac:dyDescent="0.2">
      <c r="A95" s="43" t="str">
        <f t="shared" si="1"/>
        <v>O-/SI2-SI3/0.229-0.238</v>
      </c>
      <c r="B95" s="47" t="s">
        <v>396</v>
      </c>
      <c r="C95" s="47" t="s">
        <v>415</v>
      </c>
      <c r="D95" s="47" t="s">
        <v>439</v>
      </c>
      <c r="E95" s="47">
        <v>225</v>
      </c>
      <c r="F95" s="47">
        <v>225</v>
      </c>
      <c r="G95" s="47">
        <v>200</v>
      </c>
    </row>
    <row r="96" spans="1:7" ht="12.75" x14ac:dyDescent="0.2">
      <c r="A96" s="43" t="str">
        <f t="shared" si="1"/>
        <v>K-/I1-I3/0.229-0.238</v>
      </c>
      <c r="B96" s="47" t="s">
        <v>398</v>
      </c>
      <c r="C96" s="47" t="s">
        <v>415</v>
      </c>
      <c r="D96" s="47" t="s">
        <v>440</v>
      </c>
      <c r="E96" s="47">
        <v>180</v>
      </c>
      <c r="F96" s="47">
        <v>180</v>
      </c>
      <c r="G96" s="47">
        <v>162</v>
      </c>
    </row>
    <row r="97" spans="1:7" ht="12.75" x14ac:dyDescent="0.2">
      <c r="A97" s="43" t="str">
        <f t="shared" si="1"/>
        <v>4A/0.229-0.238</v>
      </c>
      <c r="B97" s="47" t="s">
        <v>400</v>
      </c>
      <c r="C97" s="47" t="s">
        <v>415</v>
      </c>
      <c r="D97" s="47" t="s">
        <v>441</v>
      </c>
      <c r="E97" s="47">
        <v>565</v>
      </c>
      <c r="F97" s="47">
        <v>540</v>
      </c>
      <c r="G97" s="47">
        <v>486</v>
      </c>
    </row>
    <row r="98" spans="1:7" ht="12.75" x14ac:dyDescent="0.2">
      <c r="A98" s="43" t="str">
        <f t="shared" si="1"/>
        <v>4B/0.229-0.238</v>
      </c>
      <c r="B98" s="47" t="s">
        <v>402</v>
      </c>
      <c r="C98" s="47" t="s">
        <v>415</v>
      </c>
      <c r="D98" s="47" t="s">
        <v>442</v>
      </c>
      <c r="E98" s="47">
        <v>475</v>
      </c>
      <c r="F98" s="47">
        <v>450</v>
      </c>
      <c r="G98" s="47">
        <v>405</v>
      </c>
    </row>
    <row r="99" spans="1:7" ht="12.75" x14ac:dyDescent="0.2">
      <c r="A99" s="43" t="str">
        <f t="shared" si="1"/>
        <v>5/0.229-0.238</v>
      </c>
      <c r="B99" s="47">
        <v>5</v>
      </c>
      <c r="C99" s="47" t="s">
        <v>415</v>
      </c>
      <c r="D99" s="47" t="s">
        <v>443</v>
      </c>
      <c r="E99" s="47">
        <v>350</v>
      </c>
      <c r="F99" s="47">
        <v>335</v>
      </c>
      <c r="G99" s="47">
        <v>300</v>
      </c>
    </row>
    <row r="100" spans="1:7" ht="12.75" x14ac:dyDescent="0.2">
      <c r="A100" s="43" t="str">
        <f t="shared" si="1"/>
        <v>6/0.229-0.238</v>
      </c>
      <c r="B100" s="47">
        <v>6</v>
      </c>
      <c r="C100" s="47" t="s">
        <v>415</v>
      </c>
      <c r="D100" s="47" t="s">
        <v>444</v>
      </c>
      <c r="E100" s="47">
        <v>225</v>
      </c>
      <c r="F100" s="47">
        <v>225</v>
      </c>
      <c r="G100" s="47">
        <v>200</v>
      </c>
    </row>
    <row r="101" spans="1:7" ht="12.75" x14ac:dyDescent="0.2">
      <c r="A101" s="43" t="str">
        <f t="shared" si="1"/>
        <v>7/0.229-0.238</v>
      </c>
      <c r="B101" s="47">
        <v>7</v>
      </c>
      <c r="C101" s="47" t="s">
        <v>415</v>
      </c>
      <c r="D101" s="47" t="s">
        <v>445</v>
      </c>
      <c r="E101" s="47">
        <v>180</v>
      </c>
      <c r="F101" s="47">
        <v>180</v>
      </c>
      <c r="G101" s="47">
        <v>162</v>
      </c>
    </row>
    <row r="102" spans="1:7" ht="12.75" x14ac:dyDescent="0.2">
      <c r="A102" s="43" t="str">
        <f t="shared" si="1"/>
        <v>8/0.229-0.238</v>
      </c>
      <c r="B102" s="47">
        <v>8</v>
      </c>
      <c r="C102" s="47" t="s">
        <v>415</v>
      </c>
      <c r="D102" s="47" t="s">
        <v>446</v>
      </c>
      <c r="E102" s="47">
        <v>110</v>
      </c>
      <c r="F102" s="47">
        <v>110</v>
      </c>
      <c r="G102" s="47">
        <v>99</v>
      </c>
    </row>
    <row r="103" spans="1:7" ht="12.75" x14ac:dyDescent="0.2">
      <c r="A103" s="43" t="str">
        <f t="shared" si="1"/>
        <v>NATTS-1/0.229-0.238</v>
      </c>
      <c r="B103" s="47" t="s">
        <v>408</v>
      </c>
      <c r="C103" s="47" t="s">
        <v>415</v>
      </c>
      <c r="D103" s="47" t="s">
        <v>447</v>
      </c>
      <c r="E103" s="47">
        <v>350</v>
      </c>
      <c r="F103" s="47">
        <v>335</v>
      </c>
      <c r="G103" s="47">
        <v>300</v>
      </c>
    </row>
    <row r="104" spans="1:7" ht="12.75" x14ac:dyDescent="0.2">
      <c r="A104" s="43" t="str">
        <f t="shared" si="1"/>
        <v>NATTS-2/0.229-0.238</v>
      </c>
      <c r="B104" s="47" t="s">
        <v>410</v>
      </c>
      <c r="C104" s="47" t="s">
        <v>415</v>
      </c>
      <c r="D104" s="47" t="s">
        <v>448</v>
      </c>
      <c r="E104" s="47">
        <v>225</v>
      </c>
      <c r="F104" s="47">
        <v>225</v>
      </c>
      <c r="G104" s="47">
        <v>200</v>
      </c>
    </row>
    <row r="105" spans="1:7" ht="12.75" x14ac:dyDescent="0.2">
      <c r="A105" s="43" t="str">
        <f t="shared" si="1"/>
        <v>BROWN/0.229-0.238</v>
      </c>
      <c r="B105" s="47" t="s">
        <v>412</v>
      </c>
      <c r="C105" s="47" t="s">
        <v>415</v>
      </c>
      <c r="D105" s="47" t="s">
        <v>413</v>
      </c>
      <c r="E105" s="47">
        <v>360</v>
      </c>
      <c r="F105" s="47">
        <v>360</v>
      </c>
      <c r="G105" s="47">
        <v>324</v>
      </c>
    </row>
    <row r="106" spans="1:7" ht="12.75" x14ac:dyDescent="0.2">
      <c r="A106" s="43" t="str">
        <f t="shared" si="1"/>
        <v>DF/VVS/0.239-0.298</v>
      </c>
      <c r="B106" s="47" t="s">
        <v>349</v>
      </c>
      <c r="C106" s="47" t="s">
        <v>449</v>
      </c>
      <c r="D106" s="47" t="s">
        <v>416</v>
      </c>
      <c r="E106" s="47">
        <v>1550</v>
      </c>
      <c r="F106" s="47">
        <v>1450</v>
      </c>
      <c r="G106" s="47">
        <v>1305</v>
      </c>
    </row>
    <row r="107" spans="1:7" ht="12.75" x14ac:dyDescent="0.2">
      <c r="A107" s="43" t="str">
        <f t="shared" si="1"/>
        <v>DF/VS1/0.239-0.298</v>
      </c>
      <c r="B107" s="47" t="s">
        <v>352</v>
      </c>
      <c r="C107" s="47" t="s">
        <v>449</v>
      </c>
      <c r="D107" s="47" t="s">
        <v>417</v>
      </c>
      <c r="E107" s="47">
        <v>1350</v>
      </c>
      <c r="F107" s="47">
        <v>1250</v>
      </c>
      <c r="G107" s="47">
        <v>1125</v>
      </c>
    </row>
    <row r="108" spans="1:7" ht="12.75" x14ac:dyDescent="0.2">
      <c r="A108" s="43" t="str">
        <f t="shared" si="1"/>
        <v>DF/VS2/0.239-0.298</v>
      </c>
      <c r="B108" s="47" t="s">
        <v>354</v>
      </c>
      <c r="C108" s="47" t="s">
        <v>449</v>
      </c>
      <c r="D108" s="47" t="s">
        <v>418</v>
      </c>
      <c r="E108" s="47">
        <v>1200</v>
      </c>
      <c r="F108" s="47">
        <v>1100</v>
      </c>
      <c r="G108" s="47">
        <v>990</v>
      </c>
    </row>
    <row r="109" spans="1:7" ht="12.75" x14ac:dyDescent="0.2">
      <c r="A109" s="43" t="str">
        <f t="shared" si="1"/>
        <v>GH/VVS/0.239-0.298</v>
      </c>
      <c r="B109" s="47" t="s">
        <v>356</v>
      </c>
      <c r="C109" s="47" t="s">
        <v>449</v>
      </c>
      <c r="D109" s="47" t="s">
        <v>419</v>
      </c>
      <c r="E109" s="47">
        <v>1400</v>
      </c>
      <c r="F109" s="47">
        <v>1300</v>
      </c>
      <c r="G109" s="47">
        <v>1170</v>
      </c>
    </row>
    <row r="110" spans="1:7" ht="12.75" x14ac:dyDescent="0.2">
      <c r="A110" s="43" t="str">
        <f t="shared" si="1"/>
        <v>GH/VS1/0.239-0.298</v>
      </c>
      <c r="B110" s="47" t="s">
        <v>358</v>
      </c>
      <c r="C110" s="47" t="s">
        <v>449</v>
      </c>
      <c r="D110" s="47" t="s">
        <v>420</v>
      </c>
      <c r="E110" s="47">
        <v>1200</v>
      </c>
      <c r="F110" s="47">
        <v>1100</v>
      </c>
      <c r="G110" s="47">
        <v>990</v>
      </c>
    </row>
    <row r="111" spans="1:7" ht="12.75" x14ac:dyDescent="0.2">
      <c r="A111" s="43" t="str">
        <f t="shared" si="1"/>
        <v>GH/VS2/0.239-0.298</v>
      </c>
      <c r="B111" s="47" t="s">
        <v>360</v>
      </c>
      <c r="C111" s="47" t="s">
        <v>449</v>
      </c>
      <c r="D111" s="47" t="s">
        <v>421</v>
      </c>
      <c r="E111" s="47">
        <v>1100</v>
      </c>
      <c r="F111" s="47">
        <v>1000</v>
      </c>
      <c r="G111" s="47">
        <v>900</v>
      </c>
    </row>
    <row r="112" spans="1:7" ht="12.75" x14ac:dyDescent="0.2">
      <c r="A112" s="43" t="str">
        <f t="shared" si="1"/>
        <v>IJ/VVS/0.239-0.298</v>
      </c>
      <c r="B112" s="47" t="s">
        <v>362</v>
      </c>
      <c r="C112" s="47" t="s">
        <v>449</v>
      </c>
      <c r="D112" s="47" t="s">
        <v>422</v>
      </c>
      <c r="E112" s="47">
        <v>1000</v>
      </c>
      <c r="F112" s="47">
        <v>950</v>
      </c>
      <c r="G112" s="47">
        <v>855</v>
      </c>
    </row>
    <row r="113" spans="1:7" ht="12.75" x14ac:dyDescent="0.2">
      <c r="A113" s="43" t="str">
        <f t="shared" si="1"/>
        <v>IJ/VS1/0.239-0.298</v>
      </c>
      <c r="B113" s="47" t="s">
        <v>364</v>
      </c>
      <c r="C113" s="47" t="s">
        <v>449</v>
      </c>
      <c r="D113" s="47" t="s">
        <v>423</v>
      </c>
      <c r="E113" s="47">
        <v>950</v>
      </c>
      <c r="F113" s="47">
        <v>900</v>
      </c>
      <c r="G113" s="47">
        <v>810</v>
      </c>
    </row>
    <row r="114" spans="1:7" ht="12.75" x14ac:dyDescent="0.2">
      <c r="A114" s="43" t="str">
        <f t="shared" si="1"/>
        <v>IJ/VS2/0.239-0.298</v>
      </c>
      <c r="B114" s="47" t="s">
        <v>366</v>
      </c>
      <c r="C114" s="47" t="s">
        <v>449</v>
      </c>
      <c r="D114" s="47" t="s">
        <v>424</v>
      </c>
      <c r="E114" s="47">
        <v>900</v>
      </c>
      <c r="F114" s="47">
        <v>850</v>
      </c>
      <c r="G114" s="47">
        <v>765</v>
      </c>
    </row>
    <row r="115" spans="1:7" ht="12.75" x14ac:dyDescent="0.2">
      <c r="A115" s="43" t="str">
        <f t="shared" si="1"/>
        <v>DG/SI1/0.239-0.298</v>
      </c>
      <c r="B115" s="47" t="s">
        <v>368</v>
      </c>
      <c r="C115" s="47" t="s">
        <v>449</v>
      </c>
      <c r="D115" s="47" t="s">
        <v>425</v>
      </c>
      <c r="E115" s="47">
        <v>1000</v>
      </c>
      <c r="F115" s="47">
        <v>900</v>
      </c>
      <c r="G115" s="47">
        <v>810</v>
      </c>
    </row>
    <row r="116" spans="1:7" ht="12.75" x14ac:dyDescent="0.2">
      <c r="A116" s="43" t="str">
        <f t="shared" si="1"/>
        <v>DG/SI2/0.239-0.298</v>
      </c>
      <c r="B116" s="47" t="s">
        <v>370</v>
      </c>
      <c r="C116" s="47" t="s">
        <v>449</v>
      </c>
      <c r="D116" s="47" t="s">
        <v>426</v>
      </c>
      <c r="E116" s="47">
        <v>850</v>
      </c>
      <c r="F116" s="47">
        <v>800</v>
      </c>
      <c r="G116" s="47">
        <v>720</v>
      </c>
    </row>
    <row r="117" spans="1:7" ht="12.75" x14ac:dyDescent="0.2">
      <c r="A117" s="43" t="str">
        <f t="shared" si="1"/>
        <v>DG/SI3/0.239-0.298</v>
      </c>
      <c r="B117" s="47" t="s">
        <v>372</v>
      </c>
      <c r="C117" s="47" t="s">
        <v>449</v>
      </c>
      <c r="D117" s="47" t="s">
        <v>427</v>
      </c>
      <c r="E117" s="47">
        <v>750</v>
      </c>
      <c r="F117" s="47">
        <v>700</v>
      </c>
      <c r="G117" s="47">
        <v>630</v>
      </c>
    </row>
    <row r="118" spans="1:7" ht="12.75" x14ac:dyDescent="0.2">
      <c r="A118" s="43" t="str">
        <f t="shared" si="1"/>
        <v>HIJ/SI1/0.239-0.298</v>
      </c>
      <c r="B118" s="47" t="s">
        <v>374</v>
      </c>
      <c r="C118" s="47" t="s">
        <v>449</v>
      </c>
      <c r="D118" s="47" t="s">
        <v>428</v>
      </c>
      <c r="E118" s="47">
        <v>850</v>
      </c>
      <c r="F118" s="47">
        <v>800</v>
      </c>
      <c r="G118" s="47">
        <v>720</v>
      </c>
    </row>
    <row r="119" spans="1:7" ht="12.75" x14ac:dyDescent="0.2">
      <c r="A119" s="43" t="str">
        <f t="shared" si="1"/>
        <v>HIJ/SI2/0.239-0.298</v>
      </c>
      <c r="B119" s="47" t="s">
        <v>376</v>
      </c>
      <c r="C119" s="47" t="s">
        <v>449</v>
      </c>
      <c r="D119" s="47" t="s">
        <v>429</v>
      </c>
      <c r="E119" s="47">
        <v>750</v>
      </c>
      <c r="F119" s="47">
        <v>700</v>
      </c>
      <c r="G119" s="47">
        <v>630</v>
      </c>
    </row>
    <row r="120" spans="1:7" ht="12.75" x14ac:dyDescent="0.2">
      <c r="A120" s="43" t="str">
        <f t="shared" si="1"/>
        <v>HIJ/SI3/0.239-0.298</v>
      </c>
      <c r="B120" s="47" t="s">
        <v>378</v>
      </c>
      <c r="C120" s="47" t="s">
        <v>449</v>
      </c>
      <c r="D120" s="47" t="s">
        <v>430</v>
      </c>
      <c r="E120" s="47">
        <v>675</v>
      </c>
      <c r="F120" s="47">
        <v>625</v>
      </c>
      <c r="G120" s="47">
        <v>560</v>
      </c>
    </row>
    <row r="121" spans="1:7" ht="12.75" x14ac:dyDescent="0.2">
      <c r="A121" s="43" t="str">
        <f t="shared" si="1"/>
        <v>KL/VVS-VS1/0.239-0.298</v>
      </c>
      <c r="B121" s="47" t="s">
        <v>380</v>
      </c>
      <c r="C121" s="47" t="s">
        <v>449</v>
      </c>
      <c r="D121" s="47" t="s">
        <v>431</v>
      </c>
      <c r="E121" s="47">
        <v>650</v>
      </c>
      <c r="F121" s="47">
        <v>650</v>
      </c>
      <c r="G121" s="47">
        <v>585</v>
      </c>
    </row>
    <row r="122" spans="1:7" ht="12.75" x14ac:dyDescent="0.2">
      <c r="A122" s="43" t="str">
        <f t="shared" si="1"/>
        <v>MN/VVS-VS1/0.239-0.298</v>
      </c>
      <c r="B122" s="47" t="s">
        <v>382</v>
      </c>
      <c r="C122" s="47" t="s">
        <v>449</v>
      </c>
      <c r="D122" s="47" t="s">
        <v>432</v>
      </c>
      <c r="E122" s="47">
        <v>550</v>
      </c>
      <c r="F122" s="47">
        <v>550</v>
      </c>
      <c r="G122" s="47">
        <v>495</v>
      </c>
    </row>
    <row r="123" spans="1:7" ht="12.75" x14ac:dyDescent="0.2">
      <c r="A123" s="43" t="str">
        <f t="shared" si="1"/>
        <v>O-/IF-VS1/0.239-0.298</v>
      </c>
      <c r="B123" s="47" t="s">
        <v>384</v>
      </c>
      <c r="C123" s="47" t="s">
        <v>449</v>
      </c>
      <c r="D123" s="47" t="s">
        <v>433</v>
      </c>
      <c r="E123" s="47">
        <v>450</v>
      </c>
      <c r="F123" s="47">
        <v>450</v>
      </c>
      <c r="G123" s="47">
        <v>405</v>
      </c>
    </row>
    <row r="124" spans="1:7" ht="12.75" x14ac:dyDescent="0.2">
      <c r="A124" s="43" t="str">
        <f t="shared" si="1"/>
        <v>KL/VS2-SI1/0.239-0.298</v>
      </c>
      <c r="B124" s="47" t="s">
        <v>386</v>
      </c>
      <c r="C124" s="47" t="s">
        <v>449</v>
      </c>
      <c r="D124" s="47" t="s">
        <v>434</v>
      </c>
      <c r="E124" s="47">
        <v>550</v>
      </c>
      <c r="F124" s="47">
        <v>550</v>
      </c>
      <c r="G124" s="47">
        <v>495</v>
      </c>
    </row>
    <row r="125" spans="1:7" ht="12.75" x14ac:dyDescent="0.2">
      <c r="A125" s="43" t="str">
        <f t="shared" si="1"/>
        <v>MN/VS2-SI1/0.239-0.298</v>
      </c>
      <c r="B125" s="47" t="s">
        <v>388</v>
      </c>
      <c r="C125" s="47" t="s">
        <v>449</v>
      </c>
      <c r="D125" s="47" t="s">
        <v>435</v>
      </c>
      <c r="E125" s="47">
        <v>450</v>
      </c>
      <c r="F125" s="47">
        <v>450</v>
      </c>
      <c r="G125" s="47">
        <v>405</v>
      </c>
    </row>
    <row r="126" spans="1:7" ht="12.75" x14ac:dyDescent="0.2">
      <c r="A126" s="43" t="str">
        <f t="shared" si="1"/>
        <v>O-/VS2-SI1/0.239-0.298</v>
      </c>
      <c r="B126" s="47" t="s">
        <v>390</v>
      </c>
      <c r="C126" s="47" t="s">
        <v>449</v>
      </c>
      <c r="D126" s="47" t="s">
        <v>436</v>
      </c>
      <c r="E126" s="47">
        <v>350</v>
      </c>
      <c r="F126" s="47">
        <v>350</v>
      </c>
      <c r="G126" s="47">
        <v>315</v>
      </c>
    </row>
    <row r="127" spans="1:7" ht="12.75" x14ac:dyDescent="0.2">
      <c r="A127" s="43" t="str">
        <f t="shared" si="1"/>
        <v>KL/SI2-SI3/0.239-0.298</v>
      </c>
      <c r="B127" s="47" t="s">
        <v>392</v>
      </c>
      <c r="C127" s="47" t="s">
        <v>449</v>
      </c>
      <c r="D127" s="47" t="s">
        <v>437</v>
      </c>
      <c r="E127" s="47">
        <v>450</v>
      </c>
      <c r="F127" s="47">
        <v>450</v>
      </c>
      <c r="G127" s="47">
        <v>405</v>
      </c>
    </row>
    <row r="128" spans="1:7" ht="12.75" x14ac:dyDescent="0.2">
      <c r="A128" s="43" t="str">
        <f t="shared" si="1"/>
        <v>MN/SI2-SI3/0.239-0.298</v>
      </c>
      <c r="B128" s="47" t="s">
        <v>394</v>
      </c>
      <c r="C128" s="47" t="s">
        <v>449</v>
      </c>
      <c r="D128" s="47" t="s">
        <v>438</v>
      </c>
      <c r="E128" s="47">
        <v>350</v>
      </c>
      <c r="F128" s="47">
        <v>350</v>
      </c>
      <c r="G128" s="47">
        <v>315</v>
      </c>
    </row>
    <row r="129" spans="1:7" ht="12.75" x14ac:dyDescent="0.2">
      <c r="A129" s="43" t="str">
        <f t="shared" si="1"/>
        <v>O-/SI2-SI3/0.239-0.298</v>
      </c>
      <c r="B129" s="47" t="s">
        <v>396</v>
      </c>
      <c r="C129" s="47" t="s">
        <v>449</v>
      </c>
      <c r="D129" s="47" t="s">
        <v>439</v>
      </c>
      <c r="E129" s="47">
        <v>250</v>
      </c>
      <c r="F129" s="47">
        <v>250</v>
      </c>
      <c r="G129" s="47">
        <v>225</v>
      </c>
    </row>
    <row r="130" spans="1:7" ht="12.75" x14ac:dyDescent="0.2">
      <c r="A130" s="43" t="str">
        <f t="shared" si="1"/>
        <v>K-/I1-I3/0.239-0.298</v>
      </c>
      <c r="B130" s="47" t="s">
        <v>398</v>
      </c>
      <c r="C130" s="47" t="s">
        <v>449</v>
      </c>
      <c r="D130" s="47" t="s">
        <v>440</v>
      </c>
      <c r="E130" s="47">
        <v>200</v>
      </c>
      <c r="F130" s="47">
        <v>200</v>
      </c>
      <c r="G130" s="47">
        <v>180</v>
      </c>
    </row>
    <row r="131" spans="1:7" ht="12.75" x14ac:dyDescent="0.2">
      <c r="A131" s="43" t="str">
        <f t="shared" si="1"/>
        <v>4A/0.239-0.298</v>
      </c>
      <c r="B131" s="47" t="s">
        <v>400</v>
      </c>
      <c r="C131" s="47" t="s">
        <v>449</v>
      </c>
      <c r="D131" s="47" t="s">
        <v>441</v>
      </c>
      <c r="E131" s="47">
        <v>650</v>
      </c>
      <c r="F131" s="47">
        <v>600</v>
      </c>
      <c r="G131" s="47">
        <v>540</v>
      </c>
    </row>
    <row r="132" spans="1:7" ht="12.75" x14ac:dyDescent="0.2">
      <c r="A132" s="43" t="str">
        <f t="shared" si="1"/>
        <v>4B/0.239-0.298</v>
      </c>
      <c r="B132" s="47" t="s">
        <v>402</v>
      </c>
      <c r="C132" s="47" t="s">
        <v>449</v>
      </c>
      <c r="D132" s="47" t="s">
        <v>442</v>
      </c>
      <c r="E132" s="47">
        <v>540</v>
      </c>
      <c r="F132" s="47">
        <v>500</v>
      </c>
      <c r="G132" s="47">
        <v>450</v>
      </c>
    </row>
    <row r="133" spans="1:7" ht="12.75" x14ac:dyDescent="0.2">
      <c r="A133" s="43" t="str">
        <f t="shared" si="1"/>
        <v>5/0.239-0.298</v>
      </c>
      <c r="B133" s="47">
        <v>5</v>
      </c>
      <c r="C133" s="47" t="s">
        <v>449</v>
      </c>
      <c r="D133" s="47" t="s">
        <v>443</v>
      </c>
      <c r="E133" s="47">
        <v>400</v>
      </c>
      <c r="F133" s="47">
        <v>375</v>
      </c>
      <c r="G133" s="47">
        <v>335</v>
      </c>
    </row>
    <row r="134" spans="1:7" ht="12.75" x14ac:dyDescent="0.2">
      <c r="A134" s="43" t="str">
        <f t="shared" si="1"/>
        <v>6/0.239-0.298</v>
      </c>
      <c r="B134" s="47">
        <v>6</v>
      </c>
      <c r="C134" s="47" t="s">
        <v>449</v>
      </c>
      <c r="D134" s="47" t="s">
        <v>444</v>
      </c>
      <c r="E134" s="47">
        <v>250</v>
      </c>
      <c r="F134" s="47">
        <v>250</v>
      </c>
      <c r="G134" s="47">
        <v>225</v>
      </c>
    </row>
    <row r="135" spans="1:7" ht="12.75" x14ac:dyDescent="0.2">
      <c r="A135" s="43" t="str">
        <f t="shared" si="1"/>
        <v>7/0.239-0.298</v>
      </c>
      <c r="B135" s="47">
        <v>7</v>
      </c>
      <c r="C135" s="47" t="s">
        <v>449</v>
      </c>
      <c r="D135" s="47" t="s">
        <v>445</v>
      </c>
      <c r="E135" s="47">
        <v>200</v>
      </c>
      <c r="F135" s="47">
        <v>200</v>
      </c>
      <c r="G135" s="47">
        <v>180</v>
      </c>
    </row>
    <row r="136" spans="1:7" ht="12.75" x14ac:dyDescent="0.2">
      <c r="A136" s="43" t="str">
        <f t="shared" si="1"/>
        <v>8/0.239-0.298</v>
      </c>
      <c r="B136" s="47">
        <v>8</v>
      </c>
      <c r="C136" s="47" t="s">
        <v>449</v>
      </c>
      <c r="D136" s="47" t="s">
        <v>446</v>
      </c>
      <c r="E136" s="47">
        <v>125</v>
      </c>
      <c r="F136" s="47">
        <v>125</v>
      </c>
      <c r="G136" s="47">
        <v>110</v>
      </c>
    </row>
    <row r="137" spans="1:7" ht="12.75" x14ac:dyDescent="0.2">
      <c r="A137" s="43" t="str">
        <f>SUBSTITUTE(B137," ","/")&amp;"/"&amp;C137</f>
        <v>NATTS-1/0.239-0.298</v>
      </c>
      <c r="B137" s="47" t="s">
        <v>408</v>
      </c>
      <c r="C137" s="47" t="s">
        <v>449</v>
      </c>
      <c r="D137" s="47" t="s">
        <v>447</v>
      </c>
      <c r="E137" s="47">
        <v>375</v>
      </c>
      <c r="F137" s="47">
        <v>375</v>
      </c>
      <c r="G137" s="47">
        <v>335</v>
      </c>
    </row>
    <row r="138" spans="1:7" ht="12.75" x14ac:dyDescent="0.2">
      <c r="A138" s="43" t="str">
        <f>SUBSTITUTE(B138," ","/")&amp;"/"&amp;C138</f>
        <v>NATTS-2/0.239-0.298</v>
      </c>
      <c r="B138" s="47" t="s">
        <v>410</v>
      </c>
      <c r="C138" s="47" t="s">
        <v>449</v>
      </c>
      <c r="D138" s="47" t="s">
        <v>448</v>
      </c>
      <c r="E138" s="47">
        <v>250</v>
      </c>
      <c r="F138" s="47">
        <v>250</v>
      </c>
      <c r="G138" s="47">
        <v>225</v>
      </c>
    </row>
    <row r="139" spans="1:7" ht="12.75" x14ac:dyDescent="0.2">
      <c r="A139" s="43" t="str">
        <f>SUBSTITUTE(B139," ","/")&amp;"/"&amp;C139</f>
        <v>BROWN/0.239-0.298</v>
      </c>
      <c r="B139" s="47" t="s">
        <v>412</v>
      </c>
      <c r="C139" s="47" t="s">
        <v>449</v>
      </c>
      <c r="D139" s="47" t="s">
        <v>413</v>
      </c>
      <c r="E139" s="47">
        <v>400</v>
      </c>
      <c r="F139" s="47">
        <v>400</v>
      </c>
      <c r="G139" s="47">
        <v>360</v>
      </c>
    </row>
    <row r="140" spans="1:7" ht="12.75" x14ac:dyDescent="0.2">
      <c r="A140" s="43" t="str">
        <f>SUBSTITUTE(B140," ","/")&amp;"/"&amp;C140</f>
        <v>DF/VVS/0.299-0.398</v>
      </c>
      <c r="B140" s="47" t="s">
        <v>349</v>
      </c>
      <c r="C140" s="47" t="s">
        <v>450</v>
      </c>
      <c r="D140" s="47" t="s">
        <v>451</v>
      </c>
      <c r="E140" s="47">
        <v>1375</v>
      </c>
      <c r="F140" s="47">
        <v>1300</v>
      </c>
      <c r="G140" s="47">
        <v>1170</v>
      </c>
    </row>
    <row r="141" spans="1:7" ht="12.75" x14ac:dyDescent="0.2">
      <c r="A141" s="43" t="str">
        <f t="shared" ref="A141:A204" si="2">SUBSTITUTE(B141," ","/")&amp;"/"&amp;C141</f>
        <v>DF/VS1/0.299-0.398</v>
      </c>
      <c r="B141" s="47" t="s">
        <v>352</v>
      </c>
      <c r="C141" s="47" t="s">
        <v>450</v>
      </c>
      <c r="D141" s="47" t="s">
        <v>452</v>
      </c>
      <c r="E141" s="47">
        <v>1275</v>
      </c>
      <c r="F141" s="47">
        <v>1200</v>
      </c>
      <c r="G141" s="47">
        <v>1080</v>
      </c>
    </row>
    <row r="142" spans="1:7" ht="12.75" x14ac:dyDescent="0.2">
      <c r="A142" s="43" t="str">
        <f t="shared" si="2"/>
        <v>DF/VS2/0.299-0.398</v>
      </c>
      <c r="B142" s="47" t="s">
        <v>354</v>
      </c>
      <c r="C142" s="47" t="s">
        <v>450</v>
      </c>
      <c r="D142" s="47" t="s">
        <v>453</v>
      </c>
      <c r="E142" s="47">
        <v>1175</v>
      </c>
      <c r="F142" s="47">
        <v>1100</v>
      </c>
      <c r="G142" s="47">
        <v>990</v>
      </c>
    </row>
    <row r="143" spans="1:7" ht="12.75" x14ac:dyDescent="0.2">
      <c r="A143" s="43" t="str">
        <f t="shared" si="2"/>
        <v>GH/VVS/0.299-0.398</v>
      </c>
      <c r="B143" s="47" t="s">
        <v>356</v>
      </c>
      <c r="C143" s="47" t="s">
        <v>450</v>
      </c>
      <c r="D143" s="47" t="s">
        <v>454</v>
      </c>
      <c r="E143" s="47">
        <v>1275</v>
      </c>
      <c r="F143" s="47">
        <v>1200</v>
      </c>
      <c r="G143" s="47">
        <v>1080</v>
      </c>
    </row>
    <row r="144" spans="1:7" ht="12.75" x14ac:dyDescent="0.2">
      <c r="A144" s="43" t="str">
        <f t="shared" si="2"/>
        <v>GH/VS1/0.299-0.398</v>
      </c>
      <c r="B144" s="47" t="s">
        <v>358</v>
      </c>
      <c r="C144" s="47" t="s">
        <v>450</v>
      </c>
      <c r="D144" s="47" t="s">
        <v>455</v>
      </c>
      <c r="E144" s="47">
        <v>1225</v>
      </c>
      <c r="F144" s="47">
        <v>1150</v>
      </c>
      <c r="G144" s="47">
        <v>1035</v>
      </c>
    </row>
    <row r="145" spans="1:7" ht="12.75" x14ac:dyDescent="0.2">
      <c r="A145" s="43" t="str">
        <f t="shared" si="2"/>
        <v>GH/VS2/0.299-0.398</v>
      </c>
      <c r="B145" s="47" t="s">
        <v>360</v>
      </c>
      <c r="C145" s="47" t="s">
        <v>450</v>
      </c>
      <c r="D145" s="47" t="s">
        <v>456</v>
      </c>
      <c r="E145" s="47">
        <v>1125</v>
      </c>
      <c r="F145" s="47">
        <v>1050</v>
      </c>
      <c r="G145" s="47">
        <v>945</v>
      </c>
    </row>
    <row r="146" spans="1:7" ht="12.75" x14ac:dyDescent="0.2">
      <c r="A146" s="43" t="str">
        <f t="shared" si="2"/>
        <v>IJ/VVS/0.299-0.398</v>
      </c>
      <c r="B146" s="47" t="s">
        <v>362</v>
      </c>
      <c r="C146" s="47" t="s">
        <v>450</v>
      </c>
      <c r="D146" s="47" t="s">
        <v>457</v>
      </c>
      <c r="E146" s="47">
        <v>1100</v>
      </c>
      <c r="F146" s="47">
        <v>1050</v>
      </c>
      <c r="G146" s="47">
        <v>945</v>
      </c>
    </row>
    <row r="147" spans="1:7" ht="12.75" x14ac:dyDescent="0.2">
      <c r="A147" s="43" t="str">
        <f t="shared" si="2"/>
        <v>IJ/VS1/0.299-0.398</v>
      </c>
      <c r="B147" s="47" t="s">
        <v>364</v>
      </c>
      <c r="C147" s="47" t="s">
        <v>450</v>
      </c>
      <c r="D147" s="47" t="s">
        <v>458</v>
      </c>
      <c r="E147" s="47">
        <v>1050</v>
      </c>
      <c r="F147" s="47">
        <v>1000</v>
      </c>
      <c r="G147" s="47">
        <v>900</v>
      </c>
    </row>
    <row r="148" spans="1:7" ht="12.75" x14ac:dyDescent="0.2">
      <c r="A148" s="43" t="str">
        <f t="shared" si="2"/>
        <v>IJ/VS2/0.299-0.398</v>
      </c>
      <c r="B148" s="47" t="s">
        <v>366</v>
      </c>
      <c r="C148" s="47" t="s">
        <v>450</v>
      </c>
      <c r="D148" s="47" t="s">
        <v>459</v>
      </c>
      <c r="E148" s="47">
        <v>1000</v>
      </c>
      <c r="F148" s="47">
        <v>950</v>
      </c>
      <c r="G148" s="47">
        <v>855</v>
      </c>
    </row>
    <row r="149" spans="1:7" ht="12.75" x14ac:dyDescent="0.2">
      <c r="A149" s="43" t="str">
        <f t="shared" si="2"/>
        <v>DG/SI1/0.299-0.398</v>
      </c>
      <c r="B149" s="47" t="s">
        <v>368</v>
      </c>
      <c r="C149" s="47" t="s">
        <v>450</v>
      </c>
      <c r="D149" s="47" t="s">
        <v>460</v>
      </c>
      <c r="E149" s="47">
        <v>1075</v>
      </c>
      <c r="F149" s="47">
        <v>1000</v>
      </c>
      <c r="G149" s="47">
        <v>900</v>
      </c>
    </row>
    <row r="150" spans="1:7" ht="12.75" x14ac:dyDescent="0.2">
      <c r="A150" s="43" t="str">
        <f t="shared" si="2"/>
        <v>DG/SI2/0.299-0.398</v>
      </c>
      <c r="B150" s="47" t="s">
        <v>370</v>
      </c>
      <c r="C150" s="47" t="s">
        <v>450</v>
      </c>
      <c r="D150" s="47" t="s">
        <v>461</v>
      </c>
      <c r="E150" s="47">
        <v>950</v>
      </c>
      <c r="F150" s="47">
        <v>850</v>
      </c>
      <c r="G150" s="47">
        <v>765</v>
      </c>
    </row>
    <row r="151" spans="1:7" ht="12.75" x14ac:dyDescent="0.2">
      <c r="A151" s="43" t="str">
        <f t="shared" si="2"/>
        <v>DG/SI3/0.299-0.398</v>
      </c>
      <c r="B151" s="47" t="s">
        <v>372</v>
      </c>
      <c r="C151" s="47" t="s">
        <v>450</v>
      </c>
      <c r="D151" s="47" t="s">
        <v>462</v>
      </c>
      <c r="E151" s="47">
        <v>825</v>
      </c>
      <c r="F151" s="47">
        <v>775</v>
      </c>
      <c r="G151" s="47">
        <v>695</v>
      </c>
    </row>
    <row r="152" spans="1:7" ht="12.75" x14ac:dyDescent="0.2">
      <c r="A152" s="43" t="str">
        <f t="shared" si="2"/>
        <v>HIJ/SI1/0.299-0.398</v>
      </c>
      <c r="B152" s="47" t="s">
        <v>374</v>
      </c>
      <c r="C152" s="47" t="s">
        <v>450</v>
      </c>
      <c r="D152" s="47" t="s">
        <v>463</v>
      </c>
      <c r="E152" s="47">
        <v>950</v>
      </c>
      <c r="F152" s="47">
        <v>900</v>
      </c>
      <c r="G152" s="47">
        <v>810</v>
      </c>
    </row>
    <row r="153" spans="1:7" ht="12.75" x14ac:dyDescent="0.2">
      <c r="A153" s="43" t="str">
        <f t="shared" si="2"/>
        <v>HIJ/SI2/0.299-0.398</v>
      </c>
      <c r="B153" s="47" t="s">
        <v>376</v>
      </c>
      <c r="C153" s="47" t="s">
        <v>450</v>
      </c>
      <c r="D153" s="47" t="s">
        <v>464</v>
      </c>
      <c r="E153" s="47">
        <v>825</v>
      </c>
      <c r="F153" s="47">
        <v>775</v>
      </c>
      <c r="G153" s="47">
        <v>695</v>
      </c>
    </row>
    <row r="154" spans="1:7" ht="12.75" x14ac:dyDescent="0.2">
      <c r="A154" s="43" t="str">
        <f t="shared" si="2"/>
        <v>HIJ/SI3/0.299-0.398</v>
      </c>
      <c r="B154" s="47" t="s">
        <v>378</v>
      </c>
      <c r="C154" s="47" t="s">
        <v>450</v>
      </c>
      <c r="D154" s="47" t="s">
        <v>465</v>
      </c>
      <c r="E154" s="47">
        <v>750</v>
      </c>
      <c r="F154" s="47">
        <v>700</v>
      </c>
      <c r="G154" s="47">
        <v>630</v>
      </c>
    </row>
    <row r="155" spans="1:7" ht="12.75" x14ac:dyDescent="0.2">
      <c r="A155" s="43" t="str">
        <f t="shared" si="2"/>
        <v>KL/VVS-VS1/0.299-0.398</v>
      </c>
      <c r="B155" s="47" t="s">
        <v>380</v>
      </c>
      <c r="C155" s="47" t="s">
        <v>450</v>
      </c>
      <c r="D155" s="47" t="s">
        <v>466</v>
      </c>
      <c r="E155" s="47">
        <v>800</v>
      </c>
      <c r="F155" s="47">
        <v>800</v>
      </c>
      <c r="G155" s="47">
        <v>720</v>
      </c>
    </row>
    <row r="156" spans="1:7" ht="12.75" x14ac:dyDescent="0.2">
      <c r="A156" s="43" t="str">
        <f t="shared" si="2"/>
        <v>MN/VVS-VS1/0.299-0.398</v>
      </c>
      <c r="B156" s="47" t="s">
        <v>382</v>
      </c>
      <c r="C156" s="47" t="s">
        <v>450</v>
      </c>
      <c r="D156" s="47" t="s">
        <v>467</v>
      </c>
      <c r="E156" s="47">
        <v>650</v>
      </c>
      <c r="F156" s="47">
        <v>650</v>
      </c>
      <c r="G156" s="47">
        <v>585</v>
      </c>
    </row>
    <row r="157" spans="1:7" ht="12.75" x14ac:dyDescent="0.2">
      <c r="A157" s="43" t="str">
        <f t="shared" si="2"/>
        <v>O-/IF-VS1/0.299-0.398</v>
      </c>
      <c r="B157" s="47" t="s">
        <v>384</v>
      </c>
      <c r="C157" s="47" t="s">
        <v>450</v>
      </c>
      <c r="D157" s="47" t="s">
        <v>468</v>
      </c>
      <c r="E157" s="47">
        <v>500</v>
      </c>
      <c r="F157" s="47">
        <v>500</v>
      </c>
      <c r="G157" s="47">
        <v>450</v>
      </c>
    </row>
    <row r="158" spans="1:7" ht="12.75" x14ac:dyDescent="0.2">
      <c r="A158" s="43" t="str">
        <f t="shared" si="2"/>
        <v>KL/VS2-SI1/0.299-0.398</v>
      </c>
      <c r="B158" s="47" t="s">
        <v>386</v>
      </c>
      <c r="C158" s="47" t="s">
        <v>450</v>
      </c>
      <c r="D158" s="47" t="s">
        <v>469</v>
      </c>
      <c r="E158" s="47">
        <v>700</v>
      </c>
      <c r="F158" s="47">
        <v>700</v>
      </c>
      <c r="G158" s="47">
        <v>630</v>
      </c>
    </row>
    <row r="159" spans="1:7" ht="12.75" x14ac:dyDescent="0.2">
      <c r="A159" s="43" t="str">
        <f t="shared" si="2"/>
        <v>MN/VS2-SI1/0.299-0.398</v>
      </c>
      <c r="B159" s="47" t="s">
        <v>388</v>
      </c>
      <c r="C159" s="47" t="s">
        <v>450</v>
      </c>
      <c r="D159" s="47" t="s">
        <v>470</v>
      </c>
      <c r="E159" s="47">
        <v>550</v>
      </c>
      <c r="F159" s="47">
        <v>550</v>
      </c>
      <c r="G159" s="47">
        <v>495</v>
      </c>
    </row>
    <row r="160" spans="1:7" ht="12.75" x14ac:dyDescent="0.2">
      <c r="A160" s="43" t="str">
        <f t="shared" si="2"/>
        <v>O-/VS2-SI1/0.299-0.398</v>
      </c>
      <c r="B160" s="47" t="s">
        <v>390</v>
      </c>
      <c r="C160" s="47" t="s">
        <v>450</v>
      </c>
      <c r="D160" s="47" t="s">
        <v>471</v>
      </c>
      <c r="E160" s="47">
        <v>425</v>
      </c>
      <c r="F160" s="47">
        <v>425</v>
      </c>
      <c r="G160" s="47">
        <v>380</v>
      </c>
    </row>
    <row r="161" spans="1:7" ht="12.75" x14ac:dyDescent="0.2">
      <c r="A161" s="43" t="str">
        <f t="shared" si="2"/>
        <v>KL/SI2-SI3/0.299-0.398</v>
      </c>
      <c r="B161" s="47" t="s">
        <v>392</v>
      </c>
      <c r="C161" s="47" t="s">
        <v>450</v>
      </c>
      <c r="D161" s="47" t="s">
        <v>472</v>
      </c>
      <c r="E161" s="47">
        <v>600</v>
      </c>
      <c r="F161" s="47">
        <v>600</v>
      </c>
      <c r="G161" s="47">
        <v>540</v>
      </c>
    </row>
    <row r="162" spans="1:7" ht="12.75" x14ac:dyDescent="0.2">
      <c r="A162" s="43" t="str">
        <f t="shared" si="2"/>
        <v>MN/SI2-SI3/0.299-0.398</v>
      </c>
      <c r="B162" s="47" t="s">
        <v>394</v>
      </c>
      <c r="C162" s="47" t="s">
        <v>450</v>
      </c>
      <c r="D162" s="47" t="s">
        <v>473</v>
      </c>
      <c r="E162" s="47">
        <v>500</v>
      </c>
      <c r="F162" s="47">
        <v>500</v>
      </c>
      <c r="G162" s="47">
        <v>450</v>
      </c>
    </row>
    <row r="163" spans="1:7" ht="12.75" x14ac:dyDescent="0.2">
      <c r="A163" s="43" t="str">
        <f t="shared" si="2"/>
        <v>O-/SI2-SI3/0.299-0.398</v>
      </c>
      <c r="B163" s="47" t="s">
        <v>396</v>
      </c>
      <c r="C163" s="47" t="s">
        <v>450</v>
      </c>
      <c r="D163" s="47" t="s">
        <v>474</v>
      </c>
      <c r="E163" s="47">
        <v>350</v>
      </c>
      <c r="F163" s="47">
        <v>350</v>
      </c>
      <c r="G163" s="47">
        <v>315</v>
      </c>
    </row>
    <row r="164" spans="1:7" ht="12.75" x14ac:dyDescent="0.2">
      <c r="A164" s="43" t="str">
        <f t="shared" si="2"/>
        <v>K-/I1-I3/0.299-0.398</v>
      </c>
      <c r="B164" s="47" t="s">
        <v>398</v>
      </c>
      <c r="C164" s="47" t="s">
        <v>450</v>
      </c>
      <c r="D164" s="47" t="s">
        <v>475</v>
      </c>
      <c r="E164" s="47">
        <v>250</v>
      </c>
      <c r="F164" s="47">
        <v>250</v>
      </c>
      <c r="G164" s="47">
        <v>225</v>
      </c>
    </row>
    <row r="165" spans="1:7" ht="12.75" x14ac:dyDescent="0.2">
      <c r="A165" s="43" t="str">
        <f t="shared" si="2"/>
        <v>4A/0.299-0.398</v>
      </c>
      <c r="B165" s="47" t="s">
        <v>400</v>
      </c>
      <c r="C165" s="47" t="s">
        <v>450</v>
      </c>
      <c r="D165" s="47" t="s">
        <v>476</v>
      </c>
      <c r="E165" s="47">
        <v>750</v>
      </c>
      <c r="F165" s="47">
        <v>700</v>
      </c>
      <c r="G165" s="47">
        <v>630</v>
      </c>
    </row>
    <row r="166" spans="1:7" ht="12.75" x14ac:dyDescent="0.2">
      <c r="A166" s="43" t="str">
        <f t="shared" si="2"/>
        <v>4B/0.299-0.398</v>
      </c>
      <c r="B166" s="47" t="s">
        <v>402</v>
      </c>
      <c r="C166" s="47" t="s">
        <v>450</v>
      </c>
      <c r="D166" s="47" t="s">
        <v>477</v>
      </c>
      <c r="E166" s="47">
        <v>650</v>
      </c>
      <c r="F166" s="47">
        <v>575</v>
      </c>
      <c r="G166" s="47">
        <v>515</v>
      </c>
    </row>
    <row r="167" spans="1:7" ht="12.75" x14ac:dyDescent="0.2">
      <c r="A167" s="43" t="str">
        <f t="shared" si="2"/>
        <v>5/0.299-0.398</v>
      </c>
      <c r="B167" s="47">
        <v>5</v>
      </c>
      <c r="C167" s="47" t="s">
        <v>450</v>
      </c>
      <c r="D167" s="47" t="s">
        <v>478</v>
      </c>
      <c r="E167" s="47">
        <v>475</v>
      </c>
      <c r="F167" s="47">
        <v>450</v>
      </c>
      <c r="G167" s="47">
        <v>405</v>
      </c>
    </row>
    <row r="168" spans="1:7" ht="12.75" x14ac:dyDescent="0.2">
      <c r="A168" s="43" t="str">
        <f t="shared" si="2"/>
        <v>6/0.299-0.398</v>
      </c>
      <c r="B168" s="47">
        <v>6</v>
      </c>
      <c r="C168" s="47" t="s">
        <v>450</v>
      </c>
      <c r="D168" s="47" t="s">
        <v>479</v>
      </c>
      <c r="E168" s="47">
        <v>300</v>
      </c>
      <c r="F168" s="47">
        <v>300</v>
      </c>
      <c r="G168" s="47">
        <v>270</v>
      </c>
    </row>
    <row r="169" spans="1:7" ht="12.75" x14ac:dyDescent="0.2">
      <c r="A169" s="43" t="str">
        <f t="shared" si="2"/>
        <v>7/0.299-0.398</v>
      </c>
      <c r="B169" s="47">
        <v>7</v>
      </c>
      <c r="C169" s="47" t="s">
        <v>450</v>
      </c>
      <c r="D169" s="47" t="s">
        <v>480</v>
      </c>
      <c r="E169" s="47">
        <v>250</v>
      </c>
      <c r="F169" s="47">
        <v>250</v>
      </c>
      <c r="G169" s="47">
        <v>225</v>
      </c>
    </row>
    <row r="170" spans="1:7" ht="12.75" x14ac:dyDescent="0.2">
      <c r="A170" s="43" t="str">
        <f t="shared" si="2"/>
        <v>8/0.299-0.398</v>
      </c>
      <c r="B170" s="47">
        <v>8</v>
      </c>
      <c r="C170" s="47" t="s">
        <v>450</v>
      </c>
      <c r="D170" s="47" t="s">
        <v>481</v>
      </c>
      <c r="E170" s="47">
        <v>150</v>
      </c>
      <c r="F170" s="47">
        <v>150</v>
      </c>
      <c r="G170" s="47">
        <v>135</v>
      </c>
    </row>
    <row r="171" spans="1:7" ht="12.75" x14ac:dyDescent="0.2">
      <c r="A171" s="43" t="str">
        <f t="shared" si="2"/>
        <v>NATTS-1/0.299-0.398</v>
      </c>
      <c r="B171" s="47" t="s">
        <v>408</v>
      </c>
      <c r="C171" s="47" t="s">
        <v>450</v>
      </c>
      <c r="D171" s="47" t="s">
        <v>482</v>
      </c>
      <c r="E171" s="47">
        <v>450</v>
      </c>
      <c r="F171" s="47">
        <v>450</v>
      </c>
      <c r="G171" s="47">
        <v>405</v>
      </c>
    </row>
    <row r="172" spans="1:7" ht="12.75" x14ac:dyDescent="0.2">
      <c r="A172" s="43" t="str">
        <f t="shared" si="2"/>
        <v>NATTS-2/0.299-0.398</v>
      </c>
      <c r="B172" s="47" t="s">
        <v>410</v>
      </c>
      <c r="C172" s="47" t="s">
        <v>450</v>
      </c>
      <c r="D172" s="47" t="s">
        <v>483</v>
      </c>
      <c r="E172" s="47">
        <v>300</v>
      </c>
      <c r="F172" s="47">
        <v>300</v>
      </c>
      <c r="G172" s="47">
        <v>270</v>
      </c>
    </row>
    <row r="173" spans="1:7" ht="12.75" x14ac:dyDescent="0.2">
      <c r="A173" s="43" t="str">
        <f t="shared" si="2"/>
        <v>BROWN/0.299-0.398</v>
      </c>
      <c r="B173" s="47" t="s">
        <v>412</v>
      </c>
      <c r="C173" s="47" t="s">
        <v>450</v>
      </c>
      <c r="D173" s="47" t="s">
        <v>413</v>
      </c>
      <c r="E173" s="47">
        <v>475</v>
      </c>
      <c r="F173" s="47">
        <v>475</v>
      </c>
      <c r="G173" s="47">
        <v>425</v>
      </c>
    </row>
    <row r="174" spans="1:7" ht="12.75" x14ac:dyDescent="0.2">
      <c r="A174" s="43" t="str">
        <f t="shared" si="2"/>
        <v>DF/VVS/0.399-0.448</v>
      </c>
      <c r="B174" s="47" t="s">
        <v>349</v>
      </c>
      <c r="C174" s="47" t="s">
        <v>484</v>
      </c>
      <c r="D174" s="47" t="s">
        <v>485</v>
      </c>
      <c r="E174" s="47">
        <v>1725</v>
      </c>
      <c r="F174" s="47">
        <v>1650</v>
      </c>
      <c r="G174" s="47">
        <v>1485</v>
      </c>
    </row>
    <row r="175" spans="1:7" ht="12.75" x14ac:dyDescent="0.2">
      <c r="A175" s="43" t="str">
        <f t="shared" si="2"/>
        <v>DF/VS1/0.399-0.448</v>
      </c>
      <c r="B175" s="47" t="s">
        <v>352</v>
      </c>
      <c r="C175" s="47" t="s">
        <v>484</v>
      </c>
      <c r="D175" s="47" t="s">
        <v>486</v>
      </c>
      <c r="E175" s="47">
        <v>1525</v>
      </c>
      <c r="F175" s="47">
        <v>1450</v>
      </c>
      <c r="G175" s="47">
        <v>1305</v>
      </c>
    </row>
    <row r="176" spans="1:7" ht="12.75" x14ac:dyDescent="0.2">
      <c r="A176" s="43" t="str">
        <f t="shared" si="2"/>
        <v>DF/VS2/0.399-0.448</v>
      </c>
      <c r="B176" s="47" t="s">
        <v>354</v>
      </c>
      <c r="C176" s="47" t="s">
        <v>484</v>
      </c>
      <c r="D176" s="47" t="s">
        <v>487</v>
      </c>
      <c r="E176" s="47">
        <v>1375</v>
      </c>
      <c r="F176" s="47">
        <v>1300</v>
      </c>
      <c r="G176" s="47">
        <v>1170</v>
      </c>
    </row>
    <row r="177" spans="1:7" ht="12.75" x14ac:dyDescent="0.2">
      <c r="A177" s="43" t="str">
        <f t="shared" si="2"/>
        <v>GH/VVS/0.399-0.448</v>
      </c>
      <c r="B177" s="47" t="s">
        <v>356</v>
      </c>
      <c r="C177" s="47" t="s">
        <v>484</v>
      </c>
      <c r="D177" s="47" t="s">
        <v>488</v>
      </c>
      <c r="E177" s="47">
        <v>1575</v>
      </c>
      <c r="F177" s="47">
        <v>1500</v>
      </c>
      <c r="G177" s="47">
        <v>1350</v>
      </c>
    </row>
    <row r="178" spans="1:7" ht="12.75" x14ac:dyDescent="0.2">
      <c r="A178" s="43" t="str">
        <f t="shared" si="2"/>
        <v>GH/VS1/0.399-0.448</v>
      </c>
      <c r="B178" s="47" t="s">
        <v>358</v>
      </c>
      <c r="C178" s="47" t="s">
        <v>484</v>
      </c>
      <c r="D178" s="47" t="s">
        <v>489</v>
      </c>
      <c r="E178" s="47">
        <v>1425</v>
      </c>
      <c r="F178" s="47">
        <v>1350</v>
      </c>
      <c r="G178" s="47">
        <v>1215</v>
      </c>
    </row>
    <row r="179" spans="1:7" ht="12.75" x14ac:dyDescent="0.2">
      <c r="A179" s="43" t="str">
        <f t="shared" si="2"/>
        <v>GH/VS2/0.399-0.448</v>
      </c>
      <c r="B179" s="47" t="s">
        <v>360</v>
      </c>
      <c r="C179" s="47" t="s">
        <v>484</v>
      </c>
      <c r="D179" s="47" t="s">
        <v>490</v>
      </c>
      <c r="E179" s="47">
        <v>1275</v>
      </c>
      <c r="F179" s="47">
        <v>1200</v>
      </c>
      <c r="G179" s="47">
        <v>1080</v>
      </c>
    </row>
    <row r="180" spans="1:7" ht="12.75" x14ac:dyDescent="0.2">
      <c r="A180" s="43" t="str">
        <f t="shared" si="2"/>
        <v>IJ/VVS/0.399-0.448</v>
      </c>
      <c r="B180" s="47" t="s">
        <v>362</v>
      </c>
      <c r="C180" s="47" t="s">
        <v>484</v>
      </c>
      <c r="D180" s="47" t="s">
        <v>491</v>
      </c>
      <c r="E180" s="47">
        <v>1300</v>
      </c>
      <c r="F180" s="47">
        <v>1250</v>
      </c>
      <c r="G180" s="47">
        <v>1125</v>
      </c>
    </row>
    <row r="181" spans="1:7" ht="12.75" x14ac:dyDescent="0.2">
      <c r="A181" s="43" t="str">
        <f t="shared" si="2"/>
        <v>IJ/VS1/0.399-0.448</v>
      </c>
      <c r="B181" s="47" t="s">
        <v>364</v>
      </c>
      <c r="C181" s="47" t="s">
        <v>484</v>
      </c>
      <c r="D181" s="47" t="s">
        <v>492</v>
      </c>
      <c r="E181" s="47">
        <v>1225</v>
      </c>
      <c r="F181" s="47">
        <v>1175</v>
      </c>
      <c r="G181" s="47">
        <v>1050</v>
      </c>
    </row>
    <row r="182" spans="1:7" ht="12.75" x14ac:dyDescent="0.2">
      <c r="A182" s="43" t="str">
        <f t="shared" si="2"/>
        <v>IJ/VS2/0.399-0.448</v>
      </c>
      <c r="B182" s="47" t="s">
        <v>366</v>
      </c>
      <c r="C182" s="47" t="s">
        <v>484</v>
      </c>
      <c r="D182" s="47" t="s">
        <v>493</v>
      </c>
      <c r="E182" s="47">
        <v>1150</v>
      </c>
      <c r="F182" s="47">
        <v>1100</v>
      </c>
      <c r="G182" s="47">
        <v>990</v>
      </c>
    </row>
    <row r="183" spans="1:7" ht="12.75" x14ac:dyDescent="0.2">
      <c r="A183" s="43" t="str">
        <f t="shared" si="2"/>
        <v>DG/SI1/0.399-0.448</v>
      </c>
      <c r="B183" s="47" t="s">
        <v>368</v>
      </c>
      <c r="C183" s="47" t="s">
        <v>484</v>
      </c>
      <c r="D183" s="47" t="s">
        <v>494</v>
      </c>
      <c r="E183" s="47">
        <v>1250</v>
      </c>
      <c r="F183" s="47">
        <v>1200</v>
      </c>
      <c r="G183" s="47">
        <v>1080</v>
      </c>
    </row>
    <row r="184" spans="1:7" ht="12.75" x14ac:dyDescent="0.2">
      <c r="A184" s="43" t="str">
        <f t="shared" si="2"/>
        <v>DG/SI2/0.399-0.448</v>
      </c>
      <c r="B184" s="47" t="s">
        <v>370</v>
      </c>
      <c r="C184" s="47" t="s">
        <v>484</v>
      </c>
      <c r="D184" s="47" t="s">
        <v>495</v>
      </c>
      <c r="E184" s="47">
        <v>1100</v>
      </c>
      <c r="F184" s="47">
        <v>1050</v>
      </c>
      <c r="G184" s="47">
        <v>945</v>
      </c>
    </row>
    <row r="185" spans="1:7" ht="12.75" x14ac:dyDescent="0.2">
      <c r="A185" s="43" t="str">
        <f t="shared" si="2"/>
        <v>DG/SI3/0.399-0.448</v>
      </c>
      <c r="B185" s="47" t="s">
        <v>372</v>
      </c>
      <c r="C185" s="47" t="s">
        <v>484</v>
      </c>
      <c r="D185" s="47" t="s">
        <v>496</v>
      </c>
      <c r="E185" s="47">
        <v>950</v>
      </c>
      <c r="F185" s="47">
        <v>900</v>
      </c>
      <c r="G185" s="47">
        <v>810</v>
      </c>
    </row>
    <row r="186" spans="1:7" ht="12.75" x14ac:dyDescent="0.2">
      <c r="A186" s="43" t="str">
        <f t="shared" si="2"/>
        <v>HIJ/SI1/0.399-0.448</v>
      </c>
      <c r="B186" s="47" t="s">
        <v>374</v>
      </c>
      <c r="C186" s="47" t="s">
        <v>484</v>
      </c>
      <c r="D186" s="47" t="s">
        <v>497</v>
      </c>
      <c r="E186" s="47">
        <v>1100</v>
      </c>
      <c r="F186" s="47">
        <v>1050</v>
      </c>
      <c r="G186" s="47">
        <v>945</v>
      </c>
    </row>
    <row r="187" spans="1:7" ht="12.75" x14ac:dyDescent="0.2">
      <c r="A187" s="43" t="str">
        <f t="shared" si="2"/>
        <v>HIJ/SI2/0.399-0.448</v>
      </c>
      <c r="B187" s="47" t="s">
        <v>376</v>
      </c>
      <c r="C187" s="47" t="s">
        <v>484</v>
      </c>
      <c r="D187" s="47" t="s">
        <v>498</v>
      </c>
      <c r="E187" s="47">
        <v>950</v>
      </c>
      <c r="F187" s="47">
        <v>900</v>
      </c>
      <c r="G187" s="47">
        <v>810</v>
      </c>
    </row>
    <row r="188" spans="1:7" ht="12.75" x14ac:dyDescent="0.2">
      <c r="A188" s="43" t="str">
        <f t="shared" si="2"/>
        <v>HIJ/SI3/0.399-0.448</v>
      </c>
      <c r="B188" s="47" t="s">
        <v>378</v>
      </c>
      <c r="C188" s="47" t="s">
        <v>484</v>
      </c>
      <c r="D188" s="47" t="s">
        <v>499</v>
      </c>
      <c r="E188" s="47">
        <v>850</v>
      </c>
      <c r="F188" s="47">
        <v>800</v>
      </c>
      <c r="G188" s="47">
        <v>720</v>
      </c>
    </row>
    <row r="189" spans="1:7" ht="12.75" x14ac:dyDescent="0.2">
      <c r="A189" s="43" t="str">
        <f t="shared" si="2"/>
        <v>KL/VVS-VS1/0.399-0.448</v>
      </c>
      <c r="B189" s="47" t="s">
        <v>380</v>
      </c>
      <c r="C189" s="47" t="s">
        <v>484</v>
      </c>
      <c r="D189" s="47" t="s">
        <v>500</v>
      </c>
      <c r="E189" s="47">
        <v>900</v>
      </c>
      <c r="F189" s="47">
        <v>900</v>
      </c>
      <c r="G189" s="47">
        <v>810</v>
      </c>
    </row>
    <row r="190" spans="1:7" ht="12.75" x14ac:dyDescent="0.2">
      <c r="A190" s="43" t="str">
        <f t="shared" si="2"/>
        <v>MN/VVS-VS1/0.399-0.448</v>
      </c>
      <c r="B190" s="47" t="s">
        <v>382</v>
      </c>
      <c r="C190" s="47" t="s">
        <v>484</v>
      </c>
      <c r="D190" s="47" t="s">
        <v>501</v>
      </c>
      <c r="E190" s="47">
        <v>750</v>
      </c>
      <c r="F190" s="47">
        <v>750</v>
      </c>
      <c r="G190" s="47">
        <v>675</v>
      </c>
    </row>
    <row r="191" spans="1:7" ht="12.75" x14ac:dyDescent="0.2">
      <c r="A191" s="43" t="str">
        <f t="shared" si="2"/>
        <v>O-/IF-VS1/0.399-0.448</v>
      </c>
      <c r="B191" s="47" t="s">
        <v>384</v>
      </c>
      <c r="C191" s="47" t="s">
        <v>484</v>
      </c>
      <c r="D191" s="47" t="s">
        <v>502</v>
      </c>
      <c r="E191" s="47">
        <v>600</v>
      </c>
      <c r="F191" s="47">
        <v>600</v>
      </c>
      <c r="G191" s="47">
        <v>540</v>
      </c>
    </row>
    <row r="192" spans="1:7" ht="12.75" x14ac:dyDescent="0.2">
      <c r="A192" s="43" t="str">
        <f t="shared" si="2"/>
        <v>KL/VS2-SI1/0.399-0.448</v>
      </c>
      <c r="B192" s="47" t="s">
        <v>386</v>
      </c>
      <c r="C192" s="47" t="s">
        <v>484</v>
      </c>
      <c r="D192" s="47" t="s">
        <v>503</v>
      </c>
      <c r="E192" s="47">
        <v>800</v>
      </c>
      <c r="F192" s="47">
        <v>800</v>
      </c>
      <c r="G192" s="47">
        <v>720</v>
      </c>
    </row>
    <row r="193" spans="1:7" ht="12.75" x14ac:dyDescent="0.2">
      <c r="A193" s="43" t="str">
        <f t="shared" si="2"/>
        <v>MN/VS2-SI1/0.399-0.448</v>
      </c>
      <c r="B193" s="47" t="s">
        <v>388</v>
      </c>
      <c r="C193" s="47" t="s">
        <v>484</v>
      </c>
      <c r="D193" s="47" t="s">
        <v>504</v>
      </c>
      <c r="E193" s="47">
        <v>650</v>
      </c>
      <c r="F193" s="47">
        <v>650</v>
      </c>
      <c r="G193" s="47">
        <v>585</v>
      </c>
    </row>
    <row r="194" spans="1:7" ht="12.75" x14ac:dyDescent="0.2">
      <c r="A194" s="43" t="str">
        <f t="shared" si="2"/>
        <v>O-/VS2-SI1/0.399-0.448</v>
      </c>
      <c r="B194" s="47" t="s">
        <v>390</v>
      </c>
      <c r="C194" s="47" t="s">
        <v>484</v>
      </c>
      <c r="D194" s="47" t="s">
        <v>505</v>
      </c>
      <c r="E194" s="47">
        <v>500</v>
      </c>
      <c r="F194" s="47">
        <v>500</v>
      </c>
      <c r="G194" s="47">
        <v>450</v>
      </c>
    </row>
    <row r="195" spans="1:7" ht="12.75" x14ac:dyDescent="0.2">
      <c r="A195" s="43" t="str">
        <f t="shared" si="2"/>
        <v>KL/SI2-SI3/0.399-0.448</v>
      </c>
      <c r="B195" s="47" t="s">
        <v>392</v>
      </c>
      <c r="C195" s="47" t="s">
        <v>484</v>
      </c>
      <c r="D195" s="47" t="s">
        <v>506</v>
      </c>
      <c r="E195" s="47">
        <v>650</v>
      </c>
      <c r="F195" s="47">
        <v>650</v>
      </c>
      <c r="G195" s="47">
        <v>585</v>
      </c>
    </row>
    <row r="196" spans="1:7" ht="12.75" x14ac:dyDescent="0.2">
      <c r="A196" s="43" t="str">
        <f t="shared" si="2"/>
        <v>MN/SI2-SI3/0.399-0.448</v>
      </c>
      <c r="B196" s="47" t="s">
        <v>394</v>
      </c>
      <c r="C196" s="47" t="s">
        <v>484</v>
      </c>
      <c r="D196" s="47" t="s">
        <v>507</v>
      </c>
      <c r="E196" s="47">
        <v>500</v>
      </c>
      <c r="F196" s="47">
        <v>500</v>
      </c>
      <c r="G196" s="47">
        <v>450</v>
      </c>
    </row>
    <row r="197" spans="1:7" ht="12.75" x14ac:dyDescent="0.2">
      <c r="A197" s="43" t="str">
        <f t="shared" si="2"/>
        <v>O-/SI2-SI3/0.399-0.448</v>
      </c>
      <c r="B197" s="47" t="s">
        <v>396</v>
      </c>
      <c r="C197" s="47" t="s">
        <v>484</v>
      </c>
      <c r="D197" s="47" t="s">
        <v>508</v>
      </c>
      <c r="E197" s="47">
        <v>400</v>
      </c>
      <c r="F197" s="47">
        <v>400</v>
      </c>
      <c r="G197" s="47">
        <v>360</v>
      </c>
    </row>
    <row r="198" spans="1:7" ht="12.75" x14ac:dyDescent="0.2">
      <c r="A198" s="43" t="str">
        <f t="shared" si="2"/>
        <v>K-/I1-I3/0.399-0.448</v>
      </c>
      <c r="B198" s="47" t="s">
        <v>398</v>
      </c>
      <c r="C198" s="47" t="s">
        <v>484</v>
      </c>
      <c r="D198" s="47" t="s">
        <v>509</v>
      </c>
      <c r="E198" s="47">
        <v>300</v>
      </c>
      <c r="F198" s="47">
        <v>300</v>
      </c>
      <c r="G198" s="47">
        <v>270</v>
      </c>
    </row>
    <row r="199" spans="1:7" ht="12.75" x14ac:dyDescent="0.2">
      <c r="A199" s="43" t="str">
        <f t="shared" si="2"/>
        <v>4A/0.399-0.448</v>
      </c>
      <c r="B199" s="47" t="s">
        <v>400</v>
      </c>
      <c r="C199" s="47" t="s">
        <v>484</v>
      </c>
      <c r="D199" s="47" t="s">
        <v>510</v>
      </c>
      <c r="E199" s="47">
        <v>860</v>
      </c>
      <c r="F199" s="47">
        <v>825</v>
      </c>
      <c r="G199" s="47">
        <v>740</v>
      </c>
    </row>
    <row r="200" spans="1:7" ht="12.75" x14ac:dyDescent="0.2">
      <c r="A200" s="43" t="str">
        <f t="shared" si="2"/>
        <v>4B/0.399-0.448</v>
      </c>
      <c r="B200" s="47" t="s">
        <v>402</v>
      </c>
      <c r="C200" s="47" t="s">
        <v>484</v>
      </c>
      <c r="D200" s="47" t="s">
        <v>511</v>
      </c>
      <c r="E200" s="47">
        <v>750</v>
      </c>
      <c r="F200" s="47">
        <v>700</v>
      </c>
      <c r="G200" s="47">
        <v>630</v>
      </c>
    </row>
    <row r="201" spans="1:7" ht="12.75" x14ac:dyDescent="0.2">
      <c r="A201" s="43" t="str">
        <f t="shared" si="2"/>
        <v>5/0.399-0.448</v>
      </c>
      <c r="B201" s="47">
        <v>5</v>
      </c>
      <c r="C201" s="47" t="s">
        <v>484</v>
      </c>
      <c r="D201" s="47" t="s">
        <v>512</v>
      </c>
      <c r="E201" s="47">
        <v>575</v>
      </c>
      <c r="F201" s="47">
        <v>550</v>
      </c>
      <c r="G201" s="47">
        <v>495</v>
      </c>
    </row>
    <row r="202" spans="1:7" ht="12.75" x14ac:dyDescent="0.2">
      <c r="A202" s="43" t="str">
        <f t="shared" si="2"/>
        <v>6/0.399-0.448</v>
      </c>
      <c r="B202" s="47">
        <v>6</v>
      </c>
      <c r="C202" s="47" t="s">
        <v>484</v>
      </c>
      <c r="D202" s="47" t="s">
        <v>513</v>
      </c>
      <c r="E202" s="47">
        <v>400</v>
      </c>
      <c r="F202" s="47">
        <v>400</v>
      </c>
      <c r="G202" s="47">
        <v>360</v>
      </c>
    </row>
    <row r="203" spans="1:7" ht="12.75" x14ac:dyDescent="0.2">
      <c r="A203" s="43" t="str">
        <f t="shared" si="2"/>
        <v>7/0.399-0.448</v>
      </c>
      <c r="B203" s="47">
        <v>7</v>
      </c>
      <c r="C203" s="47" t="s">
        <v>484</v>
      </c>
      <c r="D203" s="47" t="s">
        <v>514</v>
      </c>
      <c r="E203" s="47">
        <v>300</v>
      </c>
      <c r="F203" s="47">
        <v>300</v>
      </c>
      <c r="G203" s="47">
        <v>270</v>
      </c>
    </row>
    <row r="204" spans="1:7" ht="12.75" x14ac:dyDescent="0.2">
      <c r="A204" s="43" t="str">
        <f t="shared" si="2"/>
        <v>8/0.399-0.448</v>
      </c>
      <c r="B204" s="47">
        <v>8</v>
      </c>
      <c r="C204" s="47" t="s">
        <v>484</v>
      </c>
      <c r="D204" s="47" t="s">
        <v>515</v>
      </c>
      <c r="E204" s="47">
        <v>200</v>
      </c>
      <c r="F204" s="47">
        <v>200</v>
      </c>
      <c r="G204" s="47">
        <v>180</v>
      </c>
    </row>
    <row r="205" spans="1:7" ht="12.75" x14ac:dyDescent="0.2">
      <c r="A205" s="43" t="str">
        <f t="shared" ref="A205:A268" si="3">SUBSTITUTE(B205," ","/")&amp;"/"&amp;C205</f>
        <v>NATTS-1/0.399-0.448</v>
      </c>
      <c r="B205" s="47" t="s">
        <v>408</v>
      </c>
      <c r="C205" s="47" t="s">
        <v>484</v>
      </c>
      <c r="D205" s="47" t="s">
        <v>516</v>
      </c>
      <c r="E205" s="47">
        <v>550</v>
      </c>
      <c r="F205" s="47">
        <v>550</v>
      </c>
      <c r="G205" s="47">
        <v>495</v>
      </c>
    </row>
    <row r="206" spans="1:7" ht="12.75" x14ac:dyDescent="0.2">
      <c r="A206" s="43" t="str">
        <f t="shared" si="3"/>
        <v>NATTS-2/0.399-0.448</v>
      </c>
      <c r="B206" s="47" t="s">
        <v>410</v>
      </c>
      <c r="C206" s="47" t="s">
        <v>484</v>
      </c>
      <c r="D206" s="47" t="s">
        <v>517</v>
      </c>
      <c r="E206" s="47">
        <v>400</v>
      </c>
      <c r="F206" s="47">
        <v>400</v>
      </c>
      <c r="G206" s="47">
        <v>360</v>
      </c>
    </row>
    <row r="207" spans="1:7" ht="12.75" x14ac:dyDescent="0.2">
      <c r="A207" s="43" t="str">
        <f t="shared" si="3"/>
        <v>BROWN/0.399-0.448</v>
      </c>
      <c r="B207" s="47" t="s">
        <v>412</v>
      </c>
      <c r="C207" s="47" t="s">
        <v>484</v>
      </c>
      <c r="D207" s="47" t="s">
        <v>413</v>
      </c>
      <c r="E207" s="47">
        <v>575</v>
      </c>
      <c r="F207" s="47">
        <v>575</v>
      </c>
      <c r="G207" s="47">
        <v>515</v>
      </c>
    </row>
    <row r="208" spans="1:7" ht="12.75" x14ac:dyDescent="0.2">
      <c r="A208" s="43" t="str">
        <f t="shared" si="3"/>
        <v>DF/VVS/0.449-0.498</v>
      </c>
      <c r="B208" s="47" t="s">
        <v>349</v>
      </c>
      <c r="C208" s="47" t="s">
        <v>518</v>
      </c>
      <c r="D208" s="47" t="s">
        <v>519</v>
      </c>
      <c r="E208" s="47">
        <v>1915</v>
      </c>
      <c r="F208" s="47">
        <v>1825</v>
      </c>
      <c r="G208" s="47">
        <v>1640</v>
      </c>
    </row>
    <row r="209" spans="1:7" ht="12.75" x14ac:dyDescent="0.2">
      <c r="A209" s="43" t="str">
        <f t="shared" si="3"/>
        <v>DF/VS1/0.449-0.498</v>
      </c>
      <c r="B209" s="47" t="s">
        <v>352</v>
      </c>
      <c r="C209" s="47" t="s">
        <v>518</v>
      </c>
      <c r="D209" s="47" t="s">
        <v>520</v>
      </c>
      <c r="E209" s="47">
        <v>1685</v>
      </c>
      <c r="F209" s="47">
        <v>1600</v>
      </c>
      <c r="G209" s="47">
        <v>1440</v>
      </c>
    </row>
    <row r="210" spans="1:7" ht="12.75" x14ac:dyDescent="0.2">
      <c r="A210" s="43" t="str">
        <f t="shared" si="3"/>
        <v>DF/VS2/0.449-0.498</v>
      </c>
      <c r="B210" s="47" t="s">
        <v>354</v>
      </c>
      <c r="C210" s="47" t="s">
        <v>518</v>
      </c>
      <c r="D210" s="47" t="s">
        <v>521</v>
      </c>
      <c r="E210" s="47">
        <v>1525</v>
      </c>
      <c r="F210" s="47">
        <v>1425</v>
      </c>
      <c r="G210" s="47">
        <v>1280</v>
      </c>
    </row>
    <row r="211" spans="1:7" ht="12.75" x14ac:dyDescent="0.2">
      <c r="A211" s="43" t="str">
        <f t="shared" si="3"/>
        <v>GH/VVS/0.449-0.498</v>
      </c>
      <c r="B211" s="47" t="s">
        <v>356</v>
      </c>
      <c r="C211" s="47" t="s">
        <v>518</v>
      </c>
      <c r="D211" s="47" t="s">
        <v>522</v>
      </c>
      <c r="E211" s="47">
        <v>1750</v>
      </c>
      <c r="F211" s="47">
        <v>1650</v>
      </c>
      <c r="G211" s="47">
        <v>1485</v>
      </c>
    </row>
    <row r="212" spans="1:7" ht="12.75" x14ac:dyDescent="0.2">
      <c r="A212" s="43" t="str">
        <f t="shared" si="3"/>
        <v>GH/VS1/0.449-0.498</v>
      </c>
      <c r="B212" s="47" t="s">
        <v>358</v>
      </c>
      <c r="C212" s="47" t="s">
        <v>518</v>
      </c>
      <c r="D212" s="47" t="s">
        <v>523</v>
      </c>
      <c r="E212" s="47">
        <v>1575</v>
      </c>
      <c r="F212" s="47">
        <v>1500</v>
      </c>
      <c r="G212" s="47">
        <v>1350</v>
      </c>
    </row>
    <row r="213" spans="1:7" ht="12.75" x14ac:dyDescent="0.2">
      <c r="A213" s="43" t="str">
        <f t="shared" si="3"/>
        <v>GH/VS2/0.449-0.498</v>
      </c>
      <c r="B213" s="47" t="s">
        <v>360</v>
      </c>
      <c r="C213" s="47" t="s">
        <v>518</v>
      </c>
      <c r="D213" s="47" t="s">
        <v>524</v>
      </c>
      <c r="E213" s="47">
        <v>1415</v>
      </c>
      <c r="F213" s="47">
        <v>1325</v>
      </c>
      <c r="G213" s="47">
        <v>1190</v>
      </c>
    </row>
    <row r="214" spans="1:7" ht="12.75" x14ac:dyDescent="0.2">
      <c r="A214" s="43" t="str">
        <f t="shared" si="3"/>
        <v>IJ/VVS/0.449-0.498</v>
      </c>
      <c r="B214" s="47" t="s">
        <v>362</v>
      </c>
      <c r="C214" s="47" t="s">
        <v>518</v>
      </c>
      <c r="D214" s="47" t="s">
        <v>525</v>
      </c>
      <c r="E214" s="47">
        <v>1435</v>
      </c>
      <c r="F214" s="47">
        <v>1375</v>
      </c>
      <c r="G214" s="47">
        <v>1235</v>
      </c>
    </row>
    <row r="215" spans="1:7" ht="12.75" x14ac:dyDescent="0.2">
      <c r="A215" s="43" t="str">
        <f t="shared" si="3"/>
        <v>IJ/VS1/0.449-0.498</v>
      </c>
      <c r="B215" s="47" t="s">
        <v>364</v>
      </c>
      <c r="C215" s="47" t="s">
        <v>518</v>
      </c>
      <c r="D215" s="47" t="s">
        <v>526</v>
      </c>
      <c r="E215" s="47">
        <v>1350</v>
      </c>
      <c r="F215" s="47">
        <v>1300</v>
      </c>
      <c r="G215" s="47">
        <v>1170</v>
      </c>
    </row>
    <row r="216" spans="1:7" ht="12.75" x14ac:dyDescent="0.2">
      <c r="A216" s="43" t="str">
        <f t="shared" si="3"/>
        <v>IJ/VS2/0.449-0.498</v>
      </c>
      <c r="B216" s="47" t="s">
        <v>366</v>
      </c>
      <c r="C216" s="47" t="s">
        <v>518</v>
      </c>
      <c r="D216" s="47" t="s">
        <v>527</v>
      </c>
      <c r="E216" s="47">
        <v>1275</v>
      </c>
      <c r="F216" s="47">
        <v>1200</v>
      </c>
      <c r="G216" s="47">
        <v>1080</v>
      </c>
    </row>
    <row r="217" spans="1:7" ht="12.75" x14ac:dyDescent="0.2">
      <c r="A217" s="43" t="str">
        <f t="shared" si="3"/>
        <v>DG/SI1/0.449-0.498</v>
      </c>
      <c r="B217" s="47" t="s">
        <v>368</v>
      </c>
      <c r="C217" s="47" t="s">
        <v>518</v>
      </c>
      <c r="D217" s="47" t="s">
        <v>528</v>
      </c>
      <c r="E217" s="47">
        <v>1350</v>
      </c>
      <c r="F217" s="47">
        <v>1325</v>
      </c>
      <c r="G217" s="47">
        <v>1190</v>
      </c>
    </row>
    <row r="218" spans="1:7" ht="12.75" x14ac:dyDescent="0.2">
      <c r="A218" s="43" t="str">
        <f t="shared" si="3"/>
        <v>DG/SI2/0.449-0.498</v>
      </c>
      <c r="B218" s="47" t="s">
        <v>370</v>
      </c>
      <c r="C218" s="47" t="s">
        <v>518</v>
      </c>
      <c r="D218" s="47" t="s">
        <v>529</v>
      </c>
      <c r="E218" s="47">
        <v>1200</v>
      </c>
      <c r="F218" s="47">
        <v>1150</v>
      </c>
      <c r="G218" s="47">
        <v>1035</v>
      </c>
    </row>
    <row r="219" spans="1:7" ht="12.75" x14ac:dyDescent="0.2">
      <c r="A219" s="43" t="str">
        <f t="shared" si="3"/>
        <v>DG/SI3/0.449-0.498</v>
      </c>
      <c r="B219" s="47" t="s">
        <v>372</v>
      </c>
      <c r="C219" s="47" t="s">
        <v>518</v>
      </c>
      <c r="D219" s="47" t="s">
        <v>530</v>
      </c>
      <c r="E219" s="47">
        <v>1050</v>
      </c>
      <c r="F219" s="47">
        <v>1000</v>
      </c>
      <c r="G219" s="47">
        <v>900</v>
      </c>
    </row>
    <row r="220" spans="1:7" ht="12.75" x14ac:dyDescent="0.2">
      <c r="A220" s="43" t="str">
        <f t="shared" si="3"/>
        <v>HIJ/SI1/0.449-0.498</v>
      </c>
      <c r="B220" s="47" t="s">
        <v>374</v>
      </c>
      <c r="C220" s="47" t="s">
        <v>518</v>
      </c>
      <c r="D220" s="47" t="s">
        <v>531</v>
      </c>
      <c r="E220" s="47">
        <v>1200</v>
      </c>
      <c r="F220" s="47">
        <v>1150</v>
      </c>
      <c r="G220" s="47">
        <v>1035</v>
      </c>
    </row>
    <row r="221" spans="1:7" ht="12.75" x14ac:dyDescent="0.2">
      <c r="A221" s="43" t="str">
        <f t="shared" si="3"/>
        <v>HIJ/SI2/0.449-0.498</v>
      </c>
      <c r="B221" s="47" t="s">
        <v>376</v>
      </c>
      <c r="C221" s="47" t="s">
        <v>518</v>
      </c>
      <c r="D221" s="47" t="s">
        <v>532</v>
      </c>
      <c r="E221" s="47">
        <v>1050</v>
      </c>
      <c r="F221" s="47">
        <v>1000</v>
      </c>
      <c r="G221" s="47">
        <v>900</v>
      </c>
    </row>
    <row r="222" spans="1:7" ht="12.75" x14ac:dyDescent="0.2">
      <c r="A222" s="43" t="str">
        <f t="shared" si="3"/>
        <v>HIJ/SI3/0.449-0.498</v>
      </c>
      <c r="B222" s="47" t="s">
        <v>378</v>
      </c>
      <c r="C222" s="47" t="s">
        <v>518</v>
      </c>
      <c r="D222" s="47" t="s">
        <v>533</v>
      </c>
      <c r="E222" s="47">
        <v>935</v>
      </c>
      <c r="F222" s="47">
        <v>885</v>
      </c>
      <c r="G222" s="47">
        <v>795</v>
      </c>
    </row>
    <row r="223" spans="1:7" ht="12.75" x14ac:dyDescent="0.2">
      <c r="A223" s="43" t="str">
        <f t="shared" si="3"/>
        <v>KL/VVS-VS1/0.449-0.498</v>
      </c>
      <c r="B223" s="47" t="s">
        <v>380</v>
      </c>
      <c r="C223" s="47" t="s">
        <v>518</v>
      </c>
      <c r="D223" s="47" t="s">
        <v>534</v>
      </c>
      <c r="E223" s="47">
        <v>950</v>
      </c>
      <c r="F223" s="47">
        <v>950</v>
      </c>
      <c r="G223" s="47">
        <v>855</v>
      </c>
    </row>
    <row r="224" spans="1:7" ht="12.75" x14ac:dyDescent="0.2">
      <c r="A224" s="43" t="str">
        <f t="shared" si="3"/>
        <v>MN/VVS-VS1/0.449-0.498</v>
      </c>
      <c r="B224" s="47" t="s">
        <v>382</v>
      </c>
      <c r="C224" s="47" t="s">
        <v>518</v>
      </c>
      <c r="D224" s="47" t="s">
        <v>535</v>
      </c>
      <c r="E224" s="47">
        <v>800</v>
      </c>
      <c r="F224" s="47">
        <v>800</v>
      </c>
      <c r="G224" s="47">
        <v>720</v>
      </c>
    </row>
    <row r="225" spans="1:7" ht="12.75" x14ac:dyDescent="0.2">
      <c r="A225" s="43" t="str">
        <f t="shared" si="3"/>
        <v>O-/IF-VS1/0.449-0.498</v>
      </c>
      <c r="B225" s="47" t="s">
        <v>384</v>
      </c>
      <c r="C225" s="47" t="s">
        <v>518</v>
      </c>
      <c r="D225" s="47" t="s">
        <v>536</v>
      </c>
      <c r="E225" s="47">
        <v>650</v>
      </c>
      <c r="F225" s="47">
        <v>650</v>
      </c>
      <c r="G225" s="47">
        <v>585</v>
      </c>
    </row>
    <row r="226" spans="1:7" ht="12.75" x14ac:dyDescent="0.2">
      <c r="A226" s="43" t="str">
        <f t="shared" si="3"/>
        <v>KL/VS2-SI1/0.449-0.498</v>
      </c>
      <c r="B226" s="47" t="s">
        <v>386</v>
      </c>
      <c r="C226" s="47" t="s">
        <v>518</v>
      </c>
      <c r="D226" s="47" t="s">
        <v>537</v>
      </c>
      <c r="E226" s="47">
        <v>850</v>
      </c>
      <c r="F226" s="47">
        <v>850</v>
      </c>
      <c r="G226" s="47">
        <v>765</v>
      </c>
    </row>
    <row r="227" spans="1:7" ht="12.75" x14ac:dyDescent="0.2">
      <c r="A227" s="43" t="str">
        <f t="shared" si="3"/>
        <v>MN/VS2-SI1/0.449-0.498</v>
      </c>
      <c r="B227" s="47" t="s">
        <v>388</v>
      </c>
      <c r="C227" s="47" t="s">
        <v>518</v>
      </c>
      <c r="D227" s="47" t="s">
        <v>538</v>
      </c>
      <c r="E227" s="47">
        <v>700</v>
      </c>
      <c r="F227" s="47">
        <v>700</v>
      </c>
      <c r="G227" s="47">
        <v>630</v>
      </c>
    </row>
    <row r="228" spans="1:7" ht="12.75" x14ac:dyDescent="0.2">
      <c r="A228" s="43" t="str">
        <f t="shared" si="3"/>
        <v>O-/VS2-SI1/0.449-0.498</v>
      </c>
      <c r="B228" s="47" t="s">
        <v>390</v>
      </c>
      <c r="C228" s="47" t="s">
        <v>518</v>
      </c>
      <c r="D228" s="47" t="s">
        <v>539</v>
      </c>
      <c r="E228" s="47">
        <v>550</v>
      </c>
      <c r="F228" s="47">
        <v>550</v>
      </c>
      <c r="G228" s="47">
        <v>495</v>
      </c>
    </row>
    <row r="229" spans="1:7" ht="12.75" x14ac:dyDescent="0.2">
      <c r="A229" s="43" t="str">
        <f t="shared" si="3"/>
        <v>KL/SI2-SI3/0.449-0.498</v>
      </c>
      <c r="B229" s="47" t="s">
        <v>392</v>
      </c>
      <c r="C229" s="47" t="s">
        <v>518</v>
      </c>
      <c r="D229" s="47" t="s">
        <v>540</v>
      </c>
      <c r="E229" s="47">
        <v>700</v>
      </c>
      <c r="F229" s="47">
        <v>700</v>
      </c>
      <c r="G229" s="47">
        <v>630</v>
      </c>
    </row>
    <row r="230" spans="1:7" ht="12.75" x14ac:dyDescent="0.2">
      <c r="A230" s="43" t="str">
        <f t="shared" si="3"/>
        <v>MN/SI2-SI3/0.449-0.498</v>
      </c>
      <c r="B230" s="47" t="s">
        <v>394</v>
      </c>
      <c r="C230" s="47" t="s">
        <v>518</v>
      </c>
      <c r="D230" s="47" t="s">
        <v>541</v>
      </c>
      <c r="E230" s="47">
        <v>550</v>
      </c>
      <c r="F230" s="47">
        <v>550</v>
      </c>
      <c r="G230" s="47">
        <v>495</v>
      </c>
    </row>
    <row r="231" spans="1:7" ht="12.75" x14ac:dyDescent="0.2">
      <c r="A231" s="43" t="str">
        <f t="shared" si="3"/>
        <v>O-/SI2-SI3/0.449-0.498</v>
      </c>
      <c r="B231" s="47" t="s">
        <v>396</v>
      </c>
      <c r="C231" s="47" t="s">
        <v>518</v>
      </c>
      <c r="D231" s="47" t="s">
        <v>542</v>
      </c>
      <c r="E231" s="47">
        <v>450</v>
      </c>
      <c r="F231" s="47">
        <v>450</v>
      </c>
      <c r="G231" s="47">
        <v>405</v>
      </c>
    </row>
    <row r="232" spans="1:7" ht="12.75" x14ac:dyDescent="0.2">
      <c r="A232" s="43" t="str">
        <f t="shared" si="3"/>
        <v>K-/I1-I3/0.449-0.498</v>
      </c>
      <c r="B232" s="47" t="s">
        <v>398</v>
      </c>
      <c r="C232" s="47" t="s">
        <v>518</v>
      </c>
      <c r="D232" s="47" t="s">
        <v>543</v>
      </c>
      <c r="E232" s="47">
        <v>350</v>
      </c>
      <c r="F232" s="47">
        <v>350</v>
      </c>
      <c r="G232" s="47">
        <v>315</v>
      </c>
    </row>
    <row r="233" spans="1:7" ht="12.75" x14ac:dyDescent="0.2">
      <c r="A233" s="43" t="str">
        <f t="shared" si="3"/>
        <v>4A/0.449-0.498</v>
      </c>
      <c r="B233" s="47" t="s">
        <v>400</v>
      </c>
      <c r="C233" s="47" t="s">
        <v>518</v>
      </c>
      <c r="D233" s="47" t="s">
        <v>544</v>
      </c>
      <c r="E233" s="47">
        <v>950</v>
      </c>
      <c r="F233" s="47">
        <v>900</v>
      </c>
      <c r="G233" s="47">
        <v>810</v>
      </c>
    </row>
    <row r="234" spans="1:7" ht="12.75" x14ac:dyDescent="0.2">
      <c r="A234" s="43" t="str">
        <f t="shared" si="3"/>
        <v>4B/0.449-0.498</v>
      </c>
      <c r="B234" s="47" t="s">
        <v>402</v>
      </c>
      <c r="C234" s="47" t="s">
        <v>518</v>
      </c>
      <c r="D234" s="47" t="s">
        <v>545</v>
      </c>
      <c r="E234" s="47">
        <v>800</v>
      </c>
      <c r="F234" s="47">
        <v>750</v>
      </c>
      <c r="G234" s="47">
        <v>675</v>
      </c>
    </row>
    <row r="235" spans="1:7" ht="12.75" x14ac:dyDescent="0.2">
      <c r="A235" s="43" t="str">
        <f t="shared" si="3"/>
        <v>5/0.449-0.498</v>
      </c>
      <c r="B235" s="47">
        <v>5</v>
      </c>
      <c r="C235" s="47" t="s">
        <v>518</v>
      </c>
      <c r="D235" s="47" t="s">
        <v>546</v>
      </c>
      <c r="E235" s="47">
        <v>625</v>
      </c>
      <c r="F235" s="47">
        <v>600</v>
      </c>
      <c r="G235" s="47">
        <v>540</v>
      </c>
    </row>
    <row r="236" spans="1:7" ht="12.75" x14ac:dyDescent="0.2">
      <c r="A236" s="43" t="str">
        <f t="shared" si="3"/>
        <v>6/0.449-0.498</v>
      </c>
      <c r="B236" s="47">
        <v>6</v>
      </c>
      <c r="C236" s="47" t="s">
        <v>518</v>
      </c>
      <c r="D236" s="47" t="s">
        <v>547</v>
      </c>
      <c r="E236" s="47">
        <v>400</v>
      </c>
      <c r="F236" s="47">
        <v>400</v>
      </c>
      <c r="G236" s="47">
        <v>360</v>
      </c>
    </row>
    <row r="237" spans="1:7" ht="12.75" x14ac:dyDescent="0.2">
      <c r="A237" s="43" t="str">
        <f t="shared" si="3"/>
        <v>7/0.449-0.498</v>
      </c>
      <c r="B237" s="47">
        <v>7</v>
      </c>
      <c r="C237" s="47" t="s">
        <v>518</v>
      </c>
      <c r="D237" s="47" t="s">
        <v>548</v>
      </c>
      <c r="E237" s="47">
        <v>300</v>
      </c>
      <c r="F237" s="47">
        <v>300</v>
      </c>
      <c r="G237" s="47">
        <v>270</v>
      </c>
    </row>
    <row r="238" spans="1:7" ht="12.75" x14ac:dyDescent="0.2">
      <c r="A238" s="43" t="str">
        <f t="shared" si="3"/>
        <v>8/0.449-0.498</v>
      </c>
      <c r="B238" s="47">
        <v>8</v>
      </c>
      <c r="C238" s="47" t="s">
        <v>518</v>
      </c>
      <c r="D238" s="47" t="s">
        <v>549</v>
      </c>
      <c r="E238" s="47">
        <v>200</v>
      </c>
      <c r="F238" s="47">
        <v>200</v>
      </c>
      <c r="G238" s="47">
        <v>180</v>
      </c>
    </row>
    <row r="239" spans="1:7" ht="12.75" x14ac:dyDescent="0.2">
      <c r="A239" s="43" t="str">
        <f t="shared" si="3"/>
        <v>NATTS-1/0.449-0.498</v>
      </c>
      <c r="B239" s="47" t="s">
        <v>408</v>
      </c>
      <c r="C239" s="47" t="s">
        <v>518</v>
      </c>
      <c r="D239" s="47" t="s">
        <v>550</v>
      </c>
      <c r="E239" s="47">
        <v>600</v>
      </c>
      <c r="F239" s="47">
        <v>600</v>
      </c>
      <c r="G239" s="47">
        <v>540</v>
      </c>
    </row>
    <row r="240" spans="1:7" ht="12.75" x14ac:dyDescent="0.2">
      <c r="A240" s="43" t="str">
        <f t="shared" si="3"/>
        <v>NATTS-2/0.449-0.498</v>
      </c>
      <c r="B240" s="47" t="s">
        <v>410</v>
      </c>
      <c r="C240" s="47" t="s">
        <v>518</v>
      </c>
      <c r="D240" s="47" t="s">
        <v>551</v>
      </c>
      <c r="E240" s="47">
        <v>400</v>
      </c>
      <c r="F240" s="47">
        <v>400</v>
      </c>
      <c r="G240" s="47">
        <v>360</v>
      </c>
    </row>
    <row r="241" spans="1:7" ht="12.75" x14ac:dyDescent="0.2">
      <c r="A241" s="43" t="str">
        <f t="shared" si="3"/>
        <v>BROWN/0.449-0.498</v>
      </c>
      <c r="B241" s="47" t="s">
        <v>412</v>
      </c>
      <c r="C241" s="47" t="s">
        <v>518</v>
      </c>
      <c r="D241" s="47" t="s">
        <v>413</v>
      </c>
      <c r="E241" s="47">
        <v>575</v>
      </c>
      <c r="F241" s="47">
        <v>575</v>
      </c>
      <c r="G241" s="47">
        <v>515</v>
      </c>
    </row>
    <row r="242" spans="1:7" ht="12.75" x14ac:dyDescent="0.2">
      <c r="A242" s="43" t="str">
        <f t="shared" si="3"/>
        <v>DF/VVS/0.499-0.698</v>
      </c>
      <c r="B242" s="47" t="s">
        <v>349</v>
      </c>
      <c r="C242" s="47" t="s">
        <v>552</v>
      </c>
      <c r="D242" s="47" t="s">
        <v>553</v>
      </c>
      <c r="E242" s="47">
        <v>2750</v>
      </c>
      <c r="F242" s="47">
        <v>2600</v>
      </c>
      <c r="G242" s="47">
        <v>2340</v>
      </c>
    </row>
    <row r="243" spans="1:7" ht="12.75" x14ac:dyDescent="0.2">
      <c r="A243" s="43" t="str">
        <f t="shared" si="3"/>
        <v>DF/VS1/0.499-0.698</v>
      </c>
      <c r="B243" s="47" t="s">
        <v>352</v>
      </c>
      <c r="C243" s="47" t="s">
        <v>552</v>
      </c>
      <c r="D243" s="47" t="s">
        <v>554</v>
      </c>
      <c r="E243" s="47">
        <v>2450</v>
      </c>
      <c r="F243" s="47">
        <v>2300</v>
      </c>
      <c r="G243" s="47">
        <v>2070</v>
      </c>
    </row>
    <row r="244" spans="1:7" ht="12.75" x14ac:dyDescent="0.2">
      <c r="A244" s="43" t="str">
        <f t="shared" si="3"/>
        <v>DF/VS2/0.499-0.698</v>
      </c>
      <c r="B244" s="47" t="s">
        <v>354</v>
      </c>
      <c r="C244" s="47" t="s">
        <v>552</v>
      </c>
      <c r="D244" s="47" t="s">
        <v>555</v>
      </c>
      <c r="E244" s="47">
        <v>2250</v>
      </c>
      <c r="F244" s="47">
        <v>2100</v>
      </c>
      <c r="G244" s="47">
        <v>1890</v>
      </c>
    </row>
    <row r="245" spans="1:7" ht="12.75" x14ac:dyDescent="0.2">
      <c r="A245" s="43" t="str">
        <f t="shared" si="3"/>
        <v>GH/VVS/0.499-0.698</v>
      </c>
      <c r="B245" s="47" t="s">
        <v>356</v>
      </c>
      <c r="C245" s="47" t="s">
        <v>552</v>
      </c>
      <c r="D245" s="47" t="s">
        <v>556</v>
      </c>
      <c r="E245" s="47">
        <v>2450</v>
      </c>
      <c r="F245" s="47">
        <v>2300</v>
      </c>
      <c r="G245" s="47">
        <v>2070</v>
      </c>
    </row>
    <row r="246" spans="1:7" ht="12.75" x14ac:dyDescent="0.2">
      <c r="A246" s="43" t="str">
        <f t="shared" si="3"/>
        <v>GH/VS1/0.499-0.698</v>
      </c>
      <c r="B246" s="47" t="s">
        <v>358</v>
      </c>
      <c r="C246" s="47" t="s">
        <v>552</v>
      </c>
      <c r="D246" s="47" t="s">
        <v>557</v>
      </c>
      <c r="E246" s="47">
        <v>2300</v>
      </c>
      <c r="F246" s="47">
        <v>2150</v>
      </c>
      <c r="G246" s="47">
        <v>1935</v>
      </c>
    </row>
    <row r="247" spans="1:7" ht="12.75" x14ac:dyDescent="0.2">
      <c r="A247" s="43" t="str">
        <f t="shared" si="3"/>
        <v>GH/VS2/0.499-0.698</v>
      </c>
      <c r="B247" s="47" t="s">
        <v>360</v>
      </c>
      <c r="C247" s="47" t="s">
        <v>552</v>
      </c>
      <c r="D247" s="47" t="s">
        <v>558</v>
      </c>
      <c r="E247" s="47">
        <v>2125</v>
      </c>
      <c r="F247" s="47">
        <v>2000</v>
      </c>
      <c r="G247" s="47">
        <v>1800</v>
      </c>
    </row>
    <row r="248" spans="1:7" ht="12.75" x14ac:dyDescent="0.2">
      <c r="A248" s="43" t="str">
        <f t="shared" si="3"/>
        <v>IJ/VVS/0.499-0.698</v>
      </c>
      <c r="B248" s="47" t="s">
        <v>362</v>
      </c>
      <c r="C248" s="47" t="s">
        <v>552</v>
      </c>
      <c r="D248" s="47" t="s">
        <v>559</v>
      </c>
      <c r="E248" s="47">
        <v>1900</v>
      </c>
      <c r="F248" s="47">
        <v>1850</v>
      </c>
      <c r="G248" s="47">
        <v>1665</v>
      </c>
    </row>
    <row r="249" spans="1:7" ht="12.75" x14ac:dyDescent="0.2">
      <c r="A249" s="43" t="str">
        <f t="shared" si="3"/>
        <v>IJ/VS1/0.499-0.698</v>
      </c>
      <c r="B249" s="47" t="s">
        <v>364</v>
      </c>
      <c r="C249" s="47" t="s">
        <v>552</v>
      </c>
      <c r="D249" s="47" t="s">
        <v>560</v>
      </c>
      <c r="E249" s="47">
        <v>1800</v>
      </c>
      <c r="F249" s="47">
        <v>1750</v>
      </c>
      <c r="G249" s="47">
        <v>1575</v>
      </c>
    </row>
    <row r="250" spans="1:7" ht="12.75" x14ac:dyDescent="0.2">
      <c r="A250" s="43" t="str">
        <f t="shared" si="3"/>
        <v>IJ/VS2/0.499-0.698</v>
      </c>
      <c r="B250" s="47" t="s">
        <v>366</v>
      </c>
      <c r="C250" s="47" t="s">
        <v>552</v>
      </c>
      <c r="D250" s="47" t="s">
        <v>561</v>
      </c>
      <c r="E250" s="47">
        <v>1750</v>
      </c>
      <c r="F250" s="47">
        <v>1700</v>
      </c>
      <c r="G250" s="47">
        <v>1530</v>
      </c>
    </row>
    <row r="251" spans="1:7" ht="12.75" x14ac:dyDescent="0.2">
      <c r="A251" s="43" t="str">
        <f t="shared" si="3"/>
        <v>DG/SI1/0.499-0.698</v>
      </c>
      <c r="B251" s="47" t="s">
        <v>368</v>
      </c>
      <c r="C251" s="47" t="s">
        <v>552</v>
      </c>
      <c r="D251" s="47" t="s">
        <v>562</v>
      </c>
      <c r="E251" s="47">
        <v>1900</v>
      </c>
      <c r="F251" s="47">
        <v>1850</v>
      </c>
      <c r="G251" s="47">
        <v>1665</v>
      </c>
    </row>
    <row r="252" spans="1:7" ht="12.75" x14ac:dyDescent="0.2">
      <c r="A252" s="43" t="str">
        <f t="shared" si="3"/>
        <v>DG/SI2/0.499-0.698</v>
      </c>
      <c r="B252" s="47" t="s">
        <v>370</v>
      </c>
      <c r="C252" s="47" t="s">
        <v>552</v>
      </c>
      <c r="D252" s="47" t="s">
        <v>563</v>
      </c>
      <c r="E252" s="47">
        <v>1700</v>
      </c>
      <c r="F252" s="47">
        <v>1650</v>
      </c>
      <c r="G252" s="47">
        <v>1485</v>
      </c>
    </row>
    <row r="253" spans="1:7" ht="12.75" x14ac:dyDescent="0.2">
      <c r="A253" s="43" t="str">
        <f t="shared" si="3"/>
        <v>DG/SI3/0.499-0.698</v>
      </c>
      <c r="B253" s="47" t="s">
        <v>372</v>
      </c>
      <c r="C253" s="47" t="s">
        <v>552</v>
      </c>
      <c r="D253" s="47" t="s">
        <v>564</v>
      </c>
      <c r="E253" s="47">
        <v>1450</v>
      </c>
      <c r="F253" s="47">
        <v>1400</v>
      </c>
      <c r="G253" s="47">
        <v>1260</v>
      </c>
    </row>
    <row r="254" spans="1:7" ht="12.75" x14ac:dyDescent="0.2">
      <c r="A254" s="43" t="str">
        <f t="shared" si="3"/>
        <v>HIJ/SI1/0.499-0.698</v>
      </c>
      <c r="B254" s="47" t="s">
        <v>374</v>
      </c>
      <c r="C254" s="47" t="s">
        <v>552</v>
      </c>
      <c r="D254" s="47" t="s">
        <v>565</v>
      </c>
      <c r="E254" s="47">
        <v>1650</v>
      </c>
      <c r="F254" s="47">
        <v>1600</v>
      </c>
      <c r="G254" s="47">
        <v>1440</v>
      </c>
    </row>
    <row r="255" spans="1:7" ht="12.75" x14ac:dyDescent="0.2">
      <c r="A255" s="43" t="str">
        <f t="shared" si="3"/>
        <v>HIJ/SI2/0.499-0.698</v>
      </c>
      <c r="B255" s="47" t="s">
        <v>376</v>
      </c>
      <c r="C255" s="47" t="s">
        <v>552</v>
      </c>
      <c r="D255" s="47" t="s">
        <v>566</v>
      </c>
      <c r="E255" s="47">
        <v>1400</v>
      </c>
      <c r="F255" s="47">
        <v>1350</v>
      </c>
      <c r="G255" s="47">
        <v>1215</v>
      </c>
    </row>
    <row r="256" spans="1:7" ht="12.75" x14ac:dyDescent="0.2">
      <c r="A256" s="43" t="str">
        <f t="shared" si="3"/>
        <v>HIJ/SI3/0.499-0.698</v>
      </c>
      <c r="B256" s="47" t="s">
        <v>378</v>
      </c>
      <c r="C256" s="47" t="s">
        <v>552</v>
      </c>
      <c r="D256" s="47" t="s">
        <v>567</v>
      </c>
      <c r="E256" s="47">
        <v>1250</v>
      </c>
      <c r="F256" s="47">
        <v>1200</v>
      </c>
      <c r="G256" s="47">
        <v>1080</v>
      </c>
    </row>
    <row r="257" spans="1:7" ht="12.75" x14ac:dyDescent="0.2">
      <c r="A257" s="43" t="str">
        <f t="shared" si="3"/>
        <v>KL/VVS-VS1/0.499-0.698</v>
      </c>
      <c r="B257" s="47" t="s">
        <v>380</v>
      </c>
      <c r="C257" s="47" t="s">
        <v>552</v>
      </c>
      <c r="D257" s="47" t="s">
        <v>568</v>
      </c>
      <c r="E257" s="47">
        <v>1200</v>
      </c>
      <c r="F257" s="47">
        <v>1200</v>
      </c>
      <c r="G257" s="47">
        <v>1080</v>
      </c>
    </row>
    <row r="258" spans="1:7" ht="12.75" x14ac:dyDescent="0.2">
      <c r="A258" s="43" t="str">
        <f t="shared" si="3"/>
        <v>MN/VVS-VS1/0.499-0.698</v>
      </c>
      <c r="B258" s="47" t="s">
        <v>382</v>
      </c>
      <c r="C258" s="47" t="s">
        <v>552</v>
      </c>
      <c r="D258" s="47" t="s">
        <v>569</v>
      </c>
      <c r="E258" s="47">
        <v>1050</v>
      </c>
      <c r="F258" s="47">
        <v>1050</v>
      </c>
      <c r="G258" s="47">
        <v>945</v>
      </c>
    </row>
    <row r="259" spans="1:7" ht="12.75" x14ac:dyDescent="0.2">
      <c r="A259" s="43" t="str">
        <f t="shared" si="3"/>
        <v>O-/IF-VS1/0.499-0.698</v>
      </c>
      <c r="B259" s="47" t="s">
        <v>384</v>
      </c>
      <c r="C259" s="47" t="s">
        <v>552</v>
      </c>
      <c r="D259" s="47" t="s">
        <v>570</v>
      </c>
      <c r="E259" s="47">
        <v>900</v>
      </c>
      <c r="F259" s="47">
        <v>900</v>
      </c>
      <c r="G259" s="47">
        <v>810</v>
      </c>
    </row>
    <row r="260" spans="1:7" ht="12.75" x14ac:dyDescent="0.2">
      <c r="A260" s="43" t="str">
        <f t="shared" si="3"/>
        <v>KL/VS2-SI1/0.499-0.698</v>
      </c>
      <c r="B260" s="47" t="s">
        <v>386</v>
      </c>
      <c r="C260" s="47" t="s">
        <v>552</v>
      </c>
      <c r="D260" s="47" t="s">
        <v>571</v>
      </c>
      <c r="E260" s="47">
        <v>1050</v>
      </c>
      <c r="F260" s="47">
        <v>1050</v>
      </c>
      <c r="G260" s="47">
        <v>945</v>
      </c>
    </row>
    <row r="261" spans="1:7" ht="12.75" x14ac:dyDescent="0.2">
      <c r="A261" s="43" t="str">
        <f t="shared" si="3"/>
        <v>MN/VS2-SI1/0.499-0.698</v>
      </c>
      <c r="B261" s="47" t="s">
        <v>388</v>
      </c>
      <c r="C261" s="47" t="s">
        <v>552</v>
      </c>
      <c r="D261" s="47" t="s">
        <v>572</v>
      </c>
      <c r="E261" s="47">
        <v>900</v>
      </c>
      <c r="F261" s="47">
        <v>900</v>
      </c>
      <c r="G261" s="47">
        <v>810</v>
      </c>
    </row>
    <row r="262" spans="1:7" ht="12.75" x14ac:dyDescent="0.2">
      <c r="A262" s="43" t="str">
        <f t="shared" si="3"/>
        <v>O-/VS2-SI1/0.499-0.698</v>
      </c>
      <c r="B262" s="47" t="s">
        <v>390</v>
      </c>
      <c r="C262" s="47" t="s">
        <v>552</v>
      </c>
      <c r="D262" s="47" t="s">
        <v>573</v>
      </c>
      <c r="E262" s="47">
        <v>800</v>
      </c>
      <c r="F262" s="47">
        <v>800</v>
      </c>
      <c r="G262" s="47">
        <v>720</v>
      </c>
    </row>
    <row r="263" spans="1:7" ht="12.75" x14ac:dyDescent="0.2">
      <c r="A263" s="43" t="str">
        <f t="shared" si="3"/>
        <v>KL/SI2-SI3/0.499-0.698</v>
      </c>
      <c r="B263" s="47" t="s">
        <v>392</v>
      </c>
      <c r="C263" s="47" t="s">
        <v>552</v>
      </c>
      <c r="D263" s="47" t="s">
        <v>574</v>
      </c>
      <c r="E263" s="47">
        <v>900</v>
      </c>
      <c r="F263" s="47">
        <v>900</v>
      </c>
      <c r="G263" s="47">
        <v>810</v>
      </c>
    </row>
    <row r="264" spans="1:7" ht="12.75" x14ac:dyDescent="0.2">
      <c r="A264" s="43" t="str">
        <f t="shared" si="3"/>
        <v>MN/SI2-SI3/0.499-0.698</v>
      </c>
      <c r="B264" s="47" t="s">
        <v>394</v>
      </c>
      <c r="C264" s="47" t="s">
        <v>552</v>
      </c>
      <c r="D264" s="47" t="s">
        <v>575</v>
      </c>
      <c r="E264" s="47">
        <v>800</v>
      </c>
      <c r="F264" s="47">
        <v>800</v>
      </c>
      <c r="G264" s="47">
        <v>720</v>
      </c>
    </row>
    <row r="265" spans="1:7" ht="12.75" x14ac:dyDescent="0.2">
      <c r="A265" s="43" t="str">
        <f t="shared" si="3"/>
        <v>O-/SI2-SI3/0.499-0.698</v>
      </c>
      <c r="B265" s="47" t="s">
        <v>396</v>
      </c>
      <c r="C265" s="47" t="s">
        <v>552</v>
      </c>
      <c r="D265" s="47" t="s">
        <v>576</v>
      </c>
      <c r="E265" s="47">
        <v>700</v>
      </c>
      <c r="F265" s="47">
        <v>700</v>
      </c>
      <c r="G265" s="47">
        <v>630</v>
      </c>
    </row>
    <row r="266" spans="1:7" ht="12.75" x14ac:dyDescent="0.2">
      <c r="A266" s="43" t="str">
        <f t="shared" si="3"/>
        <v>K-/I1-I3/0.499-0.698</v>
      </c>
      <c r="B266" s="47" t="s">
        <v>398</v>
      </c>
      <c r="C266" s="47" t="s">
        <v>552</v>
      </c>
      <c r="D266" s="47" t="s">
        <v>577</v>
      </c>
      <c r="E266" s="47">
        <v>600</v>
      </c>
      <c r="F266" s="47">
        <v>600</v>
      </c>
      <c r="G266" s="47">
        <v>540</v>
      </c>
    </row>
    <row r="267" spans="1:7" ht="12.75" x14ac:dyDescent="0.2">
      <c r="A267" s="43" t="str">
        <f t="shared" si="3"/>
        <v>4A/0.499-0.698</v>
      </c>
      <c r="B267" s="47" t="s">
        <v>400</v>
      </c>
      <c r="C267" s="47" t="s">
        <v>552</v>
      </c>
      <c r="D267" s="47" t="s">
        <v>578</v>
      </c>
      <c r="E267" s="47">
        <v>1150</v>
      </c>
      <c r="F267" s="47">
        <v>1100</v>
      </c>
      <c r="G267" s="47">
        <v>990</v>
      </c>
    </row>
    <row r="268" spans="1:7" ht="12.75" x14ac:dyDescent="0.2">
      <c r="A268" s="43" t="str">
        <f t="shared" si="3"/>
        <v>4B/0.499-0.698</v>
      </c>
      <c r="B268" s="47" t="s">
        <v>402</v>
      </c>
      <c r="C268" s="47" t="s">
        <v>552</v>
      </c>
      <c r="D268" s="47" t="s">
        <v>579</v>
      </c>
      <c r="E268" s="47">
        <v>1000</v>
      </c>
      <c r="F268" s="47">
        <v>950</v>
      </c>
      <c r="G268" s="47">
        <v>855</v>
      </c>
    </row>
    <row r="269" spans="1:7" ht="12.75" x14ac:dyDescent="0.2">
      <c r="A269" s="43" t="str">
        <f t="shared" ref="A269:A332" si="4">SUBSTITUTE(B269," ","/")&amp;"/"&amp;C269</f>
        <v>5/0.499-0.698</v>
      </c>
      <c r="B269" s="47">
        <v>5</v>
      </c>
      <c r="C269" s="47" t="s">
        <v>552</v>
      </c>
      <c r="D269" s="47" t="s">
        <v>580</v>
      </c>
      <c r="E269" s="47">
        <v>750</v>
      </c>
      <c r="F269" s="47">
        <v>700</v>
      </c>
      <c r="G269" s="47">
        <v>630</v>
      </c>
    </row>
    <row r="270" spans="1:7" ht="12.75" x14ac:dyDescent="0.2">
      <c r="A270" s="43" t="str">
        <f t="shared" si="4"/>
        <v>6/0.499-0.698</v>
      </c>
      <c r="B270" s="47">
        <v>6</v>
      </c>
      <c r="C270" s="47" t="s">
        <v>552</v>
      </c>
      <c r="D270" s="47" t="s">
        <v>581</v>
      </c>
      <c r="E270" s="47">
        <v>525</v>
      </c>
      <c r="F270" s="47">
        <v>500</v>
      </c>
      <c r="G270" s="47">
        <v>450</v>
      </c>
    </row>
    <row r="271" spans="1:7" ht="12.75" x14ac:dyDescent="0.2">
      <c r="A271" s="43" t="str">
        <f t="shared" si="4"/>
        <v>7/0.499-0.698</v>
      </c>
      <c r="B271" s="47">
        <v>7</v>
      </c>
      <c r="C271" s="47" t="s">
        <v>552</v>
      </c>
      <c r="D271" s="47" t="s">
        <v>582</v>
      </c>
      <c r="E271" s="47">
        <v>350</v>
      </c>
      <c r="F271" s="47">
        <v>350</v>
      </c>
      <c r="G271" s="47">
        <v>315</v>
      </c>
    </row>
    <row r="272" spans="1:7" ht="12.75" x14ac:dyDescent="0.2">
      <c r="A272" s="43" t="str">
        <f t="shared" si="4"/>
        <v>8/0.499-0.698</v>
      </c>
      <c r="B272" s="47">
        <v>8</v>
      </c>
      <c r="C272" s="47" t="s">
        <v>552</v>
      </c>
      <c r="D272" s="47" t="s">
        <v>583</v>
      </c>
      <c r="E272" s="47">
        <v>250</v>
      </c>
      <c r="F272" s="47">
        <v>250</v>
      </c>
      <c r="G272" s="47">
        <v>225</v>
      </c>
    </row>
    <row r="273" spans="1:7" ht="12.75" x14ac:dyDescent="0.2">
      <c r="A273" s="43" t="str">
        <f t="shared" si="4"/>
        <v>NATTS-1/0.499-0.698</v>
      </c>
      <c r="B273" s="47" t="s">
        <v>408</v>
      </c>
      <c r="C273" s="47" t="s">
        <v>552</v>
      </c>
      <c r="D273" s="47" t="s">
        <v>584</v>
      </c>
      <c r="E273" s="47">
        <v>750</v>
      </c>
      <c r="F273" s="47">
        <v>700</v>
      </c>
      <c r="G273" s="47">
        <v>630</v>
      </c>
    </row>
    <row r="274" spans="1:7" ht="12.75" x14ac:dyDescent="0.2">
      <c r="A274" s="43" t="str">
        <f t="shared" si="4"/>
        <v>NATTS-2/0.499-0.698</v>
      </c>
      <c r="B274" s="47" t="s">
        <v>410</v>
      </c>
      <c r="C274" s="47" t="s">
        <v>552</v>
      </c>
      <c r="D274" s="47" t="s">
        <v>585</v>
      </c>
      <c r="E274" s="47">
        <v>525</v>
      </c>
      <c r="F274" s="47">
        <v>500</v>
      </c>
      <c r="G274" s="47">
        <v>450</v>
      </c>
    </row>
    <row r="275" spans="1:7" ht="12.75" x14ac:dyDescent="0.2">
      <c r="A275" s="43" t="str">
        <f t="shared" si="4"/>
        <v>BROWN/0.499-0.698</v>
      </c>
      <c r="B275" s="47" t="s">
        <v>412</v>
      </c>
      <c r="C275" s="47" t="s">
        <v>552</v>
      </c>
      <c r="D275" s="47" t="s">
        <v>413</v>
      </c>
      <c r="E275" s="47">
        <v>850</v>
      </c>
      <c r="F275" s="47">
        <v>850</v>
      </c>
      <c r="G275" s="47">
        <v>765</v>
      </c>
    </row>
    <row r="276" spans="1:7" ht="12.75" x14ac:dyDescent="0.2">
      <c r="A276" s="43" t="str">
        <f t="shared" si="4"/>
        <v>DF/VVS/0.599-0.698</v>
      </c>
      <c r="B276" s="47" t="s">
        <v>349</v>
      </c>
      <c r="C276" s="47" t="s">
        <v>586</v>
      </c>
      <c r="D276" s="47" t="s">
        <v>587</v>
      </c>
      <c r="E276" s="47">
        <v>2850</v>
      </c>
      <c r="F276" s="47">
        <v>2625</v>
      </c>
      <c r="G276" s="47">
        <v>2360</v>
      </c>
    </row>
    <row r="277" spans="1:7" ht="12.75" x14ac:dyDescent="0.2">
      <c r="A277" s="43" t="str">
        <f t="shared" si="4"/>
        <v>DF/VS1/0.599-0.698</v>
      </c>
      <c r="B277" s="47" t="s">
        <v>352</v>
      </c>
      <c r="C277" s="47" t="s">
        <v>586</v>
      </c>
      <c r="D277" s="47" t="s">
        <v>588</v>
      </c>
      <c r="E277" s="47">
        <v>2575</v>
      </c>
      <c r="F277" s="47">
        <v>2420</v>
      </c>
      <c r="G277" s="47">
        <v>2178</v>
      </c>
    </row>
    <row r="278" spans="1:7" ht="12.75" x14ac:dyDescent="0.2">
      <c r="A278" s="43" t="str">
        <f t="shared" si="4"/>
        <v>DF/VS2/0.599-0.698</v>
      </c>
      <c r="B278" s="47" t="s">
        <v>354</v>
      </c>
      <c r="C278" s="47" t="s">
        <v>586</v>
      </c>
      <c r="D278" s="47" t="s">
        <v>589</v>
      </c>
      <c r="E278" s="47">
        <v>2365</v>
      </c>
      <c r="F278" s="47">
        <v>2200</v>
      </c>
      <c r="G278" s="47">
        <v>1980</v>
      </c>
    </row>
    <row r="279" spans="1:7" ht="12.75" x14ac:dyDescent="0.2">
      <c r="A279" s="43" t="str">
        <f t="shared" si="4"/>
        <v>GH/VVS/0.599-0.698</v>
      </c>
      <c r="B279" s="47" t="s">
        <v>356</v>
      </c>
      <c r="C279" s="47" t="s">
        <v>586</v>
      </c>
      <c r="D279" s="47" t="s">
        <v>590</v>
      </c>
      <c r="E279" s="47">
        <v>2575</v>
      </c>
      <c r="F279" s="47">
        <v>2420</v>
      </c>
      <c r="G279" s="47">
        <v>2178</v>
      </c>
    </row>
    <row r="280" spans="1:7" ht="12.75" x14ac:dyDescent="0.2">
      <c r="A280" s="43" t="str">
        <f t="shared" si="4"/>
        <v>GH/VS1/0.599-0.698</v>
      </c>
      <c r="B280" s="47" t="s">
        <v>358</v>
      </c>
      <c r="C280" s="47" t="s">
        <v>586</v>
      </c>
      <c r="D280" s="47" t="s">
        <v>591</v>
      </c>
      <c r="E280" s="47">
        <v>2420</v>
      </c>
      <c r="F280" s="47">
        <v>2265</v>
      </c>
      <c r="G280" s="47">
        <v>2035</v>
      </c>
    </row>
    <row r="281" spans="1:7" ht="12.75" x14ac:dyDescent="0.2">
      <c r="A281" s="43" t="str">
        <f t="shared" si="4"/>
        <v>GH/VS2/0.599-0.698</v>
      </c>
      <c r="B281" s="47" t="s">
        <v>360</v>
      </c>
      <c r="C281" s="47" t="s">
        <v>586</v>
      </c>
      <c r="D281" s="47" t="s">
        <v>592</v>
      </c>
      <c r="E281" s="47">
        <v>2235</v>
      </c>
      <c r="F281" s="47">
        <v>2100</v>
      </c>
      <c r="G281" s="47">
        <v>1890</v>
      </c>
    </row>
    <row r="282" spans="1:7" ht="12.75" x14ac:dyDescent="0.2">
      <c r="A282" s="43" t="str">
        <f t="shared" si="4"/>
        <v>IJ/VVS/0.599-0.698</v>
      </c>
      <c r="B282" s="47" t="s">
        <v>362</v>
      </c>
      <c r="C282" s="47" t="s">
        <v>586</v>
      </c>
      <c r="D282" s="47" t="s">
        <v>593</v>
      </c>
      <c r="E282" s="47">
        <v>2000</v>
      </c>
      <c r="F282" s="47">
        <v>1945</v>
      </c>
      <c r="G282" s="47">
        <v>1750</v>
      </c>
    </row>
    <row r="283" spans="1:7" ht="12.75" x14ac:dyDescent="0.2">
      <c r="A283" s="43" t="str">
        <f t="shared" si="4"/>
        <v>IJ/VS1/0.599-0.698</v>
      </c>
      <c r="B283" s="47" t="s">
        <v>364</v>
      </c>
      <c r="C283" s="47" t="s">
        <v>586</v>
      </c>
      <c r="D283" s="47" t="s">
        <v>594</v>
      </c>
      <c r="E283" s="47">
        <v>1885</v>
      </c>
      <c r="F283" s="47">
        <v>1835</v>
      </c>
      <c r="G283" s="47">
        <v>1650</v>
      </c>
    </row>
    <row r="284" spans="1:7" ht="12.75" x14ac:dyDescent="0.2">
      <c r="A284" s="43" t="str">
        <f t="shared" si="4"/>
        <v>IJ/VS2/0.599-0.698</v>
      </c>
      <c r="B284" s="47" t="s">
        <v>366</v>
      </c>
      <c r="C284" s="47" t="s">
        <v>586</v>
      </c>
      <c r="D284" s="47" t="s">
        <v>595</v>
      </c>
      <c r="E284" s="47">
        <v>1835</v>
      </c>
      <c r="F284" s="47">
        <v>1785</v>
      </c>
      <c r="G284" s="47">
        <v>1600</v>
      </c>
    </row>
    <row r="285" spans="1:7" ht="12.75" x14ac:dyDescent="0.2">
      <c r="A285" s="43" t="str">
        <f t="shared" si="4"/>
        <v>DG/SI1/0.599-0.698</v>
      </c>
      <c r="B285" s="47" t="s">
        <v>368</v>
      </c>
      <c r="C285" s="47" t="s">
        <v>586</v>
      </c>
      <c r="D285" s="47" t="s">
        <v>596</v>
      </c>
      <c r="E285" s="47">
        <v>2000</v>
      </c>
      <c r="F285" s="47">
        <v>1945</v>
      </c>
      <c r="G285" s="47">
        <v>1750</v>
      </c>
    </row>
    <row r="286" spans="1:7" ht="12.75" x14ac:dyDescent="0.2">
      <c r="A286" s="43" t="str">
        <f t="shared" si="4"/>
        <v>DG/SI2/0.599-0.698</v>
      </c>
      <c r="B286" s="47" t="s">
        <v>370</v>
      </c>
      <c r="C286" s="47" t="s">
        <v>586</v>
      </c>
      <c r="D286" s="47" t="s">
        <v>597</v>
      </c>
      <c r="E286" s="47">
        <v>1785</v>
      </c>
      <c r="F286" s="47">
        <v>1735</v>
      </c>
      <c r="G286" s="47">
        <v>1560</v>
      </c>
    </row>
    <row r="287" spans="1:7" ht="12.75" x14ac:dyDescent="0.2">
      <c r="A287" s="43" t="str">
        <f t="shared" si="4"/>
        <v>DG/SI3/0.599-0.698</v>
      </c>
      <c r="B287" s="47" t="s">
        <v>372</v>
      </c>
      <c r="C287" s="47" t="s">
        <v>586</v>
      </c>
      <c r="D287" s="47" t="s">
        <v>598</v>
      </c>
      <c r="E287" s="47">
        <v>1525</v>
      </c>
      <c r="F287" s="47">
        <v>1470</v>
      </c>
      <c r="G287" s="47">
        <v>1323</v>
      </c>
    </row>
    <row r="288" spans="1:7" ht="12.75" x14ac:dyDescent="0.2">
      <c r="A288" s="43" t="str">
        <f t="shared" si="4"/>
        <v>HIJ/SI1/0.599-0.698</v>
      </c>
      <c r="B288" s="47" t="s">
        <v>374</v>
      </c>
      <c r="C288" s="47" t="s">
        <v>586</v>
      </c>
      <c r="D288" s="47" t="s">
        <v>599</v>
      </c>
      <c r="E288" s="47">
        <v>1735</v>
      </c>
      <c r="F288" s="47">
        <v>1685</v>
      </c>
      <c r="G288" s="47">
        <v>1515</v>
      </c>
    </row>
    <row r="289" spans="1:7" ht="12.75" x14ac:dyDescent="0.2">
      <c r="A289" s="43" t="str">
        <f t="shared" si="4"/>
        <v>HIJ/SI2/0.599-0.698</v>
      </c>
      <c r="B289" s="47" t="s">
        <v>376</v>
      </c>
      <c r="C289" s="47" t="s">
        <v>586</v>
      </c>
      <c r="D289" s="47" t="s">
        <v>600</v>
      </c>
      <c r="E289" s="47">
        <v>1470</v>
      </c>
      <c r="F289" s="47">
        <v>1420</v>
      </c>
      <c r="G289" s="47">
        <v>1278</v>
      </c>
    </row>
    <row r="290" spans="1:7" ht="12.75" x14ac:dyDescent="0.2">
      <c r="A290" s="43" t="str">
        <f t="shared" si="4"/>
        <v>HIJ/SI3/0.599-0.698</v>
      </c>
      <c r="B290" s="47" t="s">
        <v>378</v>
      </c>
      <c r="C290" s="47" t="s">
        <v>586</v>
      </c>
      <c r="D290" s="47" t="s">
        <v>601</v>
      </c>
      <c r="E290" s="47">
        <v>1315</v>
      </c>
      <c r="F290" s="47">
        <v>1275</v>
      </c>
      <c r="G290" s="47">
        <v>1145</v>
      </c>
    </row>
    <row r="291" spans="1:7" ht="12.75" x14ac:dyDescent="0.2">
      <c r="A291" s="43" t="str">
        <f t="shared" si="4"/>
        <v>KL/VVS-VS1/0.599-0.698</v>
      </c>
      <c r="B291" s="47" t="s">
        <v>380</v>
      </c>
      <c r="C291" s="47" t="s">
        <v>586</v>
      </c>
      <c r="D291" s="47" t="s">
        <v>602</v>
      </c>
      <c r="E291" s="47">
        <v>1265</v>
      </c>
      <c r="F291" s="47">
        <v>1265</v>
      </c>
      <c r="G291" s="47">
        <v>1135</v>
      </c>
    </row>
    <row r="292" spans="1:7" ht="12.75" x14ac:dyDescent="0.2">
      <c r="A292" s="43" t="str">
        <f t="shared" si="4"/>
        <v>MN/VVS-VS1/0.599-0.698</v>
      </c>
      <c r="B292" s="47" t="s">
        <v>382</v>
      </c>
      <c r="C292" s="47" t="s">
        <v>586</v>
      </c>
      <c r="D292" s="47" t="s">
        <v>603</v>
      </c>
      <c r="E292" s="47">
        <v>1100</v>
      </c>
      <c r="F292" s="47">
        <v>1100</v>
      </c>
      <c r="G292" s="47">
        <v>990</v>
      </c>
    </row>
    <row r="293" spans="1:7" ht="12.75" x14ac:dyDescent="0.2">
      <c r="A293" s="43" t="str">
        <f t="shared" si="4"/>
        <v>O-/IF-VS1/0.599-0.698</v>
      </c>
      <c r="B293" s="47" t="s">
        <v>384</v>
      </c>
      <c r="C293" s="47" t="s">
        <v>586</v>
      </c>
      <c r="D293" s="47" t="s">
        <v>604</v>
      </c>
      <c r="E293" s="47">
        <v>950</v>
      </c>
      <c r="F293" s="47">
        <v>950</v>
      </c>
      <c r="G293" s="47">
        <v>855</v>
      </c>
    </row>
    <row r="294" spans="1:7" ht="12.75" x14ac:dyDescent="0.2">
      <c r="A294" s="43" t="str">
        <f t="shared" si="4"/>
        <v>KL/VS2-SI1/0.599-0.698</v>
      </c>
      <c r="B294" s="47" t="s">
        <v>386</v>
      </c>
      <c r="C294" s="47" t="s">
        <v>586</v>
      </c>
      <c r="D294" s="47" t="s">
        <v>605</v>
      </c>
      <c r="E294" s="47">
        <v>1100</v>
      </c>
      <c r="F294" s="47">
        <v>1100</v>
      </c>
      <c r="G294" s="47">
        <v>990</v>
      </c>
    </row>
    <row r="295" spans="1:7" ht="12.75" x14ac:dyDescent="0.2">
      <c r="A295" s="43" t="str">
        <f t="shared" si="4"/>
        <v>MN/VS2-SI1/0.599-0.698</v>
      </c>
      <c r="B295" s="47" t="s">
        <v>388</v>
      </c>
      <c r="C295" s="47" t="s">
        <v>586</v>
      </c>
      <c r="D295" s="47" t="s">
        <v>606</v>
      </c>
      <c r="E295" s="47">
        <v>950</v>
      </c>
      <c r="F295" s="47">
        <v>950</v>
      </c>
      <c r="G295" s="47">
        <v>855</v>
      </c>
    </row>
    <row r="296" spans="1:7" ht="12.75" x14ac:dyDescent="0.2">
      <c r="A296" s="43" t="str">
        <f t="shared" si="4"/>
        <v>O-/VS2-SI1/0.599-0.698</v>
      </c>
      <c r="B296" s="47" t="s">
        <v>390</v>
      </c>
      <c r="C296" s="47" t="s">
        <v>586</v>
      </c>
      <c r="D296" s="47" t="s">
        <v>607</v>
      </c>
      <c r="E296" s="47">
        <v>840</v>
      </c>
      <c r="F296" s="47">
        <v>840</v>
      </c>
      <c r="G296" s="47">
        <v>756</v>
      </c>
    </row>
    <row r="297" spans="1:7" ht="12.75" x14ac:dyDescent="0.2">
      <c r="A297" s="43" t="str">
        <f t="shared" si="4"/>
        <v>KL/SI2-SI3/0.599-0.698</v>
      </c>
      <c r="B297" s="47" t="s">
        <v>392</v>
      </c>
      <c r="C297" s="47" t="s">
        <v>586</v>
      </c>
      <c r="D297" s="47" t="s">
        <v>608</v>
      </c>
      <c r="E297" s="47">
        <v>950</v>
      </c>
      <c r="F297" s="47">
        <v>950</v>
      </c>
      <c r="G297" s="47">
        <v>855</v>
      </c>
    </row>
    <row r="298" spans="1:7" ht="12.75" x14ac:dyDescent="0.2">
      <c r="A298" s="43" t="str">
        <f t="shared" si="4"/>
        <v>MN/SI2-SI3/0.599-0.698</v>
      </c>
      <c r="B298" s="47" t="s">
        <v>394</v>
      </c>
      <c r="C298" s="47" t="s">
        <v>586</v>
      </c>
      <c r="D298" s="47" t="s">
        <v>609</v>
      </c>
      <c r="E298" s="47">
        <v>840</v>
      </c>
      <c r="F298" s="47">
        <v>840</v>
      </c>
      <c r="G298" s="47">
        <v>756</v>
      </c>
    </row>
    <row r="299" spans="1:7" ht="12.75" x14ac:dyDescent="0.2">
      <c r="A299" s="43" t="str">
        <f t="shared" si="4"/>
        <v>O-/SI2-SI3/0.599-0.698</v>
      </c>
      <c r="B299" s="47" t="s">
        <v>396</v>
      </c>
      <c r="C299" s="47" t="s">
        <v>586</v>
      </c>
      <c r="D299" s="47" t="s">
        <v>610</v>
      </c>
      <c r="E299" s="47">
        <v>735</v>
      </c>
      <c r="F299" s="47">
        <v>735</v>
      </c>
      <c r="G299" s="47">
        <v>660</v>
      </c>
    </row>
    <row r="300" spans="1:7" ht="12.75" x14ac:dyDescent="0.2">
      <c r="A300" s="43" t="str">
        <f t="shared" si="4"/>
        <v>K-/I1-I3/0.599-0.698</v>
      </c>
      <c r="B300" s="47" t="s">
        <v>398</v>
      </c>
      <c r="C300" s="47" t="s">
        <v>586</v>
      </c>
      <c r="D300" s="47" t="s">
        <v>611</v>
      </c>
      <c r="E300" s="47">
        <v>630</v>
      </c>
      <c r="F300" s="47">
        <v>630</v>
      </c>
      <c r="G300" s="47">
        <v>567</v>
      </c>
    </row>
    <row r="301" spans="1:7" ht="12.75" x14ac:dyDescent="0.2">
      <c r="A301" s="43" t="str">
        <f t="shared" si="4"/>
        <v>4A/0.599-0.698</v>
      </c>
      <c r="B301" s="47" t="s">
        <v>400</v>
      </c>
      <c r="C301" s="47" t="s">
        <v>586</v>
      </c>
      <c r="D301" s="47" t="s">
        <v>612</v>
      </c>
      <c r="E301" s="47">
        <v>1250</v>
      </c>
      <c r="F301" s="47">
        <v>1200</v>
      </c>
      <c r="G301" s="47">
        <v>1080</v>
      </c>
    </row>
    <row r="302" spans="1:7" ht="12.75" x14ac:dyDescent="0.2">
      <c r="A302" s="43" t="str">
        <f t="shared" si="4"/>
        <v>4B/0.599-0.698</v>
      </c>
      <c r="B302" s="47" t="s">
        <v>402</v>
      </c>
      <c r="C302" s="47" t="s">
        <v>586</v>
      </c>
      <c r="D302" s="47" t="s">
        <v>613</v>
      </c>
      <c r="E302" s="47">
        <v>1100</v>
      </c>
      <c r="F302" s="47">
        <v>1050</v>
      </c>
      <c r="G302" s="47">
        <v>945</v>
      </c>
    </row>
    <row r="303" spans="1:7" ht="12.75" x14ac:dyDescent="0.2">
      <c r="A303" s="43" t="str">
        <f t="shared" si="4"/>
        <v>5/0.599-0.698</v>
      </c>
      <c r="B303" s="47">
        <v>5</v>
      </c>
      <c r="C303" s="47" t="s">
        <v>586</v>
      </c>
      <c r="D303" s="47" t="s">
        <v>614</v>
      </c>
      <c r="E303" s="47">
        <v>785</v>
      </c>
      <c r="F303" s="47">
        <v>735</v>
      </c>
      <c r="G303" s="47">
        <v>660</v>
      </c>
    </row>
    <row r="304" spans="1:7" ht="12.75" x14ac:dyDescent="0.2">
      <c r="A304" s="43" t="str">
        <f t="shared" si="4"/>
        <v>6/0.599-0.698</v>
      </c>
      <c r="B304" s="47">
        <v>6</v>
      </c>
      <c r="C304" s="47" t="s">
        <v>586</v>
      </c>
      <c r="D304" s="47" t="s">
        <v>615</v>
      </c>
      <c r="E304" s="47">
        <v>550</v>
      </c>
      <c r="F304" s="47">
        <v>525</v>
      </c>
      <c r="G304" s="47">
        <v>470</v>
      </c>
    </row>
    <row r="305" spans="1:7" ht="12.75" x14ac:dyDescent="0.2">
      <c r="A305" s="43" t="str">
        <f t="shared" si="4"/>
        <v>7/0.599-0.698</v>
      </c>
      <c r="B305" s="47">
        <v>7</v>
      </c>
      <c r="C305" s="47" t="s">
        <v>586</v>
      </c>
      <c r="D305" s="47" t="s">
        <v>616</v>
      </c>
      <c r="E305" s="47">
        <v>365</v>
      </c>
      <c r="F305" s="47">
        <v>365</v>
      </c>
      <c r="G305" s="47">
        <v>325</v>
      </c>
    </row>
    <row r="306" spans="1:7" ht="12.75" x14ac:dyDescent="0.2">
      <c r="A306" s="43" t="str">
        <f t="shared" si="4"/>
        <v>8/0.599-0.698</v>
      </c>
      <c r="B306" s="47">
        <v>8</v>
      </c>
      <c r="C306" s="47" t="s">
        <v>586</v>
      </c>
      <c r="D306" s="47" t="s">
        <v>617</v>
      </c>
      <c r="E306" s="47">
        <v>250</v>
      </c>
      <c r="F306" s="47">
        <v>250</v>
      </c>
      <c r="G306" s="47">
        <v>225</v>
      </c>
    </row>
    <row r="307" spans="1:7" ht="12.75" x14ac:dyDescent="0.2">
      <c r="A307" s="43" t="str">
        <f t="shared" si="4"/>
        <v>NATTS-1/0.599-0.698</v>
      </c>
      <c r="B307" s="47" t="s">
        <v>408</v>
      </c>
      <c r="C307" s="47" t="s">
        <v>586</v>
      </c>
      <c r="D307" s="47" t="s">
        <v>618</v>
      </c>
      <c r="E307" s="47">
        <v>785</v>
      </c>
      <c r="F307" s="47">
        <v>735</v>
      </c>
      <c r="G307" s="47">
        <v>660</v>
      </c>
    </row>
    <row r="308" spans="1:7" ht="12.75" x14ac:dyDescent="0.2">
      <c r="A308" s="43" t="str">
        <f t="shared" si="4"/>
        <v>NATTS-2/0.599-0.698</v>
      </c>
      <c r="B308" s="47" t="s">
        <v>410</v>
      </c>
      <c r="C308" s="47" t="s">
        <v>586</v>
      </c>
      <c r="D308" s="47" t="s">
        <v>619</v>
      </c>
      <c r="E308" s="47">
        <v>550</v>
      </c>
      <c r="F308" s="47">
        <v>525</v>
      </c>
      <c r="G308" s="47">
        <v>470</v>
      </c>
    </row>
    <row r="309" spans="1:7" ht="12.75" x14ac:dyDescent="0.2">
      <c r="A309" s="43" t="str">
        <f t="shared" si="4"/>
        <v>BROWN/0.599-0.698</v>
      </c>
      <c r="B309" s="47" t="s">
        <v>412</v>
      </c>
      <c r="C309" s="47" t="s">
        <v>586</v>
      </c>
      <c r="D309" s="47" t="s">
        <v>413</v>
      </c>
      <c r="E309" s="47">
        <v>900</v>
      </c>
      <c r="F309" s="47">
        <v>900</v>
      </c>
      <c r="G309" s="47">
        <v>810</v>
      </c>
    </row>
    <row r="310" spans="1:7" ht="12.75" x14ac:dyDescent="0.2">
      <c r="A310" s="43" t="str">
        <f t="shared" si="4"/>
        <v>DF/VVS/0.699-0.798</v>
      </c>
      <c r="B310" s="47" t="s">
        <v>349</v>
      </c>
      <c r="C310" s="47" t="s">
        <v>620</v>
      </c>
      <c r="D310" s="47" t="s">
        <v>621</v>
      </c>
      <c r="E310" s="47">
        <v>3000</v>
      </c>
      <c r="F310" s="47">
        <v>2900</v>
      </c>
      <c r="G310" s="47">
        <v>2610</v>
      </c>
    </row>
    <row r="311" spans="1:7" ht="12.75" x14ac:dyDescent="0.2">
      <c r="A311" s="43" t="str">
        <f t="shared" si="4"/>
        <v>DF/VS1/0.699-0.798</v>
      </c>
      <c r="B311" s="47" t="s">
        <v>352</v>
      </c>
      <c r="C311" s="47" t="s">
        <v>620</v>
      </c>
      <c r="D311" s="47" t="s">
        <v>622</v>
      </c>
      <c r="E311" s="47">
        <v>2800</v>
      </c>
      <c r="F311" s="47">
        <v>2700</v>
      </c>
      <c r="G311" s="47">
        <v>2430</v>
      </c>
    </row>
    <row r="312" spans="1:7" ht="12.75" x14ac:dyDescent="0.2">
      <c r="A312" s="43" t="str">
        <f t="shared" si="4"/>
        <v>DF/VS2/0.699-0.798</v>
      </c>
      <c r="B312" s="47" t="s">
        <v>354</v>
      </c>
      <c r="C312" s="47" t="s">
        <v>620</v>
      </c>
      <c r="D312" s="47" t="s">
        <v>623</v>
      </c>
      <c r="E312" s="47">
        <v>2600</v>
      </c>
      <c r="F312" s="47">
        <v>2550</v>
      </c>
      <c r="G312" s="47">
        <v>2295</v>
      </c>
    </row>
    <row r="313" spans="1:7" ht="12.75" x14ac:dyDescent="0.2">
      <c r="A313" s="43" t="str">
        <f t="shared" si="4"/>
        <v>GH/VVS/0.699-0.798</v>
      </c>
      <c r="B313" s="47" t="s">
        <v>356</v>
      </c>
      <c r="C313" s="47" t="s">
        <v>620</v>
      </c>
      <c r="D313" s="47" t="s">
        <v>624</v>
      </c>
      <c r="E313" s="47">
        <v>2650</v>
      </c>
      <c r="F313" s="47">
        <v>2600</v>
      </c>
      <c r="G313" s="47">
        <v>2340</v>
      </c>
    </row>
    <row r="314" spans="1:7" ht="12.75" x14ac:dyDescent="0.2">
      <c r="A314" s="43" t="str">
        <f t="shared" si="4"/>
        <v>GH/VS1/0.699-0.798</v>
      </c>
      <c r="B314" s="47" t="s">
        <v>358</v>
      </c>
      <c r="C314" s="47" t="s">
        <v>620</v>
      </c>
      <c r="D314" s="47" t="s">
        <v>625</v>
      </c>
      <c r="E314" s="47">
        <v>2500</v>
      </c>
      <c r="F314" s="47">
        <v>2450</v>
      </c>
      <c r="G314" s="47">
        <v>2205</v>
      </c>
    </row>
    <row r="315" spans="1:7" ht="12.75" x14ac:dyDescent="0.2">
      <c r="A315" s="43" t="str">
        <f t="shared" si="4"/>
        <v>GH/VS2/0.699-0.798</v>
      </c>
      <c r="B315" s="47" t="s">
        <v>360</v>
      </c>
      <c r="C315" s="47" t="s">
        <v>620</v>
      </c>
      <c r="D315" s="47" t="s">
        <v>626</v>
      </c>
      <c r="E315" s="47">
        <v>2400</v>
      </c>
      <c r="F315" s="47">
        <v>2300</v>
      </c>
      <c r="G315" s="47">
        <v>2070</v>
      </c>
    </row>
    <row r="316" spans="1:7" ht="12.75" x14ac:dyDescent="0.2">
      <c r="A316" s="43" t="str">
        <f t="shared" si="4"/>
        <v>IJ/VVS/0.699-0.798</v>
      </c>
      <c r="B316" s="47" t="s">
        <v>362</v>
      </c>
      <c r="C316" s="47" t="s">
        <v>620</v>
      </c>
      <c r="D316" s="47" t="s">
        <v>627</v>
      </c>
      <c r="E316" s="47">
        <v>2350</v>
      </c>
      <c r="F316" s="47">
        <v>2300</v>
      </c>
      <c r="G316" s="47">
        <v>2070</v>
      </c>
    </row>
    <row r="317" spans="1:7" ht="12.75" x14ac:dyDescent="0.2">
      <c r="A317" s="43" t="str">
        <f t="shared" si="4"/>
        <v>IJ/VS1/0.699-0.798</v>
      </c>
      <c r="B317" s="47" t="s">
        <v>364</v>
      </c>
      <c r="C317" s="47" t="s">
        <v>620</v>
      </c>
      <c r="D317" s="47" t="s">
        <v>628</v>
      </c>
      <c r="E317" s="47">
        <v>2250</v>
      </c>
      <c r="F317" s="47">
        <v>2200</v>
      </c>
      <c r="G317" s="47">
        <v>1980</v>
      </c>
    </row>
    <row r="318" spans="1:7" ht="12.75" x14ac:dyDescent="0.2">
      <c r="A318" s="43" t="str">
        <f t="shared" si="4"/>
        <v>IJ/VS2/0.699-0.798</v>
      </c>
      <c r="B318" s="47" t="s">
        <v>366</v>
      </c>
      <c r="C318" s="47" t="s">
        <v>620</v>
      </c>
      <c r="D318" s="47" t="s">
        <v>629</v>
      </c>
      <c r="E318" s="47">
        <v>2150</v>
      </c>
      <c r="F318" s="47">
        <v>2100</v>
      </c>
      <c r="G318" s="47">
        <v>1890</v>
      </c>
    </row>
    <row r="319" spans="1:7" ht="12.75" x14ac:dyDescent="0.2">
      <c r="A319" s="43" t="str">
        <f t="shared" si="4"/>
        <v>DG/SI1/0.699-0.798</v>
      </c>
      <c r="B319" s="47" t="s">
        <v>368</v>
      </c>
      <c r="C319" s="47" t="s">
        <v>620</v>
      </c>
      <c r="D319" s="47" t="s">
        <v>630</v>
      </c>
      <c r="E319" s="47">
        <v>2350</v>
      </c>
      <c r="F319" s="47">
        <v>2300</v>
      </c>
      <c r="G319" s="47">
        <v>2070</v>
      </c>
    </row>
    <row r="320" spans="1:7" ht="12.75" x14ac:dyDescent="0.2">
      <c r="A320" s="43" t="str">
        <f t="shared" si="4"/>
        <v>DG/SI2/0.699-0.798</v>
      </c>
      <c r="B320" s="47" t="s">
        <v>370</v>
      </c>
      <c r="C320" s="47" t="s">
        <v>620</v>
      </c>
      <c r="D320" s="47" t="s">
        <v>631</v>
      </c>
      <c r="E320" s="47">
        <v>2000</v>
      </c>
      <c r="F320" s="47">
        <v>1950</v>
      </c>
      <c r="G320" s="47">
        <v>1755</v>
      </c>
    </row>
    <row r="321" spans="1:7" ht="12.75" x14ac:dyDescent="0.2">
      <c r="A321" s="43" t="str">
        <f t="shared" si="4"/>
        <v>DG/SI3/0.699-0.798</v>
      </c>
      <c r="B321" s="47" t="s">
        <v>372</v>
      </c>
      <c r="C321" s="47" t="s">
        <v>620</v>
      </c>
      <c r="D321" s="47" t="s">
        <v>632</v>
      </c>
      <c r="E321" s="47">
        <v>1750</v>
      </c>
      <c r="F321" s="47">
        <v>1700</v>
      </c>
      <c r="G321" s="47">
        <v>1530</v>
      </c>
    </row>
    <row r="322" spans="1:7" ht="12.75" x14ac:dyDescent="0.2">
      <c r="A322" s="43" t="str">
        <f t="shared" si="4"/>
        <v>HIJ/SI1/0.699-0.798</v>
      </c>
      <c r="B322" s="47" t="s">
        <v>374</v>
      </c>
      <c r="C322" s="47" t="s">
        <v>620</v>
      </c>
      <c r="D322" s="47" t="s">
        <v>633</v>
      </c>
      <c r="E322" s="47">
        <v>2050</v>
      </c>
      <c r="F322" s="47">
        <v>2000</v>
      </c>
      <c r="G322" s="47">
        <v>1800</v>
      </c>
    </row>
    <row r="323" spans="1:7" ht="12.75" x14ac:dyDescent="0.2">
      <c r="A323" s="43" t="str">
        <f t="shared" si="4"/>
        <v>HIJ/SI2/0.699-0.798</v>
      </c>
      <c r="B323" s="47" t="s">
        <v>376</v>
      </c>
      <c r="C323" s="47" t="s">
        <v>620</v>
      </c>
      <c r="D323" s="47" t="s">
        <v>634</v>
      </c>
      <c r="E323" s="47">
        <v>1750</v>
      </c>
      <c r="F323" s="47">
        <v>1700</v>
      </c>
      <c r="G323" s="47">
        <v>1530</v>
      </c>
    </row>
    <row r="324" spans="1:7" ht="12.75" x14ac:dyDescent="0.2">
      <c r="A324" s="43" t="str">
        <f t="shared" si="4"/>
        <v>HIJ/SI3/0.699-0.798</v>
      </c>
      <c r="B324" s="47" t="s">
        <v>378</v>
      </c>
      <c r="C324" s="47" t="s">
        <v>620</v>
      </c>
      <c r="D324" s="47" t="s">
        <v>635</v>
      </c>
      <c r="E324" s="47">
        <v>1550</v>
      </c>
      <c r="F324" s="47">
        <v>1500</v>
      </c>
      <c r="G324" s="47">
        <v>1350</v>
      </c>
    </row>
    <row r="325" spans="1:7" ht="12.75" x14ac:dyDescent="0.2">
      <c r="A325" s="43" t="str">
        <f t="shared" si="4"/>
        <v>KL/VVS-VS1/0.699-0.798</v>
      </c>
      <c r="B325" s="47" t="s">
        <v>380</v>
      </c>
      <c r="C325" s="47" t="s">
        <v>620</v>
      </c>
      <c r="D325" s="47" t="s">
        <v>636</v>
      </c>
      <c r="E325" s="47">
        <v>1450</v>
      </c>
      <c r="F325" s="47">
        <v>1450</v>
      </c>
      <c r="G325" s="47">
        <v>1305</v>
      </c>
    </row>
    <row r="326" spans="1:7" ht="12.75" x14ac:dyDescent="0.2">
      <c r="A326" s="43" t="str">
        <f t="shared" si="4"/>
        <v>MN/VVS-VS1/0.699-0.798</v>
      </c>
      <c r="B326" s="47" t="s">
        <v>382</v>
      </c>
      <c r="C326" s="47" t="s">
        <v>620</v>
      </c>
      <c r="D326" s="47" t="s">
        <v>637</v>
      </c>
      <c r="E326" s="47">
        <v>1200</v>
      </c>
      <c r="F326" s="47">
        <v>1200</v>
      </c>
      <c r="G326" s="47">
        <v>1080</v>
      </c>
    </row>
    <row r="327" spans="1:7" ht="12.75" x14ac:dyDescent="0.2">
      <c r="A327" s="43" t="str">
        <f t="shared" si="4"/>
        <v>O-/IF-VS1/0.699-0.798</v>
      </c>
      <c r="B327" s="47" t="s">
        <v>384</v>
      </c>
      <c r="C327" s="47" t="s">
        <v>620</v>
      </c>
      <c r="D327" s="47" t="s">
        <v>638</v>
      </c>
      <c r="E327" s="47">
        <v>1050</v>
      </c>
      <c r="F327" s="47">
        <v>1050</v>
      </c>
      <c r="G327" s="47">
        <v>945</v>
      </c>
    </row>
    <row r="328" spans="1:7" ht="12.75" x14ac:dyDescent="0.2">
      <c r="A328" s="43" t="str">
        <f t="shared" si="4"/>
        <v>KL/VS2-SI1/0.699-0.798</v>
      </c>
      <c r="B328" s="47" t="s">
        <v>386</v>
      </c>
      <c r="C328" s="47" t="s">
        <v>620</v>
      </c>
      <c r="D328" s="47" t="s">
        <v>639</v>
      </c>
      <c r="E328" s="47">
        <v>1250</v>
      </c>
      <c r="F328" s="47">
        <v>1250</v>
      </c>
      <c r="G328" s="47">
        <v>1125</v>
      </c>
    </row>
    <row r="329" spans="1:7" ht="12.75" x14ac:dyDescent="0.2">
      <c r="A329" s="43" t="str">
        <f t="shared" si="4"/>
        <v>MN/VS2-SI1/0.699-0.798</v>
      </c>
      <c r="B329" s="47" t="s">
        <v>388</v>
      </c>
      <c r="C329" s="47" t="s">
        <v>620</v>
      </c>
      <c r="D329" s="47" t="s">
        <v>640</v>
      </c>
      <c r="E329" s="47">
        <v>1050</v>
      </c>
      <c r="F329" s="47">
        <v>1050</v>
      </c>
      <c r="G329" s="47">
        <v>945</v>
      </c>
    </row>
    <row r="330" spans="1:7" ht="12.75" x14ac:dyDescent="0.2">
      <c r="A330" s="43" t="str">
        <f t="shared" si="4"/>
        <v>O-/VS2-SI1/0.699-0.798</v>
      </c>
      <c r="B330" s="47" t="s">
        <v>390</v>
      </c>
      <c r="C330" s="47" t="s">
        <v>620</v>
      </c>
      <c r="D330" s="47" t="s">
        <v>641</v>
      </c>
      <c r="E330" s="47">
        <v>900</v>
      </c>
      <c r="F330" s="47">
        <v>900</v>
      </c>
      <c r="G330" s="47">
        <v>810</v>
      </c>
    </row>
    <row r="331" spans="1:7" ht="12.75" x14ac:dyDescent="0.2">
      <c r="A331" s="43" t="str">
        <f t="shared" si="4"/>
        <v>KL/SI2-SI3/0.699-0.798</v>
      </c>
      <c r="B331" s="47" t="s">
        <v>392</v>
      </c>
      <c r="C331" s="47" t="s">
        <v>620</v>
      </c>
      <c r="D331" s="47" t="s">
        <v>642</v>
      </c>
      <c r="E331" s="47">
        <v>1050</v>
      </c>
      <c r="F331" s="47">
        <v>1050</v>
      </c>
      <c r="G331" s="47">
        <v>945</v>
      </c>
    </row>
    <row r="332" spans="1:7" ht="12.75" x14ac:dyDescent="0.2">
      <c r="A332" s="43" t="str">
        <f t="shared" si="4"/>
        <v>MN/SI2-SI3/0.699-0.798</v>
      </c>
      <c r="B332" s="47" t="s">
        <v>394</v>
      </c>
      <c r="C332" s="47" t="s">
        <v>620</v>
      </c>
      <c r="D332" s="47" t="s">
        <v>643</v>
      </c>
      <c r="E332" s="47">
        <v>900</v>
      </c>
      <c r="F332" s="47">
        <v>900</v>
      </c>
      <c r="G332" s="47">
        <v>810</v>
      </c>
    </row>
    <row r="333" spans="1:7" ht="12.75" x14ac:dyDescent="0.2">
      <c r="A333" s="43" t="str">
        <f t="shared" ref="A333:A396" si="5">SUBSTITUTE(B333," ","/")&amp;"/"&amp;C333</f>
        <v>O-/SI2-SI3/0.699-0.798</v>
      </c>
      <c r="B333" s="47" t="s">
        <v>396</v>
      </c>
      <c r="C333" s="47" t="s">
        <v>620</v>
      </c>
      <c r="D333" s="47" t="s">
        <v>644</v>
      </c>
      <c r="E333" s="47">
        <v>800</v>
      </c>
      <c r="F333" s="47">
        <v>800</v>
      </c>
      <c r="G333" s="47">
        <v>720</v>
      </c>
    </row>
    <row r="334" spans="1:7" ht="12.75" x14ac:dyDescent="0.2">
      <c r="A334" s="43" t="str">
        <f t="shared" si="5"/>
        <v>K-/I1-I3/0.699-0.798</v>
      </c>
      <c r="B334" s="47" t="s">
        <v>398</v>
      </c>
      <c r="C334" s="47" t="s">
        <v>620</v>
      </c>
      <c r="D334" s="47" t="s">
        <v>645</v>
      </c>
      <c r="E334" s="47">
        <v>700</v>
      </c>
      <c r="F334" s="47">
        <v>700</v>
      </c>
      <c r="G334" s="47">
        <v>630</v>
      </c>
    </row>
    <row r="335" spans="1:7" ht="12.75" x14ac:dyDescent="0.2">
      <c r="A335" s="43" t="str">
        <f t="shared" si="5"/>
        <v>4A/0.699-0.798</v>
      </c>
      <c r="B335" s="47" t="s">
        <v>400</v>
      </c>
      <c r="C335" s="47" t="s">
        <v>620</v>
      </c>
      <c r="D335" s="47" t="s">
        <v>646</v>
      </c>
      <c r="E335" s="47">
        <v>1650</v>
      </c>
      <c r="F335" s="47">
        <v>1500</v>
      </c>
      <c r="G335" s="47">
        <v>1350</v>
      </c>
    </row>
    <row r="336" spans="1:7" ht="12.75" x14ac:dyDescent="0.2">
      <c r="A336" s="43" t="str">
        <f t="shared" si="5"/>
        <v>4B/0.699-0.798</v>
      </c>
      <c r="B336" s="47" t="s">
        <v>402</v>
      </c>
      <c r="C336" s="47" t="s">
        <v>620</v>
      </c>
      <c r="D336" s="47" t="s">
        <v>647</v>
      </c>
      <c r="E336" s="47">
        <v>1425</v>
      </c>
      <c r="F336" s="47">
        <v>1300</v>
      </c>
      <c r="G336" s="47">
        <v>1170</v>
      </c>
    </row>
    <row r="337" spans="1:7" ht="12.75" x14ac:dyDescent="0.2">
      <c r="A337" s="43" t="str">
        <f t="shared" si="5"/>
        <v>5/0.699-0.798</v>
      </c>
      <c r="B337" s="47">
        <v>5</v>
      </c>
      <c r="C337" s="47" t="s">
        <v>620</v>
      </c>
      <c r="D337" s="47" t="s">
        <v>648</v>
      </c>
      <c r="E337" s="47">
        <v>975</v>
      </c>
      <c r="F337" s="47">
        <v>900</v>
      </c>
      <c r="G337" s="47">
        <v>810</v>
      </c>
    </row>
    <row r="338" spans="1:7" ht="12.75" x14ac:dyDescent="0.2">
      <c r="A338" s="43" t="str">
        <f t="shared" si="5"/>
        <v>6/0.699-0.798</v>
      </c>
      <c r="B338" s="47">
        <v>6</v>
      </c>
      <c r="C338" s="47" t="s">
        <v>620</v>
      </c>
      <c r="D338" s="47" t="s">
        <v>649</v>
      </c>
      <c r="E338" s="47">
        <v>650</v>
      </c>
      <c r="F338" s="47">
        <v>650</v>
      </c>
      <c r="G338" s="47">
        <v>585</v>
      </c>
    </row>
    <row r="339" spans="1:7" ht="12.75" x14ac:dyDescent="0.2">
      <c r="A339" s="43" t="str">
        <f t="shared" si="5"/>
        <v>7/0.699-0.798</v>
      </c>
      <c r="B339" s="47">
        <v>7</v>
      </c>
      <c r="C339" s="47" t="s">
        <v>620</v>
      </c>
      <c r="D339" s="47" t="s">
        <v>650</v>
      </c>
      <c r="E339" s="47">
        <v>450</v>
      </c>
      <c r="F339" s="47">
        <v>450</v>
      </c>
      <c r="G339" s="47">
        <v>405</v>
      </c>
    </row>
    <row r="340" spans="1:7" ht="12.75" x14ac:dyDescent="0.2">
      <c r="A340" s="43" t="str">
        <f t="shared" si="5"/>
        <v>8/0.699-0.798</v>
      </c>
      <c r="B340" s="47">
        <v>8</v>
      </c>
      <c r="C340" s="47" t="s">
        <v>620</v>
      </c>
      <c r="D340" s="47" t="s">
        <v>651</v>
      </c>
      <c r="E340" s="47">
        <v>300</v>
      </c>
      <c r="F340" s="47">
        <v>300</v>
      </c>
      <c r="G340" s="47">
        <v>270</v>
      </c>
    </row>
    <row r="341" spans="1:7" ht="12.75" x14ac:dyDescent="0.2">
      <c r="A341" s="43" t="str">
        <f t="shared" si="5"/>
        <v>NATTS-1/0.699-0.798</v>
      </c>
      <c r="B341" s="47" t="s">
        <v>408</v>
      </c>
      <c r="C341" s="47" t="s">
        <v>620</v>
      </c>
      <c r="D341" s="47" t="s">
        <v>652</v>
      </c>
      <c r="E341" s="47">
        <v>975</v>
      </c>
      <c r="F341" s="47">
        <v>900</v>
      </c>
      <c r="G341" s="47">
        <v>810</v>
      </c>
    </row>
    <row r="342" spans="1:7" ht="12.75" x14ac:dyDescent="0.2">
      <c r="A342" s="43" t="str">
        <f t="shared" si="5"/>
        <v>NATTS-2/0.699-0.798</v>
      </c>
      <c r="B342" s="47" t="s">
        <v>410</v>
      </c>
      <c r="C342" s="47" t="s">
        <v>620</v>
      </c>
      <c r="D342" s="47" t="s">
        <v>653</v>
      </c>
      <c r="E342" s="47">
        <v>650</v>
      </c>
      <c r="F342" s="47">
        <v>650</v>
      </c>
      <c r="G342" s="47">
        <v>585</v>
      </c>
    </row>
    <row r="343" spans="1:7" ht="12.75" x14ac:dyDescent="0.2">
      <c r="A343" s="43" t="str">
        <f t="shared" si="5"/>
        <v>BROWN/0.699-0.798</v>
      </c>
      <c r="B343" s="47" t="s">
        <v>412</v>
      </c>
      <c r="C343" s="47" t="s">
        <v>620</v>
      </c>
      <c r="D343" s="47" t="s">
        <v>413</v>
      </c>
      <c r="E343" s="47">
        <v>1000</v>
      </c>
      <c r="F343" s="47">
        <v>1000</v>
      </c>
      <c r="G343" s="47">
        <v>900</v>
      </c>
    </row>
    <row r="344" spans="1:7" ht="12.75" x14ac:dyDescent="0.2">
      <c r="A344" s="43" t="str">
        <f t="shared" si="5"/>
        <v>DF/VVS/0.799-0.898</v>
      </c>
      <c r="B344" s="47" t="s">
        <v>349</v>
      </c>
      <c r="C344" s="47" t="s">
        <v>654</v>
      </c>
      <c r="D344" s="47" t="s">
        <v>655</v>
      </c>
      <c r="E344" s="47">
        <v>3350</v>
      </c>
      <c r="F344" s="47">
        <v>3250</v>
      </c>
      <c r="G344" s="47">
        <v>2925</v>
      </c>
    </row>
    <row r="345" spans="1:7" ht="12.75" x14ac:dyDescent="0.2">
      <c r="A345" s="43" t="str">
        <f t="shared" si="5"/>
        <v>DF/VS1/0.799-0.898</v>
      </c>
      <c r="B345" s="47" t="s">
        <v>352</v>
      </c>
      <c r="C345" s="47" t="s">
        <v>654</v>
      </c>
      <c r="D345" s="47" t="s">
        <v>656</v>
      </c>
      <c r="E345" s="47">
        <v>3125</v>
      </c>
      <c r="F345" s="47">
        <v>3000</v>
      </c>
      <c r="G345" s="47">
        <v>2700</v>
      </c>
    </row>
    <row r="346" spans="1:7" ht="12.75" x14ac:dyDescent="0.2">
      <c r="A346" s="43" t="str">
        <f t="shared" si="5"/>
        <v>DF/VS2/0.799-0.898</v>
      </c>
      <c r="B346" s="47" t="s">
        <v>354</v>
      </c>
      <c r="C346" s="47" t="s">
        <v>654</v>
      </c>
      <c r="D346" s="47" t="s">
        <v>657</v>
      </c>
      <c r="E346" s="47">
        <v>2900</v>
      </c>
      <c r="F346" s="47">
        <v>2850</v>
      </c>
      <c r="G346" s="47">
        <v>2565</v>
      </c>
    </row>
    <row r="347" spans="1:7" ht="12.75" x14ac:dyDescent="0.2">
      <c r="A347" s="43" t="str">
        <f t="shared" si="5"/>
        <v>GH/VVS/0.799-0.898</v>
      </c>
      <c r="B347" s="47" t="s">
        <v>356</v>
      </c>
      <c r="C347" s="47" t="s">
        <v>654</v>
      </c>
      <c r="D347" s="47" t="s">
        <v>658</v>
      </c>
      <c r="E347" s="47">
        <v>2950</v>
      </c>
      <c r="F347" s="47">
        <v>2900</v>
      </c>
      <c r="G347" s="47">
        <v>2610</v>
      </c>
    </row>
    <row r="348" spans="1:7" ht="12.75" x14ac:dyDescent="0.2">
      <c r="A348" s="43" t="str">
        <f t="shared" si="5"/>
        <v>GH/VS1/0.799-0.898</v>
      </c>
      <c r="B348" s="47" t="s">
        <v>358</v>
      </c>
      <c r="C348" s="47" t="s">
        <v>654</v>
      </c>
      <c r="D348" s="47" t="s">
        <v>659</v>
      </c>
      <c r="E348" s="47">
        <v>2775</v>
      </c>
      <c r="F348" s="47">
        <v>2725</v>
      </c>
      <c r="G348" s="47">
        <v>2450</v>
      </c>
    </row>
    <row r="349" spans="1:7" ht="12.75" x14ac:dyDescent="0.2">
      <c r="A349" s="43" t="str">
        <f t="shared" si="5"/>
        <v>GH/VS2/0.799-0.898</v>
      </c>
      <c r="B349" s="47" t="s">
        <v>360</v>
      </c>
      <c r="C349" s="47" t="s">
        <v>654</v>
      </c>
      <c r="D349" s="47" t="s">
        <v>660</v>
      </c>
      <c r="E349" s="47">
        <v>2675</v>
      </c>
      <c r="F349" s="47">
        <v>2575</v>
      </c>
      <c r="G349" s="47">
        <v>2315</v>
      </c>
    </row>
    <row r="350" spans="1:7" ht="12.75" x14ac:dyDescent="0.2">
      <c r="A350" s="43" t="str">
        <f t="shared" si="5"/>
        <v>IJ/VVS/0.799-0.898</v>
      </c>
      <c r="B350" s="47" t="s">
        <v>362</v>
      </c>
      <c r="C350" s="47" t="s">
        <v>654</v>
      </c>
      <c r="D350" s="47" t="s">
        <v>661</v>
      </c>
      <c r="E350" s="47">
        <v>2625</v>
      </c>
      <c r="F350" s="47">
        <v>2560</v>
      </c>
      <c r="G350" s="47">
        <v>2304</v>
      </c>
    </row>
    <row r="351" spans="1:7" ht="12.75" x14ac:dyDescent="0.2">
      <c r="A351" s="43" t="str">
        <f t="shared" si="5"/>
        <v>IJ/VS1/0.799-0.898</v>
      </c>
      <c r="B351" s="47" t="s">
        <v>364</v>
      </c>
      <c r="C351" s="47" t="s">
        <v>654</v>
      </c>
      <c r="D351" s="47" t="s">
        <v>662</v>
      </c>
      <c r="E351" s="47">
        <v>2500</v>
      </c>
      <c r="F351" s="47">
        <v>2450</v>
      </c>
      <c r="G351" s="47">
        <v>2205</v>
      </c>
    </row>
    <row r="352" spans="1:7" ht="12.75" x14ac:dyDescent="0.2">
      <c r="A352" s="43" t="str">
        <f t="shared" si="5"/>
        <v>IJ/VS2/0.799-0.898</v>
      </c>
      <c r="B352" s="47" t="s">
        <v>366</v>
      </c>
      <c r="C352" s="47" t="s">
        <v>654</v>
      </c>
      <c r="D352" s="47" t="s">
        <v>663</v>
      </c>
      <c r="E352" s="47">
        <v>2400</v>
      </c>
      <c r="F352" s="47">
        <v>2335</v>
      </c>
      <c r="G352" s="47">
        <v>2100</v>
      </c>
    </row>
    <row r="353" spans="1:7" ht="12.75" x14ac:dyDescent="0.2">
      <c r="A353" s="43" t="str">
        <f t="shared" si="5"/>
        <v>DG/SI1/0.799-0.898</v>
      </c>
      <c r="B353" s="47" t="s">
        <v>368</v>
      </c>
      <c r="C353" s="47" t="s">
        <v>654</v>
      </c>
      <c r="D353" s="47" t="s">
        <v>664</v>
      </c>
      <c r="E353" s="47">
        <v>2625</v>
      </c>
      <c r="F353" s="47">
        <v>2550</v>
      </c>
      <c r="G353" s="47">
        <v>2295</v>
      </c>
    </row>
    <row r="354" spans="1:7" ht="12.75" x14ac:dyDescent="0.2">
      <c r="A354" s="43" t="str">
        <f t="shared" si="5"/>
        <v>DG/SI2/0.799-0.898</v>
      </c>
      <c r="B354" s="47" t="s">
        <v>370</v>
      </c>
      <c r="C354" s="47" t="s">
        <v>654</v>
      </c>
      <c r="D354" s="47" t="s">
        <v>665</v>
      </c>
      <c r="E354" s="47">
        <v>2225</v>
      </c>
      <c r="F354" s="47">
        <v>2175</v>
      </c>
      <c r="G354" s="47">
        <v>1950</v>
      </c>
    </row>
    <row r="355" spans="1:7" ht="12.75" x14ac:dyDescent="0.2">
      <c r="A355" s="43" t="str">
        <f t="shared" si="5"/>
        <v>DG/SI3/0.799-0.898</v>
      </c>
      <c r="B355" s="47" t="s">
        <v>372</v>
      </c>
      <c r="C355" s="47" t="s">
        <v>654</v>
      </c>
      <c r="D355" s="47" t="s">
        <v>666</v>
      </c>
      <c r="E355" s="47">
        <v>1950</v>
      </c>
      <c r="F355" s="47">
        <v>1900</v>
      </c>
      <c r="G355" s="47">
        <v>1710</v>
      </c>
    </row>
    <row r="356" spans="1:7" ht="12.75" x14ac:dyDescent="0.2">
      <c r="A356" s="43" t="str">
        <f t="shared" si="5"/>
        <v>HIJ/SI1/0.799-0.898</v>
      </c>
      <c r="B356" s="47" t="s">
        <v>374</v>
      </c>
      <c r="C356" s="47" t="s">
        <v>654</v>
      </c>
      <c r="D356" s="47" t="s">
        <v>667</v>
      </c>
      <c r="E356" s="47">
        <v>2275</v>
      </c>
      <c r="F356" s="47">
        <v>2225</v>
      </c>
      <c r="G356" s="47">
        <v>2000</v>
      </c>
    </row>
    <row r="357" spans="1:7" ht="12.75" x14ac:dyDescent="0.2">
      <c r="A357" s="43" t="str">
        <f t="shared" si="5"/>
        <v>HIJ/SI2/0.799-0.898</v>
      </c>
      <c r="B357" s="47" t="s">
        <v>376</v>
      </c>
      <c r="C357" s="47" t="s">
        <v>654</v>
      </c>
      <c r="D357" s="47" t="s">
        <v>668</v>
      </c>
      <c r="E357" s="47">
        <v>1950</v>
      </c>
      <c r="F357" s="47">
        <v>1900</v>
      </c>
      <c r="G357" s="47">
        <v>1710</v>
      </c>
    </row>
    <row r="358" spans="1:7" ht="12.75" x14ac:dyDescent="0.2">
      <c r="A358" s="43" t="str">
        <f t="shared" si="5"/>
        <v>HIJ/SI3/0.799-0.898</v>
      </c>
      <c r="B358" s="47" t="s">
        <v>378</v>
      </c>
      <c r="C358" s="47" t="s">
        <v>654</v>
      </c>
      <c r="D358" s="47" t="s">
        <v>669</v>
      </c>
      <c r="E358" s="47">
        <v>1725</v>
      </c>
      <c r="F358" s="47">
        <v>1675</v>
      </c>
      <c r="G358" s="47">
        <v>1505</v>
      </c>
    </row>
    <row r="359" spans="1:7" ht="12.75" x14ac:dyDescent="0.2">
      <c r="A359" s="43" t="str">
        <f t="shared" si="5"/>
        <v>KL/VVS-VS1/0.799-0.898</v>
      </c>
      <c r="B359" s="47" t="s">
        <v>380</v>
      </c>
      <c r="C359" s="47" t="s">
        <v>654</v>
      </c>
      <c r="D359" s="47" t="s">
        <v>670</v>
      </c>
      <c r="E359" s="47">
        <v>1600</v>
      </c>
      <c r="F359" s="47">
        <v>1600</v>
      </c>
      <c r="G359" s="47">
        <v>1440</v>
      </c>
    </row>
    <row r="360" spans="1:7" ht="12.75" x14ac:dyDescent="0.2">
      <c r="A360" s="43" t="str">
        <f t="shared" si="5"/>
        <v>MN/VVS-VS1/0.799-0.898</v>
      </c>
      <c r="B360" s="47" t="s">
        <v>382</v>
      </c>
      <c r="C360" s="47" t="s">
        <v>654</v>
      </c>
      <c r="D360" s="47" t="s">
        <v>671</v>
      </c>
      <c r="E360" s="47">
        <v>1350</v>
      </c>
      <c r="F360" s="47">
        <v>1350</v>
      </c>
      <c r="G360" s="47">
        <v>1215</v>
      </c>
    </row>
    <row r="361" spans="1:7" ht="12.75" x14ac:dyDescent="0.2">
      <c r="A361" s="43" t="str">
        <f t="shared" si="5"/>
        <v>O-/IF-VS1/0.799-0.898</v>
      </c>
      <c r="B361" s="47" t="s">
        <v>384</v>
      </c>
      <c r="C361" s="47" t="s">
        <v>654</v>
      </c>
      <c r="D361" s="47" t="s">
        <v>672</v>
      </c>
      <c r="E361" s="47">
        <v>1175</v>
      </c>
      <c r="F361" s="47">
        <v>1175</v>
      </c>
      <c r="G361" s="47">
        <v>1050</v>
      </c>
    </row>
    <row r="362" spans="1:7" ht="12.75" x14ac:dyDescent="0.2">
      <c r="A362" s="43" t="str">
        <f t="shared" si="5"/>
        <v>KL/VS2-SI1/0.799-0.898</v>
      </c>
      <c r="B362" s="47" t="s">
        <v>386</v>
      </c>
      <c r="C362" s="47" t="s">
        <v>654</v>
      </c>
      <c r="D362" s="47" t="s">
        <v>673</v>
      </c>
      <c r="E362" s="47">
        <v>1400</v>
      </c>
      <c r="F362" s="47">
        <v>1400</v>
      </c>
      <c r="G362" s="47">
        <v>1260</v>
      </c>
    </row>
    <row r="363" spans="1:7" ht="12.75" x14ac:dyDescent="0.2">
      <c r="A363" s="43" t="str">
        <f t="shared" si="5"/>
        <v>MN/VS2-SI1/0.799-0.898</v>
      </c>
      <c r="B363" s="47" t="s">
        <v>388</v>
      </c>
      <c r="C363" s="47" t="s">
        <v>654</v>
      </c>
      <c r="D363" s="47" t="s">
        <v>674</v>
      </c>
      <c r="E363" s="47">
        <v>1175</v>
      </c>
      <c r="F363" s="47">
        <v>1175</v>
      </c>
      <c r="G363" s="47">
        <v>1050</v>
      </c>
    </row>
    <row r="364" spans="1:7" ht="12.75" x14ac:dyDescent="0.2">
      <c r="A364" s="43" t="str">
        <f t="shared" si="5"/>
        <v>O-/VS2-SI1/0.799-0.898</v>
      </c>
      <c r="B364" s="47" t="s">
        <v>390</v>
      </c>
      <c r="C364" s="47" t="s">
        <v>654</v>
      </c>
      <c r="D364" s="47" t="s">
        <v>675</v>
      </c>
      <c r="E364" s="47">
        <v>1000</v>
      </c>
      <c r="F364" s="47">
        <v>1000</v>
      </c>
      <c r="G364" s="47">
        <v>900</v>
      </c>
    </row>
    <row r="365" spans="1:7" ht="12.75" x14ac:dyDescent="0.2">
      <c r="A365" s="43" t="str">
        <f t="shared" si="5"/>
        <v>KL/SI2-SI3/0.799-0.898</v>
      </c>
      <c r="B365" s="47" t="s">
        <v>392</v>
      </c>
      <c r="C365" s="47" t="s">
        <v>654</v>
      </c>
      <c r="D365" s="47" t="s">
        <v>676</v>
      </c>
      <c r="E365" s="47">
        <v>1175</v>
      </c>
      <c r="F365" s="47">
        <v>1175</v>
      </c>
      <c r="G365" s="47">
        <v>1050</v>
      </c>
    </row>
    <row r="366" spans="1:7" ht="12.75" x14ac:dyDescent="0.2">
      <c r="A366" s="43" t="str">
        <f t="shared" si="5"/>
        <v>MN/SI2-SI3/0.799-0.898</v>
      </c>
      <c r="B366" s="47" t="s">
        <v>394</v>
      </c>
      <c r="C366" s="47" t="s">
        <v>654</v>
      </c>
      <c r="D366" s="47" t="s">
        <v>677</v>
      </c>
      <c r="E366" s="47">
        <v>1000</v>
      </c>
      <c r="F366" s="47">
        <v>1000</v>
      </c>
      <c r="G366" s="47">
        <v>900</v>
      </c>
    </row>
    <row r="367" spans="1:7" ht="12.75" x14ac:dyDescent="0.2">
      <c r="A367" s="43" t="str">
        <f t="shared" si="5"/>
        <v>O-/SI2-SI3/0.799-0.898</v>
      </c>
      <c r="B367" s="47" t="s">
        <v>396</v>
      </c>
      <c r="C367" s="47" t="s">
        <v>654</v>
      </c>
      <c r="D367" s="47" t="s">
        <v>678</v>
      </c>
      <c r="E367" s="47">
        <v>900</v>
      </c>
      <c r="F367" s="47">
        <v>900</v>
      </c>
      <c r="G367" s="47">
        <v>810</v>
      </c>
    </row>
    <row r="368" spans="1:7" ht="12.75" x14ac:dyDescent="0.2">
      <c r="A368" s="43" t="str">
        <f t="shared" si="5"/>
        <v>K-/I1-I3/0.799-0.898</v>
      </c>
      <c r="B368" s="47" t="s">
        <v>398</v>
      </c>
      <c r="C368" s="47" t="s">
        <v>654</v>
      </c>
      <c r="D368" s="47" t="s">
        <v>679</v>
      </c>
      <c r="E368" s="47">
        <v>775</v>
      </c>
      <c r="F368" s="47">
        <v>775</v>
      </c>
      <c r="G368" s="47">
        <v>695</v>
      </c>
    </row>
    <row r="369" spans="1:7" ht="12.75" x14ac:dyDescent="0.2">
      <c r="A369" s="43" t="str">
        <f t="shared" si="5"/>
        <v>4A/0.799-0.898</v>
      </c>
      <c r="B369" s="47" t="s">
        <v>400</v>
      </c>
      <c r="C369" s="47" t="s">
        <v>654</v>
      </c>
      <c r="D369" s="47" t="s">
        <v>680</v>
      </c>
      <c r="E369" s="47">
        <v>1750</v>
      </c>
      <c r="F369" s="47">
        <v>1650</v>
      </c>
      <c r="G369" s="47">
        <v>1485</v>
      </c>
    </row>
    <row r="370" spans="1:7" ht="12.75" x14ac:dyDescent="0.2">
      <c r="A370" s="43" t="str">
        <f t="shared" si="5"/>
        <v>4B/0.799-0.898</v>
      </c>
      <c r="B370" s="47" t="s">
        <v>402</v>
      </c>
      <c r="C370" s="47" t="s">
        <v>654</v>
      </c>
      <c r="D370" s="47" t="s">
        <v>681</v>
      </c>
      <c r="E370" s="47">
        <v>1550</v>
      </c>
      <c r="F370" s="47">
        <v>1400</v>
      </c>
      <c r="G370" s="47">
        <v>1260</v>
      </c>
    </row>
    <row r="371" spans="1:7" ht="12.75" x14ac:dyDescent="0.2">
      <c r="A371" s="43" t="str">
        <f t="shared" si="5"/>
        <v>5/0.799-0.898</v>
      </c>
      <c r="B371" s="47">
        <v>5</v>
      </c>
      <c r="C371" s="47" t="s">
        <v>654</v>
      </c>
      <c r="D371" s="47" t="s">
        <v>682</v>
      </c>
      <c r="E371" s="47">
        <v>1100</v>
      </c>
      <c r="F371" s="47">
        <v>1000</v>
      </c>
      <c r="G371" s="47">
        <v>900</v>
      </c>
    </row>
    <row r="372" spans="1:7" ht="12.75" x14ac:dyDescent="0.2">
      <c r="A372" s="43" t="str">
        <f t="shared" si="5"/>
        <v>6/0.799-0.898</v>
      </c>
      <c r="B372" s="47">
        <v>6</v>
      </c>
      <c r="C372" s="47" t="s">
        <v>654</v>
      </c>
      <c r="D372" s="47" t="s">
        <v>683</v>
      </c>
      <c r="E372" s="47">
        <v>700</v>
      </c>
      <c r="F372" s="47">
        <v>700</v>
      </c>
      <c r="G372" s="47">
        <v>630</v>
      </c>
    </row>
    <row r="373" spans="1:7" ht="12.75" x14ac:dyDescent="0.2">
      <c r="A373" s="43" t="str">
        <f t="shared" si="5"/>
        <v>7/0.799-0.898</v>
      </c>
      <c r="B373" s="47">
        <v>7</v>
      </c>
      <c r="C373" s="47" t="s">
        <v>654</v>
      </c>
      <c r="D373" s="47" t="s">
        <v>684</v>
      </c>
      <c r="E373" s="47">
        <v>500</v>
      </c>
      <c r="F373" s="47">
        <v>500</v>
      </c>
      <c r="G373" s="47">
        <v>450</v>
      </c>
    </row>
    <row r="374" spans="1:7" ht="12.75" x14ac:dyDescent="0.2">
      <c r="A374" s="43" t="str">
        <f t="shared" si="5"/>
        <v>8/0.799-0.898</v>
      </c>
      <c r="B374" s="47">
        <v>8</v>
      </c>
      <c r="C374" s="47" t="s">
        <v>654</v>
      </c>
      <c r="D374" s="47" t="s">
        <v>685</v>
      </c>
      <c r="E374" s="47">
        <v>350</v>
      </c>
      <c r="F374" s="47">
        <v>350</v>
      </c>
      <c r="G374" s="47">
        <v>315</v>
      </c>
    </row>
    <row r="375" spans="1:7" ht="12.75" x14ac:dyDescent="0.2">
      <c r="A375" s="43" t="str">
        <f t="shared" si="5"/>
        <v>NATTS-1/0.799-0.898</v>
      </c>
      <c r="B375" s="47" t="s">
        <v>408</v>
      </c>
      <c r="C375" s="47" t="s">
        <v>654</v>
      </c>
      <c r="D375" s="47" t="s">
        <v>686</v>
      </c>
      <c r="E375" s="47">
        <v>1100</v>
      </c>
      <c r="F375" s="47">
        <v>1000</v>
      </c>
      <c r="G375" s="47">
        <v>900</v>
      </c>
    </row>
    <row r="376" spans="1:7" ht="12.75" x14ac:dyDescent="0.2">
      <c r="A376" s="43" t="str">
        <f t="shared" si="5"/>
        <v>NATTS-2/0.799-0.898</v>
      </c>
      <c r="B376" s="47" t="s">
        <v>410</v>
      </c>
      <c r="C376" s="47" t="s">
        <v>654</v>
      </c>
      <c r="D376" s="47" t="s">
        <v>687</v>
      </c>
      <c r="E376" s="47">
        <v>700</v>
      </c>
      <c r="F376" s="47">
        <v>700</v>
      </c>
      <c r="G376" s="47">
        <v>630</v>
      </c>
    </row>
    <row r="377" spans="1:7" ht="12.75" x14ac:dyDescent="0.2">
      <c r="A377" s="43" t="str">
        <f t="shared" si="5"/>
        <v>BROWN/0.799-0.898</v>
      </c>
      <c r="B377" s="47" t="s">
        <v>412</v>
      </c>
      <c r="C377" s="47" t="s">
        <v>654</v>
      </c>
      <c r="D377" s="47" t="s">
        <v>413</v>
      </c>
      <c r="E377" s="47">
        <v>1100</v>
      </c>
      <c r="F377" s="47">
        <v>1100</v>
      </c>
      <c r="G377" s="47">
        <v>990</v>
      </c>
    </row>
    <row r="378" spans="1:7" ht="12.75" x14ac:dyDescent="0.2">
      <c r="A378" s="43" t="str">
        <f t="shared" si="5"/>
        <v>DF/VVS/0.899-0.998</v>
      </c>
      <c r="B378" s="47" t="s">
        <v>349</v>
      </c>
      <c r="C378" s="47" t="s">
        <v>688</v>
      </c>
      <c r="D378" s="47" t="s">
        <v>689</v>
      </c>
      <c r="E378" s="47">
        <v>4200</v>
      </c>
      <c r="F378" s="47">
        <v>4000</v>
      </c>
      <c r="G378" s="47">
        <v>3600</v>
      </c>
    </row>
    <row r="379" spans="1:7" ht="12.75" x14ac:dyDescent="0.2">
      <c r="A379" s="43" t="str">
        <f t="shared" si="5"/>
        <v>DF/VS1/0.899-0.998</v>
      </c>
      <c r="B379" s="47" t="s">
        <v>352</v>
      </c>
      <c r="C379" s="47" t="s">
        <v>688</v>
      </c>
      <c r="D379" s="47" t="s">
        <v>690</v>
      </c>
      <c r="E379" s="47">
        <v>3725</v>
      </c>
      <c r="F379" s="47">
        <v>3550</v>
      </c>
      <c r="G379" s="47">
        <v>3195</v>
      </c>
    </row>
    <row r="380" spans="1:7" ht="12.75" x14ac:dyDescent="0.2">
      <c r="A380" s="43" t="str">
        <f t="shared" si="5"/>
        <v>DF/VS2/0.899-0.998</v>
      </c>
      <c r="B380" s="47" t="s">
        <v>354</v>
      </c>
      <c r="C380" s="47" t="s">
        <v>688</v>
      </c>
      <c r="D380" s="47" t="s">
        <v>691</v>
      </c>
      <c r="E380" s="47">
        <v>3450</v>
      </c>
      <c r="F380" s="47">
        <v>3300</v>
      </c>
      <c r="G380" s="47">
        <v>2970</v>
      </c>
    </row>
    <row r="381" spans="1:7" ht="12.75" x14ac:dyDescent="0.2">
      <c r="A381" s="43" t="str">
        <f t="shared" si="5"/>
        <v>GH/VVS/0.899-0.998</v>
      </c>
      <c r="B381" s="47" t="s">
        <v>356</v>
      </c>
      <c r="C381" s="47" t="s">
        <v>688</v>
      </c>
      <c r="D381" s="47" t="s">
        <v>692</v>
      </c>
      <c r="E381" s="47">
        <v>3775</v>
      </c>
      <c r="F381" s="47">
        <v>3600</v>
      </c>
      <c r="G381" s="47">
        <v>3240</v>
      </c>
    </row>
    <row r="382" spans="1:7" ht="12.75" x14ac:dyDescent="0.2">
      <c r="A382" s="43" t="str">
        <f t="shared" si="5"/>
        <v>GH/VS1/0.899-0.998</v>
      </c>
      <c r="B382" s="47" t="s">
        <v>358</v>
      </c>
      <c r="C382" s="47" t="s">
        <v>688</v>
      </c>
      <c r="D382" s="47" t="s">
        <v>693</v>
      </c>
      <c r="E382" s="47">
        <v>3500</v>
      </c>
      <c r="F382" s="47">
        <v>3325</v>
      </c>
      <c r="G382" s="47">
        <v>2990</v>
      </c>
    </row>
    <row r="383" spans="1:7" ht="12.75" x14ac:dyDescent="0.2">
      <c r="A383" s="43" t="str">
        <f t="shared" si="5"/>
        <v>GH/VS2/0.899-0.998</v>
      </c>
      <c r="B383" s="47" t="s">
        <v>360</v>
      </c>
      <c r="C383" s="47" t="s">
        <v>688</v>
      </c>
      <c r="D383" s="47" t="s">
        <v>694</v>
      </c>
      <c r="E383" s="47">
        <v>3350</v>
      </c>
      <c r="F383" s="47">
        <v>3185</v>
      </c>
      <c r="G383" s="47">
        <v>2865</v>
      </c>
    </row>
    <row r="384" spans="1:7" ht="12.75" x14ac:dyDescent="0.2">
      <c r="A384" s="43" t="str">
        <f t="shared" si="5"/>
        <v>IJ/VVS/0.899-0.998</v>
      </c>
      <c r="B384" s="47" t="s">
        <v>362</v>
      </c>
      <c r="C384" s="47" t="s">
        <v>688</v>
      </c>
      <c r="D384" s="47" t="s">
        <v>695</v>
      </c>
      <c r="E384" s="47">
        <v>3150</v>
      </c>
      <c r="F384" s="47">
        <v>3000</v>
      </c>
      <c r="G384" s="47">
        <v>2700</v>
      </c>
    </row>
    <row r="385" spans="1:7" ht="12.75" x14ac:dyDescent="0.2">
      <c r="A385" s="43" t="str">
        <f t="shared" si="5"/>
        <v>IJ/VS1/0.899-0.998</v>
      </c>
      <c r="B385" s="47" t="s">
        <v>364</v>
      </c>
      <c r="C385" s="47" t="s">
        <v>688</v>
      </c>
      <c r="D385" s="47" t="s">
        <v>696</v>
      </c>
      <c r="E385" s="47">
        <v>3050</v>
      </c>
      <c r="F385" s="47">
        <v>2900</v>
      </c>
      <c r="G385" s="47">
        <v>2610</v>
      </c>
    </row>
    <row r="386" spans="1:7" ht="12.75" x14ac:dyDescent="0.2">
      <c r="A386" s="43" t="str">
        <f t="shared" si="5"/>
        <v>IJ/VS2/0.899-0.998</v>
      </c>
      <c r="B386" s="47" t="s">
        <v>366</v>
      </c>
      <c r="C386" s="47" t="s">
        <v>688</v>
      </c>
      <c r="D386" s="47" t="s">
        <v>697</v>
      </c>
      <c r="E386" s="47">
        <v>2925</v>
      </c>
      <c r="F386" s="47">
        <v>2800</v>
      </c>
      <c r="G386" s="47">
        <v>2520</v>
      </c>
    </row>
    <row r="387" spans="1:7" ht="12.75" x14ac:dyDescent="0.2">
      <c r="A387" s="43" t="str">
        <f t="shared" si="5"/>
        <v>DG/SI1/0.899-0.998</v>
      </c>
      <c r="B387" s="47" t="s">
        <v>368</v>
      </c>
      <c r="C387" s="47" t="s">
        <v>688</v>
      </c>
      <c r="D387" s="47" t="s">
        <v>698</v>
      </c>
      <c r="E387" s="47">
        <v>3250</v>
      </c>
      <c r="F387" s="47">
        <v>3100</v>
      </c>
      <c r="G387" s="47">
        <v>2790</v>
      </c>
    </row>
    <row r="388" spans="1:7" ht="12.75" x14ac:dyDescent="0.2">
      <c r="A388" s="43" t="str">
        <f t="shared" si="5"/>
        <v>DG/SI2/0.899-0.998</v>
      </c>
      <c r="B388" s="47" t="s">
        <v>370</v>
      </c>
      <c r="C388" s="47" t="s">
        <v>688</v>
      </c>
      <c r="D388" s="47" t="s">
        <v>699</v>
      </c>
      <c r="E388" s="47">
        <v>2925</v>
      </c>
      <c r="F388" s="47">
        <v>2800</v>
      </c>
      <c r="G388" s="47">
        <v>2520</v>
      </c>
    </row>
    <row r="389" spans="1:7" ht="12.75" x14ac:dyDescent="0.2">
      <c r="A389" s="43" t="str">
        <f t="shared" si="5"/>
        <v>DG/SI3/0.899-0.998</v>
      </c>
      <c r="B389" s="47" t="s">
        <v>372</v>
      </c>
      <c r="C389" s="47" t="s">
        <v>688</v>
      </c>
      <c r="D389" s="47" t="s">
        <v>700</v>
      </c>
      <c r="E389" s="47">
        <v>2675</v>
      </c>
      <c r="F389" s="47">
        <v>2550</v>
      </c>
      <c r="G389" s="47">
        <v>2295</v>
      </c>
    </row>
    <row r="390" spans="1:7" ht="12.75" x14ac:dyDescent="0.2">
      <c r="A390" s="43" t="str">
        <f t="shared" si="5"/>
        <v>HIJ/SI1/0.899-0.998</v>
      </c>
      <c r="B390" s="47" t="s">
        <v>374</v>
      </c>
      <c r="C390" s="47" t="s">
        <v>688</v>
      </c>
      <c r="D390" s="47" t="s">
        <v>701</v>
      </c>
      <c r="E390" s="47">
        <v>2825</v>
      </c>
      <c r="F390" s="47">
        <v>2700</v>
      </c>
      <c r="G390" s="47">
        <v>2430</v>
      </c>
    </row>
    <row r="391" spans="1:7" ht="12.75" x14ac:dyDescent="0.2">
      <c r="A391" s="43" t="str">
        <f t="shared" si="5"/>
        <v>HIJ/SI2/0.899-0.998</v>
      </c>
      <c r="B391" s="47" t="s">
        <v>376</v>
      </c>
      <c r="C391" s="47" t="s">
        <v>688</v>
      </c>
      <c r="D391" s="47" t="s">
        <v>702</v>
      </c>
      <c r="E391" s="47">
        <v>2575</v>
      </c>
      <c r="F391" s="47">
        <v>2450</v>
      </c>
      <c r="G391" s="47">
        <v>2205</v>
      </c>
    </row>
    <row r="392" spans="1:7" ht="12.75" x14ac:dyDescent="0.2">
      <c r="A392" s="43" t="str">
        <f t="shared" si="5"/>
        <v>HIJ/SI3/0.899-0.998</v>
      </c>
      <c r="B392" s="47" t="s">
        <v>378</v>
      </c>
      <c r="C392" s="47" t="s">
        <v>688</v>
      </c>
      <c r="D392" s="47" t="s">
        <v>703</v>
      </c>
      <c r="E392" s="47">
        <v>2200</v>
      </c>
      <c r="F392" s="47">
        <v>2100</v>
      </c>
      <c r="G392" s="47">
        <v>1890</v>
      </c>
    </row>
    <row r="393" spans="1:7" ht="12.75" x14ac:dyDescent="0.2">
      <c r="A393" s="43" t="str">
        <f t="shared" si="5"/>
        <v>KL/VVS-VS1/0.899-0.998</v>
      </c>
      <c r="B393" s="47" t="s">
        <v>380</v>
      </c>
      <c r="C393" s="47" t="s">
        <v>688</v>
      </c>
      <c r="D393" s="47" t="s">
        <v>704</v>
      </c>
      <c r="E393" s="47">
        <v>1800</v>
      </c>
      <c r="F393" s="47">
        <v>1800</v>
      </c>
      <c r="G393" s="47">
        <v>1620</v>
      </c>
    </row>
    <row r="394" spans="1:7" ht="12.75" x14ac:dyDescent="0.2">
      <c r="A394" s="43" t="str">
        <f t="shared" si="5"/>
        <v>MN/VVS-VS1/0.899-0.998</v>
      </c>
      <c r="B394" s="47" t="s">
        <v>382</v>
      </c>
      <c r="C394" s="47" t="s">
        <v>688</v>
      </c>
      <c r="D394" s="47" t="s">
        <v>705</v>
      </c>
      <c r="E394" s="47">
        <v>1600</v>
      </c>
      <c r="F394" s="47">
        <v>1600</v>
      </c>
      <c r="G394" s="47">
        <v>1440</v>
      </c>
    </row>
    <row r="395" spans="1:7" ht="12.75" x14ac:dyDescent="0.2">
      <c r="A395" s="43" t="str">
        <f t="shared" si="5"/>
        <v>O-/IF-VS1/0.899-0.998</v>
      </c>
      <c r="B395" s="47" t="s">
        <v>384</v>
      </c>
      <c r="C395" s="47" t="s">
        <v>688</v>
      </c>
      <c r="D395" s="47" t="s">
        <v>706</v>
      </c>
      <c r="E395" s="47">
        <v>1400</v>
      </c>
      <c r="F395" s="47">
        <v>1400</v>
      </c>
      <c r="G395" s="47">
        <v>1260</v>
      </c>
    </row>
    <row r="396" spans="1:7" ht="12.75" x14ac:dyDescent="0.2">
      <c r="A396" s="43" t="str">
        <f t="shared" si="5"/>
        <v>KL/VS2-SI1/0.899-0.998</v>
      </c>
      <c r="B396" s="47" t="s">
        <v>386</v>
      </c>
      <c r="C396" s="47" t="s">
        <v>688</v>
      </c>
      <c r="D396" s="47" t="s">
        <v>707</v>
      </c>
      <c r="E396" s="47">
        <v>1600</v>
      </c>
      <c r="F396" s="47">
        <v>1600</v>
      </c>
      <c r="G396" s="47">
        <v>1440</v>
      </c>
    </row>
    <row r="397" spans="1:7" ht="12.75" x14ac:dyDescent="0.2">
      <c r="A397" s="43" t="str">
        <f t="shared" ref="A397:A411" si="6">SUBSTITUTE(B397," ","/")&amp;"/"&amp;C397</f>
        <v>MN/VS2-SI1/0.899-0.998</v>
      </c>
      <c r="B397" s="47" t="s">
        <v>388</v>
      </c>
      <c r="C397" s="47" t="s">
        <v>688</v>
      </c>
      <c r="D397" s="47" t="s">
        <v>708</v>
      </c>
      <c r="E397" s="47">
        <v>1400</v>
      </c>
      <c r="F397" s="47">
        <v>1400</v>
      </c>
      <c r="G397" s="47">
        <v>1260</v>
      </c>
    </row>
    <row r="398" spans="1:7" ht="12.75" x14ac:dyDescent="0.2">
      <c r="A398" s="43" t="str">
        <f t="shared" si="6"/>
        <v>O-/VS2-SI1/0.899-0.998</v>
      </c>
      <c r="B398" s="47" t="s">
        <v>390</v>
      </c>
      <c r="C398" s="47" t="s">
        <v>688</v>
      </c>
      <c r="D398" s="47" t="s">
        <v>709</v>
      </c>
      <c r="E398" s="47">
        <v>1200</v>
      </c>
      <c r="F398" s="47">
        <v>1200</v>
      </c>
      <c r="G398" s="47">
        <v>1080</v>
      </c>
    </row>
    <row r="399" spans="1:7" ht="12.75" x14ac:dyDescent="0.2">
      <c r="A399" s="43" t="str">
        <f t="shared" si="6"/>
        <v>KL/SI2-SI3/0.899-0.998</v>
      </c>
      <c r="B399" s="47" t="s">
        <v>392</v>
      </c>
      <c r="C399" s="47" t="s">
        <v>688</v>
      </c>
      <c r="D399" s="47" t="s">
        <v>710</v>
      </c>
      <c r="E399" s="47">
        <v>1400</v>
      </c>
      <c r="F399" s="47">
        <v>1400</v>
      </c>
      <c r="G399" s="47">
        <v>1260</v>
      </c>
    </row>
    <row r="400" spans="1:7" ht="12.75" x14ac:dyDescent="0.2">
      <c r="A400" s="43" t="str">
        <f t="shared" si="6"/>
        <v>MN/SI2-SI3/0.899-0.998</v>
      </c>
      <c r="B400" s="47" t="s">
        <v>394</v>
      </c>
      <c r="C400" s="47" t="s">
        <v>688</v>
      </c>
      <c r="D400" s="47" t="s">
        <v>711</v>
      </c>
      <c r="E400" s="47">
        <v>1200</v>
      </c>
      <c r="F400" s="47">
        <v>1200</v>
      </c>
      <c r="G400" s="47">
        <v>1080</v>
      </c>
    </row>
    <row r="401" spans="1:7" ht="12.75" x14ac:dyDescent="0.2">
      <c r="A401" s="43" t="str">
        <f t="shared" si="6"/>
        <v>O-/SI2-SI3/0.899-0.998</v>
      </c>
      <c r="B401" s="47" t="s">
        <v>396</v>
      </c>
      <c r="C401" s="47" t="s">
        <v>688</v>
      </c>
      <c r="D401" s="47" t="s">
        <v>712</v>
      </c>
      <c r="E401" s="47">
        <v>1000</v>
      </c>
      <c r="F401" s="47">
        <v>1000</v>
      </c>
      <c r="G401" s="47">
        <v>900</v>
      </c>
    </row>
    <row r="402" spans="1:7" ht="12.75" x14ac:dyDescent="0.2">
      <c r="A402" s="43" t="str">
        <f t="shared" si="6"/>
        <v>K-/I1-I3/0.899-0.998</v>
      </c>
      <c r="B402" s="47" t="s">
        <v>398</v>
      </c>
      <c r="C402" s="47" t="s">
        <v>688</v>
      </c>
      <c r="D402" s="47" t="s">
        <v>713</v>
      </c>
      <c r="E402" s="47">
        <v>900</v>
      </c>
      <c r="F402" s="47">
        <v>900</v>
      </c>
      <c r="G402" s="47">
        <v>810</v>
      </c>
    </row>
    <row r="403" spans="1:7" ht="12.75" x14ac:dyDescent="0.2">
      <c r="A403" s="43" t="str">
        <f t="shared" si="6"/>
        <v>4A/0.899-0.998</v>
      </c>
      <c r="B403" s="47" t="s">
        <v>400</v>
      </c>
      <c r="C403" s="47" t="s">
        <v>688</v>
      </c>
      <c r="D403" s="47" t="s">
        <v>714</v>
      </c>
      <c r="E403" s="47">
        <v>1900</v>
      </c>
      <c r="F403" s="47">
        <v>1800</v>
      </c>
      <c r="G403" s="47">
        <v>1620</v>
      </c>
    </row>
    <row r="404" spans="1:7" ht="12.75" x14ac:dyDescent="0.2">
      <c r="A404" s="43" t="str">
        <f t="shared" si="6"/>
        <v>4B/0.899-0.998</v>
      </c>
      <c r="B404" s="47" t="s">
        <v>402</v>
      </c>
      <c r="C404" s="47" t="s">
        <v>688</v>
      </c>
      <c r="D404" s="47" t="s">
        <v>715</v>
      </c>
      <c r="E404" s="47">
        <v>1650</v>
      </c>
      <c r="F404" s="47">
        <v>1550</v>
      </c>
      <c r="G404" s="47">
        <v>1395</v>
      </c>
    </row>
    <row r="405" spans="1:7" ht="12.75" x14ac:dyDescent="0.2">
      <c r="A405" s="43" t="str">
        <f t="shared" si="6"/>
        <v>5/0.899-0.998</v>
      </c>
      <c r="B405" s="47">
        <v>5</v>
      </c>
      <c r="C405" s="47" t="s">
        <v>688</v>
      </c>
      <c r="D405" s="47" t="s">
        <v>716</v>
      </c>
      <c r="E405" s="47">
        <v>1200</v>
      </c>
      <c r="F405" s="47">
        <v>1100</v>
      </c>
      <c r="G405" s="47">
        <v>990</v>
      </c>
    </row>
    <row r="406" spans="1:7" ht="12.75" x14ac:dyDescent="0.2">
      <c r="A406" s="43" t="str">
        <f t="shared" si="6"/>
        <v>6/0.899-0.998</v>
      </c>
      <c r="B406" s="47">
        <v>6</v>
      </c>
      <c r="C406" s="47" t="s">
        <v>688</v>
      </c>
      <c r="D406" s="47" t="s">
        <v>717</v>
      </c>
      <c r="E406" s="47">
        <v>800</v>
      </c>
      <c r="F406" s="47">
        <v>800</v>
      </c>
      <c r="G406" s="47">
        <v>720</v>
      </c>
    </row>
    <row r="407" spans="1:7" ht="12.75" x14ac:dyDescent="0.2">
      <c r="A407" s="43" t="str">
        <f t="shared" si="6"/>
        <v>7/0.899-0.998</v>
      </c>
      <c r="B407" s="47">
        <v>7</v>
      </c>
      <c r="C407" s="47" t="s">
        <v>688</v>
      </c>
      <c r="D407" s="47" t="s">
        <v>718</v>
      </c>
      <c r="E407" s="47">
        <v>600</v>
      </c>
      <c r="F407" s="47">
        <v>600</v>
      </c>
      <c r="G407" s="47">
        <v>540</v>
      </c>
    </row>
    <row r="408" spans="1:7" ht="12.75" x14ac:dyDescent="0.2">
      <c r="A408" s="43" t="str">
        <f t="shared" si="6"/>
        <v>8/0.899-0.998</v>
      </c>
      <c r="B408" s="47">
        <v>8</v>
      </c>
      <c r="C408" s="47" t="s">
        <v>688</v>
      </c>
      <c r="D408" s="47" t="s">
        <v>719</v>
      </c>
      <c r="E408" s="47">
        <v>450</v>
      </c>
      <c r="F408" s="47">
        <v>450</v>
      </c>
      <c r="G408" s="47">
        <v>405</v>
      </c>
    </row>
    <row r="409" spans="1:7" ht="12.75" x14ac:dyDescent="0.2">
      <c r="A409" s="43" t="str">
        <f t="shared" si="6"/>
        <v>NATTS-1/0.899-0.998</v>
      </c>
      <c r="B409" s="47" t="s">
        <v>408</v>
      </c>
      <c r="C409" s="47" t="s">
        <v>688</v>
      </c>
      <c r="D409" s="47" t="s">
        <v>720</v>
      </c>
      <c r="E409" s="47">
        <v>1100</v>
      </c>
      <c r="F409" s="47">
        <v>1100</v>
      </c>
      <c r="G409" s="47">
        <v>990</v>
      </c>
    </row>
    <row r="410" spans="1:7" ht="12.75" x14ac:dyDescent="0.2">
      <c r="A410" s="43" t="str">
        <f t="shared" si="6"/>
        <v>NATTS-2/0.899-0.998</v>
      </c>
      <c r="B410" s="47" t="s">
        <v>410</v>
      </c>
      <c r="C410" s="47" t="s">
        <v>688</v>
      </c>
      <c r="D410" s="47" t="s">
        <v>721</v>
      </c>
      <c r="E410" s="47">
        <v>800</v>
      </c>
      <c r="F410" s="47">
        <v>800</v>
      </c>
      <c r="G410" s="47">
        <v>720</v>
      </c>
    </row>
    <row r="411" spans="1:7" ht="12.75" x14ac:dyDescent="0.2">
      <c r="A411" s="43" t="str">
        <f t="shared" si="6"/>
        <v>BROWN/0.899-0.998</v>
      </c>
      <c r="B411" s="47" t="s">
        <v>412</v>
      </c>
      <c r="C411" s="47" t="s">
        <v>688</v>
      </c>
      <c r="D411" s="47" t="s">
        <v>413</v>
      </c>
      <c r="E411" s="47">
        <v>1300</v>
      </c>
      <c r="F411" s="47">
        <v>1300</v>
      </c>
      <c r="G411" s="47">
        <v>1170</v>
      </c>
    </row>
  </sheetData>
  <sheetProtection algorithmName="SHA-512" hashValue="1AcitPiVK7JLq3Z2ZZ8B6NV4fD01uDjIz4ReNi6BAl4tEm2cxrU4eifpjgHqLarPxu69CyYHgngNs+8cwuakCw==" saltValue="qja4C4I00BcMdF1GRbxp7A==" spinCount="100000" sheet="1" objects="1" scenarios="1" autoFilter="0"/>
  <mergeCells count="1">
    <mergeCell ref="E2:G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>
    <pageSetUpPr fitToPage="1"/>
  </sheetPr>
  <dimension ref="B1:R49"/>
  <sheetViews>
    <sheetView workbookViewId="0"/>
  </sheetViews>
  <sheetFormatPr defaultColWidth="9.28515625" defaultRowHeight="12" x14ac:dyDescent="0.2"/>
  <cols>
    <col min="1" max="1" width="9.28515625" style="48"/>
    <col min="2" max="2" width="9.28515625" style="48" customWidth="1"/>
    <col min="3" max="3" width="11.42578125" style="48" customWidth="1"/>
    <col min="4" max="4" width="10.28515625" style="48" customWidth="1"/>
    <col min="5" max="5" width="10.7109375" style="48" customWidth="1"/>
    <col min="6" max="6" width="11.28515625" style="48" customWidth="1"/>
    <col min="7" max="7" width="11" style="48" customWidth="1"/>
    <col min="8" max="9" width="9.7109375" style="48" customWidth="1"/>
    <col min="10" max="10" width="10.7109375" style="48" customWidth="1"/>
    <col min="11" max="19" width="9.7109375" style="48" customWidth="1"/>
    <col min="20" max="29" width="13.28515625" style="48" customWidth="1"/>
    <col min="30" max="31" width="9.28515625" style="48"/>
    <col min="32" max="32" width="13.5703125" style="48" customWidth="1"/>
    <col min="33" max="33" width="10" style="48" customWidth="1"/>
    <col min="34" max="34" width="15.28515625" style="48" customWidth="1"/>
    <col min="35" max="16384" width="9.28515625" style="48"/>
  </cols>
  <sheetData>
    <row r="1" spans="2:18" ht="12.6" thickBot="1" x14ac:dyDescent="0.3"/>
    <row r="2" spans="2:18" ht="26.25" customHeight="1" thickBot="1" x14ac:dyDescent="0.3">
      <c r="B2" s="49"/>
      <c r="C2" s="50" t="s">
        <v>187</v>
      </c>
      <c r="D2" s="50" t="s">
        <v>214</v>
      </c>
      <c r="E2" s="50" t="s">
        <v>233</v>
      </c>
      <c r="F2" s="50" t="s">
        <v>242</v>
      </c>
      <c r="G2" s="50" t="s">
        <v>250</v>
      </c>
      <c r="H2" s="50" t="s">
        <v>258</v>
      </c>
      <c r="I2" s="50" t="s">
        <v>265</v>
      </c>
      <c r="J2" s="50" t="s">
        <v>273</v>
      </c>
      <c r="K2" s="50" t="s">
        <v>400</v>
      </c>
      <c r="L2" s="50" t="s">
        <v>402</v>
      </c>
      <c r="M2" s="51" t="s">
        <v>722</v>
      </c>
      <c r="N2" s="51" t="s">
        <v>723</v>
      </c>
      <c r="O2" s="51" t="s">
        <v>724</v>
      </c>
      <c r="P2" s="51" t="s">
        <v>725</v>
      </c>
      <c r="Q2" s="50" t="s">
        <v>408</v>
      </c>
      <c r="R2" s="50" t="s">
        <v>410</v>
      </c>
    </row>
    <row r="3" spans="2:18" ht="27.75" customHeight="1" thickBot="1" x14ac:dyDescent="0.3">
      <c r="B3" s="50" t="s">
        <v>186</v>
      </c>
      <c r="C3" s="52" t="s">
        <v>726</v>
      </c>
      <c r="D3" s="53" t="s">
        <v>726</v>
      </c>
      <c r="E3" s="54" t="s">
        <v>726</v>
      </c>
      <c r="F3" s="55" t="s">
        <v>727</v>
      </c>
      <c r="G3" s="56" t="s">
        <v>728</v>
      </c>
      <c r="H3" s="57" t="s">
        <v>729</v>
      </c>
      <c r="I3" s="56" t="s">
        <v>730</v>
      </c>
      <c r="J3" s="58" t="s">
        <v>731</v>
      </c>
      <c r="K3" s="59" t="s">
        <v>400</v>
      </c>
      <c r="L3" s="60" t="s">
        <v>402</v>
      </c>
      <c r="M3" s="61" t="s">
        <v>722</v>
      </c>
      <c r="N3" s="62" t="s">
        <v>723</v>
      </c>
      <c r="O3" s="63" t="s">
        <v>724</v>
      </c>
      <c r="P3" s="64" t="s">
        <v>725</v>
      </c>
      <c r="Q3" s="64" t="str">
        <f t="shared" ref="Q3:R13" si="0">Q2</f>
        <v>NATTS-1</v>
      </c>
      <c r="R3" s="64" t="str">
        <f t="shared" si="0"/>
        <v>NATTS-2</v>
      </c>
    </row>
    <row r="4" spans="2:18" ht="27.75" customHeight="1" thickBot="1" x14ac:dyDescent="0.3">
      <c r="B4" s="50" t="s">
        <v>213</v>
      </c>
      <c r="C4" s="65" t="s">
        <v>726</v>
      </c>
      <c r="D4" s="66" t="s">
        <v>726</v>
      </c>
      <c r="E4" s="67" t="s">
        <v>726</v>
      </c>
      <c r="F4" s="68" t="s">
        <v>727</v>
      </c>
      <c r="G4" s="69" t="s">
        <v>728</v>
      </c>
      <c r="H4" s="70" t="s">
        <v>729</v>
      </c>
      <c r="I4" s="69" t="s">
        <v>730</v>
      </c>
      <c r="J4" s="71" t="s">
        <v>731</v>
      </c>
      <c r="K4" s="72" t="s">
        <v>400</v>
      </c>
      <c r="L4" s="73" t="s">
        <v>402</v>
      </c>
      <c r="M4" s="74" t="s">
        <v>722</v>
      </c>
      <c r="N4" s="75" t="s">
        <v>723</v>
      </c>
      <c r="O4" s="76" t="s">
        <v>724</v>
      </c>
      <c r="P4" s="77" t="s">
        <v>725</v>
      </c>
      <c r="Q4" s="78" t="str">
        <f t="shared" si="0"/>
        <v>NATTS-1</v>
      </c>
      <c r="R4" s="78" t="str">
        <f t="shared" si="0"/>
        <v>NATTS-2</v>
      </c>
    </row>
    <row r="5" spans="2:18" ht="27.75" customHeight="1" thickBot="1" x14ac:dyDescent="0.3">
      <c r="B5" s="50" t="s">
        <v>232</v>
      </c>
      <c r="C5" s="79" t="s">
        <v>726</v>
      </c>
      <c r="D5" s="80" t="s">
        <v>726</v>
      </c>
      <c r="E5" s="81" t="s">
        <v>726</v>
      </c>
      <c r="F5" s="82" t="s">
        <v>727</v>
      </c>
      <c r="G5" s="69" t="s">
        <v>728</v>
      </c>
      <c r="H5" s="70" t="s">
        <v>729</v>
      </c>
      <c r="I5" s="69" t="s">
        <v>730</v>
      </c>
      <c r="J5" s="71" t="s">
        <v>731</v>
      </c>
      <c r="K5" s="72" t="s">
        <v>400</v>
      </c>
      <c r="L5" s="73" t="s">
        <v>402</v>
      </c>
      <c r="M5" s="74" t="s">
        <v>722</v>
      </c>
      <c r="N5" s="75" t="s">
        <v>723</v>
      </c>
      <c r="O5" s="76" t="s">
        <v>724</v>
      </c>
      <c r="P5" s="77" t="s">
        <v>725</v>
      </c>
      <c r="Q5" s="78" t="str">
        <f t="shared" si="0"/>
        <v>NATTS-1</v>
      </c>
      <c r="R5" s="78" t="str">
        <f t="shared" si="0"/>
        <v>NATTS-2</v>
      </c>
    </row>
    <row r="6" spans="2:18" ht="27.75" customHeight="1" thickBot="1" x14ac:dyDescent="0.3">
      <c r="B6" s="50" t="s">
        <v>215</v>
      </c>
      <c r="C6" s="83" t="s">
        <v>732</v>
      </c>
      <c r="D6" s="84" t="s">
        <v>732</v>
      </c>
      <c r="E6" s="85" t="s">
        <v>732</v>
      </c>
      <c r="F6" s="86" t="s">
        <v>733</v>
      </c>
      <c r="G6" s="87" t="s">
        <v>734</v>
      </c>
      <c r="H6" s="70" t="s">
        <v>729</v>
      </c>
      <c r="I6" s="88" t="s">
        <v>730</v>
      </c>
      <c r="J6" s="89" t="s">
        <v>731</v>
      </c>
      <c r="K6" s="72" t="s">
        <v>400</v>
      </c>
      <c r="L6" s="73" t="s">
        <v>402</v>
      </c>
      <c r="M6" s="74" t="s">
        <v>722</v>
      </c>
      <c r="N6" s="75" t="s">
        <v>723</v>
      </c>
      <c r="O6" s="76" t="s">
        <v>724</v>
      </c>
      <c r="P6" s="77" t="s">
        <v>725</v>
      </c>
      <c r="Q6" s="78" t="str">
        <f t="shared" si="0"/>
        <v>NATTS-1</v>
      </c>
      <c r="R6" s="78" t="str">
        <f t="shared" si="0"/>
        <v>NATTS-2</v>
      </c>
    </row>
    <row r="7" spans="2:18" ht="27.75" customHeight="1" thickBot="1" x14ac:dyDescent="0.3">
      <c r="B7" s="50" t="s">
        <v>249</v>
      </c>
      <c r="C7" s="90" t="s">
        <v>732</v>
      </c>
      <c r="D7" s="91" t="s">
        <v>732</v>
      </c>
      <c r="E7" s="92" t="s">
        <v>732</v>
      </c>
      <c r="F7" s="93" t="s">
        <v>733</v>
      </c>
      <c r="G7" s="94" t="s">
        <v>734</v>
      </c>
      <c r="H7" s="95" t="s">
        <v>735</v>
      </c>
      <c r="I7" s="96" t="s">
        <v>736</v>
      </c>
      <c r="J7" s="97" t="s">
        <v>737</v>
      </c>
      <c r="K7" s="72" t="s">
        <v>400</v>
      </c>
      <c r="L7" s="73" t="s">
        <v>402</v>
      </c>
      <c r="M7" s="74" t="s">
        <v>722</v>
      </c>
      <c r="N7" s="75" t="s">
        <v>723</v>
      </c>
      <c r="O7" s="76" t="s">
        <v>724</v>
      </c>
      <c r="P7" s="77" t="s">
        <v>725</v>
      </c>
      <c r="Q7" s="78" t="str">
        <f t="shared" si="0"/>
        <v>NATTS-1</v>
      </c>
      <c r="R7" s="78" t="str">
        <f t="shared" si="0"/>
        <v>NATTS-2</v>
      </c>
    </row>
    <row r="8" spans="2:18" ht="27.75" customHeight="1" thickBot="1" x14ac:dyDescent="0.3">
      <c r="B8" s="50" t="s">
        <v>257</v>
      </c>
      <c r="C8" s="98" t="s">
        <v>738</v>
      </c>
      <c r="D8" s="99" t="s">
        <v>738</v>
      </c>
      <c r="E8" s="100" t="s">
        <v>738</v>
      </c>
      <c r="F8" s="101" t="s">
        <v>739</v>
      </c>
      <c r="G8" s="102" t="s">
        <v>740</v>
      </c>
      <c r="H8" s="103" t="s">
        <v>735</v>
      </c>
      <c r="I8" s="104" t="s">
        <v>736</v>
      </c>
      <c r="J8" s="105" t="s">
        <v>737</v>
      </c>
      <c r="K8" s="72" t="s">
        <v>400</v>
      </c>
      <c r="L8" s="73" t="s">
        <v>402</v>
      </c>
      <c r="M8" s="74" t="s">
        <v>722</v>
      </c>
      <c r="N8" s="75" t="s">
        <v>723</v>
      </c>
      <c r="O8" s="76" t="s">
        <v>724</v>
      </c>
      <c r="P8" s="77" t="s">
        <v>725</v>
      </c>
      <c r="Q8" s="78" t="str">
        <f t="shared" si="0"/>
        <v>NATTS-1</v>
      </c>
      <c r="R8" s="78" t="str">
        <f t="shared" si="0"/>
        <v>NATTS-2</v>
      </c>
    </row>
    <row r="9" spans="2:18" ht="27.75" customHeight="1" thickBot="1" x14ac:dyDescent="0.3">
      <c r="B9" s="50" t="s">
        <v>264</v>
      </c>
      <c r="C9" s="106" t="s">
        <v>738</v>
      </c>
      <c r="D9" s="107" t="s">
        <v>738</v>
      </c>
      <c r="E9" s="108" t="s">
        <v>738</v>
      </c>
      <c r="F9" s="109" t="s">
        <v>739</v>
      </c>
      <c r="G9" s="110" t="s">
        <v>740</v>
      </c>
      <c r="H9" s="103" t="s">
        <v>735</v>
      </c>
      <c r="I9" s="104" t="s">
        <v>736</v>
      </c>
      <c r="J9" s="105" t="s">
        <v>737</v>
      </c>
      <c r="K9" s="72" t="s">
        <v>400</v>
      </c>
      <c r="L9" s="73" t="s">
        <v>402</v>
      </c>
      <c r="M9" s="74" t="s">
        <v>722</v>
      </c>
      <c r="N9" s="75" t="s">
        <v>723</v>
      </c>
      <c r="O9" s="76" t="s">
        <v>724</v>
      </c>
      <c r="P9" s="77" t="s">
        <v>725</v>
      </c>
      <c r="Q9" s="78" t="str">
        <f t="shared" si="0"/>
        <v>NATTS-1</v>
      </c>
      <c r="R9" s="78" t="str">
        <f t="shared" si="0"/>
        <v>NATTS-2</v>
      </c>
    </row>
    <row r="10" spans="2:18" ht="27.75" customHeight="1" thickBot="1" x14ac:dyDescent="0.3">
      <c r="B10" s="50" t="s">
        <v>272</v>
      </c>
      <c r="C10" s="111" t="s">
        <v>741</v>
      </c>
      <c r="D10" s="112" t="s">
        <v>741</v>
      </c>
      <c r="E10" s="112" t="s">
        <v>741</v>
      </c>
      <c r="F10" s="112" t="s">
        <v>741</v>
      </c>
      <c r="G10" s="113" t="s">
        <v>742</v>
      </c>
      <c r="H10" s="114" t="s">
        <v>742</v>
      </c>
      <c r="I10" s="115" t="s">
        <v>743</v>
      </c>
      <c r="J10" s="116" t="s">
        <v>743</v>
      </c>
      <c r="K10" s="117" t="s">
        <v>744</v>
      </c>
      <c r="L10" s="117" t="s">
        <v>744</v>
      </c>
      <c r="M10" s="117" t="s">
        <v>744</v>
      </c>
      <c r="N10" s="117" t="s">
        <v>744</v>
      </c>
      <c r="O10" s="117" t="s">
        <v>744</v>
      </c>
      <c r="P10" s="117" t="s">
        <v>744</v>
      </c>
      <c r="Q10" s="78" t="str">
        <f t="shared" si="0"/>
        <v>NATTS-1</v>
      </c>
      <c r="R10" s="78" t="str">
        <f t="shared" si="0"/>
        <v>NATTS-2</v>
      </c>
    </row>
    <row r="11" spans="2:18" ht="27.75" customHeight="1" thickBot="1" x14ac:dyDescent="0.3">
      <c r="B11" s="50" t="s">
        <v>278</v>
      </c>
      <c r="C11" s="118" t="s">
        <v>741</v>
      </c>
      <c r="D11" s="119" t="s">
        <v>741</v>
      </c>
      <c r="E11" s="119" t="s">
        <v>741</v>
      </c>
      <c r="F11" s="119" t="s">
        <v>741</v>
      </c>
      <c r="G11" s="120" t="s">
        <v>742</v>
      </c>
      <c r="H11" s="121" t="s">
        <v>742</v>
      </c>
      <c r="I11" s="122" t="s">
        <v>743</v>
      </c>
      <c r="J11" s="123" t="s">
        <v>743</v>
      </c>
      <c r="K11" s="124" t="s">
        <v>744</v>
      </c>
      <c r="L11" s="124" t="s">
        <v>744</v>
      </c>
      <c r="M11" s="124" t="s">
        <v>744</v>
      </c>
      <c r="N11" s="124" t="s">
        <v>744</v>
      </c>
      <c r="O11" s="124" t="s">
        <v>744</v>
      </c>
      <c r="P11" s="124" t="s">
        <v>744</v>
      </c>
      <c r="Q11" s="78" t="str">
        <f t="shared" si="0"/>
        <v>NATTS-1</v>
      </c>
      <c r="R11" s="78" t="str">
        <f t="shared" si="0"/>
        <v>NATTS-2</v>
      </c>
    </row>
    <row r="12" spans="2:18" ht="27.75" customHeight="1" thickBot="1" x14ac:dyDescent="0.3">
      <c r="B12" s="50" t="s">
        <v>284</v>
      </c>
      <c r="C12" s="125" t="s">
        <v>745</v>
      </c>
      <c r="D12" s="126" t="s">
        <v>745</v>
      </c>
      <c r="E12" s="126" t="s">
        <v>745</v>
      </c>
      <c r="F12" s="126" t="s">
        <v>745</v>
      </c>
      <c r="G12" s="127" t="s">
        <v>746</v>
      </c>
      <c r="H12" s="128" t="s">
        <v>746</v>
      </c>
      <c r="I12" s="129" t="s">
        <v>747</v>
      </c>
      <c r="J12" s="130" t="s">
        <v>747</v>
      </c>
      <c r="K12" s="124" t="s">
        <v>744</v>
      </c>
      <c r="L12" s="124" t="s">
        <v>744</v>
      </c>
      <c r="M12" s="124" t="s">
        <v>744</v>
      </c>
      <c r="N12" s="124" t="s">
        <v>744</v>
      </c>
      <c r="O12" s="124" t="s">
        <v>744</v>
      </c>
      <c r="P12" s="124" t="s">
        <v>744</v>
      </c>
      <c r="Q12" s="78" t="str">
        <f t="shared" si="0"/>
        <v>NATTS-1</v>
      </c>
      <c r="R12" s="78" t="str">
        <f t="shared" si="0"/>
        <v>NATTS-2</v>
      </c>
    </row>
    <row r="13" spans="2:18" ht="27.75" customHeight="1" thickBot="1" x14ac:dyDescent="0.3">
      <c r="B13" s="50" t="s">
        <v>748</v>
      </c>
      <c r="C13" s="131" t="s">
        <v>745</v>
      </c>
      <c r="D13" s="132" t="s">
        <v>745</v>
      </c>
      <c r="E13" s="132" t="s">
        <v>745</v>
      </c>
      <c r="F13" s="132" t="s">
        <v>745</v>
      </c>
      <c r="G13" s="133" t="s">
        <v>746</v>
      </c>
      <c r="H13" s="134" t="s">
        <v>746</v>
      </c>
      <c r="I13" s="135" t="s">
        <v>747</v>
      </c>
      <c r="J13" s="136" t="s">
        <v>747</v>
      </c>
      <c r="K13" s="124" t="s">
        <v>744</v>
      </c>
      <c r="L13" s="124" t="s">
        <v>744</v>
      </c>
      <c r="M13" s="124" t="s">
        <v>744</v>
      </c>
      <c r="N13" s="124" t="s">
        <v>744</v>
      </c>
      <c r="O13" s="124" t="s">
        <v>744</v>
      </c>
      <c r="P13" s="124" t="s">
        <v>744</v>
      </c>
      <c r="Q13" s="78" t="str">
        <f t="shared" si="0"/>
        <v>NATTS-1</v>
      </c>
      <c r="R13" s="78" t="str">
        <f t="shared" si="0"/>
        <v>NATTS-2</v>
      </c>
    </row>
    <row r="14" spans="2:18" ht="27.75" customHeight="1" thickBot="1" x14ac:dyDescent="0.3">
      <c r="B14" s="50" t="s">
        <v>749</v>
      </c>
      <c r="C14" s="137" t="s">
        <v>750</v>
      </c>
      <c r="D14" s="138" t="s">
        <v>750</v>
      </c>
      <c r="E14" s="138" t="s">
        <v>750</v>
      </c>
      <c r="F14" s="138" t="s">
        <v>750</v>
      </c>
      <c r="G14" s="139" t="s">
        <v>751</v>
      </c>
      <c r="H14" s="140" t="s">
        <v>751</v>
      </c>
      <c r="I14" s="141" t="s">
        <v>752</v>
      </c>
      <c r="J14" s="142" t="s">
        <v>752</v>
      </c>
      <c r="K14" s="143"/>
      <c r="L14" s="144"/>
      <c r="M14" s="144"/>
      <c r="N14" s="144"/>
      <c r="O14" s="144"/>
      <c r="P14" s="144"/>
      <c r="Q14" s="144"/>
      <c r="R14" s="145"/>
    </row>
    <row r="15" spans="2:18" ht="27.75" customHeight="1" thickBot="1" x14ac:dyDescent="0.3">
      <c r="B15" s="50" t="s">
        <v>412</v>
      </c>
      <c r="C15" s="146" t="s">
        <v>412</v>
      </c>
      <c r="D15" s="147" t="s">
        <v>412</v>
      </c>
      <c r="E15" s="147" t="s">
        <v>412</v>
      </c>
      <c r="F15" s="147" t="s">
        <v>412</v>
      </c>
      <c r="G15" s="147" t="s">
        <v>412</v>
      </c>
      <c r="H15" s="147" t="s">
        <v>412</v>
      </c>
      <c r="I15" s="147" t="s">
        <v>412</v>
      </c>
      <c r="J15" s="147" t="s">
        <v>412</v>
      </c>
      <c r="K15" s="147" t="s">
        <v>412</v>
      </c>
      <c r="L15" s="147" t="s">
        <v>412</v>
      </c>
      <c r="M15" s="147" t="s">
        <v>412</v>
      </c>
      <c r="N15" s="147" t="s">
        <v>412</v>
      </c>
      <c r="O15" s="147" t="s">
        <v>412</v>
      </c>
      <c r="P15" s="147" t="s">
        <v>412</v>
      </c>
      <c r="Q15" s="147" t="s">
        <v>412</v>
      </c>
      <c r="R15" s="148" t="s">
        <v>412</v>
      </c>
    </row>
    <row r="18" spans="2:11" ht="12.75" x14ac:dyDescent="0.2">
      <c r="B18" s="149" t="s">
        <v>164</v>
      </c>
      <c r="C18" s="149" t="s">
        <v>753</v>
      </c>
      <c r="E18" s="149" t="s">
        <v>165</v>
      </c>
      <c r="F18" s="149" t="s">
        <v>753</v>
      </c>
      <c r="G18" s="149" t="s">
        <v>754</v>
      </c>
      <c r="I18" s="149" t="s">
        <v>302</v>
      </c>
      <c r="J18" s="149" t="s">
        <v>303</v>
      </c>
    </row>
    <row r="19" spans="2:11" ht="12.75" x14ac:dyDescent="0.2">
      <c r="B19" s="150" t="s">
        <v>186</v>
      </c>
      <c r="C19" s="151" t="s">
        <v>186</v>
      </c>
      <c r="E19" s="150" t="s">
        <v>187</v>
      </c>
      <c r="F19" s="151" t="s">
        <v>187</v>
      </c>
      <c r="G19" s="151">
        <v>1</v>
      </c>
      <c r="I19" s="152"/>
      <c r="J19" s="153" t="s">
        <v>755</v>
      </c>
      <c r="K19" s="153"/>
    </row>
    <row r="20" spans="2:11" ht="12.75" x14ac:dyDescent="0.2">
      <c r="B20" s="150" t="s">
        <v>200</v>
      </c>
      <c r="C20" s="151" t="s">
        <v>213</v>
      </c>
      <c r="E20" s="150" t="s">
        <v>201</v>
      </c>
      <c r="F20" s="151" t="s">
        <v>214</v>
      </c>
      <c r="G20" s="151">
        <v>2</v>
      </c>
      <c r="I20" s="152">
        <v>0.18</v>
      </c>
      <c r="J20" s="153" t="s">
        <v>350</v>
      </c>
      <c r="K20" s="153">
        <v>20</v>
      </c>
    </row>
    <row r="21" spans="2:11" ht="12.75" x14ac:dyDescent="0.2">
      <c r="B21" s="150" t="s">
        <v>213</v>
      </c>
      <c r="C21" s="151" t="s">
        <v>213</v>
      </c>
      <c r="E21" s="150" t="s">
        <v>214</v>
      </c>
      <c r="F21" s="151" t="s">
        <v>214</v>
      </c>
      <c r="G21" s="151">
        <v>3</v>
      </c>
      <c r="I21" s="152">
        <v>0.189</v>
      </c>
      <c r="J21" s="153" t="s">
        <v>414</v>
      </c>
      <c r="K21" s="153">
        <v>20</v>
      </c>
    </row>
    <row r="22" spans="2:11" ht="12.75" x14ac:dyDescent="0.2">
      <c r="B22" s="150" t="s">
        <v>226</v>
      </c>
      <c r="C22" s="151" t="s">
        <v>232</v>
      </c>
      <c r="E22" s="150" t="s">
        <v>227</v>
      </c>
      <c r="F22" s="151" t="s">
        <v>233</v>
      </c>
      <c r="G22" s="151">
        <v>4</v>
      </c>
      <c r="I22" s="152">
        <v>0.22900000000000001</v>
      </c>
      <c r="J22" s="153" t="s">
        <v>415</v>
      </c>
      <c r="K22" s="153">
        <v>25</v>
      </c>
    </row>
    <row r="23" spans="2:11" ht="12.75" x14ac:dyDescent="0.2">
      <c r="B23" s="150" t="s">
        <v>232</v>
      </c>
      <c r="C23" s="151" t="s">
        <v>232</v>
      </c>
      <c r="E23" s="150" t="s">
        <v>233</v>
      </c>
      <c r="F23" s="151" t="s">
        <v>233</v>
      </c>
      <c r="G23" s="151">
        <v>5</v>
      </c>
      <c r="I23" s="152">
        <v>0.23899999999999999</v>
      </c>
      <c r="J23" s="153" t="s">
        <v>449</v>
      </c>
      <c r="K23" s="153">
        <v>25</v>
      </c>
    </row>
    <row r="24" spans="2:11" ht="12.75" x14ac:dyDescent="0.2">
      <c r="B24" s="150" t="s">
        <v>237</v>
      </c>
      <c r="C24" s="151" t="s">
        <v>215</v>
      </c>
      <c r="E24" s="150" t="s">
        <v>238</v>
      </c>
      <c r="F24" s="151" t="s">
        <v>242</v>
      </c>
      <c r="G24" s="151">
        <v>6</v>
      </c>
      <c r="I24" s="152">
        <v>0.29899999999999999</v>
      </c>
      <c r="J24" s="153" t="s">
        <v>450</v>
      </c>
      <c r="K24" s="153">
        <v>30</v>
      </c>
    </row>
    <row r="25" spans="2:11" ht="12.75" x14ac:dyDescent="0.2">
      <c r="B25" s="150" t="s">
        <v>215</v>
      </c>
      <c r="C25" s="151" t="s">
        <v>215</v>
      </c>
      <c r="E25" s="150" t="s">
        <v>242</v>
      </c>
      <c r="F25" s="151" t="s">
        <v>242</v>
      </c>
      <c r="G25" s="151">
        <v>7</v>
      </c>
      <c r="I25" s="152">
        <v>0.39900000000000002</v>
      </c>
      <c r="J25" s="153" t="s">
        <v>484</v>
      </c>
      <c r="K25" s="153">
        <v>40</v>
      </c>
    </row>
    <row r="26" spans="2:11" ht="12.75" x14ac:dyDescent="0.2">
      <c r="B26" s="150" t="s">
        <v>245</v>
      </c>
      <c r="C26" s="151" t="s">
        <v>249</v>
      </c>
      <c r="E26" s="150" t="s">
        <v>246</v>
      </c>
      <c r="F26" s="151" t="s">
        <v>250</v>
      </c>
      <c r="G26" s="151">
        <v>8</v>
      </c>
      <c r="I26" s="152">
        <v>0.44900000000000001</v>
      </c>
      <c r="J26" s="153" t="s">
        <v>518</v>
      </c>
      <c r="K26" s="153">
        <v>45</v>
      </c>
    </row>
    <row r="27" spans="2:11" ht="12.75" x14ac:dyDescent="0.2">
      <c r="B27" s="150" t="s">
        <v>249</v>
      </c>
      <c r="C27" s="151" t="s">
        <v>249</v>
      </c>
      <c r="E27" s="150" t="s">
        <v>250</v>
      </c>
      <c r="F27" s="151" t="s">
        <v>250</v>
      </c>
      <c r="G27" s="151">
        <v>9</v>
      </c>
      <c r="I27" s="152">
        <v>0.499</v>
      </c>
      <c r="J27" s="153" t="s">
        <v>552</v>
      </c>
      <c r="K27" s="153">
        <v>50</v>
      </c>
    </row>
    <row r="28" spans="2:11" ht="12.75" x14ac:dyDescent="0.2">
      <c r="B28" s="150" t="s">
        <v>253</v>
      </c>
      <c r="C28" s="151" t="s">
        <v>257</v>
      </c>
      <c r="E28" s="150" t="s">
        <v>254</v>
      </c>
      <c r="F28" s="151" t="s">
        <v>258</v>
      </c>
      <c r="G28" s="151">
        <v>10</v>
      </c>
      <c r="I28" s="152">
        <v>0.59899999999999998</v>
      </c>
      <c r="J28" s="153" t="s">
        <v>586</v>
      </c>
      <c r="K28" s="153">
        <v>60</v>
      </c>
    </row>
    <row r="29" spans="2:11" ht="12.75" x14ac:dyDescent="0.2">
      <c r="B29" s="150" t="s">
        <v>257</v>
      </c>
      <c r="C29" s="151" t="s">
        <v>257</v>
      </c>
      <c r="E29" s="150" t="s">
        <v>258</v>
      </c>
      <c r="F29" s="151" t="s">
        <v>258</v>
      </c>
      <c r="G29" s="151">
        <v>11</v>
      </c>
      <c r="I29" s="152">
        <v>0.69899999999999995</v>
      </c>
      <c r="J29" s="153" t="s">
        <v>620</v>
      </c>
      <c r="K29" s="153">
        <v>70</v>
      </c>
    </row>
    <row r="30" spans="2:11" ht="12.75" x14ac:dyDescent="0.2">
      <c r="B30" s="150" t="s">
        <v>261</v>
      </c>
      <c r="C30" s="151" t="s">
        <v>264</v>
      </c>
      <c r="E30" s="150" t="s">
        <v>262</v>
      </c>
      <c r="F30" s="151" t="s">
        <v>265</v>
      </c>
      <c r="G30" s="151">
        <v>12</v>
      </c>
      <c r="I30" s="152">
        <v>0.79900000000000004</v>
      </c>
      <c r="J30" s="153" t="s">
        <v>654</v>
      </c>
      <c r="K30" s="153">
        <v>80</v>
      </c>
    </row>
    <row r="31" spans="2:11" ht="12.75" x14ac:dyDescent="0.2">
      <c r="B31" s="150" t="s">
        <v>264</v>
      </c>
      <c r="C31" s="151" t="s">
        <v>264</v>
      </c>
      <c r="E31" s="150" t="s">
        <v>265</v>
      </c>
      <c r="F31" s="151" t="s">
        <v>265</v>
      </c>
      <c r="G31" s="151">
        <v>13</v>
      </c>
      <c r="I31" s="152">
        <v>0.89900000000000002</v>
      </c>
      <c r="J31" s="153" t="s">
        <v>688</v>
      </c>
      <c r="K31" s="153">
        <v>90</v>
      </c>
    </row>
    <row r="32" spans="2:11" ht="12.75" x14ac:dyDescent="0.2">
      <c r="B32" s="150" t="s">
        <v>268</v>
      </c>
      <c r="C32" s="151" t="s">
        <v>272</v>
      </c>
      <c r="E32" s="150" t="s">
        <v>269</v>
      </c>
      <c r="F32" s="151" t="s">
        <v>273</v>
      </c>
      <c r="G32" s="151">
        <v>14</v>
      </c>
      <c r="I32" s="152">
        <v>0.999</v>
      </c>
      <c r="J32" s="153" t="s">
        <v>756</v>
      </c>
      <c r="K32" s="153">
        <v>100</v>
      </c>
    </row>
    <row r="33" spans="2:11" ht="12.75" x14ac:dyDescent="0.2">
      <c r="B33" s="150" t="s">
        <v>272</v>
      </c>
      <c r="C33" s="151" t="s">
        <v>272</v>
      </c>
      <c r="E33" s="150" t="s">
        <v>273</v>
      </c>
      <c r="F33" s="151" t="s">
        <v>273</v>
      </c>
      <c r="G33" s="151">
        <v>15</v>
      </c>
      <c r="I33" s="152">
        <v>1</v>
      </c>
      <c r="J33" s="153" t="s">
        <v>757</v>
      </c>
      <c r="K33" s="153">
        <v>125</v>
      </c>
    </row>
    <row r="34" spans="2:11" ht="12.75" x14ac:dyDescent="0.2">
      <c r="B34" s="150" t="s">
        <v>275</v>
      </c>
      <c r="C34" s="151" t="s">
        <v>278</v>
      </c>
      <c r="E34" s="151" t="s">
        <v>400</v>
      </c>
      <c r="F34" s="151" t="s">
        <v>400</v>
      </c>
      <c r="G34" s="151">
        <v>16</v>
      </c>
    </row>
    <row r="35" spans="2:11" ht="12.75" x14ac:dyDescent="0.2">
      <c r="B35" s="150" t="s">
        <v>278</v>
      </c>
      <c r="C35" s="151" t="s">
        <v>278</v>
      </c>
      <c r="E35" s="151" t="s">
        <v>402</v>
      </c>
      <c r="F35" s="151" t="s">
        <v>402</v>
      </c>
      <c r="G35" s="151">
        <v>18</v>
      </c>
    </row>
    <row r="36" spans="2:11" ht="12.75" x14ac:dyDescent="0.2">
      <c r="B36" s="150" t="s">
        <v>281</v>
      </c>
      <c r="C36" s="151" t="s">
        <v>284</v>
      </c>
      <c r="E36" s="151" t="s">
        <v>758</v>
      </c>
      <c r="F36" s="151" t="s">
        <v>722</v>
      </c>
      <c r="G36" s="151">
        <v>19</v>
      </c>
    </row>
    <row r="37" spans="2:11" ht="12.75" x14ac:dyDescent="0.2">
      <c r="B37" s="150" t="s">
        <v>284</v>
      </c>
      <c r="C37" s="151" t="s">
        <v>284</v>
      </c>
      <c r="E37" s="151" t="s">
        <v>759</v>
      </c>
      <c r="F37" s="151" t="s">
        <v>723</v>
      </c>
      <c r="G37" s="151">
        <v>21</v>
      </c>
    </row>
    <row r="38" spans="2:11" ht="12.75" x14ac:dyDescent="0.2">
      <c r="B38" s="150" t="s">
        <v>748</v>
      </c>
      <c r="C38" s="151" t="s">
        <v>748</v>
      </c>
      <c r="E38" s="151" t="s">
        <v>760</v>
      </c>
      <c r="F38" s="151" t="s">
        <v>724</v>
      </c>
      <c r="G38" s="151">
        <v>22</v>
      </c>
    </row>
    <row r="39" spans="2:11" ht="12.75" x14ac:dyDescent="0.2">
      <c r="B39" s="150" t="s">
        <v>761</v>
      </c>
      <c r="C39" s="151" t="s">
        <v>748</v>
      </c>
      <c r="E39" s="151" t="s">
        <v>762</v>
      </c>
      <c r="F39" s="151" t="s">
        <v>725</v>
      </c>
      <c r="G39" s="151">
        <v>23</v>
      </c>
    </row>
    <row r="40" spans="2:11" ht="12.75" x14ac:dyDescent="0.2">
      <c r="B40" s="150" t="s">
        <v>749</v>
      </c>
      <c r="C40" s="151" t="s">
        <v>749</v>
      </c>
      <c r="E40" s="150" t="s">
        <v>276</v>
      </c>
      <c r="F40" s="151" t="s">
        <v>400</v>
      </c>
      <c r="G40" s="151">
        <v>24</v>
      </c>
    </row>
    <row r="41" spans="2:11" ht="12.75" x14ac:dyDescent="0.2">
      <c r="B41" s="150" t="s">
        <v>763</v>
      </c>
      <c r="C41" s="151" t="s">
        <v>749</v>
      </c>
      <c r="E41" s="150" t="s">
        <v>279</v>
      </c>
      <c r="F41" s="151" t="s">
        <v>402</v>
      </c>
      <c r="G41" s="151">
        <v>25</v>
      </c>
    </row>
    <row r="42" spans="2:11" ht="12.75" x14ac:dyDescent="0.2">
      <c r="B42" s="150" t="s">
        <v>412</v>
      </c>
      <c r="C42" s="150" t="s">
        <v>412</v>
      </c>
      <c r="E42" s="150" t="s">
        <v>282</v>
      </c>
      <c r="F42" s="151" t="s">
        <v>722</v>
      </c>
      <c r="G42" s="151">
        <v>26</v>
      </c>
    </row>
    <row r="43" spans="2:11" ht="12.75" x14ac:dyDescent="0.2">
      <c r="E43" s="150" t="s">
        <v>285</v>
      </c>
      <c r="F43" s="151" t="s">
        <v>723</v>
      </c>
      <c r="G43" s="151">
        <v>27</v>
      </c>
    </row>
    <row r="44" spans="2:11" ht="12.75" x14ac:dyDescent="0.2">
      <c r="E44" s="150" t="s">
        <v>287</v>
      </c>
      <c r="F44" s="151" t="s">
        <v>724</v>
      </c>
      <c r="G44" s="151">
        <v>28</v>
      </c>
    </row>
    <row r="45" spans="2:11" ht="12.75" x14ac:dyDescent="0.2">
      <c r="E45" s="150" t="s">
        <v>289</v>
      </c>
      <c r="F45" s="151" t="s">
        <v>725</v>
      </c>
      <c r="G45" s="151">
        <v>29</v>
      </c>
    </row>
    <row r="46" spans="2:11" ht="12.75" x14ac:dyDescent="0.2">
      <c r="E46" s="150" t="s">
        <v>408</v>
      </c>
      <c r="F46" s="151" t="s">
        <v>408</v>
      </c>
      <c r="G46" s="151">
        <v>30</v>
      </c>
    </row>
    <row r="47" spans="2:11" ht="12.75" x14ac:dyDescent="0.2">
      <c r="E47" s="150" t="s">
        <v>410</v>
      </c>
      <c r="F47" s="151" t="s">
        <v>410</v>
      </c>
      <c r="G47" s="151">
        <v>31</v>
      </c>
    </row>
    <row r="48" spans="2:11" ht="12.75" x14ac:dyDescent="0.2">
      <c r="E48" s="150"/>
      <c r="F48" s="151"/>
      <c r="G48" s="151"/>
    </row>
    <row r="49" spans="5:7" ht="12.75" x14ac:dyDescent="0.2">
      <c r="E49" s="150"/>
      <c r="F49" s="151"/>
      <c r="G49" s="151"/>
    </row>
  </sheetData>
  <sheetProtection algorithmName="SHA-512" hashValue="zelCaRuZc0XfsIdz7dEAVDyitJ5l+tYriNcpAJnGA1yX2bEJ7e25UyJ0TkJumg76f9j5zIPOxNW2EXG62JITwg==" saltValue="SUiBZzgx5XUYO6A9ypGlDw==" spinCount="100000" sheet="1" objects="1" scenarios="1" autoFilter="0"/>
  <printOptions horizontalCentered="1"/>
  <pageMargins left="0.489375" right="0.40781250000000002" top="0.75" bottom="0.75" header="0.3" footer="0.3"/>
  <pageSetup paperSize="9" scale="91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Q62"/>
  <sheetViews>
    <sheetView workbookViewId="0">
      <selection activeCell="AJ2" sqref="AJ2:AQ60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1107</v>
      </c>
      <c r="B1" t="s">
        <v>316</v>
      </c>
    </row>
    <row r="2" spans="1:43" ht="14.45" x14ac:dyDescent="0.3">
      <c r="A2" s="357" t="s">
        <v>317</v>
      </c>
      <c r="C2" s="355" t="s">
        <v>187</v>
      </c>
      <c r="D2" s="355" t="s">
        <v>214</v>
      </c>
      <c r="E2" s="355" t="s">
        <v>233</v>
      </c>
      <c r="F2" s="355" t="s">
        <v>242</v>
      </c>
      <c r="G2" s="355" t="s">
        <v>250</v>
      </c>
      <c r="H2" s="355" t="s">
        <v>258</v>
      </c>
      <c r="I2" s="355" t="s">
        <v>265</v>
      </c>
      <c r="J2" s="355" t="s">
        <v>279</v>
      </c>
      <c r="K2" s="355"/>
      <c r="L2" s="357" t="s">
        <v>318</v>
      </c>
      <c r="M2" s="355"/>
      <c r="N2" s="355" t="s">
        <v>187</v>
      </c>
      <c r="O2" s="355" t="s">
        <v>214</v>
      </c>
      <c r="P2" s="355" t="s">
        <v>233</v>
      </c>
      <c r="Q2" s="355" t="s">
        <v>242</v>
      </c>
      <c r="R2" s="355" t="s">
        <v>250</v>
      </c>
      <c r="S2" s="355" t="s">
        <v>258</v>
      </c>
      <c r="T2" s="355" t="s">
        <v>265</v>
      </c>
      <c r="U2" s="355" t="s">
        <v>279</v>
      </c>
      <c r="V2" s="355"/>
      <c r="W2" s="357" t="s">
        <v>319</v>
      </c>
      <c r="X2" s="355"/>
      <c r="Y2" s="355" t="s">
        <v>187</v>
      </c>
      <c r="Z2" s="355" t="s">
        <v>214</v>
      </c>
      <c r="AA2" s="355" t="s">
        <v>233</v>
      </c>
      <c r="AB2" s="355" t="s">
        <v>242</v>
      </c>
      <c r="AC2" s="355" t="s">
        <v>250</v>
      </c>
      <c r="AD2" s="355" t="s">
        <v>258</v>
      </c>
      <c r="AE2" s="355" t="s">
        <v>265</v>
      </c>
      <c r="AF2" s="355" t="s">
        <v>279</v>
      </c>
      <c r="AG2" s="355"/>
      <c r="AH2" s="357" t="s">
        <v>320</v>
      </c>
      <c r="AJ2" s="355" t="s">
        <v>187</v>
      </c>
      <c r="AK2" s="355" t="s">
        <v>214</v>
      </c>
      <c r="AL2" s="355" t="s">
        <v>233</v>
      </c>
      <c r="AM2" s="355" t="s">
        <v>242</v>
      </c>
      <c r="AN2" s="355" t="s">
        <v>250</v>
      </c>
      <c r="AO2" s="355" t="s">
        <v>258</v>
      </c>
      <c r="AP2" s="355" t="s">
        <v>265</v>
      </c>
      <c r="AQ2" s="355" t="s">
        <v>279</v>
      </c>
    </row>
    <row r="3" spans="1:43" ht="14.45" x14ac:dyDescent="0.3">
      <c r="A3" s="358"/>
      <c r="B3" t="s">
        <v>186</v>
      </c>
      <c r="C3" s="368">
        <v>-0.37</v>
      </c>
      <c r="D3" s="440">
        <v>-0.39</v>
      </c>
      <c r="E3" s="369">
        <v>-0.36</v>
      </c>
      <c r="F3" s="370">
        <v>-0.35</v>
      </c>
      <c r="G3" s="370">
        <v>-0.33</v>
      </c>
      <c r="H3" s="371">
        <v>-0.33</v>
      </c>
      <c r="I3" s="371">
        <v>-0.31000000000000005</v>
      </c>
      <c r="J3" s="372">
        <v>-0.15</v>
      </c>
      <c r="K3" s="433"/>
      <c r="L3" s="432"/>
      <c r="M3" s="433" t="s">
        <v>186</v>
      </c>
      <c r="N3" s="368">
        <v>-0.42</v>
      </c>
      <c r="O3" s="440">
        <v>-0.44</v>
      </c>
      <c r="P3" s="369">
        <v>-0.41</v>
      </c>
      <c r="Q3" s="370">
        <v>-0.3899999999999999</v>
      </c>
      <c r="R3" s="370">
        <v>-0.37</v>
      </c>
      <c r="S3" s="371">
        <v>-0.37</v>
      </c>
      <c r="T3" s="371">
        <v>-0.35</v>
      </c>
      <c r="U3" s="372">
        <v>-0.19</v>
      </c>
      <c r="V3" s="433"/>
      <c r="W3" s="432"/>
      <c r="X3" s="433" t="s">
        <v>186</v>
      </c>
      <c r="Y3" s="368">
        <v>-0.5</v>
      </c>
      <c r="Z3" s="440">
        <v>-0.52</v>
      </c>
      <c r="AA3" s="369">
        <v>-0.49</v>
      </c>
      <c r="AB3" s="370">
        <v>-0.46</v>
      </c>
      <c r="AC3" s="370">
        <v>-0.44</v>
      </c>
      <c r="AD3" s="371">
        <v>-0.45</v>
      </c>
      <c r="AE3" s="371">
        <v>-0.43000000000000005</v>
      </c>
      <c r="AF3" s="372">
        <v>-0.27</v>
      </c>
      <c r="AG3" s="433"/>
      <c r="AH3" s="432"/>
      <c r="AI3" s="433" t="s">
        <v>186</v>
      </c>
      <c r="AJ3" s="368">
        <v>-0.63</v>
      </c>
      <c r="AK3" s="440">
        <v>-0.65</v>
      </c>
      <c r="AL3" s="369">
        <v>-0.62</v>
      </c>
      <c r="AM3" s="370">
        <v>-0.56999999999999995</v>
      </c>
      <c r="AN3" s="370">
        <v>-0.55000000000000004</v>
      </c>
      <c r="AO3" s="371">
        <v>-0.53</v>
      </c>
      <c r="AP3" s="371">
        <v>-0.51</v>
      </c>
      <c r="AQ3" s="372">
        <v>-0.35</v>
      </c>
    </row>
    <row r="4" spans="1:43" ht="14.45" x14ac:dyDescent="0.3">
      <c r="A4" s="358"/>
      <c r="B4" t="s">
        <v>213</v>
      </c>
      <c r="C4" s="373">
        <v>-0.4</v>
      </c>
      <c r="D4" s="374">
        <v>-0.37</v>
      </c>
      <c r="E4" s="375">
        <v>-0.36</v>
      </c>
      <c r="F4" s="376">
        <v>-0.36</v>
      </c>
      <c r="G4" s="376">
        <v>-0.34</v>
      </c>
      <c r="H4" s="377">
        <v>-0.34</v>
      </c>
      <c r="I4" s="377">
        <v>-0.33</v>
      </c>
      <c r="J4" s="378">
        <v>-0.15</v>
      </c>
      <c r="K4" s="433"/>
      <c r="L4" s="432"/>
      <c r="M4" s="433" t="s">
        <v>213</v>
      </c>
      <c r="N4" s="373">
        <v>-0.45</v>
      </c>
      <c r="O4" s="374">
        <v>-0.42</v>
      </c>
      <c r="P4" s="375">
        <v>-0.41</v>
      </c>
      <c r="Q4" s="376">
        <v>-0.4</v>
      </c>
      <c r="R4" s="376">
        <v>-0.38</v>
      </c>
      <c r="S4" s="377">
        <v>-0.38</v>
      </c>
      <c r="T4" s="377">
        <v>-0.37</v>
      </c>
      <c r="U4" s="378">
        <v>-0.19</v>
      </c>
      <c r="V4" s="433"/>
      <c r="W4" s="432"/>
      <c r="X4" s="433" t="s">
        <v>213</v>
      </c>
      <c r="Y4" s="373">
        <v>-0.53</v>
      </c>
      <c r="Z4" s="374">
        <v>-0.5</v>
      </c>
      <c r="AA4" s="375">
        <v>-0.49</v>
      </c>
      <c r="AB4" s="376">
        <v>-0.47</v>
      </c>
      <c r="AC4" s="376">
        <v>-0.45</v>
      </c>
      <c r="AD4" s="377">
        <v>-0.46</v>
      </c>
      <c r="AE4" s="377">
        <v>-0.45</v>
      </c>
      <c r="AF4" s="378">
        <v>-0.27</v>
      </c>
      <c r="AG4" s="433"/>
      <c r="AH4" s="432"/>
      <c r="AI4" s="433" t="s">
        <v>213</v>
      </c>
      <c r="AJ4" s="373">
        <v>-0.66</v>
      </c>
      <c r="AK4" s="374">
        <v>-0.63</v>
      </c>
      <c r="AL4" s="375">
        <v>-0.62</v>
      </c>
      <c r="AM4" s="376">
        <v>-0.57999999999999996</v>
      </c>
      <c r="AN4" s="376">
        <v>-0.56000000000000005</v>
      </c>
      <c r="AO4" s="377">
        <v>-0.54</v>
      </c>
      <c r="AP4" s="377">
        <v>-0.53</v>
      </c>
      <c r="AQ4" s="378">
        <v>-0.35</v>
      </c>
    </row>
    <row r="5" spans="1:43" ht="14.45" x14ac:dyDescent="0.3">
      <c r="A5" s="358"/>
      <c r="B5" t="s">
        <v>232</v>
      </c>
      <c r="C5" s="379">
        <v>-0.36</v>
      </c>
      <c r="D5" s="380">
        <v>-0.36</v>
      </c>
      <c r="E5" s="381">
        <v>-0.34</v>
      </c>
      <c r="F5" s="376">
        <v>-0.33</v>
      </c>
      <c r="G5" s="376">
        <v>-0.32</v>
      </c>
      <c r="H5" s="377">
        <v>-0.33</v>
      </c>
      <c r="I5" s="377">
        <v>-0.32</v>
      </c>
      <c r="J5" s="378">
        <v>-0.15</v>
      </c>
      <c r="K5" s="433"/>
      <c r="L5" s="432"/>
      <c r="M5" s="433" t="s">
        <v>232</v>
      </c>
      <c r="N5" s="379">
        <v>-0.41</v>
      </c>
      <c r="O5" s="380">
        <v>-0.41</v>
      </c>
      <c r="P5" s="381">
        <v>-0.39</v>
      </c>
      <c r="Q5" s="376">
        <v>-0.37</v>
      </c>
      <c r="R5" s="376">
        <v>-0.36</v>
      </c>
      <c r="S5" s="377">
        <v>-0.37</v>
      </c>
      <c r="T5" s="377">
        <v>-0.36</v>
      </c>
      <c r="U5" s="378">
        <v>-0.19</v>
      </c>
      <c r="V5" s="433"/>
      <c r="W5" s="432"/>
      <c r="X5" s="433" t="s">
        <v>232</v>
      </c>
      <c r="Y5" s="379">
        <v>-0.49</v>
      </c>
      <c r="Z5" s="380">
        <v>-0.49</v>
      </c>
      <c r="AA5" s="381">
        <v>-0.47</v>
      </c>
      <c r="AB5" s="376">
        <v>-0.44</v>
      </c>
      <c r="AC5" s="376">
        <v>-0.43</v>
      </c>
      <c r="AD5" s="377">
        <v>-0.45</v>
      </c>
      <c r="AE5" s="377">
        <v>-0.44</v>
      </c>
      <c r="AF5" s="378">
        <v>-0.27</v>
      </c>
      <c r="AG5" s="433"/>
      <c r="AH5" s="432"/>
      <c r="AI5" s="433" t="s">
        <v>232</v>
      </c>
      <c r="AJ5" s="379">
        <v>-0.62</v>
      </c>
      <c r="AK5" s="380">
        <v>-0.62</v>
      </c>
      <c r="AL5" s="381">
        <v>-0.60000000000000009</v>
      </c>
      <c r="AM5" s="376">
        <v>-0.55000000000000004</v>
      </c>
      <c r="AN5" s="376">
        <v>-0.54</v>
      </c>
      <c r="AO5" s="377">
        <v>-0.53</v>
      </c>
      <c r="AP5" s="377">
        <v>-0.52</v>
      </c>
      <c r="AQ5" s="378">
        <v>-0.35</v>
      </c>
    </row>
    <row r="6" spans="1:43" ht="14.45" x14ac:dyDescent="0.3">
      <c r="A6" s="358"/>
      <c r="B6" t="s">
        <v>215</v>
      </c>
      <c r="C6" s="382">
        <v>-0.38</v>
      </c>
      <c r="D6" s="383">
        <v>-0.35</v>
      </c>
      <c r="E6" s="383">
        <v>-0.34</v>
      </c>
      <c r="F6" s="384">
        <v>-0.33</v>
      </c>
      <c r="G6" s="384">
        <v>-0.31000000000000005</v>
      </c>
      <c r="H6" s="393">
        <v>-0.33</v>
      </c>
      <c r="I6" s="393">
        <v>-0.33</v>
      </c>
      <c r="J6" s="394">
        <v>-0.12</v>
      </c>
      <c r="K6" s="433"/>
      <c r="L6" s="432"/>
      <c r="M6" s="433" t="s">
        <v>215</v>
      </c>
      <c r="N6" s="382">
        <v>-0.42</v>
      </c>
      <c r="O6" s="383">
        <v>-0.3899999999999999</v>
      </c>
      <c r="P6" s="383">
        <v>-0.38</v>
      </c>
      <c r="Q6" s="384">
        <v>-0.37</v>
      </c>
      <c r="R6" s="384">
        <v>-0.35</v>
      </c>
      <c r="S6" s="393">
        <v>-0.37</v>
      </c>
      <c r="T6" s="393">
        <v>-0.37</v>
      </c>
      <c r="U6" s="394">
        <v>-0.16</v>
      </c>
      <c r="V6" s="433"/>
      <c r="W6" s="432"/>
      <c r="X6" s="433" t="s">
        <v>215</v>
      </c>
      <c r="Y6" s="382">
        <v>-0.5</v>
      </c>
      <c r="Z6" s="383">
        <v>-0.47</v>
      </c>
      <c r="AA6" s="383">
        <v>-0.46</v>
      </c>
      <c r="AB6" s="384">
        <v>-0.45</v>
      </c>
      <c r="AC6" s="384">
        <v>-0.43000000000000005</v>
      </c>
      <c r="AD6" s="393">
        <v>-0.45</v>
      </c>
      <c r="AE6" s="393">
        <v>-0.45</v>
      </c>
      <c r="AF6" s="394">
        <v>-0.24</v>
      </c>
      <c r="AG6" s="433"/>
      <c r="AH6" s="432"/>
      <c r="AI6" s="433" t="s">
        <v>215</v>
      </c>
      <c r="AJ6" s="382">
        <v>-0.64</v>
      </c>
      <c r="AK6" s="383">
        <v>-0.61</v>
      </c>
      <c r="AL6" s="383">
        <v>-0.60000000000000009</v>
      </c>
      <c r="AM6" s="384">
        <v>-0.56000000000000005</v>
      </c>
      <c r="AN6" s="384">
        <v>-0.54</v>
      </c>
      <c r="AO6" s="393">
        <v>-0.53</v>
      </c>
      <c r="AP6" s="393">
        <v>-0.53</v>
      </c>
      <c r="AQ6" s="394">
        <v>-0.33</v>
      </c>
    </row>
    <row r="7" spans="1:43" ht="14.45" x14ac:dyDescent="0.3">
      <c r="A7" s="358"/>
      <c r="B7" t="s">
        <v>249</v>
      </c>
      <c r="C7" s="382">
        <v>-0.37</v>
      </c>
      <c r="D7" s="383">
        <v>-0.35</v>
      </c>
      <c r="E7" s="383">
        <v>-0.33</v>
      </c>
      <c r="F7" s="384">
        <v>-0.32</v>
      </c>
      <c r="G7" s="384">
        <v>-0.31000000000000005</v>
      </c>
      <c r="H7" s="393">
        <v>-0.33</v>
      </c>
      <c r="I7" s="393">
        <v>-0.33</v>
      </c>
      <c r="J7" s="394">
        <v>-0.09</v>
      </c>
      <c r="K7" s="433"/>
      <c r="L7" s="432"/>
      <c r="M7" s="433" t="s">
        <v>249</v>
      </c>
      <c r="N7" s="382">
        <v>-0.41</v>
      </c>
      <c r="O7" s="383">
        <v>-0.3899999999999999</v>
      </c>
      <c r="P7" s="383">
        <v>-0.37</v>
      </c>
      <c r="Q7" s="384">
        <v>-0.36</v>
      </c>
      <c r="R7" s="384">
        <v>-0.35</v>
      </c>
      <c r="S7" s="393">
        <v>-0.37</v>
      </c>
      <c r="T7" s="393">
        <v>-0.37</v>
      </c>
      <c r="U7" s="394">
        <v>-0.13</v>
      </c>
      <c r="V7" s="433"/>
      <c r="W7" s="432"/>
      <c r="X7" s="433" t="s">
        <v>249</v>
      </c>
      <c r="Y7" s="382">
        <v>-0.49</v>
      </c>
      <c r="Z7" s="383">
        <v>-0.47</v>
      </c>
      <c r="AA7" s="383">
        <v>-0.45</v>
      </c>
      <c r="AB7" s="384">
        <v>-0.44</v>
      </c>
      <c r="AC7" s="384">
        <v>-0.43000000000000005</v>
      </c>
      <c r="AD7" s="393">
        <v>-0.45</v>
      </c>
      <c r="AE7" s="393">
        <v>-0.45</v>
      </c>
      <c r="AF7" s="394">
        <v>-0.21</v>
      </c>
      <c r="AG7" s="433"/>
      <c r="AH7" s="432"/>
      <c r="AI7" s="433" t="s">
        <v>249</v>
      </c>
      <c r="AJ7" s="382">
        <v>-0.63</v>
      </c>
      <c r="AK7" s="383">
        <v>-0.61</v>
      </c>
      <c r="AL7" s="383">
        <v>-0.59000000000000008</v>
      </c>
      <c r="AM7" s="384">
        <v>-0.55000000000000004</v>
      </c>
      <c r="AN7" s="384">
        <v>-0.52</v>
      </c>
      <c r="AO7" s="393">
        <v>-0.53</v>
      </c>
      <c r="AP7" s="393">
        <v>-0.53</v>
      </c>
      <c r="AQ7" s="394">
        <v>-0.33</v>
      </c>
    </row>
    <row r="8" spans="1:43" ht="14.45" x14ac:dyDescent="0.3">
      <c r="A8" s="358"/>
      <c r="B8" t="s">
        <v>257</v>
      </c>
      <c r="C8" s="382">
        <v>-0.36</v>
      </c>
      <c r="D8" s="383">
        <v>-0.35</v>
      </c>
      <c r="E8" s="383">
        <v>-0.33</v>
      </c>
      <c r="F8" s="384">
        <v>-0.32</v>
      </c>
      <c r="G8" s="384">
        <v>-0.30000000000000004</v>
      </c>
      <c r="H8" s="393">
        <v>-0.32</v>
      </c>
      <c r="I8" s="393">
        <v>-0.31000000000000005</v>
      </c>
      <c r="J8" s="394">
        <v>-0.09</v>
      </c>
      <c r="K8" s="433"/>
      <c r="L8" s="432"/>
      <c r="M8" s="433" t="s">
        <v>257</v>
      </c>
      <c r="N8" s="382">
        <v>-0.4</v>
      </c>
      <c r="O8" s="383">
        <v>-0.3899999999999999</v>
      </c>
      <c r="P8" s="383">
        <v>-0.37</v>
      </c>
      <c r="Q8" s="384">
        <v>-0.36</v>
      </c>
      <c r="R8" s="384">
        <v>-0.34</v>
      </c>
      <c r="S8" s="393">
        <v>-0.36</v>
      </c>
      <c r="T8" s="393">
        <v>-0.35</v>
      </c>
      <c r="U8" s="394">
        <v>-0.13</v>
      </c>
      <c r="V8" s="433"/>
      <c r="W8" s="432"/>
      <c r="X8" s="433" t="s">
        <v>257</v>
      </c>
      <c r="Y8" s="382">
        <v>-0.48</v>
      </c>
      <c r="Z8" s="383">
        <v>-0.47</v>
      </c>
      <c r="AA8" s="383">
        <v>-0.45</v>
      </c>
      <c r="AB8" s="384">
        <v>-0.44</v>
      </c>
      <c r="AC8" s="384">
        <v>-0.4200000000000001</v>
      </c>
      <c r="AD8" s="393">
        <v>-0.44</v>
      </c>
      <c r="AE8" s="393">
        <v>-0.43000000000000005</v>
      </c>
      <c r="AF8" s="394">
        <v>-0.21</v>
      </c>
      <c r="AG8" s="433"/>
      <c r="AH8" s="432"/>
      <c r="AI8" s="433" t="s">
        <v>257</v>
      </c>
      <c r="AJ8" s="382">
        <v>-0.62</v>
      </c>
      <c r="AK8" s="383">
        <v>-0.61</v>
      </c>
      <c r="AL8" s="383">
        <v>-0.59</v>
      </c>
      <c r="AM8" s="384">
        <v>-0.57999999999999996</v>
      </c>
      <c r="AN8" s="384">
        <v>-0.56999999999999995</v>
      </c>
      <c r="AO8" s="393">
        <v>-0.55000000000000004</v>
      </c>
      <c r="AP8" s="393">
        <v>-0.51</v>
      </c>
      <c r="AQ8" s="394">
        <v>-0.35</v>
      </c>
    </row>
    <row r="9" spans="1:43" ht="14.45" x14ac:dyDescent="0.3">
      <c r="A9" s="358"/>
      <c r="B9" t="s">
        <v>264</v>
      </c>
      <c r="C9" s="385">
        <v>-0.4</v>
      </c>
      <c r="D9" s="386">
        <v>-0.39</v>
      </c>
      <c r="E9" s="386">
        <v>-0.37</v>
      </c>
      <c r="F9" s="387">
        <v>-0.36</v>
      </c>
      <c r="G9" s="387">
        <v>-0.35</v>
      </c>
      <c r="H9" s="441">
        <v>-0.35</v>
      </c>
      <c r="I9" s="441">
        <v>-0.34000000000000008</v>
      </c>
      <c r="J9" s="442">
        <v>-0.12</v>
      </c>
      <c r="K9" s="433"/>
      <c r="L9" s="432"/>
      <c r="M9" s="433" t="s">
        <v>264</v>
      </c>
      <c r="N9" s="385">
        <v>-0.44</v>
      </c>
      <c r="O9" s="386">
        <v>-0.43</v>
      </c>
      <c r="P9" s="386">
        <v>-0.41</v>
      </c>
      <c r="Q9" s="387">
        <v>-0.4</v>
      </c>
      <c r="R9" s="387">
        <v>-0.39</v>
      </c>
      <c r="S9" s="441">
        <v>-0.38</v>
      </c>
      <c r="T9" s="441">
        <v>-0.37000000000000005</v>
      </c>
      <c r="U9" s="442">
        <v>-0.15</v>
      </c>
      <c r="V9" s="433"/>
      <c r="W9" s="432"/>
      <c r="X9" s="433" t="s">
        <v>264</v>
      </c>
      <c r="Y9" s="385">
        <v>-0.52</v>
      </c>
      <c r="Z9" s="386">
        <v>-0.51</v>
      </c>
      <c r="AA9" s="386">
        <v>-0.49</v>
      </c>
      <c r="AB9" s="387">
        <v>-0.48</v>
      </c>
      <c r="AC9" s="387">
        <v>-0.47</v>
      </c>
      <c r="AD9" s="441">
        <v>-0.47</v>
      </c>
      <c r="AE9" s="441">
        <v>-0.46000000000000008</v>
      </c>
      <c r="AF9" s="442">
        <v>-0.26</v>
      </c>
      <c r="AG9" s="433"/>
      <c r="AH9" s="432"/>
      <c r="AI9" s="433" t="s">
        <v>264</v>
      </c>
      <c r="AJ9" s="385">
        <v>-0.66</v>
      </c>
      <c r="AK9" s="386">
        <v>-0.65</v>
      </c>
      <c r="AL9" s="386">
        <v>-0.64</v>
      </c>
      <c r="AM9" s="387">
        <v>-0.63</v>
      </c>
      <c r="AN9" s="387">
        <v>-0.62</v>
      </c>
      <c r="AO9" s="441">
        <v>-0.59</v>
      </c>
      <c r="AP9" s="441">
        <v>-0.56000000000000005</v>
      </c>
      <c r="AQ9" s="442">
        <v>-0.39</v>
      </c>
    </row>
    <row r="10" spans="1:43" ht="14.45" x14ac:dyDescent="0.3">
      <c r="A10" s="358"/>
      <c r="B10" t="s">
        <v>272</v>
      </c>
      <c r="C10" s="385">
        <v>-0.39</v>
      </c>
      <c r="D10" s="386">
        <v>-0.38</v>
      </c>
      <c r="E10" s="386">
        <v>-0.36</v>
      </c>
      <c r="F10" s="387">
        <v>-0.36</v>
      </c>
      <c r="G10" s="387">
        <v>-0.35</v>
      </c>
      <c r="H10" s="441">
        <v>-0.35</v>
      </c>
      <c r="I10" s="441">
        <v>-0.34</v>
      </c>
      <c r="J10" s="442">
        <v>-0.12</v>
      </c>
      <c r="K10" s="433"/>
      <c r="L10" s="432"/>
      <c r="M10" s="433" t="s">
        <v>272</v>
      </c>
      <c r="N10" s="385">
        <v>-0.43</v>
      </c>
      <c r="O10" s="386">
        <v>-0.41999999999999993</v>
      </c>
      <c r="P10" s="386">
        <v>-0.4</v>
      </c>
      <c r="Q10" s="387">
        <v>-0.4</v>
      </c>
      <c r="R10" s="387">
        <v>-0.39</v>
      </c>
      <c r="S10" s="441">
        <v>-0.38</v>
      </c>
      <c r="T10" s="441">
        <v>-0.37</v>
      </c>
      <c r="U10" s="442">
        <v>-0.16</v>
      </c>
      <c r="V10" s="432"/>
      <c r="W10" s="432"/>
      <c r="X10" s="433" t="s">
        <v>272</v>
      </c>
      <c r="Y10" s="385">
        <v>-0.51</v>
      </c>
      <c r="Z10" s="386">
        <v>-0.5</v>
      </c>
      <c r="AA10" s="386">
        <v>-0.48</v>
      </c>
      <c r="AB10" s="387">
        <v>-0.48</v>
      </c>
      <c r="AC10" s="387">
        <v>-0.47</v>
      </c>
      <c r="AD10" s="441">
        <v>-0.47</v>
      </c>
      <c r="AE10" s="441">
        <v>-0.46</v>
      </c>
      <c r="AF10" s="442">
        <v>-0.28000000000000003</v>
      </c>
      <c r="AG10" s="433"/>
      <c r="AH10" s="432"/>
      <c r="AI10" s="433" t="s">
        <v>272</v>
      </c>
      <c r="AJ10" s="385">
        <v>-0.65</v>
      </c>
      <c r="AK10" s="386">
        <v>-0.64</v>
      </c>
      <c r="AL10" s="386">
        <v>-0.62000000000000011</v>
      </c>
      <c r="AM10" s="387">
        <v>-0.61</v>
      </c>
      <c r="AN10" s="387">
        <v>-0.6</v>
      </c>
      <c r="AO10" s="441">
        <v>-0.56999999999999995</v>
      </c>
      <c r="AP10" s="441">
        <v>-0.57999999999999996</v>
      </c>
      <c r="AQ10" s="442">
        <v>-0.44</v>
      </c>
    </row>
    <row r="11" spans="1:43" ht="14.45" x14ac:dyDescent="0.3">
      <c r="A11" s="358"/>
      <c r="B11" t="s">
        <v>278</v>
      </c>
      <c r="C11" s="385">
        <v>-0.39</v>
      </c>
      <c r="D11" s="386">
        <v>-0.38</v>
      </c>
      <c r="E11" s="386">
        <v>-0.36</v>
      </c>
      <c r="F11" s="387">
        <v>-0.35</v>
      </c>
      <c r="G11" s="387">
        <v>-0.35</v>
      </c>
      <c r="H11" s="441">
        <v>-0.34</v>
      </c>
      <c r="I11" s="441">
        <v>-0.33</v>
      </c>
      <c r="J11" s="442">
        <v>-0.17</v>
      </c>
      <c r="K11" s="433"/>
      <c r="L11" s="432"/>
      <c r="M11" s="433" t="s">
        <v>278</v>
      </c>
      <c r="N11" s="385">
        <v>-0.43</v>
      </c>
      <c r="O11" s="386">
        <v>-0.41999999999999993</v>
      </c>
      <c r="P11" s="386">
        <v>-0.4</v>
      </c>
      <c r="Q11" s="387">
        <v>-0.39</v>
      </c>
      <c r="R11" s="387">
        <v>-0.39</v>
      </c>
      <c r="S11" s="441">
        <v>-0.37</v>
      </c>
      <c r="T11" s="441">
        <v>-0.36</v>
      </c>
      <c r="U11" s="442">
        <v>-0.2</v>
      </c>
      <c r="V11" s="433"/>
      <c r="W11" s="427"/>
      <c r="X11" s="433" t="s">
        <v>278</v>
      </c>
      <c r="Y11" s="385">
        <v>-0.51</v>
      </c>
      <c r="Z11" s="386">
        <v>-0.5</v>
      </c>
      <c r="AA11" s="386">
        <v>-0.48</v>
      </c>
      <c r="AB11" s="387">
        <v>-0.47</v>
      </c>
      <c r="AC11" s="387">
        <v>-0.47</v>
      </c>
      <c r="AD11" s="441">
        <v>-0.46</v>
      </c>
      <c r="AE11" s="441">
        <v>-0.45</v>
      </c>
      <c r="AF11" s="442">
        <v>-0.32</v>
      </c>
      <c r="AG11" s="433"/>
      <c r="AH11" s="432"/>
      <c r="AI11" s="433" t="s">
        <v>278</v>
      </c>
      <c r="AJ11" s="385">
        <v>-0.65</v>
      </c>
      <c r="AK11" s="386">
        <v>-0.64</v>
      </c>
      <c r="AL11" s="386">
        <v>-0.62</v>
      </c>
      <c r="AM11" s="387">
        <v>-0.61</v>
      </c>
      <c r="AN11" s="387">
        <v>-0.6</v>
      </c>
      <c r="AO11" s="441">
        <v>-0.6</v>
      </c>
      <c r="AP11" s="441">
        <v>-0.56000000000000005</v>
      </c>
      <c r="AQ11" s="442">
        <v>-0.45</v>
      </c>
    </row>
    <row r="12" spans="1:43" ht="14.45" x14ac:dyDescent="0.3">
      <c r="A12" s="358"/>
      <c r="B12" t="s">
        <v>284</v>
      </c>
      <c r="C12" s="388">
        <v>-0.39</v>
      </c>
      <c r="D12" s="389">
        <v>-0.38</v>
      </c>
      <c r="E12" s="389">
        <v>-0.37</v>
      </c>
      <c r="F12" s="390">
        <v>-0.35</v>
      </c>
      <c r="G12" s="390">
        <v>-0.34</v>
      </c>
      <c r="H12" s="443">
        <v>-0.35</v>
      </c>
      <c r="I12" s="443">
        <v>-0.34</v>
      </c>
      <c r="J12" s="444">
        <v>-0.25</v>
      </c>
      <c r="K12" s="433"/>
      <c r="L12" s="432"/>
      <c r="M12" s="433" t="s">
        <v>284</v>
      </c>
      <c r="N12" s="388">
        <v>-0.43</v>
      </c>
      <c r="O12" s="389">
        <v>-0.41999999999999993</v>
      </c>
      <c r="P12" s="389">
        <v>-0.41</v>
      </c>
      <c r="Q12" s="390">
        <v>-0.39</v>
      </c>
      <c r="R12" s="390">
        <v>-0.38</v>
      </c>
      <c r="S12" s="443">
        <v>-0.38</v>
      </c>
      <c r="T12" s="443">
        <v>-0.37</v>
      </c>
      <c r="U12" s="444">
        <v>-0.28999999999999998</v>
      </c>
      <c r="V12" s="433"/>
      <c r="W12" s="432"/>
      <c r="X12" s="433" t="s">
        <v>284</v>
      </c>
      <c r="Y12" s="388">
        <v>-0.51</v>
      </c>
      <c r="Z12" s="389">
        <v>-0.5</v>
      </c>
      <c r="AA12" s="389">
        <v>-0.49</v>
      </c>
      <c r="AB12" s="390">
        <v>-0.47</v>
      </c>
      <c r="AC12" s="390">
        <v>-0.46</v>
      </c>
      <c r="AD12" s="443">
        <v>-0.47</v>
      </c>
      <c r="AE12" s="443">
        <v>-0.46</v>
      </c>
      <c r="AF12" s="444">
        <v>-0.39</v>
      </c>
      <c r="AG12" s="433"/>
      <c r="AH12" s="432"/>
      <c r="AI12" s="433" t="s">
        <v>284</v>
      </c>
      <c r="AJ12" s="388">
        <v>-0.65</v>
      </c>
      <c r="AK12" s="389">
        <v>-0.64</v>
      </c>
      <c r="AL12" s="389">
        <v>-0.63000000000000012</v>
      </c>
      <c r="AM12" s="390">
        <v>-0.61</v>
      </c>
      <c r="AN12" s="390">
        <v>-0.6</v>
      </c>
      <c r="AO12" s="443">
        <v>-0.59</v>
      </c>
      <c r="AP12" s="443">
        <v>-0.55000000000000004</v>
      </c>
      <c r="AQ12" s="444">
        <v>-0.49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430" t="s">
        <v>322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430" t="s">
        <v>323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430" t="s">
        <v>324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358"/>
      <c r="B15" t="s">
        <v>186</v>
      </c>
      <c r="C15" s="368">
        <v>-0.43</v>
      </c>
      <c r="D15" s="440">
        <v>-0.45</v>
      </c>
      <c r="E15" s="369">
        <v>-0.42</v>
      </c>
      <c r="F15" s="370">
        <v>-0.4</v>
      </c>
      <c r="G15" s="370">
        <v>-0.38</v>
      </c>
      <c r="H15" s="371">
        <v>-0.37</v>
      </c>
      <c r="I15" s="371">
        <v>-0.35</v>
      </c>
      <c r="J15" s="372">
        <v>-0.19</v>
      </c>
      <c r="K15" s="433"/>
      <c r="L15" s="432"/>
      <c r="M15" s="433" t="s">
        <v>186</v>
      </c>
      <c r="N15" s="368">
        <v>-0.46</v>
      </c>
      <c r="O15" s="440">
        <v>-0.48</v>
      </c>
      <c r="P15" s="369">
        <v>-0.44999999999999996</v>
      </c>
      <c r="Q15" s="370">
        <v>-0.41999999999999993</v>
      </c>
      <c r="R15" s="370">
        <v>-0.4</v>
      </c>
      <c r="S15" s="371">
        <v>-0.4</v>
      </c>
      <c r="T15" s="371">
        <v>-0.38</v>
      </c>
      <c r="U15" s="372">
        <v>-0.22</v>
      </c>
      <c r="V15" s="433"/>
      <c r="W15" s="432"/>
      <c r="X15" s="433" t="s">
        <v>186</v>
      </c>
      <c r="Y15" s="368">
        <v>-0.54</v>
      </c>
      <c r="Z15" s="440">
        <v>-0.56000000000000005</v>
      </c>
      <c r="AA15" s="369">
        <v>-0.53</v>
      </c>
      <c r="AB15" s="370">
        <v>-0.49</v>
      </c>
      <c r="AC15" s="370">
        <v>-0.47</v>
      </c>
      <c r="AD15" s="371">
        <v>-0.48</v>
      </c>
      <c r="AE15" s="371">
        <v>-0.46000000000000008</v>
      </c>
      <c r="AF15" s="372">
        <v>-0.30000000000000004</v>
      </c>
      <c r="AG15" s="433"/>
      <c r="AH15" s="432"/>
      <c r="AI15" s="433" t="s">
        <v>186</v>
      </c>
      <c r="AJ15" s="368">
        <v>-0.67</v>
      </c>
      <c r="AK15" s="440">
        <v>-0.69</v>
      </c>
      <c r="AL15" s="369">
        <v>-0.66</v>
      </c>
      <c r="AM15" s="370">
        <v>-0.6</v>
      </c>
      <c r="AN15" s="370">
        <v>-0.58000000000000007</v>
      </c>
      <c r="AO15" s="371">
        <v>-0.56000000000000005</v>
      </c>
      <c r="AP15" s="371">
        <v>-0.54</v>
      </c>
      <c r="AQ15" s="372">
        <v>-0.38</v>
      </c>
    </row>
    <row r="16" spans="1:43" ht="14.45" x14ac:dyDescent="0.3">
      <c r="A16" s="358"/>
      <c r="B16" t="s">
        <v>213</v>
      </c>
      <c r="C16" s="373">
        <v>-0.46</v>
      </c>
      <c r="D16" s="374">
        <v>-0.43</v>
      </c>
      <c r="E16" s="375">
        <v>-0.42</v>
      </c>
      <c r="F16" s="376">
        <v>-0.41</v>
      </c>
      <c r="G16" s="376">
        <v>-0.39</v>
      </c>
      <c r="H16" s="377">
        <v>-0.38</v>
      </c>
      <c r="I16" s="377">
        <v>-0.37</v>
      </c>
      <c r="J16" s="378">
        <v>-0.19</v>
      </c>
      <c r="K16" s="433"/>
      <c r="L16" s="432"/>
      <c r="M16" s="433" t="s">
        <v>213</v>
      </c>
      <c r="N16" s="373">
        <v>-0.49</v>
      </c>
      <c r="O16" s="374">
        <v>-0.46</v>
      </c>
      <c r="P16" s="375">
        <v>-0.44999999999999996</v>
      </c>
      <c r="Q16" s="376">
        <v>-0.42999999999999994</v>
      </c>
      <c r="R16" s="376">
        <v>-0.41</v>
      </c>
      <c r="S16" s="377">
        <v>-0.41</v>
      </c>
      <c r="T16" s="377">
        <v>-0.4</v>
      </c>
      <c r="U16" s="378">
        <v>-0.22</v>
      </c>
      <c r="V16" s="433"/>
      <c r="W16" s="432"/>
      <c r="X16" s="433" t="s">
        <v>213</v>
      </c>
      <c r="Y16" s="373">
        <v>-0.57000000000000006</v>
      </c>
      <c r="Z16" s="374">
        <v>-0.54</v>
      </c>
      <c r="AA16" s="375">
        <v>-0.53</v>
      </c>
      <c r="AB16" s="376">
        <v>-0.5</v>
      </c>
      <c r="AC16" s="376">
        <v>-0.48</v>
      </c>
      <c r="AD16" s="377">
        <v>-0.49</v>
      </c>
      <c r="AE16" s="377">
        <v>-0.48</v>
      </c>
      <c r="AF16" s="378">
        <v>-0.30000000000000004</v>
      </c>
      <c r="AG16" s="433"/>
      <c r="AH16" s="432"/>
      <c r="AI16" s="433" t="s">
        <v>213</v>
      </c>
      <c r="AJ16" s="373">
        <v>-0.7</v>
      </c>
      <c r="AK16" s="374">
        <v>-0.67</v>
      </c>
      <c r="AL16" s="375">
        <v>-0.66</v>
      </c>
      <c r="AM16" s="376">
        <v>-0.61</v>
      </c>
      <c r="AN16" s="376">
        <v>-0.59000000000000008</v>
      </c>
      <c r="AO16" s="377">
        <v>-0.57000000000000006</v>
      </c>
      <c r="AP16" s="377">
        <v>-0.56000000000000005</v>
      </c>
      <c r="AQ16" s="378">
        <v>-0.38</v>
      </c>
    </row>
    <row r="17" spans="1:43" ht="14.45" x14ac:dyDescent="0.3">
      <c r="A17" s="358"/>
      <c r="B17" t="s">
        <v>232</v>
      </c>
      <c r="C17" s="379">
        <v>-0.42</v>
      </c>
      <c r="D17" s="380">
        <v>-0.42</v>
      </c>
      <c r="E17" s="381">
        <v>-0.4</v>
      </c>
      <c r="F17" s="376">
        <v>-0.38</v>
      </c>
      <c r="G17" s="376">
        <v>-0.37</v>
      </c>
      <c r="H17" s="377">
        <v>-0.37</v>
      </c>
      <c r="I17" s="377">
        <v>-0.36</v>
      </c>
      <c r="J17" s="378">
        <v>-0.19</v>
      </c>
      <c r="K17" s="433"/>
      <c r="L17" s="432"/>
      <c r="M17" s="433" t="s">
        <v>232</v>
      </c>
      <c r="N17" s="379">
        <v>-0.44999999999999996</v>
      </c>
      <c r="O17" s="380">
        <v>-0.44999999999999996</v>
      </c>
      <c r="P17" s="381">
        <v>-0.43</v>
      </c>
      <c r="Q17" s="376">
        <v>-0.4</v>
      </c>
      <c r="R17" s="376">
        <v>-0.39</v>
      </c>
      <c r="S17" s="377">
        <v>-0.4</v>
      </c>
      <c r="T17" s="377">
        <v>-0.39</v>
      </c>
      <c r="U17" s="378">
        <v>-0.22</v>
      </c>
      <c r="V17" s="433"/>
      <c r="W17" s="432"/>
      <c r="X17" s="433" t="s">
        <v>232</v>
      </c>
      <c r="Y17" s="379">
        <v>-0.53</v>
      </c>
      <c r="Z17" s="380">
        <v>-0.53</v>
      </c>
      <c r="AA17" s="381">
        <v>-0.51</v>
      </c>
      <c r="AB17" s="376">
        <v>-0.47</v>
      </c>
      <c r="AC17" s="376">
        <v>-0.46</v>
      </c>
      <c r="AD17" s="377">
        <v>-0.48</v>
      </c>
      <c r="AE17" s="377">
        <v>-0.47</v>
      </c>
      <c r="AF17" s="378">
        <v>-0.30000000000000004</v>
      </c>
      <c r="AG17" s="433"/>
      <c r="AH17" s="432"/>
      <c r="AI17" s="433" t="s">
        <v>232</v>
      </c>
      <c r="AJ17" s="379">
        <v>-0.66</v>
      </c>
      <c r="AK17" s="380">
        <v>-0.66</v>
      </c>
      <c r="AL17" s="381">
        <v>-0.64000000000000012</v>
      </c>
      <c r="AM17" s="376">
        <v>-0.6</v>
      </c>
      <c r="AN17" s="376">
        <v>-0.57000000000000006</v>
      </c>
      <c r="AO17" s="377">
        <v>-0.56000000000000005</v>
      </c>
      <c r="AP17" s="377">
        <v>-0.55000000000000004</v>
      </c>
      <c r="AQ17" s="378">
        <v>-0.38</v>
      </c>
    </row>
    <row r="18" spans="1:43" ht="14.45" x14ac:dyDescent="0.3">
      <c r="A18" s="358"/>
      <c r="B18" t="s">
        <v>215</v>
      </c>
      <c r="C18" s="382">
        <v>-0.43</v>
      </c>
      <c r="D18" s="383">
        <v>-0.4</v>
      </c>
      <c r="E18" s="383">
        <v>-0.39</v>
      </c>
      <c r="F18" s="384">
        <v>-0.38</v>
      </c>
      <c r="G18" s="384">
        <v>-0.3600000000000001</v>
      </c>
      <c r="H18" s="393">
        <v>-0.37</v>
      </c>
      <c r="I18" s="393">
        <v>-0.37</v>
      </c>
      <c r="J18" s="394">
        <v>-0.16</v>
      </c>
      <c r="K18" s="433"/>
      <c r="L18" s="432"/>
      <c r="M18" s="433" t="s">
        <v>215</v>
      </c>
      <c r="N18" s="382">
        <v>-0.46</v>
      </c>
      <c r="O18" s="383">
        <v>-0.42999999999999994</v>
      </c>
      <c r="P18" s="383">
        <v>-0.42</v>
      </c>
      <c r="Q18" s="384">
        <v>-0.4</v>
      </c>
      <c r="R18" s="384">
        <v>-0.38</v>
      </c>
      <c r="S18" s="393">
        <v>-0.4</v>
      </c>
      <c r="T18" s="393">
        <v>-0.4</v>
      </c>
      <c r="U18" s="394">
        <v>-0.19</v>
      </c>
      <c r="V18" s="433"/>
      <c r="W18" s="432"/>
      <c r="X18" s="433" t="s">
        <v>215</v>
      </c>
      <c r="Y18" s="382">
        <v>-0.54</v>
      </c>
      <c r="Z18" s="383">
        <v>-0.51</v>
      </c>
      <c r="AA18" s="383">
        <v>-0.5</v>
      </c>
      <c r="AB18" s="384">
        <v>-0.48</v>
      </c>
      <c r="AC18" s="384">
        <v>-0.46000000000000008</v>
      </c>
      <c r="AD18" s="393">
        <v>-0.48</v>
      </c>
      <c r="AE18" s="393">
        <v>-0.48</v>
      </c>
      <c r="AF18" s="394">
        <v>-0.27</v>
      </c>
      <c r="AG18" s="433"/>
      <c r="AH18" s="432"/>
      <c r="AI18" s="433" t="s">
        <v>215</v>
      </c>
      <c r="AJ18" s="382">
        <v>-0.68</v>
      </c>
      <c r="AK18" s="383">
        <v>-0.66</v>
      </c>
      <c r="AL18" s="383">
        <v>-0.64000000000000012</v>
      </c>
      <c r="AM18" s="384">
        <v>-0.6</v>
      </c>
      <c r="AN18" s="384">
        <v>-0.55000000000000004</v>
      </c>
      <c r="AO18" s="393">
        <v>-0.56000000000000005</v>
      </c>
      <c r="AP18" s="393">
        <v>-0.56000000000000005</v>
      </c>
      <c r="AQ18" s="394">
        <v>-0.37</v>
      </c>
    </row>
    <row r="19" spans="1:43" ht="14.45" x14ac:dyDescent="0.3">
      <c r="A19" s="358"/>
      <c r="B19" t="s">
        <v>249</v>
      </c>
      <c r="C19" s="382">
        <v>-0.42</v>
      </c>
      <c r="D19" s="383">
        <v>-0.4</v>
      </c>
      <c r="E19" s="383">
        <v>-0.38</v>
      </c>
      <c r="F19" s="384">
        <v>-0.37</v>
      </c>
      <c r="G19" s="384">
        <v>-0.3600000000000001</v>
      </c>
      <c r="H19" s="393">
        <v>-0.37</v>
      </c>
      <c r="I19" s="393">
        <v>-0.37</v>
      </c>
      <c r="J19" s="394">
        <v>-0.13</v>
      </c>
      <c r="K19" s="433"/>
      <c r="L19" s="432"/>
      <c r="M19" s="433" t="s">
        <v>249</v>
      </c>
      <c r="N19" s="382">
        <v>-0.44999999999999996</v>
      </c>
      <c r="O19" s="383">
        <v>-0.42999999999999994</v>
      </c>
      <c r="P19" s="383">
        <v>-0.41</v>
      </c>
      <c r="Q19" s="384">
        <v>-0.39</v>
      </c>
      <c r="R19" s="384">
        <v>-0.38</v>
      </c>
      <c r="S19" s="393">
        <v>-0.4</v>
      </c>
      <c r="T19" s="393">
        <v>-0.4</v>
      </c>
      <c r="U19" s="394">
        <v>-0.16</v>
      </c>
      <c r="V19" s="433"/>
      <c r="W19" s="432"/>
      <c r="X19" s="433" t="s">
        <v>249</v>
      </c>
      <c r="Y19" s="382">
        <v>-0.53</v>
      </c>
      <c r="Z19" s="383">
        <v>-0.51</v>
      </c>
      <c r="AA19" s="383">
        <v>-0.49</v>
      </c>
      <c r="AB19" s="384">
        <v>-0.47</v>
      </c>
      <c r="AC19" s="384">
        <v>-0.46000000000000008</v>
      </c>
      <c r="AD19" s="393">
        <v>-0.48</v>
      </c>
      <c r="AE19" s="393">
        <v>-0.48</v>
      </c>
      <c r="AF19" s="394">
        <v>-0.26</v>
      </c>
      <c r="AG19" s="433"/>
      <c r="AH19" s="432"/>
      <c r="AI19" s="433" t="s">
        <v>249</v>
      </c>
      <c r="AJ19" s="382">
        <v>-0.67</v>
      </c>
      <c r="AK19" s="383">
        <v>-0.65</v>
      </c>
      <c r="AL19" s="383">
        <v>-0.63000000000000012</v>
      </c>
      <c r="AM19" s="384">
        <v>-0.6</v>
      </c>
      <c r="AN19" s="384">
        <v>-0.56999999999999995</v>
      </c>
      <c r="AO19" s="393">
        <v>-0.56999999999999995</v>
      </c>
      <c r="AP19" s="393">
        <v>-0.56000000000000005</v>
      </c>
      <c r="AQ19" s="394">
        <v>-0.38</v>
      </c>
    </row>
    <row r="20" spans="1:43" ht="14.45" x14ac:dyDescent="0.3">
      <c r="A20" s="358"/>
      <c r="B20" t="s">
        <v>257</v>
      </c>
      <c r="C20" s="382">
        <v>-0.41</v>
      </c>
      <c r="D20" s="383">
        <v>-0.4</v>
      </c>
      <c r="E20" s="383">
        <v>-0.38</v>
      </c>
      <c r="F20" s="384">
        <v>-0.37</v>
      </c>
      <c r="G20" s="384">
        <v>-0.35</v>
      </c>
      <c r="H20" s="393">
        <v>-0.36</v>
      </c>
      <c r="I20" s="393">
        <v>-0.35</v>
      </c>
      <c r="J20" s="394">
        <v>-0.13</v>
      </c>
      <c r="K20" s="433"/>
      <c r="L20" s="432"/>
      <c r="M20" s="433" t="s">
        <v>257</v>
      </c>
      <c r="N20" s="382">
        <v>-0.43999999999999995</v>
      </c>
      <c r="O20" s="383">
        <v>-0.42999999999999994</v>
      </c>
      <c r="P20" s="383">
        <v>-0.41</v>
      </c>
      <c r="Q20" s="384">
        <v>-0.39</v>
      </c>
      <c r="R20" s="384">
        <v>-0.37</v>
      </c>
      <c r="S20" s="393">
        <v>-0.39</v>
      </c>
      <c r="T20" s="393">
        <v>-0.38</v>
      </c>
      <c r="U20" s="394">
        <v>-0.16</v>
      </c>
      <c r="V20" s="433"/>
      <c r="W20" s="432"/>
      <c r="X20" s="433" t="s">
        <v>257</v>
      </c>
      <c r="Y20" s="382">
        <v>-0.52</v>
      </c>
      <c r="Z20" s="383">
        <v>-0.51</v>
      </c>
      <c r="AA20" s="383">
        <v>-0.49</v>
      </c>
      <c r="AB20" s="384">
        <v>-0.47</v>
      </c>
      <c r="AC20" s="384">
        <v>-0.45000000000000007</v>
      </c>
      <c r="AD20" s="393">
        <v>-0.47</v>
      </c>
      <c r="AE20" s="393">
        <v>-0.46000000000000008</v>
      </c>
      <c r="AF20" s="394">
        <v>-0.24</v>
      </c>
      <c r="AG20" s="433"/>
      <c r="AH20" s="432"/>
      <c r="AI20" s="433" t="s">
        <v>257</v>
      </c>
      <c r="AJ20" s="382">
        <v>-0.66</v>
      </c>
      <c r="AK20" s="383">
        <v>-0.65</v>
      </c>
      <c r="AL20" s="383">
        <v>-0.63000000000000012</v>
      </c>
      <c r="AM20" s="384">
        <v>-0.6</v>
      </c>
      <c r="AN20" s="384">
        <v>-0.59</v>
      </c>
      <c r="AO20" s="393">
        <v>-0.56000000000000005</v>
      </c>
      <c r="AP20" s="393">
        <v>-0.54</v>
      </c>
      <c r="AQ20" s="394">
        <v>-0.36</v>
      </c>
    </row>
    <row r="21" spans="1:43" ht="14.45" x14ac:dyDescent="0.3">
      <c r="A21" s="358"/>
      <c r="B21" t="s">
        <v>264</v>
      </c>
      <c r="C21" s="385">
        <v>-0.44</v>
      </c>
      <c r="D21" s="386">
        <v>-0.43</v>
      </c>
      <c r="E21" s="386">
        <v>-0.41</v>
      </c>
      <c r="F21" s="387">
        <v>-0.4</v>
      </c>
      <c r="G21" s="387">
        <v>-0.39</v>
      </c>
      <c r="H21" s="441">
        <v>-0.39</v>
      </c>
      <c r="I21" s="441">
        <v>-0.38</v>
      </c>
      <c r="J21" s="442">
        <v>-0.16</v>
      </c>
      <c r="K21" s="433"/>
      <c r="L21" s="432"/>
      <c r="M21" s="433" t="s">
        <v>264</v>
      </c>
      <c r="N21" s="385">
        <v>-0.46999999999999992</v>
      </c>
      <c r="O21" s="386">
        <v>-0.45999999999999991</v>
      </c>
      <c r="P21" s="386">
        <v>-0.44</v>
      </c>
      <c r="Q21" s="387">
        <v>-0.43</v>
      </c>
      <c r="R21" s="387">
        <v>-0.42</v>
      </c>
      <c r="S21" s="441">
        <v>-0.41</v>
      </c>
      <c r="T21" s="441">
        <v>-0.40000000000000013</v>
      </c>
      <c r="U21" s="442">
        <v>-0.18</v>
      </c>
      <c r="V21" s="433"/>
      <c r="W21" s="432"/>
      <c r="X21" s="433" t="s">
        <v>264</v>
      </c>
      <c r="Y21" s="385">
        <v>-0.55000000000000004</v>
      </c>
      <c r="Z21" s="386">
        <v>-0.54</v>
      </c>
      <c r="AA21" s="386">
        <v>-0.52</v>
      </c>
      <c r="AB21" s="387">
        <v>-0.51</v>
      </c>
      <c r="AC21" s="387">
        <v>-0.5</v>
      </c>
      <c r="AD21" s="441">
        <v>-0.5</v>
      </c>
      <c r="AE21" s="441">
        <v>-0.49000000000000005</v>
      </c>
      <c r="AF21" s="442">
        <v>-0.28999999999999998</v>
      </c>
      <c r="AG21" s="433"/>
      <c r="AH21" s="432"/>
      <c r="AI21" s="433" t="s">
        <v>264</v>
      </c>
      <c r="AJ21" s="385">
        <v>-0.69</v>
      </c>
      <c r="AK21" s="386">
        <v>-0.68</v>
      </c>
      <c r="AL21" s="386">
        <v>-0.67</v>
      </c>
      <c r="AM21" s="387">
        <v>-0.66</v>
      </c>
      <c r="AN21" s="387">
        <v>-0.64</v>
      </c>
      <c r="AO21" s="441">
        <v>-0.63</v>
      </c>
      <c r="AP21" s="441">
        <v>-0.6</v>
      </c>
      <c r="AQ21" s="442">
        <v>-0.45</v>
      </c>
    </row>
    <row r="22" spans="1:43" ht="14.45" x14ac:dyDescent="0.3">
      <c r="A22" s="358"/>
      <c r="B22" t="s">
        <v>272</v>
      </c>
      <c r="C22" s="385">
        <v>-0.43</v>
      </c>
      <c r="D22" s="386">
        <v>-0.41999999999999993</v>
      </c>
      <c r="E22" s="386">
        <v>-0.4</v>
      </c>
      <c r="F22" s="387">
        <v>-0.4</v>
      </c>
      <c r="G22" s="387">
        <v>-0.39</v>
      </c>
      <c r="H22" s="441">
        <v>-0.39</v>
      </c>
      <c r="I22" s="441">
        <v>-0.38</v>
      </c>
      <c r="J22" s="442">
        <v>-0.17</v>
      </c>
      <c r="K22" s="433"/>
      <c r="L22" s="432"/>
      <c r="M22" s="433" t="s">
        <v>272</v>
      </c>
      <c r="N22" s="385">
        <v>-0.45999999999999991</v>
      </c>
      <c r="O22" s="386">
        <v>-0.44999999999999996</v>
      </c>
      <c r="P22" s="386">
        <v>-0.43</v>
      </c>
      <c r="Q22" s="387">
        <v>-0.43</v>
      </c>
      <c r="R22" s="387">
        <v>-0.42</v>
      </c>
      <c r="S22" s="441">
        <v>-0.41</v>
      </c>
      <c r="T22" s="441">
        <v>-0.4</v>
      </c>
      <c r="U22" s="442">
        <v>-0.2</v>
      </c>
      <c r="V22" s="433"/>
      <c r="W22" s="432"/>
      <c r="X22" s="433" t="s">
        <v>272</v>
      </c>
      <c r="Y22" s="385">
        <v>-0.54</v>
      </c>
      <c r="Z22" s="386">
        <v>-0.53</v>
      </c>
      <c r="AA22" s="386">
        <v>-0.51</v>
      </c>
      <c r="AB22" s="387">
        <v>-0.51</v>
      </c>
      <c r="AC22" s="387">
        <v>-0.5</v>
      </c>
      <c r="AD22" s="441">
        <v>-0.5</v>
      </c>
      <c r="AE22" s="441">
        <v>-0.48</v>
      </c>
      <c r="AF22" s="442">
        <v>-0.31</v>
      </c>
      <c r="AG22" s="433"/>
      <c r="AH22" s="432"/>
      <c r="AI22" s="433" t="s">
        <v>272</v>
      </c>
      <c r="AJ22" s="385">
        <v>-0.68</v>
      </c>
      <c r="AK22" s="386">
        <v>-0.67</v>
      </c>
      <c r="AL22" s="386">
        <v>-0.65000000000000013</v>
      </c>
      <c r="AM22" s="387">
        <v>-0.64</v>
      </c>
      <c r="AN22" s="387">
        <v>-0.62</v>
      </c>
      <c r="AO22" s="441">
        <v>-0.59</v>
      </c>
      <c r="AP22" s="441">
        <v>-0.59</v>
      </c>
      <c r="AQ22" s="442">
        <v>-0.45</v>
      </c>
    </row>
    <row r="23" spans="1:43" ht="14.45" x14ac:dyDescent="0.3">
      <c r="A23" s="358"/>
      <c r="B23" t="s">
        <v>278</v>
      </c>
      <c r="C23" s="385">
        <v>-0.43</v>
      </c>
      <c r="D23" s="386">
        <v>-0.41999999999999993</v>
      </c>
      <c r="E23" s="386">
        <v>-0.4</v>
      </c>
      <c r="F23" s="387">
        <v>-0.39</v>
      </c>
      <c r="G23" s="387">
        <v>-0.39</v>
      </c>
      <c r="H23" s="441">
        <v>-0.38</v>
      </c>
      <c r="I23" s="441">
        <v>-0.37</v>
      </c>
      <c r="J23" s="442">
        <v>-0.22</v>
      </c>
      <c r="K23" s="433"/>
      <c r="L23" s="432"/>
      <c r="M23" s="433" t="s">
        <v>278</v>
      </c>
      <c r="N23" s="385">
        <v>-0.45999999999999991</v>
      </c>
      <c r="O23" s="386">
        <v>-0.44999999999999996</v>
      </c>
      <c r="P23" s="386">
        <v>-0.43</v>
      </c>
      <c r="Q23" s="387">
        <v>-0.42</v>
      </c>
      <c r="R23" s="387">
        <v>-0.42</v>
      </c>
      <c r="S23" s="441">
        <v>-0.4</v>
      </c>
      <c r="T23" s="441">
        <v>-0.39</v>
      </c>
      <c r="U23" s="442">
        <v>-0.24</v>
      </c>
      <c r="V23" s="433"/>
      <c r="W23" s="432"/>
      <c r="X23" s="433" t="s">
        <v>278</v>
      </c>
      <c r="Y23" s="385">
        <v>-0.54</v>
      </c>
      <c r="Z23" s="386">
        <v>-0.53</v>
      </c>
      <c r="AA23" s="386">
        <v>-0.51</v>
      </c>
      <c r="AB23" s="387">
        <v>-0.5</v>
      </c>
      <c r="AC23" s="387">
        <v>-0.5</v>
      </c>
      <c r="AD23" s="441">
        <v>-0.49</v>
      </c>
      <c r="AE23" s="441">
        <v>-0.48</v>
      </c>
      <c r="AF23" s="442">
        <v>-0.35</v>
      </c>
      <c r="AG23" s="433"/>
      <c r="AH23" s="432"/>
      <c r="AI23" s="433" t="s">
        <v>278</v>
      </c>
      <c r="AJ23" s="385">
        <v>-0.68</v>
      </c>
      <c r="AK23" s="386">
        <v>-0.67</v>
      </c>
      <c r="AL23" s="386">
        <v>-0.66</v>
      </c>
      <c r="AM23" s="387">
        <v>-0.65</v>
      </c>
      <c r="AN23" s="387">
        <v>-0.63</v>
      </c>
      <c r="AO23" s="441">
        <v>-0.61</v>
      </c>
      <c r="AP23" s="441">
        <v>-0.56999999999999995</v>
      </c>
      <c r="AQ23" s="442">
        <v>-0.47</v>
      </c>
    </row>
    <row r="24" spans="1:43" ht="14.45" x14ac:dyDescent="0.3">
      <c r="A24" s="358"/>
      <c r="B24" t="s">
        <v>284</v>
      </c>
      <c r="C24" s="388">
        <v>-0.43</v>
      </c>
      <c r="D24" s="389">
        <v>-0.41999999999999993</v>
      </c>
      <c r="E24" s="389">
        <v>-0.41</v>
      </c>
      <c r="F24" s="390">
        <v>-0.39</v>
      </c>
      <c r="G24" s="390">
        <v>-0.38</v>
      </c>
      <c r="H24" s="443">
        <v>-0.39</v>
      </c>
      <c r="I24" s="443">
        <v>-0.38</v>
      </c>
      <c r="J24" s="444">
        <v>-0.3</v>
      </c>
      <c r="K24" s="433"/>
      <c r="L24" s="432"/>
      <c r="M24" s="433" t="s">
        <v>284</v>
      </c>
      <c r="N24" s="388">
        <v>-0.45999999999999991</v>
      </c>
      <c r="O24" s="389">
        <v>-0.44999999999999996</v>
      </c>
      <c r="P24" s="389">
        <v>-0.44</v>
      </c>
      <c r="Q24" s="390">
        <v>-0.42</v>
      </c>
      <c r="R24" s="390">
        <v>-0.41</v>
      </c>
      <c r="S24" s="443">
        <v>-0.41</v>
      </c>
      <c r="T24" s="443">
        <v>-0.4</v>
      </c>
      <c r="U24" s="444">
        <v>-0.32</v>
      </c>
      <c r="V24" s="433"/>
      <c r="W24" s="432"/>
      <c r="X24" s="433" t="s">
        <v>284</v>
      </c>
      <c r="Y24" s="388">
        <v>-0.54</v>
      </c>
      <c r="Z24" s="389">
        <v>-0.53</v>
      </c>
      <c r="AA24" s="389">
        <v>-0.52</v>
      </c>
      <c r="AB24" s="390">
        <v>-0.5</v>
      </c>
      <c r="AC24" s="390">
        <v>-0.49</v>
      </c>
      <c r="AD24" s="443">
        <v>-0.5</v>
      </c>
      <c r="AE24" s="443">
        <v>-0.49</v>
      </c>
      <c r="AF24" s="444">
        <v>-0.42</v>
      </c>
      <c r="AG24" s="433"/>
      <c r="AH24" s="432"/>
      <c r="AI24" s="433" t="s">
        <v>284</v>
      </c>
      <c r="AJ24" s="388">
        <v>-0.68</v>
      </c>
      <c r="AK24" s="389">
        <v>-0.67</v>
      </c>
      <c r="AL24" s="389">
        <v>-0.66000000000000014</v>
      </c>
      <c r="AM24" s="390">
        <v>-0.64</v>
      </c>
      <c r="AN24" s="390">
        <v>-0.62</v>
      </c>
      <c r="AO24" s="443">
        <v>-0.6</v>
      </c>
      <c r="AP24" s="443">
        <v>-0.56999999999999995</v>
      </c>
      <c r="AQ24" s="444">
        <v>-0.51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430" t="s">
        <v>326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430" t="s">
        <v>327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430" t="s">
        <v>328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358"/>
      <c r="B27" t="s">
        <v>186</v>
      </c>
      <c r="C27" s="368">
        <v>-0.52</v>
      </c>
      <c r="D27" s="440">
        <v>-0.54</v>
      </c>
      <c r="E27" s="369">
        <v>-0.51</v>
      </c>
      <c r="F27" s="370">
        <v>-0.5</v>
      </c>
      <c r="G27" s="370">
        <v>-0.48</v>
      </c>
      <c r="H27" s="371">
        <v>-0.48</v>
      </c>
      <c r="I27" s="371">
        <v>-0.46000000000000008</v>
      </c>
      <c r="J27" s="372">
        <v>-0.3</v>
      </c>
      <c r="K27" s="433"/>
      <c r="L27" s="432"/>
      <c r="M27" s="433" t="s">
        <v>186</v>
      </c>
      <c r="N27" s="368">
        <v>-0.56000000000000005</v>
      </c>
      <c r="O27" s="440">
        <v>-0.58000000000000007</v>
      </c>
      <c r="P27" s="369">
        <v>-0.55000000000000004</v>
      </c>
      <c r="Q27" s="370">
        <v>-0.53</v>
      </c>
      <c r="R27" s="370">
        <v>-0.51</v>
      </c>
      <c r="S27" s="371">
        <v>-0.51</v>
      </c>
      <c r="T27" s="371">
        <v>-0.49000000000000005</v>
      </c>
      <c r="U27" s="372">
        <v>-0.3299999999999999</v>
      </c>
      <c r="V27" s="433"/>
      <c r="W27" s="432"/>
      <c r="X27" s="433" t="s">
        <v>186</v>
      </c>
      <c r="Y27" s="368">
        <v>-0.6100000000000001</v>
      </c>
      <c r="Z27" s="440">
        <v>-0.63000000000000012</v>
      </c>
      <c r="AA27" s="369">
        <v>-0.60000000000000009</v>
      </c>
      <c r="AB27" s="370">
        <v>-0.58000000000000007</v>
      </c>
      <c r="AC27" s="370">
        <v>-0.56000000000000005</v>
      </c>
      <c r="AD27" s="371">
        <v>-0.56000000000000005</v>
      </c>
      <c r="AE27" s="371">
        <v>-0.54000000000000015</v>
      </c>
      <c r="AF27" s="372">
        <v>-0.37999999999999995</v>
      </c>
      <c r="AG27" s="433"/>
      <c r="AH27" s="432"/>
      <c r="AI27" s="433" t="s">
        <v>186</v>
      </c>
      <c r="AJ27" s="368">
        <v>-0.68</v>
      </c>
      <c r="AK27" s="440">
        <v>-0.7</v>
      </c>
      <c r="AL27" s="369">
        <v>-0.68</v>
      </c>
      <c r="AM27" s="370">
        <v>-0.63000000000000012</v>
      </c>
      <c r="AN27" s="370">
        <v>-0.6100000000000001</v>
      </c>
      <c r="AO27" s="371">
        <v>-0.6100000000000001</v>
      </c>
      <c r="AP27" s="371">
        <v>-0.59000000000000019</v>
      </c>
      <c r="AQ27" s="372">
        <v>-0.42999999999999994</v>
      </c>
    </row>
    <row r="28" spans="1:43" x14ac:dyDescent="0.25">
      <c r="A28" s="358"/>
      <c r="B28" t="s">
        <v>213</v>
      </c>
      <c r="C28" s="373">
        <v>-0.55000000000000004</v>
      </c>
      <c r="D28" s="374">
        <v>-0.52</v>
      </c>
      <c r="E28" s="375">
        <v>-0.51</v>
      </c>
      <c r="F28" s="376">
        <v>-0.51</v>
      </c>
      <c r="G28" s="376">
        <v>-0.49</v>
      </c>
      <c r="H28" s="377">
        <v>-0.49</v>
      </c>
      <c r="I28" s="377">
        <v>-0.48</v>
      </c>
      <c r="J28" s="378">
        <v>-0.3</v>
      </c>
      <c r="K28" s="433"/>
      <c r="L28" s="432"/>
      <c r="M28" s="433" t="s">
        <v>213</v>
      </c>
      <c r="N28" s="373">
        <v>-0.59000000000000008</v>
      </c>
      <c r="O28" s="374">
        <v>-0.56000000000000005</v>
      </c>
      <c r="P28" s="375">
        <v>-0.55000000000000004</v>
      </c>
      <c r="Q28" s="376">
        <v>-0.54</v>
      </c>
      <c r="R28" s="376">
        <v>-0.52</v>
      </c>
      <c r="S28" s="377">
        <v>-0.52</v>
      </c>
      <c r="T28" s="377">
        <v>-0.51</v>
      </c>
      <c r="U28" s="378">
        <v>-0.3299999999999999</v>
      </c>
      <c r="V28" s="433"/>
      <c r="W28" s="432"/>
      <c r="X28" s="433" t="s">
        <v>213</v>
      </c>
      <c r="Y28" s="373">
        <v>-0.64000000000000012</v>
      </c>
      <c r="Z28" s="374">
        <v>-0.6100000000000001</v>
      </c>
      <c r="AA28" s="375">
        <v>-0.60000000000000009</v>
      </c>
      <c r="AB28" s="376">
        <v>-0.59000000000000008</v>
      </c>
      <c r="AC28" s="376">
        <v>-0.57000000000000006</v>
      </c>
      <c r="AD28" s="377">
        <v>-0.57000000000000006</v>
      </c>
      <c r="AE28" s="377">
        <v>-0.56000000000000005</v>
      </c>
      <c r="AF28" s="378">
        <v>-0.37999999999999995</v>
      </c>
      <c r="AG28" s="433"/>
      <c r="AH28" s="432"/>
      <c r="AI28" s="433" t="s">
        <v>213</v>
      </c>
      <c r="AJ28" s="373">
        <v>-0.72</v>
      </c>
      <c r="AK28" s="374">
        <v>-0.7</v>
      </c>
      <c r="AL28" s="375">
        <v>-0.68</v>
      </c>
      <c r="AM28" s="376">
        <v>-0.64000000000000012</v>
      </c>
      <c r="AN28" s="376">
        <v>-0.62000000000000011</v>
      </c>
      <c r="AO28" s="377">
        <v>-0.62000000000000011</v>
      </c>
      <c r="AP28" s="377">
        <v>-0.6100000000000001</v>
      </c>
      <c r="AQ28" s="378">
        <v>-0.42999999999999994</v>
      </c>
    </row>
    <row r="29" spans="1:43" x14ac:dyDescent="0.25">
      <c r="A29" s="358"/>
      <c r="B29" t="s">
        <v>232</v>
      </c>
      <c r="C29" s="379">
        <v>-0.51</v>
      </c>
      <c r="D29" s="380">
        <v>-0.51</v>
      </c>
      <c r="E29" s="381">
        <v>-0.49</v>
      </c>
      <c r="F29" s="376">
        <v>-0.48</v>
      </c>
      <c r="G29" s="376">
        <v>-0.47</v>
      </c>
      <c r="H29" s="377">
        <v>-0.48</v>
      </c>
      <c r="I29" s="377">
        <v>-0.47</v>
      </c>
      <c r="J29" s="378">
        <v>-0.3</v>
      </c>
      <c r="K29" s="433"/>
      <c r="L29" s="432"/>
      <c r="M29" s="433" t="s">
        <v>232</v>
      </c>
      <c r="N29" s="379">
        <v>-0.55000000000000004</v>
      </c>
      <c r="O29" s="380">
        <v>-0.55000000000000004</v>
      </c>
      <c r="P29" s="381">
        <v>-0.53</v>
      </c>
      <c r="Q29" s="376">
        <v>-0.51</v>
      </c>
      <c r="R29" s="376">
        <v>-0.5</v>
      </c>
      <c r="S29" s="377">
        <v>-0.51</v>
      </c>
      <c r="T29" s="377">
        <v>-0.5</v>
      </c>
      <c r="U29" s="378">
        <v>-0.3299999999999999</v>
      </c>
      <c r="V29" s="433"/>
      <c r="W29" s="432"/>
      <c r="X29" s="433" t="s">
        <v>232</v>
      </c>
      <c r="Y29" s="379">
        <v>-0.60000000000000009</v>
      </c>
      <c r="Z29" s="380">
        <v>-0.60000000000000009</v>
      </c>
      <c r="AA29" s="381">
        <v>-0.58000000000000007</v>
      </c>
      <c r="AB29" s="376">
        <v>-0.56000000000000005</v>
      </c>
      <c r="AC29" s="376">
        <v>-0.55000000000000004</v>
      </c>
      <c r="AD29" s="377">
        <v>-0.56000000000000005</v>
      </c>
      <c r="AE29" s="377">
        <v>-0.55000000000000004</v>
      </c>
      <c r="AF29" s="378">
        <v>-0.37999999999999995</v>
      </c>
      <c r="AG29" s="433"/>
      <c r="AH29" s="432"/>
      <c r="AI29" s="433" t="s">
        <v>232</v>
      </c>
      <c r="AJ29" s="379">
        <v>-0.69</v>
      </c>
      <c r="AK29" s="380">
        <v>-0.68</v>
      </c>
      <c r="AL29" s="381">
        <v>-0.66</v>
      </c>
      <c r="AM29" s="376">
        <v>-0.62</v>
      </c>
      <c r="AN29" s="376">
        <v>-0.60000000000000009</v>
      </c>
      <c r="AO29" s="377">
        <v>-0.6100000000000001</v>
      </c>
      <c r="AP29" s="377">
        <v>-0.60000000000000009</v>
      </c>
      <c r="AQ29" s="378">
        <v>-0.42999999999999994</v>
      </c>
    </row>
    <row r="30" spans="1:43" x14ac:dyDescent="0.25">
      <c r="A30" s="358"/>
      <c r="B30" t="s">
        <v>215</v>
      </c>
      <c r="C30" s="382">
        <v>-0.53</v>
      </c>
      <c r="D30" s="383">
        <v>-0.5</v>
      </c>
      <c r="E30" s="383">
        <v>-0.49</v>
      </c>
      <c r="F30" s="384">
        <v>-0.48</v>
      </c>
      <c r="G30" s="384">
        <v>-0.46000000000000008</v>
      </c>
      <c r="H30" s="393">
        <v>-0.46</v>
      </c>
      <c r="I30" s="393">
        <v>-0.46</v>
      </c>
      <c r="J30" s="394">
        <v>-0.25</v>
      </c>
      <c r="K30" s="433"/>
      <c r="L30" s="432"/>
      <c r="M30" s="433" t="s">
        <v>215</v>
      </c>
      <c r="N30" s="382">
        <v>-0.56000000000000005</v>
      </c>
      <c r="O30" s="383">
        <v>-0.53</v>
      </c>
      <c r="P30" s="383">
        <v>-0.52</v>
      </c>
      <c r="Q30" s="384">
        <v>-0.51</v>
      </c>
      <c r="R30" s="384">
        <v>-0.49000000000000005</v>
      </c>
      <c r="S30" s="393">
        <v>-0.49</v>
      </c>
      <c r="T30" s="393">
        <v>-0.49</v>
      </c>
      <c r="U30" s="394">
        <v>-0.28000000000000003</v>
      </c>
      <c r="V30" s="433"/>
      <c r="W30" s="432"/>
      <c r="X30" s="433" t="s">
        <v>215</v>
      </c>
      <c r="Y30" s="382">
        <v>-0.60000000000000009</v>
      </c>
      <c r="Z30" s="383">
        <v>-0.57000000000000006</v>
      </c>
      <c r="AA30" s="383">
        <v>-0.56000000000000005</v>
      </c>
      <c r="AB30" s="384">
        <v>-0.55000000000000004</v>
      </c>
      <c r="AC30" s="384">
        <v>-0.53000000000000014</v>
      </c>
      <c r="AD30" s="393">
        <v>-0.53</v>
      </c>
      <c r="AE30" s="393">
        <v>-0.53</v>
      </c>
      <c r="AF30" s="394">
        <v>-0.33</v>
      </c>
      <c r="AG30" s="433"/>
      <c r="AH30" s="432"/>
      <c r="AI30" s="433" t="s">
        <v>215</v>
      </c>
      <c r="AJ30" s="382">
        <v>-0.7</v>
      </c>
      <c r="AK30" s="383">
        <v>-0.68</v>
      </c>
      <c r="AL30" s="383">
        <v>-0.66</v>
      </c>
      <c r="AM30" s="384">
        <v>-0.63</v>
      </c>
      <c r="AN30" s="384">
        <v>-0.59</v>
      </c>
      <c r="AO30" s="393">
        <v>-0.57999999999999996</v>
      </c>
      <c r="AP30" s="393">
        <v>-0.56999999999999995</v>
      </c>
      <c r="AQ30" s="394">
        <v>-0.39</v>
      </c>
    </row>
    <row r="31" spans="1:43" x14ac:dyDescent="0.25">
      <c r="A31" s="358"/>
      <c r="B31" t="s">
        <v>249</v>
      </c>
      <c r="C31" s="382">
        <v>-0.52</v>
      </c>
      <c r="D31" s="383">
        <v>-0.5</v>
      </c>
      <c r="E31" s="383">
        <v>-0.48</v>
      </c>
      <c r="F31" s="384">
        <v>-0.47</v>
      </c>
      <c r="G31" s="384">
        <v>-0.46000000000000008</v>
      </c>
      <c r="H31" s="393">
        <v>-0.46</v>
      </c>
      <c r="I31" s="393">
        <v>-0.46</v>
      </c>
      <c r="J31" s="394">
        <v>-0.22</v>
      </c>
      <c r="K31" s="433"/>
      <c r="L31" s="432"/>
      <c r="M31" s="433" t="s">
        <v>249</v>
      </c>
      <c r="N31" s="382">
        <v>-0.55000000000000004</v>
      </c>
      <c r="O31" s="383">
        <v>-0.53</v>
      </c>
      <c r="P31" s="383">
        <v>-0.51</v>
      </c>
      <c r="Q31" s="384">
        <v>-0.5</v>
      </c>
      <c r="R31" s="384">
        <v>-0.49000000000000005</v>
      </c>
      <c r="S31" s="393">
        <v>-0.49</v>
      </c>
      <c r="T31" s="393">
        <v>-0.49</v>
      </c>
      <c r="U31" s="394">
        <v>-0.27</v>
      </c>
      <c r="V31" s="433"/>
      <c r="W31" s="432"/>
      <c r="X31" s="433" t="s">
        <v>249</v>
      </c>
      <c r="Y31" s="382">
        <v>-0.59000000000000008</v>
      </c>
      <c r="Z31" s="383">
        <v>-0.57000000000000006</v>
      </c>
      <c r="AA31" s="383">
        <v>-0.55000000000000004</v>
      </c>
      <c r="AB31" s="384">
        <v>-0.54</v>
      </c>
      <c r="AC31" s="384">
        <v>-0.53000000000000014</v>
      </c>
      <c r="AD31" s="393">
        <v>-0.53</v>
      </c>
      <c r="AE31" s="393">
        <v>-0.53</v>
      </c>
      <c r="AF31" s="394">
        <v>-0.33</v>
      </c>
      <c r="AG31" s="433"/>
      <c r="AH31" s="432"/>
      <c r="AI31" s="433" t="s">
        <v>249</v>
      </c>
      <c r="AJ31" s="382">
        <v>-0.69</v>
      </c>
      <c r="AK31" s="383">
        <v>-0.67</v>
      </c>
      <c r="AL31" s="383">
        <v>-0.65</v>
      </c>
      <c r="AM31" s="384">
        <v>-0.63</v>
      </c>
      <c r="AN31" s="384">
        <v>-0.6</v>
      </c>
      <c r="AO31" s="393">
        <v>-0.59</v>
      </c>
      <c r="AP31" s="393">
        <v>-0.57000000000000006</v>
      </c>
      <c r="AQ31" s="394">
        <v>-0.4</v>
      </c>
    </row>
    <row r="32" spans="1:43" x14ac:dyDescent="0.25">
      <c r="A32" s="358"/>
      <c r="B32" t="s">
        <v>257</v>
      </c>
      <c r="C32" s="382">
        <v>-0.51</v>
      </c>
      <c r="D32" s="383">
        <v>-0.5</v>
      </c>
      <c r="E32" s="383">
        <v>-0.48</v>
      </c>
      <c r="F32" s="384">
        <v>-0.47</v>
      </c>
      <c r="G32" s="384">
        <v>-0.45000000000000007</v>
      </c>
      <c r="H32" s="393">
        <v>-0.45</v>
      </c>
      <c r="I32" s="393">
        <v>-0.44000000000000006</v>
      </c>
      <c r="J32" s="394">
        <v>-0.22</v>
      </c>
      <c r="K32" s="433"/>
      <c r="L32" s="432"/>
      <c r="M32" s="433" t="s">
        <v>257</v>
      </c>
      <c r="N32" s="382">
        <v>-0.54</v>
      </c>
      <c r="O32" s="383">
        <v>-0.53</v>
      </c>
      <c r="P32" s="383">
        <v>-0.51</v>
      </c>
      <c r="Q32" s="384">
        <v>-0.5</v>
      </c>
      <c r="R32" s="384">
        <v>-0.48000000000000009</v>
      </c>
      <c r="S32" s="393">
        <v>-0.48</v>
      </c>
      <c r="T32" s="393">
        <v>-0.47000000000000008</v>
      </c>
      <c r="U32" s="394">
        <v>-0.25</v>
      </c>
      <c r="V32" s="433"/>
      <c r="W32" s="432"/>
      <c r="X32" s="433" t="s">
        <v>257</v>
      </c>
      <c r="Y32" s="382">
        <v>-0.58000000000000007</v>
      </c>
      <c r="Z32" s="383">
        <v>-0.57000000000000006</v>
      </c>
      <c r="AA32" s="383">
        <v>-0.55000000000000004</v>
      </c>
      <c r="AB32" s="384">
        <v>-0.54</v>
      </c>
      <c r="AC32" s="384">
        <v>-0.52000000000000013</v>
      </c>
      <c r="AD32" s="393">
        <v>-0.52</v>
      </c>
      <c r="AE32" s="393">
        <v>-0.51000000000000012</v>
      </c>
      <c r="AF32" s="394">
        <v>-0.31</v>
      </c>
      <c r="AG32" s="433"/>
      <c r="AH32" s="432"/>
      <c r="AI32" s="433" t="s">
        <v>257</v>
      </c>
      <c r="AJ32" s="382">
        <v>-0.68</v>
      </c>
      <c r="AK32" s="383">
        <v>-0.67</v>
      </c>
      <c r="AL32" s="383">
        <v>-0.65</v>
      </c>
      <c r="AM32" s="384">
        <v>-0.62</v>
      </c>
      <c r="AN32" s="384">
        <v>-0.61</v>
      </c>
      <c r="AO32" s="393">
        <v>-0.59</v>
      </c>
      <c r="AP32" s="393">
        <v>-0.56000000000000005</v>
      </c>
      <c r="AQ32" s="394">
        <v>-0.38</v>
      </c>
    </row>
    <row r="33" spans="1:43" x14ac:dyDescent="0.25">
      <c r="A33" s="358"/>
      <c r="B33" t="s">
        <v>264</v>
      </c>
      <c r="C33" s="385">
        <v>-0.53</v>
      </c>
      <c r="D33" s="386">
        <v>-0.52</v>
      </c>
      <c r="E33" s="386">
        <v>-0.5</v>
      </c>
      <c r="F33" s="387">
        <v>-0.48</v>
      </c>
      <c r="G33" s="387">
        <v>-0.47</v>
      </c>
      <c r="H33" s="441">
        <v>-0.47</v>
      </c>
      <c r="I33" s="441">
        <v>-0.46000000000000008</v>
      </c>
      <c r="J33" s="442">
        <v>-0.25</v>
      </c>
      <c r="K33" s="433"/>
      <c r="L33" s="432"/>
      <c r="M33" s="433" t="s">
        <v>264</v>
      </c>
      <c r="N33" s="385">
        <v>-0.56000000000000005</v>
      </c>
      <c r="O33" s="386">
        <v>-0.55000000000000004</v>
      </c>
      <c r="P33" s="386">
        <v>-0.53</v>
      </c>
      <c r="Q33" s="387">
        <v>-0.51</v>
      </c>
      <c r="R33" s="387">
        <v>-0.5</v>
      </c>
      <c r="S33" s="441">
        <v>-0.5</v>
      </c>
      <c r="T33" s="441">
        <v>-0.49000000000000005</v>
      </c>
      <c r="U33" s="442">
        <v>-0.28999999999999998</v>
      </c>
      <c r="V33" s="433"/>
      <c r="W33" s="432"/>
      <c r="X33" s="433" t="s">
        <v>264</v>
      </c>
      <c r="Y33" s="385">
        <v>-0.60000000000000009</v>
      </c>
      <c r="Z33" s="386">
        <v>-0.59000000000000008</v>
      </c>
      <c r="AA33" s="386">
        <v>-0.56999999999999995</v>
      </c>
      <c r="AB33" s="387">
        <v>-0.55000000000000004</v>
      </c>
      <c r="AC33" s="387">
        <v>-0.54</v>
      </c>
      <c r="AD33" s="441">
        <v>-0.54</v>
      </c>
      <c r="AE33" s="441">
        <v>-0.52</v>
      </c>
      <c r="AF33" s="442">
        <v>-0.34</v>
      </c>
      <c r="AG33" s="433"/>
      <c r="AH33" s="432"/>
      <c r="AI33" s="433" t="s">
        <v>264</v>
      </c>
      <c r="AJ33" s="385">
        <v>-0.71</v>
      </c>
      <c r="AK33" s="386">
        <v>-0.7</v>
      </c>
      <c r="AL33" s="386">
        <v>-0.69</v>
      </c>
      <c r="AM33" s="387">
        <v>-0.68</v>
      </c>
      <c r="AN33" s="387">
        <v>-0.67</v>
      </c>
      <c r="AO33" s="441">
        <v>-0.65</v>
      </c>
      <c r="AP33" s="441">
        <v>-0.62</v>
      </c>
      <c r="AQ33" s="442">
        <v>-0.48</v>
      </c>
    </row>
    <row r="34" spans="1:43" x14ac:dyDescent="0.25">
      <c r="A34" s="358"/>
      <c r="B34" t="s">
        <v>272</v>
      </c>
      <c r="C34" s="385">
        <v>-0.52</v>
      </c>
      <c r="D34" s="386">
        <v>-0.51</v>
      </c>
      <c r="E34" s="386">
        <v>-0.49</v>
      </c>
      <c r="F34" s="387">
        <v>-0.48</v>
      </c>
      <c r="G34" s="387">
        <v>-0.47</v>
      </c>
      <c r="H34" s="441">
        <v>-0.47</v>
      </c>
      <c r="I34" s="441">
        <v>-0.45</v>
      </c>
      <c r="J34" s="442">
        <v>-0.26</v>
      </c>
      <c r="K34" s="433"/>
      <c r="L34" s="432"/>
      <c r="M34" s="433" t="s">
        <v>272</v>
      </c>
      <c r="N34" s="385">
        <v>-0.55000000000000004</v>
      </c>
      <c r="O34" s="386">
        <v>-0.54</v>
      </c>
      <c r="P34" s="386">
        <v>-0.52</v>
      </c>
      <c r="Q34" s="387">
        <v>-0.51</v>
      </c>
      <c r="R34" s="387">
        <v>-0.5</v>
      </c>
      <c r="S34" s="441">
        <v>-0.5</v>
      </c>
      <c r="T34" s="441">
        <v>-0.48</v>
      </c>
      <c r="U34" s="442">
        <v>-0.31</v>
      </c>
      <c r="V34" s="433"/>
      <c r="W34" s="432"/>
      <c r="X34" s="433" t="s">
        <v>272</v>
      </c>
      <c r="Y34" s="385">
        <v>-0.59000000000000008</v>
      </c>
      <c r="Z34" s="386">
        <v>-0.58000000000000007</v>
      </c>
      <c r="AA34" s="386">
        <v>-0.56000000000000005</v>
      </c>
      <c r="AB34" s="387">
        <v>-0.55000000000000004</v>
      </c>
      <c r="AC34" s="387">
        <v>-0.54</v>
      </c>
      <c r="AD34" s="441">
        <v>-0.54</v>
      </c>
      <c r="AE34" s="441">
        <v>-0.52</v>
      </c>
      <c r="AF34" s="442">
        <v>-0.37</v>
      </c>
      <c r="AG34" s="433"/>
      <c r="AH34" s="432"/>
      <c r="AI34" s="433" t="s">
        <v>272</v>
      </c>
      <c r="AJ34" s="385">
        <v>-0.69</v>
      </c>
      <c r="AK34" s="386">
        <v>-0.68</v>
      </c>
      <c r="AL34" s="386">
        <v>-0.66</v>
      </c>
      <c r="AM34" s="387">
        <v>-0.65</v>
      </c>
      <c r="AN34" s="387">
        <v>-0.64</v>
      </c>
      <c r="AO34" s="441">
        <v>-0.62</v>
      </c>
      <c r="AP34" s="441">
        <v>-0.6</v>
      </c>
      <c r="AQ34" s="442">
        <v>-0.47</v>
      </c>
    </row>
    <row r="35" spans="1:43" x14ac:dyDescent="0.25">
      <c r="A35" s="358"/>
      <c r="B35" t="s">
        <v>278</v>
      </c>
      <c r="C35" s="385">
        <v>-0.52</v>
      </c>
      <c r="D35" s="386">
        <v>-0.51</v>
      </c>
      <c r="E35" s="386">
        <v>-0.49</v>
      </c>
      <c r="F35" s="387">
        <v>-0.47</v>
      </c>
      <c r="G35" s="387">
        <v>-0.47</v>
      </c>
      <c r="H35" s="441">
        <v>-0.46</v>
      </c>
      <c r="I35" s="441">
        <v>-0.45</v>
      </c>
      <c r="J35" s="442">
        <v>-0.31</v>
      </c>
      <c r="K35" s="433"/>
      <c r="L35" s="432"/>
      <c r="M35" s="433" t="s">
        <v>278</v>
      </c>
      <c r="N35" s="385">
        <v>-0.55000000000000004</v>
      </c>
      <c r="O35" s="386">
        <v>-0.54</v>
      </c>
      <c r="P35" s="386">
        <v>-0.52</v>
      </c>
      <c r="Q35" s="387">
        <v>-0.5</v>
      </c>
      <c r="R35" s="387">
        <v>-0.5</v>
      </c>
      <c r="S35" s="441">
        <v>-0.49</v>
      </c>
      <c r="T35" s="441">
        <v>-0.48</v>
      </c>
      <c r="U35" s="442">
        <v>-0.35</v>
      </c>
      <c r="V35" s="433"/>
      <c r="W35" s="432"/>
      <c r="X35" s="433" t="s">
        <v>278</v>
      </c>
      <c r="Y35" s="385">
        <v>-0.59000000000000008</v>
      </c>
      <c r="Z35" s="386">
        <v>-0.58000000000000007</v>
      </c>
      <c r="AA35" s="386">
        <v>-0.56000000000000005</v>
      </c>
      <c r="AB35" s="387">
        <v>-0.54</v>
      </c>
      <c r="AC35" s="387">
        <v>-0.54</v>
      </c>
      <c r="AD35" s="441">
        <v>-0.54</v>
      </c>
      <c r="AE35" s="441">
        <v>-0.52</v>
      </c>
      <c r="AF35" s="442">
        <v>-0.4</v>
      </c>
      <c r="AG35" s="433"/>
      <c r="AH35" s="432"/>
      <c r="AI35" s="433" t="s">
        <v>278</v>
      </c>
      <c r="AJ35" s="385">
        <v>-0.69</v>
      </c>
      <c r="AK35" s="386">
        <v>-0.68</v>
      </c>
      <c r="AL35" s="386">
        <v>-0.67</v>
      </c>
      <c r="AM35" s="387">
        <v>-0.66</v>
      </c>
      <c r="AN35" s="387">
        <v>-0.65</v>
      </c>
      <c r="AO35" s="441">
        <v>-0.63</v>
      </c>
      <c r="AP35" s="441">
        <v>-0.59</v>
      </c>
      <c r="AQ35" s="442">
        <v>-0.49</v>
      </c>
    </row>
    <row r="36" spans="1:43" x14ac:dyDescent="0.25">
      <c r="A36" s="358"/>
      <c r="B36" t="s">
        <v>284</v>
      </c>
      <c r="C36" s="388">
        <v>-0.52</v>
      </c>
      <c r="D36" s="389">
        <v>-0.51</v>
      </c>
      <c r="E36" s="389">
        <v>-0.5</v>
      </c>
      <c r="F36" s="390">
        <v>-0.47</v>
      </c>
      <c r="G36" s="390">
        <v>-0.46</v>
      </c>
      <c r="H36" s="443">
        <v>-0.47</v>
      </c>
      <c r="I36" s="443">
        <v>-0.46</v>
      </c>
      <c r="J36" s="444">
        <v>-0.38</v>
      </c>
      <c r="K36" s="433"/>
      <c r="L36" s="432"/>
      <c r="M36" s="433" t="s">
        <v>284</v>
      </c>
      <c r="N36" s="388">
        <v>-0.55000000000000004</v>
      </c>
      <c r="O36" s="389">
        <v>-0.54</v>
      </c>
      <c r="P36" s="389">
        <v>-0.53</v>
      </c>
      <c r="Q36" s="390">
        <v>-0.51</v>
      </c>
      <c r="R36" s="390">
        <v>-0.49</v>
      </c>
      <c r="S36" s="443">
        <v>-0.5</v>
      </c>
      <c r="T36" s="443">
        <v>-0.49</v>
      </c>
      <c r="U36" s="444">
        <v>-0.42</v>
      </c>
      <c r="V36" s="433"/>
      <c r="W36" s="432"/>
      <c r="X36" s="433" t="s">
        <v>284</v>
      </c>
      <c r="Y36" s="388">
        <v>-0.59000000000000008</v>
      </c>
      <c r="Z36" s="389">
        <v>-0.58000000000000007</v>
      </c>
      <c r="AA36" s="389">
        <v>-0.56999999999999995</v>
      </c>
      <c r="AB36" s="390">
        <v>-0.55000000000000004</v>
      </c>
      <c r="AC36" s="390">
        <v>-0.52999999999999992</v>
      </c>
      <c r="AD36" s="443">
        <v>-0.53</v>
      </c>
      <c r="AE36" s="443">
        <v>-0.51</v>
      </c>
      <c r="AF36" s="444">
        <v>-0.44</v>
      </c>
      <c r="AG36" s="433"/>
      <c r="AH36" s="432"/>
      <c r="AI36" s="433" t="s">
        <v>284</v>
      </c>
      <c r="AJ36" s="388">
        <v>-0.69</v>
      </c>
      <c r="AK36" s="389">
        <v>-0.68</v>
      </c>
      <c r="AL36" s="389">
        <v>-0.67</v>
      </c>
      <c r="AM36" s="390">
        <v>-0.65</v>
      </c>
      <c r="AN36" s="390">
        <v>-0.64</v>
      </c>
      <c r="AO36" s="443">
        <v>-0.63</v>
      </c>
      <c r="AP36" s="443">
        <v>-0.58000000000000007</v>
      </c>
      <c r="AQ36" s="444">
        <v>-0.52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430" t="s">
        <v>330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430" t="s">
        <v>331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430" t="s">
        <v>332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358"/>
      <c r="B39" t="s">
        <v>186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186</v>
      </c>
      <c r="N39" s="368">
        <v>-0.63</v>
      </c>
      <c r="O39" s="440">
        <v>-0.65</v>
      </c>
      <c r="P39" s="369">
        <v>-0.62000000000000011</v>
      </c>
      <c r="Q39" s="370">
        <v>-0.58000000000000007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186</v>
      </c>
      <c r="Y39" s="368">
        <v>-0.67</v>
      </c>
      <c r="Z39" s="440">
        <v>-0.69</v>
      </c>
      <c r="AA39" s="369">
        <v>-0.66000000000000014</v>
      </c>
      <c r="AB39" s="370">
        <v>-0.62000000000000011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186</v>
      </c>
      <c r="AJ39" s="368">
        <v>-0.71000000000000019</v>
      </c>
      <c r="AK39" s="440">
        <v>-0.73000000000000009</v>
      </c>
      <c r="AL39" s="369">
        <v>-0.70000000000000018</v>
      </c>
      <c r="AM39" s="370">
        <v>-0.66000000000000014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213</v>
      </c>
      <c r="C40" s="373">
        <v>-0.62</v>
      </c>
      <c r="D40" s="374">
        <v>-0.59000000000000008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213</v>
      </c>
      <c r="N40" s="373">
        <v>-0.66</v>
      </c>
      <c r="O40" s="374">
        <v>-0.63000000000000012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213</v>
      </c>
      <c r="Y40" s="373">
        <v>-0.7</v>
      </c>
      <c r="Z40" s="374">
        <v>-0.67000000000000015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213</v>
      </c>
      <c r="AJ40" s="373">
        <v>-0.7400000000000001</v>
      </c>
      <c r="AK40" s="374">
        <v>-0.71000000000000019</v>
      </c>
      <c r="AL40" s="375">
        <v>-0.70000000000000018</v>
      </c>
      <c r="AM40" s="376">
        <v>-0.67000000000000015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232</v>
      </c>
      <c r="C41" s="379">
        <v>-0.58000000000000007</v>
      </c>
      <c r="D41" s="380">
        <v>-0.58000000000000007</v>
      </c>
      <c r="E41" s="381">
        <v>-0.54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232</v>
      </c>
      <c r="N41" s="379">
        <v>-0.62000000000000011</v>
      </c>
      <c r="O41" s="380">
        <v>-0.62000000000000011</v>
      </c>
      <c r="P41" s="381">
        <v>-0.58000000000000007</v>
      </c>
      <c r="Q41" s="376">
        <v>-0.56000000000000005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232</v>
      </c>
      <c r="Y41" s="379">
        <v>-0.66000000000000014</v>
      </c>
      <c r="Z41" s="380">
        <v>-0.66000000000000014</v>
      </c>
      <c r="AA41" s="381">
        <v>-0.64</v>
      </c>
      <c r="AB41" s="376">
        <v>-0.60000000000000009</v>
      </c>
      <c r="AC41" s="376">
        <v>-0.60000000000000009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232</v>
      </c>
      <c r="AJ41" s="379">
        <v>-0.70000000000000018</v>
      </c>
      <c r="AK41" s="380">
        <v>-0.70000000000000018</v>
      </c>
      <c r="AL41" s="381">
        <v>-0.68</v>
      </c>
      <c r="AM41" s="376">
        <v>-0.64000000000000012</v>
      </c>
      <c r="AN41" s="376">
        <v>-0.64000000000000012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215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-0.34</v>
      </c>
      <c r="K42" s="433"/>
      <c r="L42" s="432"/>
      <c r="M42" s="433" t="s">
        <v>215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-0.39</v>
      </c>
      <c r="V42" s="433"/>
      <c r="W42" s="432"/>
      <c r="X42" s="433" t="s">
        <v>215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</v>
      </c>
      <c r="AF42" s="394">
        <v>-0.45</v>
      </c>
      <c r="AG42" s="433"/>
      <c r="AH42" s="432"/>
      <c r="AI42" s="433" t="s">
        <v>215</v>
      </c>
      <c r="AJ42" s="382">
        <v>-0.72</v>
      </c>
      <c r="AK42" s="383">
        <v>-0.7</v>
      </c>
      <c r="AL42" s="383">
        <v>-0.68</v>
      </c>
      <c r="AM42" s="384">
        <v>-0.66</v>
      </c>
      <c r="AN42" s="384">
        <v>-0.64000000000000012</v>
      </c>
      <c r="AO42" s="393">
        <v>-0.65000000000000013</v>
      </c>
      <c r="AP42" s="393">
        <v>-0.65000000000000013</v>
      </c>
      <c r="AQ42" s="394">
        <v>-0.5</v>
      </c>
    </row>
    <row r="43" spans="1:43" x14ac:dyDescent="0.25">
      <c r="A43" s="358"/>
      <c r="B43" t="s">
        <v>249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-0.34</v>
      </c>
      <c r="K43" s="433"/>
      <c r="L43" s="432"/>
      <c r="M43" s="433" t="s">
        <v>249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-0.38</v>
      </c>
      <c r="V43" s="433"/>
      <c r="W43" s="432"/>
      <c r="X43" s="433" t="s">
        <v>249</v>
      </c>
      <c r="Y43" s="382">
        <v>-0.65000000000000013</v>
      </c>
      <c r="Z43" s="383">
        <v>-0.63000000000000012</v>
      </c>
      <c r="AA43" s="383">
        <v>-0.6100000000000001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-0.44</v>
      </c>
      <c r="AG43" s="433"/>
      <c r="AH43" s="432"/>
      <c r="AI43" s="433" t="s">
        <v>249</v>
      </c>
      <c r="AJ43" s="382">
        <v>-0.7</v>
      </c>
      <c r="AK43" s="383">
        <v>-0.69</v>
      </c>
      <c r="AL43" s="383">
        <v>-0.68</v>
      </c>
      <c r="AM43" s="384">
        <v>-0.65000000000000013</v>
      </c>
      <c r="AN43" s="384">
        <v>-0.64000000000000012</v>
      </c>
      <c r="AO43" s="393">
        <v>-0.65000000000000013</v>
      </c>
      <c r="AP43" s="393">
        <v>-0.65000000000000013</v>
      </c>
      <c r="AQ43" s="394">
        <v>-0.5</v>
      </c>
    </row>
    <row r="44" spans="1:43" x14ac:dyDescent="0.25">
      <c r="A44" s="358"/>
      <c r="B44" t="s">
        <v>257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257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-0.38</v>
      </c>
      <c r="V44" s="433"/>
      <c r="W44" s="432"/>
      <c r="X44" s="433" t="s">
        <v>257</v>
      </c>
      <c r="Y44" s="382">
        <v>-0.65000000000000013</v>
      </c>
      <c r="Z44" s="383">
        <v>-0.63000000000000012</v>
      </c>
      <c r="AA44" s="383">
        <v>-0.62000000000000011</v>
      </c>
      <c r="AB44" s="384">
        <v>-0.6100000000000001</v>
      </c>
      <c r="AC44" s="384">
        <v>-0.6</v>
      </c>
      <c r="AD44" s="393">
        <v>-0.6100000000000001</v>
      </c>
      <c r="AE44" s="393">
        <v>-0.60000000000000009</v>
      </c>
      <c r="AF44" s="394">
        <v>-0.43</v>
      </c>
      <c r="AG44" s="433"/>
      <c r="AH44" s="432"/>
      <c r="AI44" s="433" t="s">
        <v>257</v>
      </c>
      <c r="AJ44" s="382">
        <v>-0.69000000000000017</v>
      </c>
      <c r="AK44" s="383">
        <v>-0.68</v>
      </c>
      <c r="AL44" s="383">
        <v>-0.66000000000000014</v>
      </c>
      <c r="AM44" s="384">
        <v>-0.65000000000000013</v>
      </c>
      <c r="AN44" s="384">
        <v>-0.64</v>
      </c>
      <c r="AO44" s="393">
        <v>-0.65000000000000013</v>
      </c>
      <c r="AP44" s="393">
        <v>-0.64000000000000012</v>
      </c>
      <c r="AQ44" s="394">
        <v>-0.49</v>
      </c>
    </row>
    <row r="45" spans="1:43" x14ac:dyDescent="0.25">
      <c r="A45" s="358"/>
      <c r="B45" t="s">
        <v>264</v>
      </c>
      <c r="C45" s="385">
        <v>-0.60000000000000009</v>
      </c>
      <c r="D45" s="386">
        <v>-0.59000000000000008</v>
      </c>
      <c r="E45" s="386">
        <v>-0.56999999999999995</v>
      </c>
      <c r="F45" s="387">
        <v>-0.56000000000000005</v>
      </c>
      <c r="G45" s="387">
        <v>-0.55000000000000004</v>
      </c>
      <c r="H45" s="441">
        <v>-0.55000000000000004</v>
      </c>
      <c r="I45" s="441">
        <v>-0.54000000000000015</v>
      </c>
      <c r="J45" s="442">
        <v>-0.36</v>
      </c>
      <c r="K45" s="433"/>
      <c r="L45" s="432"/>
      <c r="M45" s="433" t="s">
        <v>264</v>
      </c>
      <c r="N45" s="385">
        <v>-0.63000000000000012</v>
      </c>
      <c r="O45" s="386">
        <v>-0.61</v>
      </c>
      <c r="P45" s="386">
        <v>-0.6</v>
      </c>
      <c r="Q45" s="387">
        <v>-0.59000000000000008</v>
      </c>
      <c r="R45" s="387">
        <v>-0.58000000000000007</v>
      </c>
      <c r="S45" s="441">
        <v>-0.58000000000000007</v>
      </c>
      <c r="T45" s="441">
        <v>-0.56000000000000005</v>
      </c>
      <c r="U45" s="442">
        <v>-0.4</v>
      </c>
      <c r="V45" s="433"/>
      <c r="W45" s="432"/>
      <c r="X45" s="433" t="s">
        <v>264</v>
      </c>
      <c r="Y45" s="385">
        <v>-0.67</v>
      </c>
      <c r="Z45" s="386">
        <v>-0.66000000000000014</v>
      </c>
      <c r="AA45" s="386">
        <v>-0.65</v>
      </c>
      <c r="AB45" s="387">
        <v>-0.64</v>
      </c>
      <c r="AC45" s="387">
        <v>-0.62000000000000011</v>
      </c>
      <c r="AD45" s="441">
        <v>-0.62000000000000011</v>
      </c>
      <c r="AE45" s="441">
        <v>-0.61000000000000021</v>
      </c>
      <c r="AF45" s="442">
        <v>-0.46</v>
      </c>
      <c r="AG45" s="433"/>
      <c r="AH45" s="432"/>
      <c r="AI45" s="433" t="s">
        <v>264</v>
      </c>
      <c r="AJ45" s="385">
        <v>-0.72</v>
      </c>
      <c r="AK45" s="386">
        <v>-0.72</v>
      </c>
      <c r="AL45" s="386">
        <v>-0.71</v>
      </c>
      <c r="AM45" s="387">
        <v>-0.71</v>
      </c>
      <c r="AN45" s="387">
        <v>-0.7</v>
      </c>
      <c r="AO45" s="441">
        <v>-0.68</v>
      </c>
      <c r="AP45" s="441">
        <v>-0.65000000000000024</v>
      </c>
      <c r="AQ45" s="442">
        <v>-0.52</v>
      </c>
    </row>
    <row r="46" spans="1:43" x14ac:dyDescent="0.25">
      <c r="A46" s="358"/>
      <c r="B46" t="s">
        <v>272</v>
      </c>
      <c r="C46" s="385">
        <v>-0.56999999999999995</v>
      </c>
      <c r="D46" s="386">
        <v>-0.56000000000000005</v>
      </c>
      <c r="E46" s="386">
        <v>-0.56000000000000005</v>
      </c>
      <c r="F46" s="387">
        <v>-0.56000000000000005</v>
      </c>
      <c r="G46" s="387">
        <v>-0.54000000000000015</v>
      </c>
      <c r="H46" s="441">
        <v>-0.55000000000000004</v>
      </c>
      <c r="I46" s="441">
        <v>-0.52</v>
      </c>
      <c r="J46" s="442">
        <v>-0.36</v>
      </c>
      <c r="K46" s="433"/>
      <c r="L46" s="432"/>
      <c r="M46" s="433" t="s">
        <v>272</v>
      </c>
      <c r="N46" s="385">
        <v>-0.60000000000000009</v>
      </c>
      <c r="O46" s="386">
        <v>-0.59000000000000008</v>
      </c>
      <c r="P46" s="386">
        <v>-0.59000000000000008</v>
      </c>
      <c r="Q46" s="387">
        <v>-0.59000000000000008</v>
      </c>
      <c r="R46" s="387">
        <v>-0.57000000000000017</v>
      </c>
      <c r="S46" s="441">
        <v>-0.58000000000000007</v>
      </c>
      <c r="T46" s="441">
        <v>-0.55000000000000004</v>
      </c>
      <c r="U46" s="442">
        <v>-0.4</v>
      </c>
      <c r="V46" s="433"/>
      <c r="W46" s="432"/>
      <c r="X46" s="433" t="s">
        <v>272</v>
      </c>
      <c r="Y46" s="385">
        <v>-0.64</v>
      </c>
      <c r="Z46" s="386">
        <v>-0.63000000000000012</v>
      </c>
      <c r="AA46" s="386">
        <v>-0.63000000000000012</v>
      </c>
      <c r="AB46" s="387">
        <v>-0.63000000000000012</v>
      </c>
      <c r="AC46" s="387">
        <v>-0.61000000000000021</v>
      </c>
      <c r="AD46" s="441">
        <v>-0.62000000000000011</v>
      </c>
      <c r="AE46" s="441">
        <v>-0.59000000000000008</v>
      </c>
      <c r="AF46" s="442">
        <v>-0.45</v>
      </c>
      <c r="AG46" s="433"/>
      <c r="AH46" s="432"/>
      <c r="AI46" s="433" t="s">
        <v>272</v>
      </c>
      <c r="AJ46" s="385">
        <v>-0.7</v>
      </c>
      <c r="AK46" s="386">
        <v>-0.69</v>
      </c>
      <c r="AL46" s="386">
        <v>-0.67000000000000015</v>
      </c>
      <c r="AM46" s="387">
        <v>-0.67000000000000015</v>
      </c>
      <c r="AN46" s="387">
        <v>-0.65000000000000024</v>
      </c>
      <c r="AO46" s="441">
        <v>-0.66000000000000014</v>
      </c>
      <c r="AP46" s="441">
        <v>-0.63000000000000012</v>
      </c>
      <c r="AQ46" s="442">
        <v>-0.51</v>
      </c>
    </row>
    <row r="47" spans="1:43" x14ac:dyDescent="0.25">
      <c r="A47" s="358"/>
      <c r="B47" t="s">
        <v>278</v>
      </c>
      <c r="C47" s="385">
        <v>-0.56999999999999995</v>
      </c>
      <c r="D47" s="386">
        <v>-0.55000000000000004</v>
      </c>
      <c r="E47" s="386">
        <v>-0.54000000000000015</v>
      </c>
      <c r="F47" s="387">
        <v>-0.54000000000000015</v>
      </c>
      <c r="G47" s="387">
        <v>-0.54000000000000015</v>
      </c>
      <c r="H47" s="441">
        <v>-0.52</v>
      </c>
      <c r="I47" s="441">
        <v>-0.52</v>
      </c>
      <c r="J47" s="442">
        <v>-0.4</v>
      </c>
      <c r="K47" s="433"/>
      <c r="L47" s="432"/>
      <c r="M47" s="433" t="s">
        <v>278</v>
      </c>
      <c r="N47" s="385">
        <v>-0.60000000000000009</v>
      </c>
      <c r="O47" s="386">
        <v>-0.58000000000000007</v>
      </c>
      <c r="P47" s="386">
        <v>-0.57000000000000017</v>
      </c>
      <c r="Q47" s="387">
        <v>-0.57000000000000017</v>
      </c>
      <c r="R47" s="387">
        <v>-0.57000000000000017</v>
      </c>
      <c r="S47" s="441">
        <v>-0.55000000000000004</v>
      </c>
      <c r="T47" s="441">
        <v>-0.55000000000000004</v>
      </c>
      <c r="U47" s="442">
        <v>-0.44</v>
      </c>
      <c r="V47" s="433"/>
      <c r="W47" s="432"/>
      <c r="X47" s="433" t="s">
        <v>278</v>
      </c>
      <c r="Y47" s="385">
        <v>-0.64</v>
      </c>
      <c r="Z47" s="386">
        <v>-0.63</v>
      </c>
      <c r="AA47" s="386">
        <v>-0.61000000000000021</v>
      </c>
      <c r="AB47" s="387">
        <v>-0.61000000000000021</v>
      </c>
      <c r="AC47" s="387">
        <v>-0.61000000000000021</v>
      </c>
      <c r="AD47" s="441">
        <v>-0.59000000000000008</v>
      </c>
      <c r="AE47" s="441">
        <v>-0.59000000000000008</v>
      </c>
      <c r="AF47" s="442">
        <v>-0.49</v>
      </c>
      <c r="AG47" s="433"/>
      <c r="AH47" s="432"/>
      <c r="AI47" s="433" t="s">
        <v>278</v>
      </c>
      <c r="AJ47" s="385">
        <v>-0.7</v>
      </c>
      <c r="AK47" s="386">
        <v>-0.69</v>
      </c>
      <c r="AL47" s="386">
        <v>-0.68</v>
      </c>
      <c r="AM47" s="387">
        <v>-0.67</v>
      </c>
      <c r="AN47" s="387">
        <v>-0.67</v>
      </c>
      <c r="AO47" s="441">
        <v>-0.65</v>
      </c>
      <c r="AP47" s="441">
        <v>-0.62</v>
      </c>
      <c r="AQ47" s="442">
        <v>-0.53</v>
      </c>
    </row>
    <row r="48" spans="1:43" x14ac:dyDescent="0.25">
      <c r="A48" s="358"/>
      <c r="B48" t="s">
        <v>284</v>
      </c>
      <c r="C48" s="388">
        <v>-0.56999999999999995</v>
      </c>
      <c r="D48" s="389">
        <v>-0.55000000000000004</v>
      </c>
      <c r="E48" s="389">
        <v>-0.55000000000000004</v>
      </c>
      <c r="F48" s="390">
        <v>-0.54000000000000015</v>
      </c>
      <c r="G48" s="390">
        <v>-0.53000000000000014</v>
      </c>
      <c r="H48" s="443">
        <v>-0.54000000000000015</v>
      </c>
      <c r="I48" s="443">
        <v>-0.51</v>
      </c>
      <c r="J48" s="444">
        <v>-0.44</v>
      </c>
      <c r="K48" s="433"/>
      <c r="L48" s="432"/>
      <c r="M48" s="433" t="s">
        <v>284</v>
      </c>
      <c r="N48" s="388">
        <v>-0.60000000000000009</v>
      </c>
      <c r="O48" s="389">
        <v>-0.58000000000000007</v>
      </c>
      <c r="P48" s="389">
        <v>-0.58000000000000007</v>
      </c>
      <c r="Q48" s="390">
        <v>-0.57000000000000017</v>
      </c>
      <c r="R48" s="390">
        <v>-0.56000000000000016</v>
      </c>
      <c r="S48" s="443">
        <v>-0.57000000000000017</v>
      </c>
      <c r="T48" s="443">
        <v>-0.54</v>
      </c>
      <c r="U48" s="444">
        <v>-0.48</v>
      </c>
      <c r="V48" s="433"/>
      <c r="W48" s="432"/>
      <c r="X48" s="433" t="s">
        <v>284</v>
      </c>
      <c r="Y48" s="388">
        <v>-0.64</v>
      </c>
      <c r="Z48" s="389">
        <v>-0.63</v>
      </c>
      <c r="AA48" s="389">
        <v>-0.62000000000000011</v>
      </c>
      <c r="AB48" s="390">
        <v>-0.61000000000000021</v>
      </c>
      <c r="AC48" s="390">
        <v>-0.60000000000000009</v>
      </c>
      <c r="AD48" s="443">
        <v>-0.61000000000000021</v>
      </c>
      <c r="AE48" s="443">
        <v>-0.58000000000000007</v>
      </c>
      <c r="AF48" s="444">
        <v>-0.53</v>
      </c>
      <c r="AG48" s="433"/>
      <c r="AH48" s="432"/>
      <c r="AI48" s="433" t="s">
        <v>284</v>
      </c>
      <c r="AJ48" s="388">
        <v>-0.7</v>
      </c>
      <c r="AK48" s="389">
        <v>-0.69</v>
      </c>
      <c r="AL48" s="389">
        <v>-0.68</v>
      </c>
      <c r="AM48" s="390">
        <v>-0.66</v>
      </c>
      <c r="AN48" s="390">
        <v>-0.65</v>
      </c>
      <c r="AO48" s="443">
        <v>-0.64</v>
      </c>
      <c r="AP48" s="443">
        <v>-0.61</v>
      </c>
      <c r="AQ48" s="444">
        <v>-0.56000000000000005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430" t="s">
        <v>334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430" t="s">
        <v>335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430" t="s">
        <v>336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358"/>
      <c r="B51" t="s">
        <v>186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186</v>
      </c>
      <c r="N51" s="368">
        <v>-0.68000000000000016</v>
      </c>
      <c r="O51" s="440">
        <v>-0.7</v>
      </c>
      <c r="P51" s="369">
        <v>-0.67000000000000015</v>
      </c>
      <c r="Q51" s="370">
        <v>-0.63000000000000012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186</v>
      </c>
      <c r="Y51" s="368">
        <v>-0.7200000000000002</v>
      </c>
      <c r="Z51" s="440">
        <v>-0.7400000000000001</v>
      </c>
      <c r="AA51" s="369">
        <v>-0.71000000000000019</v>
      </c>
      <c r="AB51" s="370">
        <v>-0.67000000000000015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186</v>
      </c>
      <c r="AJ51" s="368">
        <v>-0.76000000000000023</v>
      </c>
      <c r="AK51" s="440">
        <v>-0.78000000000000014</v>
      </c>
      <c r="AL51" s="369">
        <v>-0.75000000000000033</v>
      </c>
      <c r="AM51" s="370">
        <v>-0.71000000000000019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213</v>
      </c>
      <c r="C52" s="373">
        <v>-0.67</v>
      </c>
      <c r="D52" s="374">
        <v>-0.64000000000000012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213</v>
      </c>
      <c r="N52" s="373">
        <v>-0.71000000000000019</v>
      </c>
      <c r="O52" s="374">
        <v>-0.68000000000000016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213</v>
      </c>
      <c r="Y52" s="373">
        <v>-0.75000000000000011</v>
      </c>
      <c r="Z52" s="374">
        <v>-0.7200000000000002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213</v>
      </c>
      <c r="AJ52" s="373">
        <v>-0.79000000000000015</v>
      </c>
      <c r="AK52" s="374">
        <v>-0.76000000000000023</v>
      </c>
      <c r="AL52" s="375">
        <v>-0.75000000000000033</v>
      </c>
      <c r="AM52" s="376">
        <v>-0.7200000000000002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232</v>
      </c>
      <c r="C53" s="379">
        <v>-0.63000000000000012</v>
      </c>
      <c r="D53" s="380">
        <v>-0.63000000000000012</v>
      </c>
      <c r="E53" s="381">
        <v>-0.59000000000000008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232</v>
      </c>
      <c r="N53" s="379">
        <v>-0.67000000000000015</v>
      </c>
      <c r="O53" s="380">
        <v>-0.67000000000000015</v>
      </c>
      <c r="P53" s="381">
        <v>-0.63000000000000012</v>
      </c>
      <c r="Q53" s="376">
        <v>-0.6100000000000001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232</v>
      </c>
      <c r="Y53" s="379">
        <v>-0.71000000000000019</v>
      </c>
      <c r="Z53" s="380">
        <v>-0.71000000000000019</v>
      </c>
      <c r="AA53" s="381">
        <v>-0.69</v>
      </c>
      <c r="AB53" s="376">
        <v>-0.65000000000000013</v>
      </c>
      <c r="AC53" s="376">
        <v>-0.65000000000000013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232</v>
      </c>
      <c r="AJ53" s="379">
        <v>-0.75000000000000033</v>
      </c>
      <c r="AK53" s="380">
        <v>-0.75000000000000033</v>
      </c>
      <c r="AL53" s="381">
        <v>-0.73</v>
      </c>
      <c r="AM53" s="376">
        <v>-0.69000000000000017</v>
      </c>
      <c r="AN53" s="376">
        <v>-0.69000000000000017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215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-0.39</v>
      </c>
      <c r="K54" s="433"/>
      <c r="L54" s="432"/>
      <c r="M54" s="433" t="s">
        <v>215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-0.44000000000000006</v>
      </c>
      <c r="V54" s="433"/>
      <c r="W54" s="432"/>
      <c r="X54" s="433" t="s">
        <v>215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</v>
      </c>
      <c r="AF54" s="394">
        <v>-0.5</v>
      </c>
      <c r="AG54" s="433"/>
      <c r="AH54" s="432"/>
      <c r="AI54" s="433" t="s">
        <v>215</v>
      </c>
      <c r="AJ54" s="382">
        <v>-0.77000000000000013</v>
      </c>
      <c r="AK54" s="383">
        <v>-0.75</v>
      </c>
      <c r="AL54" s="383">
        <v>-0.73</v>
      </c>
      <c r="AM54" s="384">
        <v>-0.71</v>
      </c>
      <c r="AN54" s="384">
        <v>-0.69000000000000017</v>
      </c>
      <c r="AO54" s="393">
        <v>-0.70000000000000018</v>
      </c>
      <c r="AP54" s="393">
        <v>-0.70000000000000018</v>
      </c>
      <c r="AQ54" s="394">
        <v>-0.55000000000000004</v>
      </c>
    </row>
    <row r="55" spans="1:43" x14ac:dyDescent="0.25">
      <c r="A55" s="358"/>
      <c r="B55" t="s">
        <v>249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-0.39</v>
      </c>
      <c r="K55" s="433"/>
      <c r="L55" s="432"/>
      <c r="M55" s="433" t="s">
        <v>249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-0.43</v>
      </c>
      <c r="V55" s="433"/>
      <c r="W55" s="432"/>
      <c r="X55" s="433" t="s">
        <v>249</v>
      </c>
      <c r="Y55" s="382">
        <v>-0.70000000000000018</v>
      </c>
      <c r="Z55" s="383">
        <v>-0.68000000000000016</v>
      </c>
      <c r="AA55" s="383">
        <v>-0.66000000000000014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-0.49</v>
      </c>
      <c r="AG55" s="433"/>
      <c r="AH55" s="432"/>
      <c r="AI55" s="433" t="s">
        <v>249</v>
      </c>
      <c r="AJ55" s="382">
        <v>-0.75000000000000011</v>
      </c>
      <c r="AK55" s="383">
        <v>-0.74</v>
      </c>
      <c r="AL55" s="383">
        <v>-0.73</v>
      </c>
      <c r="AM55" s="384">
        <v>-0.70000000000000018</v>
      </c>
      <c r="AN55" s="384">
        <v>-0.69000000000000017</v>
      </c>
      <c r="AO55" s="393">
        <v>-0.70000000000000018</v>
      </c>
      <c r="AP55" s="393">
        <v>-0.70000000000000018</v>
      </c>
      <c r="AQ55" s="394">
        <v>-0.55000000000000004</v>
      </c>
    </row>
    <row r="56" spans="1:43" x14ac:dyDescent="0.25">
      <c r="A56" s="358"/>
      <c r="B56" t="s">
        <v>257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257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-0.43</v>
      </c>
      <c r="V56" s="433"/>
      <c r="W56" s="432"/>
      <c r="X56" s="433" t="s">
        <v>257</v>
      </c>
      <c r="Y56" s="382">
        <v>-0.70000000000000018</v>
      </c>
      <c r="Z56" s="383">
        <v>-0.68000000000000016</v>
      </c>
      <c r="AA56" s="383">
        <v>-0.67000000000000015</v>
      </c>
      <c r="AB56" s="384">
        <v>-0.66000000000000014</v>
      </c>
      <c r="AC56" s="384">
        <v>-0.65</v>
      </c>
      <c r="AD56" s="393">
        <v>-0.66000000000000014</v>
      </c>
      <c r="AE56" s="393">
        <v>-0.65000000000000013</v>
      </c>
      <c r="AF56" s="394">
        <v>-0.48</v>
      </c>
      <c r="AG56" s="433"/>
      <c r="AH56" s="432"/>
      <c r="AI56" s="433" t="s">
        <v>257</v>
      </c>
      <c r="AJ56" s="382">
        <v>-0.74000000000000032</v>
      </c>
      <c r="AK56" s="383">
        <v>-0.73</v>
      </c>
      <c r="AL56" s="383">
        <v>-0.71000000000000019</v>
      </c>
      <c r="AM56" s="384">
        <v>-0.70000000000000018</v>
      </c>
      <c r="AN56" s="384">
        <v>-0.69</v>
      </c>
      <c r="AO56" s="393">
        <v>-0.70000000000000018</v>
      </c>
      <c r="AP56" s="393">
        <v>-0.69000000000000017</v>
      </c>
      <c r="AQ56" s="394">
        <v>-0.54</v>
      </c>
    </row>
    <row r="57" spans="1:43" x14ac:dyDescent="0.25">
      <c r="A57" s="358"/>
      <c r="B57" t="s">
        <v>264</v>
      </c>
      <c r="C57" s="385">
        <v>-0.65000000000000013</v>
      </c>
      <c r="D57" s="386">
        <v>-0.64</v>
      </c>
      <c r="E57" s="386">
        <v>-0.62000000000000011</v>
      </c>
      <c r="F57" s="387">
        <v>-0.6100000000000001</v>
      </c>
      <c r="G57" s="387">
        <v>-0.6</v>
      </c>
      <c r="H57" s="441">
        <v>-0.6</v>
      </c>
      <c r="I57" s="441">
        <v>-0.59000000000000008</v>
      </c>
      <c r="J57" s="442">
        <v>-0.41</v>
      </c>
      <c r="K57" s="433"/>
      <c r="L57" s="432"/>
      <c r="M57" s="433" t="s">
        <v>264</v>
      </c>
      <c r="N57" s="385">
        <v>-0.68000000000000016</v>
      </c>
      <c r="O57" s="386">
        <v>-0.66</v>
      </c>
      <c r="P57" s="386">
        <v>-0.65</v>
      </c>
      <c r="Q57" s="387">
        <v>-0.64</v>
      </c>
      <c r="R57" s="387">
        <v>-0.63</v>
      </c>
      <c r="S57" s="441">
        <v>-0.63</v>
      </c>
      <c r="T57" s="441">
        <v>-0.60999999999999988</v>
      </c>
      <c r="U57" s="442">
        <v>-0.45</v>
      </c>
      <c r="V57" s="433"/>
      <c r="W57" s="432"/>
      <c r="X57" s="433" t="s">
        <v>264</v>
      </c>
      <c r="Y57" s="385">
        <v>-0.72</v>
      </c>
      <c r="Z57" s="386">
        <v>-0.71000000000000019</v>
      </c>
      <c r="AA57" s="386">
        <v>-0.7</v>
      </c>
      <c r="AB57" s="387">
        <v>-0.69</v>
      </c>
      <c r="AC57" s="387">
        <v>-0.67</v>
      </c>
      <c r="AD57" s="441">
        <v>-0.67</v>
      </c>
      <c r="AE57" s="441">
        <v>-0.66000000000000014</v>
      </c>
      <c r="AF57" s="442">
        <v>-0.51000000000000012</v>
      </c>
      <c r="AG57" s="433"/>
      <c r="AH57" s="432"/>
      <c r="AI57" s="433" t="s">
        <v>264</v>
      </c>
      <c r="AJ57" s="385">
        <v>-0.77</v>
      </c>
      <c r="AK57" s="386">
        <v>-0.77</v>
      </c>
      <c r="AL57" s="386">
        <v>-0.76</v>
      </c>
      <c r="AM57" s="387">
        <v>-0.76</v>
      </c>
      <c r="AN57" s="387">
        <v>-0.74999999999999989</v>
      </c>
      <c r="AO57" s="441">
        <v>-0.72999999999999987</v>
      </c>
      <c r="AP57" s="441">
        <v>-0.70000000000000029</v>
      </c>
      <c r="AQ57" s="442">
        <v>-0.57000000000000006</v>
      </c>
    </row>
    <row r="58" spans="1:43" x14ac:dyDescent="0.25">
      <c r="A58" s="358"/>
      <c r="B58" t="s">
        <v>272</v>
      </c>
      <c r="C58" s="385">
        <v>-0.62000000000000011</v>
      </c>
      <c r="D58" s="386">
        <v>-0.6100000000000001</v>
      </c>
      <c r="E58" s="386">
        <v>-0.6100000000000001</v>
      </c>
      <c r="F58" s="387">
        <v>-0.6100000000000001</v>
      </c>
      <c r="G58" s="387">
        <v>-0.59000000000000008</v>
      </c>
      <c r="H58" s="441">
        <v>-0.6</v>
      </c>
      <c r="I58" s="441">
        <v>-0.56999999999999995</v>
      </c>
      <c r="J58" s="442">
        <v>-0.41000000000000009</v>
      </c>
      <c r="K58" s="433"/>
      <c r="L58" s="432"/>
      <c r="M58" s="433" t="s">
        <v>272</v>
      </c>
      <c r="N58" s="385">
        <v>-0.65000000000000013</v>
      </c>
      <c r="O58" s="386">
        <v>-0.64</v>
      </c>
      <c r="P58" s="386">
        <v>-0.64</v>
      </c>
      <c r="Q58" s="387">
        <v>-0.64</v>
      </c>
      <c r="R58" s="387">
        <v>-0.62000000000000011</v>
      </c>
      <c r="S58" s="441">
        <v>-0.63</v>
      </c>
      <c r="T58" s="441">
        <v>-0.60000000000000009</v>
      </c>
      <c r="U58" s="442">
        <v>-0.45</v>
      </c>
      <c r="V58" s="433"/>
      <c r="W58" s="432"/>
      <c r="X58" s="433" t="s">
        <v>272</v>
      </c>
      <c r="Y58" s="385">
        <v>-0.69</v>
      </c>
      <c r="Z58" s="386">
        <v>-0.68000000000000016</v>
      </c>
      <c r="AA58" s="386">
        <v>-0.68000000000000016</v>
      </c>
      <c r="AB58" s="387">
        <v>-0.68000000000000016</v>
      </c>
      <c r="AC58" s="387">
        <v>-0.66000000000000014</v>
      </c>
      <c r="AD58" s="441">
        <v>-0.67</v>
      </c>
      <c r="AE58" s="441">
        <v>-0.64</v>
      </c>
      <c r="AF58" s="442">
        <v>-0.50000000000000011</v>
      </c>
      <c r="AG58" s="433"/>
      <c r="AH58" s="432"/>
      <c r="AI58" s="433" t="s">
        <v>272</v>
      </c>
      <c r="AJ58" s="385">
        <v>-0.75</v>
      </c>
      <c r="AK58" s="386">
        <v>-0.74</v>
      </c>
      <c r="AL58" s="386">
        <v>-0.7200000000000002</v>
      </c>
      <c r="AM58" s="387">
        <v>-0.7200000000000002</v>
      </c>
      <c r="AN58" s="387">
        <v>-0.70000000000000029</v>
      </c>
      <c r="AO58" s="441">
        <v>-0.71</v>
      </c>
      <c r="AP58" s="441">
        <v>-0.68000000000000016</v>
      </c>
      <c r="AQ58" s="442">
        <v>-0.56000000000000005</v>
      </c>
    </row>
    <row r="59" spans="1:43" x14ac:dyDescent="0.25">
      <c r="A59" s="358"/>
      <c r="B59" t="s">
        <v>278</v>
      </c>
      <c r="C59" s="385">
        <v>-0.62000000000000011</v>
      </c>
      <c r="D59" s="386">
        <v>-0.6</v>
      </c>
      <c r="E59" s="386">
        <v>-0.59000000000000008</v>
      </c>
      <c r="F59" s="387">
        <v>-0.59000000000000008</v>
      </c>
      <c r="G59" s="387">
        <v>-0.59000000000000008</v>
      </c>
      <c r="H59" s="441">
        <v>-0.56999999999999995</v>
      </c>
      <c r="I59" s="441">
        <v>-0.56999999999999995</v>
      </c>
      <c r="J59" s="442">
        <v>-0.45</v>
      </c>
      <c r="K59" s="433"/>
      <c r="L59" s="432"/>
      <c r="M59" s="433" t="s">
        <v>278</v>
      </c>
      <c r="N59" s="385">
        <v>-0.65000000000000013</v>
      </c>
      <c r="O59" s="386">
        <v>-0.63</v>
      </c>
      <c r="P59" s="386">
        <v>-0.62000000000000011</v>
      </c>
      <c r="Q59" s="387">
        <v>-0.62000000000000011</v>
      </c>
      <c r="R59" s="387">
        <v>-0.62000000000000011</v>
      </c>
      <c r="S59" s="441">
        <v>-0.60000000000000009</v>
      </c>
      <c r="T59" s="441">
        <v>-0.60000000000000009</v>
      </c>
      <c r="U59" s="442">
        <v>-0.48999999999999994</v>
      </c>
      <c r="V59" s="433"/>
      <c r="W59" s="432"/>
      <c r="X59" s="433" t="s">
        <v>278</v>
      </c>
      <c r="Y59" s="385">
        <v>-0.69</v>
      </c>
      <c r="Z59" s="386">
        <v>-0.68</v>
      </c>
      <c r="AA59" s="386">
        <v>-0.66000000000000014</v>
      </c>
      <c r="AB59" s="387">
        <v>-0.66000000000000014</v>
      </c>
      <c r="AC59" s="387">
        <v>-0.66000000000000014</v>
      </c>
      <c r="AD59" s="441">
        <v>-0.64</v>
      </c>
      <c r="AE59" s="441">
        <v>-0.64</v>
      </c>
      <c r="AF59" s="442">
        <v>-0.53999999999999992</v>
      </c>
      <c r="AG59" s="433"/>
      <c r="AH59" s="432"/>
      <c r="AI59" s="433" t="s">
        <v>278</v>
      </c>
      <c r="AJ59" s="385">
        <v>-0.75</v>
      </c>
      <c r="AK59" s="386">
        <v>-0.73999999999999988</v>
      </c>
      <c r="AL59" s="386">
        <v>-0.73</v>
      </c>
      <c r="AM59" s="387">
        <v>-0.72</v>
      </c>
      <c r="AN59" s="387">
        <v>-0.72</v>
      </c>
      <c r="AO59" s="441">
        <v>-0.7</v>
      </c>
      <c r="AP59" s="441">
        <v>-0.67</v>
      </c>
      <c r="AQ59" s="442">
        <v>-0.57999999999999996</v>
      </c>
    </row>
    <row r="60" spans="1:43" x14ac:dyDescent="0.25">
      <c r="A60" s="358"/>
      <c r="B60" t="s">
        <v>284</v>
      </c>
      <c r="C60" s="388">
        <v>-0.62000000000000011</v>
      </c>
      <c r="D60" s="389">
        <v>-0.6</v>
      </c>
      <c r="E60" s="389">
        <v>-0.6</v>
      </c>
      <c r="F60" s="390">
        <v>-0.59000000000000008</v>
      </c>
      <c r="G60" s="390">
        <v>-0.58000000000000007</v>
      </c>
      <c r="H60" s="443">
        <v>-0.59000000000000008</v>
      </c>
      <c r="I60" s="443">
        <v>-0.56000000000000005</v>
      </c>
      <c r="J60" s="444">
        <v>-0.49</v>
      </c>
      <c r="K60" s="433"/>
      <c r="L60" s="432"/>
      <c r="M60" s="433" t="s">
        <v>284</v>
      </c>
      <c r="N60" s="388">
        <v>-0.65000000000000013</v>
      </c>
      <c r="O60" s="389">
        <v>-0.63</v>
      </c>
      <c r="P60" s="389">
        <v>-0.63</v>
      </c>
      <c r="Q60" s="390">
        <v>-0.62000000000000011</v>
      </c>
      <c r="R60" s="390">
        <v>-0.6100000000000001</v>
      </c>
      <c r="S60" s="443">
        <v>-0.62000000000000011</v>
      </c>
      <c r="T60" s="443">
        <v>-0.59000000000000008</v>
      </c>
      <c r="U60" s="444">
        <v>-0.53</v>
      </c>
      <c r="V60" s="433"/>
      <c r="W60" s="432"/>
      <c r="X60" s="433" t="s">
        <v>284</v>
      </c>
      <c r="Y60" s="388">
        <v>-0.69</v>
      </c>
      <c r="Z60" s="389">
        <v>-0.68</v>
      </c>
      <c r="AA60" s="389">
        <v>-0.67</v>
      </c>
      <c r="AB60" s="390">
        <v>-0.66000000000000014</v>
      </c>
      <c r="AC60" s="390">
        <v>-0.65000000000000013</v>
      </c>
      <c r="AD60" s="443">
        <v>-0.66000000000000014</v>
      </c>
      <c r="AE60" s="443">
        <v>-0.63000000000000012</v>
      </c>
      <c r="AF60" s="444">
        <v>-0.58000000000000007</v>
      </c>
      <c r="AG60" s="433"/>
      <c r="AH60" s="432"/>
      <c r="AI60" s="433" t="s">
        <v>284</v>
      </c>
      <c r="AJ60" s="388">
        <v>-0.75</v>
      </c>
      <c r="AK60" s="389">
        <v>-0.73999999999999988</v>
      </c>
      <c r="AL60" s="389">
        <v>-0.72999999999999987</v>
      </c>
      <c r="AM60" s="390">
        <v>-0.71</v>
      </c>
      <c r="AN60" s="390">
        <v>-0.7</v>
      </c>
      <c r="AO60" s="443">
        <v>-0.69</v>
      </c>
      <c r="AP60" s="443">
        <v>-0.66</v>
      </c>
      <c r="AQ60" s="444">
        <v>-0.6100000000000001</v>
      </c>
    </row>
    <row r="62" spans="1:43" x14ac:dyDescent="0.25">
      <c r="C62" s="37"/>
      <c r="N62" s="37"/>
      <c r="Y62" s="37"/>
      <c r="AJ62" s="37"/>
    </row>
  </sheetData>
  <sheetProtection algorithmName="SHA-512" hashValue="lZUD9lU5qJ5z2moASlXx/Xn6rfIEfxlIX32ONIFID2MC7ds6QgtSynZNGW3Gngw71FyPcccL6D4Qp3gElkuBuA==" saltValue="vsEtrSdC+Px6Q71f0/9Qrw==" spinCount="100000" sheet="1" objects="1" scenarios="1" autoFilter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Q62"/>
  <sheetViews>
    <sheetView topLeftCell="U1" workbookViewId="0">
      <selection activeCell="AJ2" sqref="AJ2:AQ60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1108</v>
      </c>
      <c r="B1" t="s">
        <v>316</v>
      </c>
    </row>
    <row r="2" spans="1:43" ht="14.45" x14ac:dyDescent="0.3">
      <c r="A2" s="357" t="s">
        <v>317</v>
      </c>
      <c r="C2" s="355" t="s">
        <v>187</v>
      </c>
      <c r="D2" s="355" t="s">
        <v>214</v>
      </c>
      <c r="E2" s="355" t="s">
        <v>233</v>
      </c>
      <c r="F2" s="355" t="s">
        <v>242</v>
      </c>
      <c r="G2" s="355" t="s">
        <v>250</v>
      </c>
      <c r="H2" s="355" t="s">
        <v>258</v>
      </c>
      <c r="I2" s="355" t="s">
        <v>265</v>
      </c>
      <c r="J2" s="355" t="s">
        <v>279</v>
      </c>
      <c r="K2" s="355"/>
      <c r="L2" s="357" t="s">
        <v>318</v>
      </c>
      <c r="M2" s="355"/>
      <c r="N2" s="355" t="s">
        <v>187</v>
      </c>
      <c r="O2" s="355" t="s">
        <v>214</v>
      </c>
      <c r="P2" s="355" t="s">
        <v>233</v>
      </c>
      <c r="Q2" s="355" t="s">
        <v>242</v>
      </c>
      <c r="R2" s="355" t="s">
        <v>250</v>
      </c>
      <c r="S2" s="355" t="s">
        <v>258</v>
      </c>
      <c r="T2" s="355" t="s">
        <v>265</v>
      </c>
      <c r="U2" s="355" t="s">
        <v>279</v>
      </c>
      <c r="V2" s="355"/>
      <c r="W2" s="357" t="s">
        <v>319</v>
      </c>
      <c r="X2" s="355"/>
      <c r="Y2" s="355" t="s">
        <v>187</v>
      </c>
      <c r="Z2" s="355" t="s">
        <v>214</v>
      </c>
      <c r="AA2" s="355" t="s">
        <v>233</v>
      </c>
      <c r="AB2" s="355" t="s">
        <v>242</v>
      </c>
      <c r="AC2" s="355" t="s">
        <v>250</v>
      </c>
      <c r="AD2" s="355" t="s">
        <v>258</v>
      </c>
      <c r="AE2" s="355" t="s">
        <v>265</v>
      </c>
      <c r="AF2" s="355" t="s">
        <v>279</v>
      </c>
      <c r="AG2" s="355"/>
      <c r="AH2" s="357" t="s">
        <v>320</v>
      </c>
      <c r="AJ2" s="355" t="s">
        <v>187</v>
      </c>
      <c r="AK2" s="355" t="s">
        <v>214</v>
      </c>
      <c r="AL2" s="355" t="s">
        <v>233</v>
      </c>
      <c r="AM2" s="355" t="s">
        <v>242</v>
      </c>
      <c r="AN2" s="355" t="s">
        <v>250</v>
      </c>
      <c r="AO2" s="355" t="s">
        <v>258</v>
      </c>
      <c r="AP2" s="355" t="s">
        <v>265</v>
      </c>
      <c r="AQ2" s="355" t="s">
        <v>279</v>
      </c>
    </row>
    <row r="3" spans="1:43" ht="14.45" x14ac:dyDescent="0.3">
      <c r="A3" s="358"/>
      <c r="B3" t="s">
        <v>186</v>
      </c>
      <c r="C3" s="368">
        <v>-0.37</v>
      </c>
      <c r="D3" s="440">
        <v>-0.37</v>
      </c>
      <c r="E3" s="369">
        <v>-0.36</v>
      </c>
      <c r="F3" s="370">
        <v>-0.34</v>
      </c>
      <c r="G3" s="370">
        <v>-0.33</v>
      </c>
      <c r="H3" s="371">
        <v>-0.33</v>
      </c>
      <c r="I3" s="371">
        <v>-0.32</v>
      </c>
      <c r="J3" s="372">
        <v>-0.15</v>
      </c>
      <c r="K3" s="433"/>
      <c r="L3" s="432"/>
      <c r="M3" s="433" t="s">
        <v>186</v>
      </c>
      <c r="N3" s="368">
        <v>-0.42</v>
      </c>
      <c r="O3" s="440">
        <v>-0.42</v>
      </c>
      <c r="P3" s="369">
        <v>-0.41</v>
      </c>
      <c r="Q3" s="370">
        <v>-0.38</v>
      </c>
      <c r="R3" s="370">
        <v>-0.37</v>
      </c>
      <c r="S3" s="371">
        <v>-0.37</v>
      </c>
      <c r="T3" s="371">
        <v>-0.36</v>
      </c>
      <c r="U3" s="372">
        <v>-0.19</v>
      </c>
      <c r="V3" s="433"/>
      <c r="W3" s="432"/>
      <c r="X3" s="433" t="s">
        <v>186</v>
      </c>
      <c r="Y3" s="368">
        <v>-0.5</v>
      </c>
      <c r="Z3" s="440">
        <v>-0.5</v>
      </c>
      <c r="AA3" s="369">
        <v>-0.49</v>
      </c>
      <c r="AB3" s="370">
        <v>-0.45</v>
      </c>
      <c r="AC3" s="370">
        <v>-0.44</v>
      </c>
      <c r="AD3" s="371">
        <v>-0.45</v>
      </c>
      <c r="AE3" s="371">
        <v>-0.44</v>
      </c>
      <c r="AF3" s="372">
        <v>-0.27</v>
      </c>
      <c r="AG3" s="433"/>
      <c r="AH3" s="432"/>
      <c r="AI3" s="433" t="s">
        <v>186</v>
      </c>
      <c r="AJ3" s="368">
        <v>-0.63</v>
      </c>
      <c r="AK3" s="440">
        <v>-0.63</v>
      </c>
      <c r="AL3" s="369">
        <v>-0.62</v>
      </c>
      <c r="AM3" s="370">
        <v>-0.56000000000000005</v>
      </c>
      <c r="AN3" s="370">
        <v>-0.55000000000000004</v>
      </c>
      <c r="AO3" s="371">
        <v>-0.53</v>
      </c>
      <c r="AP3" s="371">
        <v>-0.52</v>
      </c>
      <c r="AQ3" s="372">
        <v>-0.35</v>
      </c>
    </row>
    <row r="4" spans="1:43" ht="14.45" x14ac:dyDescent="0.3">
      <c r="A4" s="358"/>
      <c r="B4" t="s">
        <v>213</v>
      </c>
      <c r="C4" s="373">
        <v>-0.38</v>
      </c>
      <c r="D4" s="374">
        <v>-0.37</v>
      </c>
      <c r="E4" s="375">
        <v>-0.36</v>
      </c>
      <c r="F4" s="376">
        <v>-0.34</v>
      </c>
      <c r="G4" s="376">
        <v>-0.34</v>
      </c>
      <c r="H4" s="377">
        <v>-0.33</v>
      </c>
      <c r="I4" s="377">
        <v>-0.33</v>
      </c>
      <c r="J4" s="378">
        <v>-0.15</v>
      </c>
      <c r="K4" s="433"/>
      <c r="L4" s="432"/>
      <c r="M4" s="433" t="s">
        <v>213</v>
      </c>
      <c r="N4" s="373">
        <v>-0.43</v>
      </c>
      <c r="O4" s="374">
        <v>-0.42</v>
      </c>
      <c r="P4" s="375">
        <v>-0.41</v>
      </c>
      <c r="Q4" s="376">
        <v>-0.38</v>
      </c>
      <c r="R4" s="376">
        <v>-0.38</v>
      </c>
      <c r="S4" s="377">
        <v>-0.37</v>
      </c>
      <c r="T4" s="377">
        <v>-0.37</v>
      </c>
      <c r="U4" s="378">
        <v>-0.19</v>
      </c>
      <c r="V4" s="433"/>
      <c r="W4" s="432"/>
      <c r="X4" s="433" t="s">
        <v>213</v>
      </c>
      <c r="Y4" s="373">
        <v>-0.51</v>
      </c>
      <c r="Z4" s="374">
        <v>-0.5</v>
      </c>
      <c r="AA4" s="375">
        <v>-0.49</v>
      </c>
      <c r="AB4" s="376">
        <v>-0.45</v>
      </c>
      <c r="AC4" s="376">
        <v>-0.45</v>
      </c>
      <c r="AD4" s="377">
        <v>-0.45</v>
      </c>
      <c r="AE4" s="377">
        <v>-0.45</v>
      </c>
      <c r="AF4" s="378">
        <v>-0.27</v>
      </c>
      <c r="AG4" s="433"/>
      <c r="AH4" s="432"/>
      <c r="AI4" s="433" t="s">
        <v>213</v>
      </c>
      <c r="AJ4" s="373">
        <v>-0.64</v>
      </c>
      <c r="AK4" s="374">
        <v>-0.63</v>
      </c>
      <c r="AL4" s="375">
        <v>-0.62</v>
      </c>
      <c r="AM4" s="376">
        <v>-0.6</v>
      </c>
      <c r="AN4" s="376">
        <v>-0.56999999999999995</v>
      </c>
      <c r="AO4" s="377">
        <v>-0.53</v>
      </c>
      <c r="AP4" s="377">
        <v>-0.53</v>
      </c>
      <c r="AQ4" s="378">
        <v>-0.35</v>
      </c>
    </row>
    <row r="5" spans="1:43" ht="14.45" x14ac:dyDescent="0.3">
      <c r="A5" s="358"/>
      <c r="B5" t="s">
        <v>232</v>
      </c>
      <c r="C5" s="379">
        <v>-0.37</v>
      </c>
      <c r="D5" s="380">
        <v>-0.36</v>
      </c>
      <c r="E5" s="381">
        <v>-0.35</v>
      </c>
      <c r="F5" s="376">
        <v>-0.32</v>
      </c>
      <c r="G5" s="376">
        <v>-0.33</v>
      </c>
      <c r="H5" s="377">
        <v>-0.33</v>
      </c>
      <c r="I5" s="377">
        <v>-0.31</v>
      </c>
      <c r="J5" s="378">
        <v>-0.15</v>
      </c>
      <c r="K5" s="433"/>
      <c r="L5" s="432"/>
      <c r="M5" s="433" t="s">
        <v>232</v>
      </c>
      <c r="N5" s="379">
        <v>-0.42</v>
      </c>
      <c r="O5" s="380">
        <v>-0.41</v>
      </c>
      <c r="P5" s="381">
        <v>-0.4</v>
      </c>
      <c r="Q5" s="376">
        <v>-0.36</v>
      </c>
      <c r="R5" s="376">
        <v>-0.37</v>
      </c>
      <c r="S5" s="377">
        <v>-0.37</v>
      </c>
      <c r="T5" s="377">
        <v>-0.35</v>
      </c>
      <c r="U5" s="378">
        <v>-0.19</v>
      </c>
      <c r="V5" s="433"/>
      <c r="W5" s="432"/>
      <c r="X5" s="433" t="s">
        <v>232</v>
      </c>
      <c r="Y5" s="379">
        <v>-0.5</v>
      </c>
      <c r="Z5" s="380">
        <v>-0.49</v>
      </c>
      <c r="AA5" s="381">
        <v>-0.48</v>
      </c>
      <c r="AB5" s="376">
        <v>-0.43</v>
      </c>
      <c r="AC5" s="376">
        <v>-0.44</v>
      </c>
      <c r="AD5" s="377">
        <v>-0.45</v>
      </c>
      <c r="AE5" s="377">
        <v>-0.43</v>
      </c>
      <c r="AF5" s="378">
        <v>-0.27</v>
      </c>
      <c r="AG5" s="433"/>
      <c r="AH5" s="432"/>
      <c r="AI5" s="433" t="s">
        <v>232</v>
      </c>
      <c r="AJ5" s="379">
        <v>-0.63</v>
      </c>
      <c r="AK5" s="380">
        <v>-0.62</v>
      </c>
      <c r="AL5" s="381">
        <v>-0.61</v>
      </c>
      <c r="AM5" s="376">
        <v>-0.57999999999999996</v>
      </c>
      <c r="AN5" s="376">
        <v>-0.55000000000000004</v>
      </c>
      <c r="AO5" s="377">
        <v>-0.53</v>
      </c>
      <c r="AP5" s="377">
        <v>-0.51</v>
      </c>
      <c r="AQ5" s="378">
        <v>-0.35</v>
      </c>
    </row>
    <row r="6" spans="1:43" ht="14.45" x14ac:dyDescent="0.3">
      <c r="A6" s="358"/>
      <c r="B6" t="s">
        <v>215</v>
      </c>
      <c r="C6" s="382">
        <v>-0.38</v>
      </c>
      <c r="D6" s="383">
        <v>-0.35</v>
      </c>
      <c r="E6" s="383">
        <v>-0.34</v>
      </c>
      <c r="F6" s="384">
        <v>-0.33</v>
      </c>
      <c r="G6" s="384">
        <v>-0.32</v>
      </c>
      <c r="H6" s="393">
        <v>-0.33</v>
      </c>
      <c r="I6" s="393">
        <v>-0.32</v>
      </c>
      <c r="J6" s="394">
        <v>-0.1</v>
      </c>
      <c r="K6" s="433"/>
      <c r="L6" s="432"/>
      <c r="M6" s="433" t="s">
        <v>215</v>
      </c>
      <c r="N6" s="382">
        <v>-0.42</v>
      </c>
      <c r="O6" s="383">
        <v>-0.3899999999999999</v>
      </c>
      <c r="P6" s="383">
        <v>-0.38</v>
      </c>
      <c r="Q6" s="384">
        <v>-0.37</v>
      </c>
      <c r="R6" s="384">
        <v>-0.36</v>
      </c>
      <c r="S6" s="393">
        <v>-0.37</v>
      </c>
      <c r="T6" s="393">
        <v>-0.36</v>
      </c>
      <c r="U6" s="394">
        <v>-0.14000000000000001</v>
      </c>
      <c r="V6" s="433"/>
      <c r="W6" s="432"/>
      <c r="X6" s="433" t="s">
        <v>215</v>
      </c>
      <c r="Y6" s="382">
        <v>-0.5</v>
      </c>
      <c r="Z6" s="383">
        <v>-0.47</v>
      </c>
      <c r="AA6" s="383">
        <v>-0.46</v>
      </c>
      <c r="AB6" s="384">
        <v>-0.45</v>
      </c>
      <c r="AC6" s="384">
        <v>-0.44</v>
      </c>
      <c r="AD6" s="393">
        <v>-0.45</v>
      </c>
      <c r="AE6" s="393">
        <v>-0.44</v>
      </c>
      <c r="AF6" s="394">
        <v>-0.22</v>
      </c>
      <c r="AG6" s="433"/>
      <c r="AH6" s="432"/>
      <c r="AI6" s="433" t="s">
        <v>215</v>
      </c>
      <c r="AJ6" s="382">
        <v>-0.64</v>
      </c>
      <c r="AK6" s="383">
        <v>-0.62</v>
      </c>
      <c r="AL6" s="383">
        <v>-0.6</v>
      </c>
      <c r="AM6" s="384">
        <v>-0.57999999999999996</v>
      </c>
      <c r="AN6" s="384">
        <v>-0.56000000000000005</v>
      </c>
      <c r="AO6" s="393">
        <v>-0.53</v>
      </c>
      <c r="AP6" s="393">
        <v>-0.52</v>
      </c>
      <c r="AQ6" s="394">
        <v>-0.30000000000000004</v>
      </c>
    </row>
    <row r="7" spans="1:43" ht="14.45" x14ac:dyDescent="0.3">
      <c r="A7" s="358"/>
      <c r="B7" t="s">
        <v>249</v>
      </c>
      <c r="C7" s="382">
        <v>-0.37</v>
      </c>
      <c r="D7" s="383">
        <v>-0.35</v>
      </c>
      <c r="E7" s="383">
        <v>-0.34</v>
      </c>
      <c r="F7" s="384">
        <v>-0.32</v>
      </c>
      <c r="G7" s="384">
        <v>-0.32</v>
      </c>
      <c r="H7" s="393">
        <v>-0.33</v>
      </c>
      <c r="I7" s="393">
        <v>-0.32</v>
      </c>
      <c r="J7" s="394">
        <v>-0.1</v>
      </c>
      <c r="K7" s="433"/>
      <c r="L7" s="432"/>
      <c r="M7" s="433" t="s">
        <v>249</v>
      </c>
      <c r="N7" s="382">
        <v>-0.41</v>
      </c>
      <c r="O7" s="383">
        <v>-0.3899999999999999</v>
      </c>
      <c r="P7" s="383">
        <v>-0.38</v>
      </c>
      <c r="Q7" s="384">
        <v>-0.36</v>
      </c>
      <c r="R7" s="384">
        <v>-0.36</v>
      </c>
      <c r="S7" s="393">
        <v>-0.37</v>
      </c>
      <c r="T7" s="393">
        <v>-0.36</v>
      </c>
      <c r="U7" s="394">
        <v>-0.14000000000000001</v>
      </c>
      <c r="V7" s="433"/>
      <c r="W7" s="432"/>
      <c r="X7" s="433" t="s">
        <v>249</v>
      </c>
      <c r="Y7" s="382">
        <v>-0.49</v>
      </c>
      <c r="Z7" s="383">
        <v>-0.47</v>
      </c>
      <c r="AA7" s="383">
        <v>-0.46</v>
      </c>
      <c r="AB7" s="384">
        <v>-0.44</v>
      </c>
      <c r="AC7" s="384">
        <v>-0.44</v>
      </c>
      <c r="AD7" s="393">
        <v>-0.45</v>
      </c>
      <c r="AE7" s="393">
        <v>-0.44</v>
      </c>
      <c r="AF7" s="394">
        <v>-0.22</v>
      </c>
      <c r="AG7" s="433"/>
      <c r="AH7" s="432"/>
      <c r="AI7" s="433" t="s">
        <v>249</v>
      </c>
      <c r="AJ7" s="382">
        <v>-0.63</v>
      </c>
      <c r="AK7" s="383">
        <v>-0.61</v>
      </c>
      <c r="AL7" s="383">
        <v>-0.60000000000000009</v>
      </c>
      <c r="AM7" s="384">
        <v>-0.57999999999999996</v>
      </c>
      <c r="AN7" s="384">
        <v>-0.55000000000000004</v>
      </c>
      <c r="AO7" s="393">
        <v>-0.53</v>
      </c>
      <c r="AP7" s="393">
        <v>-0.52</v>
      </c>
      <c r="AQ7" s="394">
        <v>-0.30000000000000004</v>
      </c>
    </row>
    <row r="8" spans="1:43" ht="14.45" x14ac:dyDescent="0.3">
      <c r="A8" s="358"/>
      <c r="B8" t="s">
        <v>257</v>
      </c>
      <c r="C8" s="382">
        <v>-0.37</v>
      </c>
      <c r="D8" s="383">
        <v>-0.36</v>
      </c>
      <c r="E8" s="383">
        <v>-0.35</v>
      </c>
      <c r="F8" s="384">
        <v>-0.33</v>
      </c>
      <c r="G8" s="384">
        <v>-0.32</v>
      </c>
      <c r="H8" s="393">
        <v>-0.33</v>
      </c>
      <c r="I8" s="393">
        <v>-0.32</v>
      </c>
      <c r="J8" s="394">
        <v>-0.1</v>
      </c>
      <c r="K8" s="433"/>
      <c r="L8" s="432"/>
      <c r="M8" s="433" t="s">
        <v>257</v>
      </c>
      <c r="N8" s="382">
        <v>-0.41</v>
      </c>
      <c r="O8" s="383">
        <v>-0.4</v>
      </c>
      <c r="P8" s="383">
        <v>-0.3899999999999999</v>
      </c>
      <c r="Q8" s="384">
        <v>-0.37</v>
      </c>
      <c r="R8" s="384">
        <v>-0.36</v>
      </c>
      <c r="S8" s="393">
        <v>-0.37</v>
      </c>
      <c r="T8" s="393">
        <v>-0.36</v>
      </c>
      <c r="U8" s="394">
        <v>-0.14000000000000001</v>
      </c>
      <c r="V8" s="433"/>
      <c r="W8" s="432"/>
      <c r="X8" s="433" t="s">
        <v>257</v>
      </c>
      <c r="Y8" s="382">
        <v>-0.49</v>
      </c>
      <c r="Z8" s="383">
        <v>-0.48</v>
      </c>
      <c r="AA8" s="383">
        <v>-0.47</v>
      </c>
      <c r="AB8" s="384">
        <v>-0.45</v>
      </c>
      <c r="AC8" s="384">
        <v>-0.44</v>
      </c>
      <c r="AD8" s="393">
        <v>-0.45</v>
      </c>
      <c r="AE8" s="393">
        <v>-0.44</v>
      </c>
      <c r="AF8" s="394">
        <v>-0.22</v>
      </c>
      <c r="AG8" s="433"/>
      <c r="AH8" s="432"/>
      <c r="AI8" s="433" t="s">
        <v>257</v>
      </c>
      <c r="AJ8" s="382">
        <v>-0.63</v>
      </c>
      <c r="AK8" s="383">
        <v>-0.62</v>
      </c>
      <c r="AL8" s="383">
        <v>-0.61</v>
      </c>
      <c r="AM8" s="384">
        <v>-0.59</v>
      </c>
      <c r="AN8" s="384">
        <v>-0.56999999999999995</v>
      </c>
      <c r="AO8" s="393">
        <v>-0.55000000000000004</v>
      </c>
      <c r="AP8" s="393">
        <v>-0.52</v>
      </c>
      <c r="AQ8" s="394">
        <v>-0.30000000000000004</v>
      </c>
    </row>
    <row r="9" spans="1:43" ht="14.45" x14ac:dyDescent="0.3">
      <c r="A9" s="358"/>
      <c r="B9" t="s">
        <v>264</v>
      </c>
      <c r="C9" s="385">
        <v>-0.4</v>
      </c>
      <c r="D9" s="386">
        <v>-0.38</v>
      </c>
      <c r="E9" s="386">
        <v>-0.37</v>
      </c>
      <c r="F9" s="387">
        <v>-0.36</v>
      </c>
      <c r="G9" s="387">
        <v>-0.35</v>
      </c>
      <c r="H9" s="441">
        <v>-0.36</v>
      </c>
      <c r="I9" s="441">
        <v>-0.35</v>
      </c>
      <c r="J9" s="442">
        <v>-0.15</v>
      </c>
      <c r="K9" s="433"/>
      <c r="L9" s="432"/>
      <c r="M9" s="433" t="s">
        <v>264</v>
      </c>
      <c r="N9" s="385">
        <v>-0.44</v>
      </c>
      <c r="O9" s="386">
        <v>-0.42</v>
      </c>
      <c r="P9" s="386">
        <v>-0.41</v>
      </c>
      <c r="Q9" s="387">
        <v>-0.4</v>
      </c>
      <c r="R9" s="387">
        <v>-0.39</v>
      </c>
      <c r="S9" s="441">
        <v>-0.39</v>
      </c>
      <c r="T9" s="441">
        <v>-0.38</v>
      </c>
      <c r="U9" s="442">
        <v>-0.18</v>
      </c>
      <c r="V9" s="433"/>
      <c r="W9" s="432"/>
      <c r="X9" s="433" t="s">
        <v>264</v>
      </c>
      <c r="Y9" s="385">
        <v>-0.52</v>
      </c>
      <c r="Z9" s="386">
        <v>-0.5</v>
      </c>
      <c r="AA9" s="386">
        <v>-0.49</v>
      </c>
      <c r="AB9" s="387">
        <v>-0.48</v>
      </c>
      <c r="AC9" s="387">
        <v>-0.47</v>
      </c>
      <c r="AD9" s="441">
        <v>-0.48</v>
      </c>
      <c r="AE9" s="441">
        <v>-0.47</v>
      </c>
      <c r="AF9" s="442">
        <v>-0.27</v>
      </c>
      <c r="AG9" s="433"/>
      <c r="AH9" s="432"/>
      <c r="AI9" s="433" t="s">
        <v>264</v>
      </c>
      <c r="AJ9" s="385">
        <v>-0.65</v>
      </c>
      <c r="AK9" s="386">
        <v>-0.64</v>
      </c>
      <c r="AL9" s="386">
        <v>-0.62</v>
      </c>
      <c r="AM9" s="387">
        <v>-0.61</v>
      </c>
      <c r="AN9" s="387">
        <v>-0.57999999999999996</v>
      </c>
      <c r="AO9" s="441">
        <v>-0.56000000000000005</v>
      </c>
      <c r="AP9" s="441">
        <v>-0.55000000000000004</v>
      </c>
      <c r="AQ9" s="442">
        <v>-0.35</v>
      </c>
    </row>
    <row r="10" spans="1:43" ht="14.45" x14ac:dyDescent="0.3">
      <c r="A10" s="358"/>
      <c r="B10" t="s">
        <v>272</v>
      </c>
      <c r="C10" s="385">
        <v>-0.41</v>
      </c>
      <c r="D10" s="386">
        <v>-0.39</v>
      </c>
      <c r="E10" s="386">
        <v>-0.36</v>
      </c>
      <c r="F10" s="387">
        <v>-0.35</v>
      </c>
      <c r="G10" s="387">
        <v>-0.35</v>
      </c>
      <c r="H10" s="441">
        <v>-0.35</v>
      </c>
      <c r="I10" s="441">
        <v>-0.35</v>
      </c>
      <c r="J10" s="442">
        <v>-0.15</v>
      </c>
      <c r="K10" s="433"/>
      <c r="L10" s="432"/>
      <c r="M10" s="433" t="s">
        <v>272</v>
      </c>
      <c r="N10" s="385">
        <v>-0.45</v>
      </c>
      <c r="O10" s="386">
        <v>-0.43</v>
      </c>
      <c r="P10" s="386">
        <v>-0.4</v>
      </c>
      <c r="Q10" s="387">
        <v>-0.39</v>
      </c>
      <c r="R10" s="387">
        <v>-0.39</v>
      </c>
      <c r="S10" s="441">
        <v>-0.38</v>
      </c>
      <c r="T10" s="441">
        <v>-0.38</v>
      </c>
      <c r="U10" s="442">
        <v>-0.18</v>
      </c>
      <c r="V10" s="432"/>
      <c r="W10" s="432"/>
      <c r="X10" s="433" t="s">
        <v>272</v>
      </c>
      <c r="Y10" s="385">
        <v>-0.53</v>
      </c>
      <c r="Z10" s="386">
        <v>-0.51</v>
      </c>
      <c r="AA10" s="386">
        <v>-0.48</v>
      </c>
      <c r="AB10" s="387">
        <v>-0.47</v>
      </c>
      <c r="AC10" s="387">
        <v>-0.47</v>
      </c>
      <c r="AD10" s="441">
        <v>-0.47</v>
      </c>
      <c r="AE10" s="441">
        <v>-0.47</v>
      </c>
      <c r="AF10" s="442">
        <v>-0.27</v>
      </c>
      <c r="AG10" s="433"/>
      <c r="AH10" s="432"/>
      <c r="AI10" s="433" t="s">
        <v>272</v>
      </c>
      <c r="AJ10" s="385">
        <v>-0.65</v>
      </c>
      <c r="AK10" s="386">
        <v>-0.64</v>
      </c>
      <c r="AL10" s="386">
        <v>-0.61</v>
      </c>
      <c r="AM10" s="387">
        <v>-0.59</v>
      </c>
      <c r="AN10" s="387">
        <v>-0.56999999999999995</v>
      </c>
      <c r="AO10" s="441">
        <v>-0.55000000000000004</v>
      </c>
      <c r="AP10" s="441">
        <v>-0.54</v>
      </c>
      <c r="AQ10" s="442">
        <v>-0.35</v>
      </c>
    </row>
    <row r="11" spans="1:43" ht="14.45" x14ac:dyDescent="0.3">
      <c r="A11" s="358"/>
      <c r="B11" t="s">
        <v>278</v>
      </c>
      <c r="C11" s="385">
        <v>-0.4</v>
      </c>
      <c r="D11" s="386">
        <v>-0.38</v>
      </c>
      <c r="E11" s="386">
        <v>-0.35</v>
      </c>
      <c r="F11" s="387">
        <v>-0.36</v>
      </c>
      <c r="G11" s="387">
        <v>-0.36</v>
      </c>
      <c r="H11" s="441">
        <v>-0.35</v>
      </c>
      <c r="I11" s="441">
        <v>-0.33</v>
      </c>
      <c r="J11" s="442">
        <v>-0.15</v>
      </c>
      <c r="K11" s="433"/>
      <c r="L11" s="432"/>
      <c r="M11" s="433" t="s">
        <v>278</v>
      </c>
      <c r="N11" s="385">
        <v>-0.44</v>
      </c>
      <c r="O11" s="386">
        <v>-0.41999999999999993</v>
      </c>
      <c r="P11" s="386">
        <v>-0.39</v>
      </c>
      <c r="Q11" s="387">
        <v>-0.4</v>
      </c>
      <c r="R11" s="387">
        <v>-0.4</v>
      </c>
      <c r="S11" s="441">
        <v>-0.38</v>
      </c>
      <c r="T11" s="441">
        <v>-0.35999999999999993</v>
      </c>
      <c r="U11" s="442">
        <v>-0.18</v>
      </c>
      <c r="V11" s="433"/>
      <c r="W11" s="427"/>
      <c r="X11" s="433" t="s">
        <v>278</v>
      </c>
      <c r="Y11" s="385">
        <v>-0.52</v>
      </c>
      <c r="Z11" s="386">
        <v>-0.5</v>
      </c>
      <c r="AA11" s="386">
        <v>-0.47</v>
      </c>
      <c r="AB11" s="387">
        <v>-0.48</v>
      </c>
      <c r="AC11" s="387">
        <v>-0.48</v>
      </c>
      <c r="AD11" s="441">
        <v>-0.47</v>
      </c>
      <c r="AE11" s="441">
        <v>-0.45</v>
      </c>
      <c r="AF11" s="442">
        <v>-0.27</v>
      </c>
      <c r="AG11" s="433"/>
      <c r="AH11" s="432"/>
      <c r="AI11" s="433" t="s">
        <v>278</v>
      </c>
      <c r="AJ11" s="385">
        <v>-0.66</v>
      </c>
      <c r="AK11" s="386">
        <v>-0.64</v>
      </c>
      <c r="AL11" s="386">
        <v>-0.62</v>
      </c>
      <c r="AM11" s="387">
        <v>-0.6</v>
      </c>
      <c r="AN11" s="387">
        <v>-0.56999999999999995</v>
      </c>
      <c r="AO11" s="441">
        <v>-0.55000000000000004</v>
      </c>
      <c r="AP11" s="441">
        <v>-0.54</v>
      </c>
      <c r="AQ11" s="442">
        <v>-0.38</v>
      </c>
    </row>
    <row r="12" spans="1:43" ht="14.45" x14ac:dyDescent="0.3">
      <c r="A12" s="358"/>
      <c r="B12" t="s">
        <v>284</v>
      </c>
      <c r="C12" s="388">
        <v>-0.4</v>
      </c>
      <c r="D12" s="389">
        <v>-0.38</v>
      </c>
      <c r="E12" s="389">
        <v>-0.36</v>
      </c>
      <c r="F12" s="390">
        <v>-0.35</v>
      </c>
      <c r="G12" s="390">
        <v>-0.34</v>
      </c>
      <c r="H12" s="443">
        <v>-0.34</v>
      </c>
      <c r="I12" s="443">
        <v>-0.33</v>
      </c>
      <c r="J12" s="444">
        <v>-0.18</v>
      </c>
      <c r="K12" s="433"/>
      <c r="L12" s="432"/>
      <c r="M12" s="433" t="s">
        <v>284</v>
      </c>
      <c r="N12" s="388">
        <v>-0.44</v>
      </c>
      <c r="O12" s="389">
        <v>-0.41999999999999993</v>
      </c>
      <c r="P12" s="389">
        <v>-0.4</v>
      </c>
      <c r="Q12" s="390">
        <v>-0.39</v>
      </c>
      <c r="R12" s="390">
        <v>-0.38</v>
      </c>
      <c r="S12" s="443">
        <v>-0.37</v>
      </c>
      <c r="T12" s="443">
        <v>-0.35999999999999993</v>
      </c>
      <c r="U12" s="444">
        <v>-0.22</v>
      </c>
      <c r="V12" s="433"/>
      <c r="W12" s="432"/>
      <c r="X12" s="433" t="s">
        <v>284</v>
      </c>
      <c r="Y12" s="388">
        <v>-0.52</v>
      </c>
      <c r="Z12" s="389">
        <v>-0.5</v>
      </c>
      <c r="AA12" s="389">
        <v>-0.48</v>
      </c>
      <c r="AB12" s="390">
        <v>-0.47</v>
      </c>
      <c r="AC12" s="390">
        <v>-0.46</v>
      </c>
      <c r="AD12" s="443">
        <v>-0.46</v>
      </c>
      <c r="AE12" s="443">
        <v>-0.45</v>
      </c>
      <c r="AF12" s="444">
        <v>-0.33</v>
      </c>
      <c r="AG12" s="433"/>
      <c r="AH12" s="432"/>
      <c r="AI12" s="433" t="s">
        <v>284</v>
      </c>
      <c r="AJ12" s="388">
        <v>-0.66</v>
      </c>
      <c r="AK12" s="389">
        <v>-0.64</v>
      </c>
      <c r="AL12" s="389">
        <v>-0.61</v>
      </c>
      <c r="AM12" s="390">
        <v>-0.6</v>
      </c>
      <c r="AN12" s="390">
        <v>-0.59</v>
      </c>
      <c r="AO12" s="443">
        <v>-0.56999999999999995</v>
      </c>
      <c r="AP12" s="443">
        <v>-0.53</v>
      </c>
      <c r="AQ12" s="444">
        <v>-0.43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430" t="s">
        <v>322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430" t="s">
        <v>323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430" t="s">
        <v>324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358"/>
      <c r="B15" t="s">
        <v>186</v>
      </c>
      <c r="C15" s="368">
        <v>-0.43</v>
      </c>
      <c r="D15" s="440">
        <v>-0.43</v>
      </c>
      <c r="E15" s="369">
        <v>-0.42</v>
      </c>
      <c r="F15" s="370">
        <v>-0.39</v>
      </c>
      <c r="G15" s="370">
        <v>-0.38</v>
      </c>
      <c r="H15" s="371">
        <v>-0.37</v>
      </c>
      <c r="I15" s="371">
        <v>-0.36</v>
      </c>
      <c r="J15" s="372">
        <v>-0.19</v>
      </c>
      <c r="K15" s="433"/>
      <c r="L15" s="432"/>
      <c r="M15" s="433" t="s">
        <v>186</v>
      </c>
      <c r="N15" s="368">
        <v>-0.46</v>
      </c>
      <c r="O15" s="440">
        <v>-0.46</v>
      </c>
      <c r="P15" s="369">
        <v>-0.44999999999999996</v>
      </c>
      <c r="Q15" s="370">
        <v>-0.41</v>
      </c>
      <c r="R15" s="370">
        <v>-0.4</v>
      </c>
      <c r="S15" s="371">
        <v>-0.4</v>
      </c>
      <c r="T15" s="371">
        <v>-0.39</v>
      </c>
      <c r="U15" s="372">
        <v>-0.22</v>
      </c>
      <c r="V15" s="433"/>
      <c r="W15" s="432"/>
      <c r="X15" s="433" t="s">
        <v>186</v>
      </c>
      <c r="Y15" s="368">
        <v>-0.54</v>
      </c>
      <c r="Z15" s="440">
        <v>-0.54</v>
      </c>
      <c r="AA15" s="369">
        <v>-0.53</v>
      </c>
      <c r="AB15" s="370">
        <v>-0.48</v>
      </c>
      <c r="AC15" s="370">
        <v>-0.47</v>
      </c>
      <c r="AD15" s="371">
        <v>-0.48</v>
      </c>
      <c r="AE15" s="371">
        <v>-0.47</v>
      </c>
      <c r="AF15" s="372">
        <v>-0.30000000000000004</v>
      </c>
      <c r="AG15" s="433"/>
      <c r="AH15" s="432"/>
      <c r="AI15" s="433" t="s">
        <v>186</v>
      </c>
      <c r="AJ15" s="368">
        <v>-0.67</v>
      </c>
      <c r="AK15" s="440">
        <v>-0.67</v>
      </c>
      <c r="AL15" s="369">
        <v>-0.66</v>
      </c>
      <c r="AM15" s="370">
        <v>-0.63</v>
      </c>
      <c r="AN15" s="370">
        <v>-0.61</v>
      </c>
      <c r="AO15" s="371">
        <v>-0.57999999999999996</v>
      </c>
      <c r="AP15" s="371">
        <v>-0.55000000000000004</v>
      </c>
      <c r="AQ15" s="372">
        <v>-0.38</v>
      </c>
    </row>
    <row r="16" spans="1:43" ht="14.45" x14ac:dyDescent="0.3">
      <c r="A16" s="358"/>
      <c r="B16" t="s">
        <v>213</v>
      </c>
      <c r="C16" s="373">
        <v>-0.44</v>
      </c>
      <c r="D16" s="374">
        <v>-0.43</v>
      </c>
      <c r="E16" s="375">
        <v>-0.42</v>
      </c>
      <c r="F16" s="376">
        <v>-0.39</v>
      </c>
      <c r="G16" s="376">
        <v>-0.39</v>
      </c>
      <c r="H16" s="377">
        <v>-0.37</v>
      </c>
      <c r="I16" s="377">
        <v>-0.37</v>
      </c>
      <c r="J16" s="378">
        <v>-0.19</v>
      </c>
      <c r="K16" s="433"/>
      <c r="L16" s="432"/>
      <c r="M16" s="433" t="s">
        <v>213</v>
      </c>
      <c r="N16" s="373">
        <v>-0.47</v>
      </c>
      <c r="O16" s="374">
        <v>-0.46</v>
      </c>
      <c r="P16" s="375">
        <v>-0.44999999999999996</v>
      </c>
      <c r="Q16" s="376">
        <v>-0.41</v>
      </c>
      <c r="R16" s="376">
        <v>-0.41</v>
      </c>
      <c r="S16" s="377">
        <v>-0.4</v>
      </c>
      <c r="T16" s="377">
        <v>-0.4</v>
      </c>
      <c r="U16" s="378">
        <v>-0.22</v>
      </c>
      <c r="V16" s="433"/>
      <c r="W16" s="432"/>
      <c r="X16" s="433" t="s">
        <v>213</v>
      </c>
      <c r="Y16" s="373">
        <v>-0.55000000000000004</v>
      </c>
      <c r="Z16" s="374">
        <v>-0.54</v>
      </c>
      <c r="AA16" s="375">
        <v>-0.53</v>
      </c>
      <c r="AB16" s="376">
        <v>-0.48</v>
      </c>
      <c r="AC16" s="376">
        <v>-0.48</v>
      </c>
      <c r="AD16" s="377">
        <v>-0.48</v>
      </c>
      <c r="AE16" s="377">
        <v>-0.48</v>
      </c>
      <c r="AF16" s="378">
        <v>-0.30000000000000004</v>
      </c>
      <c r="AG16" s="433"/>
      <c r="AH16" s="432"/>
      <c r="AI16" s="433" t="s">
        <v>213</v>
      </c>
      <c r="AJ16" s="373">
        <v>-0.68</v>
      </c>
      <c r="AK16" s="374">
        <v>-0.67</v>
      </c>
      <c r="AL16" s="375">
        <v>-0.66</v>
      </c>
      <c r="AM16" s="376">
        <v>-0.63</v>
      </c>
      <c r="AN16" s="376">
        <v>-0.6</v>
      </c>
      <c r="AO16" s="377">
        <v>-0.56000000000000005</v>
      </c>
      <c r="AP16" s="377">
        <v>-0.56000000000000005</v>
      </c>
      <c r="AQ16" s="378">
        <v>-0.38</v>
      </c>
    </row>
    <row r="17" spans="1:43" ht="14.45" x14ac:dyDescent="0.3">
      <c r="A17" s="358"/>
      <c r="B17" t="s">
        <v>232</v>
      </c>
      <c r="C17" s="379">
        <v>-0.43</v>
      </c>
      <c r="D17" s="380">
        <v>-0.42</v>
      </c>
      <c r="E17" s="381">
        <v>-0.41</v>
      </c>
      <c r="F17" s="376">
        <v>-0.37</v>
      </c>
      <c r="G17" s="376">
        <v>-0.38</v>
      </c>
      <c r="H17" s="377">
        <v>-0.37</v>
      </c>
      <c r="I17" s="377">
        <v>-0.35</v>
      </c>
      <c r="J17" s="378">
        <v>-0.19</v>
      </c>
      <c r="K17" s="433"/>
      <c r="L17" s="432"/>
      <c r="M17" s="433" t="s">
        <v>232</v>
      </c>
      <c r="N17" s="379">
        <v>-0.46</v>
      </c>
      <c r="O17" s="380">
        <v>-0.44999999999999996</v>
      </c>
      <c r="P17" s="381">
        <v>-0.43999999999999995</v>
      </c>
      <c r="Q17" s="376">
        <v>-0.39</v>
      </c>
      <c r="R17" s="376">
        <v>-0.4</v>
      </c>
      <c r="S17" s="377">
        <v>-0.4</v>
      </c>
      <c r="T17" s="377">
        <v>-0.38</v>
      </c>
      <c r="U17" s="378">
        <v>-0.22</v>
      </c>
      <c r="V17" s="433"/>
      <c r="W17" s="432"/>
      <c r="X17" s="433" t="s">
        <v>232</v>
      </c>
      <c r="Y17" s="379">
        <v>-0.54</v>
      </c>
      <c r="Z17" s="380">
        <v>-0.53</v>
      </c>
      <c r="AA17" s="381">
        <v>-0.52</v>
      </c>
      <c r="AB17" s="376">
        <v>-0.48</v>
      </c>
      <c r="AC17" s="376">
        <v>-0.47</v>
      </c>
      <c r="AD17" s="377">
        <v>-0.48</v>
      </c>
      <c r="AE17" s="377">
        <v>-0.46</v>
      </c>
      <c r="AF17" s="378">
        <v>-0.30000000000000004</v>
      </c>
      <c r="AG17" s="433"/>
      <c r="AH17" s="432"/>
      <c r="AI17" s="433" t="s">
        <v>232</v>
      </c>
      <c r="AJ17" s="379">
        <v>-0.67</v>
      </c>
      <c r="AK17" s="380">
        <v>-0.66</v>
      </c>
      <c r="AL17" s="381">
        <v>-0.65</v>
      </c>
      <c r="AM17" s="376">
        <v>-0.62</v>
      </c>
      <c r="AN17" s="376">
        <v>-0.6</v>
      </c>
      <c r="AO17" s="377">
        <v>-0.56999999999999995</v>
      </c>
      <c r="AP17" s="377">
        <v>-0.54</v>
      </c>
      <c r="AQ17" s="378">
        <v>-0.38</v>
      </c>
    </row>
    <row r="18" spans="1:43" ht="14.45" x14ac:dyDescent="0.3">
      <c r="A18" s="358"/>
      <c r="B18" t="s">
        <v>215</v>
      </c>
      <c r="C18" s="382">
        <v>-0.43</v>
      </c>
      <c r="D18" s="383">
        <v>-0.4</v>
      </c>
      <c r="E18" s="383">
        <v>-0.39</v>
      </c>
      <c r="F18" s="384">
        <v>-0.38</v>
      </c>
      <c r="G18" s="384">
        <v>-0.37</v>
      </c>
      <c r="H18" s="393">
        <v>-0.37</v>
      </c>
      <c r="I18" s="393">
        <v>-0.36</v>
      </c>
      <c r="J18" s="394">
        <v>-0.14000000000000001</v>
      </c>
      <c r="K18" s="433"/>
      <c r="L18" s="432"/>
      <c r="M18" s="433" t="s">
        <v>215</v>
      </c>
      <c r="N18" s="382">
        <v>-0.46</v>
      </c>
      <c r="O18" s="383">
        <v>-0.42999999999999994</v>
      </c>
      <c r="P18" s="383">
        <v>-0.42</v>
      </c>
      <c r="Q18" s="384">
        <v>-0.4</v>
      </c>
      <c r="R18" s="384">
        <v>-0.39</v>
      </c>
      <c r="S18" s="393">
        <v>-0.4</v>
      </c>
      <c r="T18" s="393">
        <v>-0.39</v>
      </c>
      <c r="U18" s="394">
        <v>-0.17</v>
      </c>
      <c r="V18" s="433"/>
      <c r="W18" s="432"/>
      <c r="X18" s="433" t="s">
        <v>215</v>
      </c>
      <c r="Y18" s="382">
        <v>-0.54</v>
      </c>
      <c r="Z18" s="383">
        <v>-0.51</v>
      </c>
      <c r="AA18" s="383">
        <v>-0.5</v>
      </c>
      <c r="AB18" s="384">
        <v>-0.48</v>
      </c>
      <c r="AC18" s="384">
        <v>-0.47</v>
      </c>
      <c r="AD18" s="393">
        <v>-0.48</v>
      </c>
      <c r="AE18" s="393">
        <v>-0.47</v>
      </c>
      <c r="AF18" s="394">
        <v>-0.25</v>
      </c>
      <c r="AG18" s="433"/>
      <c r="AH18" s="432"/>
      <c r="AI18" s="433" t="s">
        <v>215</v>
      </c>
      <c r="AJ18" s="382">
        <v>-0.68</v>
      </c>
      <c r="AK18" s="383">
        <v>-0.66</v>
      </c>
      <c r="AL18" s="383">
        <v>-0.64000000000000012</v>
      </c>
      <c r="AM18" s="384">
        <v>-0.62</v>
      </c>
      <c r="AN18" s="384">
        <v>-0.6</v>
      </c>
      <c r="AO18" s="393">
        <v>-0.57999999999999996</v>
      </c>
      <c r="AP18" s="393">
        <v>-0.55000000000000004</v>
      </c>
      <c r="AQ18" s="394">
        <v>-0.33000000000000007</v>
      </c>
    </row>
    <row r="19" spans="1:43" ht="14.45" x14ac:dyDescent="0.3">
      <c r="A19" s="358"/>
      <c r="B19" t="s">
        <v>249</v>
      </c>
      <c r="C19" s="382">
        <v>-0.42</v>
      </c>
      <c r="D19" s="383">
        <v>-0.4</v>
      </c>
      <c r="E19" s="383">
        <v>-0.39</v>
      </c>
      <c r="F19" s="384">
        <v>-0.37</v>
      </c>
      <c r="G19" s="384">
        <v>-0.37</v>
      </c>
      <c r="H19" s="393">
        <v>-0.37</v>
      </c>
      <c r="I19" s="393">
        <v>-0.36</v>
      </c>
      <c r="J19" s="394">
        <v>-0.14000000000000001</v>
      </c>
      <c r="K19" s="433"/>
      <c r="L19" s="432"/>
      <c r="M19" s="433" t="s">
        <v>249</v>
      </c>
      <c r="N19" s="382">
        <v>-0.44999999999999996</v>
      </c>
      <c r="O19" s="383">
        <v>-0.42999999999999994</v>
      </c>
      <c r="P19" s="383">
        <v>-0.42</v>
      </c>
      <c r="Q19" s="384">
        <v>-0.39</v>
      </c>
      <c r="R19" s="384">
        <v>-0.39</v>
      </c>
      <c r="S19" s="393">
        <v>-0.4</v>
      </c>
      <c r="T19" s="393">
        <v>-0.39</v>
      </c>
      <c r="U19" s="394">
        <v>-0.17</v>
      </c>
      <c r="V19" s="433"/>
      <c r="W19" s="432"/>
      <c r="X19" s="433" t="s">
        <v>249</v>
      </c>
      <c r="Y19" s="382">
        <v>-0.53</v>
      </c>
      <c r="Z19" s="383">
        <v>-0.51</v>
      </c>
      <c r="AA19" s="383">
        <v>-0.5</v>
      </c>
      <c r="AB19" s="384">
        <v>-0.47</v>
      </c>
      <c r="AC19" s="384">
        <v>-0.47</v>
      </c>
      <c r="AD19" s="393">
        <v>-0.48</v>
      </c>
      <c r="AE19" s="393">
        <v>-0.47</v>
      </c>
      <c r="AF19" s="394">
        <v>-0.25</v>
      </c>
      <c r="AG19" s="433"/>
      <c r="AH19" s="432"/>
      <c r="AI19" s="433" t="s">
        <v>249</v>
      </c>
      <c r="AJ19" s="382">
        <v>-0.67</v>
      </c>
      <c r="AK19" s="383">
        <v>-0.65</v>
      </c>
      <c r="AL19" s="383">
        <v>-0.64000000000000012</v>
      </c>
      <c r="AM19" s="384">
        <v>-0.62</v>
      </c>
      <c r="AN19" s="384">
        <v>-0.6</v>
      </c>
      <c r="AO19" s="393">
        <v>-0.57999999999999996</v>
      </c>
      <c r="AP19" s="393">
        <v>-0.56000000000000005</v>
      </c>
      <c r="AQ19" s="394">
        <v>-0.33000000000000007</v>
      </c>
    </row>
    <row r="20" spans="1:43" ht="14.45" x14ac:dyDescent="0.3">
      <c r="A20" s="358"/>
      <c r="B20" t="s">
        <v>257</v>
      </c>
      <c r="C20" s="382">
        <v>-0.42</v>
      </c>
      <c r="D20" s="383">
        <v>-0.41</v>
      </c>
      <c r="E20" s="383">
        <v>-0.4</v>
      </c>
      <c r="F20" s="384">
        <v>-0.38</v>
      </c>
      <c r="G20" s="384">
        <v>-0.37</v>
      </c>
      <c r="H20" s="393">
        <v>-0.37</v>
      </c>
      <c r="I20" s="393">
        <v>-0.36</v>
      </c>
      <c r="J20" s="394">
        <v>-0.14000000000000001</v>
      </c>
      <c r="K20" s="433"/>
      <c r="L20" s="432"/>
      <c r="M20" s="433" t="s">
        <v>257</v>
      </c>
      <c r="N20" s="382">
        <v>-0.44999999999999996</v>
      </c>
      <c r="O20" s="383">
        <v>-0.43999999999999995</v>
      </c>
      <c r="P20" s="383">
        <v>-0.42999999999999994</v>
      </c>
      <c r="Q20" s="384">
        <v>-0.4</v>
      </c>
      <c r="R20" s="384">
        <v>-0.39</v>
      </c>
      <c r="S20" s="393">
        <v>-0.4</v>
      </c>
      <c r="T20" s="393">
        <v>-0.39</v>
      </c>
      <c r="U20" s="394">
        <v>-0.17</v>
      </c>
      <c r="V20" s="433"/>
      <c r="W20" s="432"/>
      <c r="X20" s="433" t="s">
        <v>257</v>
      </c>
      <c r="Y20" s="382">
        <v>-0.53</v>
      </c>
      <c r="Z20" s="383">
        <v>-0.52</v>
      </c>
      <c r="AA20" s="383">
        <v>-0.51</v>
      </c>
      <c r="AB20" s="384">
        <v>-0.49</v>
      </c>
      <c r="AC20" s="384">
        <v>-0.47</v>
      </c>
      <c r="AD20" s="393">
        <v>-0.48</v>
      </c>
      <c r="AE20" s="393">
        <v>-0.47</v>
      </c>
      <c r="AF20" s="394">
        <v>-0.25</v>
      </c>
      <c r="AG20" s="433"/>
      <c r="AH20" s="432"/>
      <c r="AI20" s="433" t="s">
        <v>257</v>
      </c>
      <c r="AJ20" s="382">
        <v>-0.67</v>
      </c>
      <c r="AK20" s="383">
        <v>-0.66</v>
      </c>
      <c r="AL20" s="383">
        <v>-0.65</v>
      </c>
      <c r="AM20" s="384">
        <v>-0.63</v>
      </c>
      <c r="AN20" s="384">
        <v>-0.6</v>
      </c>
      <c r="AO20" s="393">
        <v>-0.61</v>
      </c>
      <c r="AP20" s="393">
        <v>-0.57999999999999996</v>
      </c>
      <c r="AQ20" s="394">
        <v>-0.38</v>
      </c>
    </row>
    <row r="21" spans="1:43" ht="14.45" x14ac:dyDescent="0.3">
      <c r="A21" s="358"/>
      <c r="B21" t="s">
        <v>264</v>
      </c>
      <c r="C21" s="385">
        <v>-0.44</v>
      </c>
      <c r="D21" s="386">
        <v>-0.42</v>
      </c>
      <c r="E21" s="386">
        <v>-0.41</v>
      </c>
      <c r="F21" s="387">
        <v>-0.4</v>
      </c>
      <c r="G21" s="387">
        <v>-0.39</v>
      </c>
      <c r="H21" s="441">
        <v>-0.4</v>
      </c>
      <c r="I21" s="441">
        <v>-0.39</v>
      </c>
      <c r="J21" s="442">
        <v>-0.19</v>
      </c>
      <c r="K21" s="433"/>
      <c r="L21" s="432"/>
      <c r="M21" s="433" t="s">
        <v>264</v>
      </c>
      <c r="N21" s="385">
        <v>-0.46999999999999992</v>
      </c>
      <c r="O21" s="386">
        <v>-0.45</v>
      </c>
      <c r="P21" s="386">
        <v>-0.44</v>
      </c>
      <c r="Q21" s="387">
        <v>-0.43</v>
      </c>
      <c r="R21" s="387">
        <v>-0.42</v>
      </c>
      <c r="S21" s="441">
        <v>-0.42</v>
      </c>
      <c r="T21" s="441">
        <v>-0.41</v>
      </c>
      <c r="U21" s="442">
        <v>-0.21</v>
      </c>
      <c r="V21" s="433"/>
      <c r="W21" s="432"/>
      <c r="X21" s="433" t="s">
        <v>264</v>
      </c>
      <c r="Y21" s="385">
        <v>-0.55000000000000004</v>
      </c>
      <c r="Z21" s="386">
        <v>-0.53</v>
      </c>
      <c r="AA21" s="386">
        <v>-0.52</v>
      </c>
      <c r="AB21" s="387">
        <v>-0.51</v>
      </c>
      <c r="AC21" s="387">
        <v>-0.5</v>
      </c>
      <c r="AD21" s="441">
        <v>-0.51</v>
      </c>
      <c r="AE21" s="441">
        <v>-0.5</v>
      </c>
      <c r="AF21" s="442">
        <v>-0.3</v>
      </c>
      <c r="AG21" s="433"/>
      <c r="AH21" s="432"/>
      <c r="AI21" s="433" t="s">
        <v>264</v>
      </c>
      <c r="AJ21" s="385">
        <v>-0.69</v>
      </c>
      <c r="AK21" s="386">
        <v>-0.68</v>
      </c>
      <c r="AL21" s="386">
        <v>-0.66</v>
      </c>
      <c r="AM21" s="387">
        <v>-0.65</v>
      </c>
      <c r="AN21" s="387">
        <v>-0.64</v>
      </c>
      <c r="AO21" s="441">
        <v>-0.61</v>
      </c>
      <c r="AP21" s="441">
        <v>-0.6</v>
      </c>
      <c r="AQ21" s="442">
        <v>-0.42</v>
      </c>
    </row>
    <row r="22" spans="1:43" ht="14.45" x14ac:dyDescent="0.3">
      <c r="A22" s="358"/>
      <c r="B22" t="s">
        <v>272</v>
      </c>
      <c r="C22" s="385">
        <v>-0.45</v>
      </c>
      <c r="D22" s="386">
        <v>-0.43</v>
      </c>
      <c r="E22" s="386">
        <v>-0.4</v>
      </c>
      <c r="F22" s="387">
        <v>-0.39</v>
      </c>
      <c r="G22" s="387">
        <v>-0.39</v>
      </c>
      <c r="H22" s="441">
        <v>-0.39</v>
      </c>
      <c r="I22" s="441">
        <v>-0.39</v>
      </c>
      <c r="J22" s="442">
        <v>-0.19</v>
      </c>
      <c r="K22" s="433"/>
      <c r="L22" s="432"/>
      <c r="M22" s="433" t="s">
        <v>272</v>
      </c>
      <c r="N22" s="385">
        <v>-0.47999999999999993</v>
      </c>
      <c r="O22" s="386">
        <v>-0.46</v>
      </c>
      <c r="P22" s="386">
        <v>-0.43</v>
      </c>
      <c r="Q22" s="387">
        <v>-0.42</v>
      </c>
      <c r="R22" s="387">
        <v>-0.42</v>
      </c>
      <c r="S22" s="441">
        <v>-0.41</v>
      </c>
      <c r="T22" s="441">
        <v>-0.41</v>
      </c>
      <c r="U22" s="442">
        <v>-0.21</v>
      </c>
      <c r="V22" s="433"/>
      <c r="W22" s="432"/>
      <c r="X22" s="433" t="s">
        <v>272</v>
      </c>
      <c r="Y22" s="385">
        <v>-0.56000000000000005</v>
      </c>
      <c r="Z22" s="386">
        <v>-0.54</v>
      </c>
      <c r="AA22" s="386">
        <v>-0.53</v>
      </c>
      <c r="AB22" s="387">
        <v>-0.51</v>
      </c>
      <c r="AC22" s="387">
        <v>-0.5</v>
      </c>
      <c r="AD22" s="441">
        <v>-0.5</v>
      </c>
      <c r="AE22" s="441">
        <v>-0.5</v>
      </c>
      <c r="AF22" s="442">
        <v>-0.3</v>
      </c>
      <c r="AG22" s="433"/>
      <c r="AH22" s="432"/>
      <c r="AI22" s="433" t="s">
        <v>272</v>
      </c>
      <c r="AJ22" s="385">
        <v>-0.7</v>
      </c>
      <c r="AK22" s="386">
        <v>-0.69</v>
      </c>
      <c r="AL22" s="386">
        <v>-0.67</v>
      </c>
      <c r="AM22" s="387">
        <v>-0.66</v>
      </c>
      <c r="AN22" s="387">
        <v>-0.64</v>
      </c>
      <c r="AO22" s="441">
        <v>-0.61</v>
      </c>
      <c r="AP22" s="441">
        <v>-0.57999999999999996</v>
      </c>
      <c r="AQ22" s="442">
        <v>-0.4</v>
      </c>
    </row>
    <row r="23" spans="1:43" ht="14.45" x14ac:dyDescent="0.3">
      <c r="A23" s="358"/>
      <c r="B23" t="s">
        <v>278</v>
      </c>
      <c r="C23" s="385">
        <v>-0.44</v>
      </c>
      <c r="D23" s="386">
        <v>-0.41999999999999993</v>
      </c>
      <c r="E23" s="386">
        <v>-0.39</v>
      </c>
      <c r="F23" s="387">
        <v>-0.4</v>
      </c>
      <c r="G23" s="387">
        <v>-0.4</v>
      </c>
      <c r="H23" s="441">
        <v>-0.39</v>
      </c>
      <c r="I23" s="441">
        <v>-0.37</v>
      </c>
      <c r="J23" s="442">
        <v>-0.19</v>
      </c>
      <c r="K23" s="433"/>
      <c r="L23" s="432"/>
      <c r="M23" s="433" t="s">
        <v>278</v>
      </c>
      <c r="N23" s="385">
        <v>-0.46999999999999992</v>
      </c>
      <c r="O23" s="386">
        <v>-0.44999999999999996</v>
      </c>
      <c r="P23" s="386">
        <v>-0.42</v>
      </c>
      <c r="Q23" s="387">
        <v>-0.43</v>
      </c>
      <c r="R23" s="387">
        <v>-0.43</v>
      </c>
      <c r="S23" s="441">
        <v>-0.41</v>
      </c>
      <c r="T23" s="441">
        <v>-0.39</v>
      </c>
      <c r="U23" s="442">
        <v>-0.21</v>
      </c>
      <c r="V23" s="433"/>
      <c r="W23" s="432"/>
      <c r="X23" s="433" t="s">
        <v>278</v>
      </c>
      <c r="Y23" s="385">
        <v>-0.55000000000000004</v>
      </c>
      <c r="Z23" s="386">
        <v>-0.53</v>
      </c>
      <c r="AA23" s="386">
        <v>-0.5</v>
      </c>
      <c r="AB23" s="387">
        <v>-0.51</v>
      </c>
      <c r="AC23" s="387">
        <v>-0.51</v>
      </c>
      <c r="AD23" s="441">
        <v>-0.5</v>
      </c>
      <c r="AE23" s="441">
        <v>-0.47999999999999993</v>
      </c>
      <c r="AF23" s="442">
        <v>-0.3</v>
      </c>
      <c r="AG23" s="433"/>
      <c r="AH23" s="432"/>
      <c r="AI23" s="433" t="s">
        <v>278</v>
      </c>
      <c r="AJ23" s="385">
        <v>-0.68</v>
      </c>
      <c r="AK23" s="386">
        <v>-0.67</v>
      </c>
      <c r="AL23" s="386">
        <v>-0.65</v>
      </c>
      <c r="AM23" s="387">
        <v>-0.64</v>
      </c>
      <c r="AN23" s="387">
        <v>-0.62</v>
      </c>
      <c r="AO23" s="441">
        <v>-0.59</v>
      </c>
      <c r="AP23" s="441">
        <v>-0.57999999999999996</v>
      </c>
      <c r="AQ23" s="442">
        <v>-0.43</v>
      </c>
    </row>
    <row r="24" spans="1:43" ht="14.45" x14ac:dyDescent="0.3">
      <c r="A24" s="358"/>
      <c r="B24" t="s">
        <v>284</v>
      </c>
      <c r="C24" s="388">
        <v>-0.44</v>
      </c>
      <c r="D24" s="389">
        <v>-0.41999999999999993</v>
      </c>
      <c r="E24" s="389">
        <v>-0.4</v>
      </c>
      <c r="F24" s="390">
        <v>-0.39</v>
      </c>
      <c r="G24" s="390">
        <v>-0.38</v>
      </c>
      <c r="H24" s="443">
        <v>-0.38</v>
      </c>
      <c r="I24" s="443">
        <v>-0.37</v>
      </c>
      <c r="J24" s="444">
        <v>-0.23</v>
      </c>
      <c r="K24" s="433"/>
      <c r="L24" s="432"/>
      <c r="M24" s="433" t="s">
        <v>284</v>
      </c>
      <c r="N24" s="388">
        <v>-0.46999999999999992</v>
      </c>
      <c r="O24" s="389">
        <v>-0.44999999999999996</v>
      </c>
      <c r="P24" s="389">
        <v>-0.43</v>
      </c>
      <c r="Q24" s="390">
        <v>-0.42</v>
      </c>
      <c r="R24" s="390">
        <v>-0.41</v>
      </c>
      <c r="S24" s="443">
        <v>-0.4</v>
      </c>
      <c r="T24" s="443">
        <v>-0.39</v>
      </c>
      <c r="U24" s="444">
        <v>-0.26</v>
      </c>
      <c r="V24" s="433"/>
      <c r="W24" s="432"/>
      <c r="X24" s="433" t="s">
        <v>284</v>
      </c>
      <c r="Y24" s="388">
        <v>-0.55000000000000004</v>
      </c>
      <c r="Z24" s="389">
        <v>-0.53</v>
      </c>
      <c r="AA24" s="389">
        <v>-0.51</v>
      </c>
      <c r="AB24" s="390">
        <v>-0.5</v>
      </c>
      <c r="AC24" s="390">
        <v>-0.49</v>
      </c>
      <c r="AD24" s="443">
        <v>-0.49</v>
      </c>
      <c r="AE24" s="443">
        <v>-0.47</v>
      </c>
      <c r="AF24" s="444">
        <v>-0.36</v>
      </c>
      <c r="AG24" s="433"/>
      <c r="AH24" s="432"/>
      <c r="AI24" s="433" t="s">
        <v>284</v>
      </c>
      <c r="AJ24" s="388">
        <v>-0.68</v>
      </c>
      <c r="AK24" s="389">
        <v>-0.66</v>
      </c>
      <c r="AL24" s="389">
        <v>-0.64</v>
      </c>
      <c r="AM24" s="390">
        <v>-0.64</v>
      </c>
      <c r="AN24" s="390">
        <v>-0.63</v>
      </c>
      <c r="AO24" s="443">
        <v>-0.62</v>
      </c>
      <c r="AP24" s="443">
        <v>-0.57999999999999996</v>
      </c>
      <c r="AQ24" s="444">
        <v>-0.49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430" t="s">
        <v>326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430" t="s">
        <v>327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430" t="s">
        <v>328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358"/>
      <c r="B27" t="s">
        <v>186</v>
      </c>
      <c r="C27" s="368">
        <v>-0.52</v>
      </c>
      <c r="D27" s="440">
        <v>-0.52</v>
      </c>
      <c r="E27" s="369">
        <v>-0.51</v>
      </c>
      <c r="F27" s="370">
        <v>-0.49</v>
      </c>
      <c r="G27" s="370">
        <v>-0.48</v>
      </c>
      <c r="H27" s="371">
        <v>-0.48</v>
      </c>
      <c r="I27" s="371">
        <v>-0.47</v>
      </c>
      <c r="J27" s="372">
        <v>-0.3</v>
      </c>
      <c r="K27" s="433"/>
      <c r="L27" s="432"/>
      <c r="M27" s="433" t="s">
        <v>186</v>
      </c>
      <c r="N27" s="368">
        <v>-0.56000000000000005</v>
      </c>
      <c r="O27" s="440">
        <v>-0.56000000000000005</v>
      </c>
      <c r="P27" s="369">
        <v>-0.55000000000000004</v>
      </c>
      <c r="Q27" s="370">
        <v>-0.52</v>
      </c>
      <c r="R27" s="370">
        <v>-0.51</v>
      </c>
      <c r="S27" s="371">
        <v>-0.51</v>
      </c>
      <c r="T27" s="371">
        <v>-0.5</v>
      </c>
      <c r="U27" s="372">
        <v>-0.3299999999999999</v>
      </c>
      <c r="V27" s="433"/>
      <c r="W27" s="432"/>
      <c r="X27" s="433" t="s">
        <v>186</v>
      </c>
      <c r="Y27" s="368">
        <v>-0.6100000000000001</v>
      </c>
      <c r="Z27" s="440">
        <v>-0.6100000000000001</v>
      </c>
      <c r="AA27" s="369">
        <v>-0.60000000000000009</v>
      </c>
      <c r="AB27" s="370">
        <v>-0.57000000000000006</v>
      </c>
      <c r="AC27" s="370">
        <v>-0.56000000000000005</v>
      </c>
      <c r="AD27" s="371">
        <v>-0.56000000000000005</v>
      </c>
      <c r="AE27" s="371">
        <v>-0.55000000000000004</v>
      </c>
      <c r="AF27" s="372">
        <v>-0.37999999999999995</v>
      </c>
      <c r="AG27" s="433"/>
      <c r="AH27" s="432"/>
      <c r="AI27" s="433" t="s">
        <v>186</v>
      </c>
      <c r="AJ27" s="368">
        <v>-0.69</v>
      </c>
      <c r="AK27" s="440">
        <v>-0.69</v>
      </c>
      <c r="AL27" s="369">
        <v>-0.68</v>
      </c>
      <c r="AM27" s="370">
        <v>-0.65</v>
      </c>
      <c r="AN27" s="370">
        <v>-0.63</v>
      </c>
      <c r="AO27" s="371">
        <v>-0.6100000000000001</v>
      </c>
      <c r="AP27" s="371">
        <v>-0.60000000000000009</v>
      </c>
      <c r="AQ27" s="372">
        <v>-0.42999999999999994</v>
      </c>
    </row>
    <row r="28" spans="1:43" x14ac:dyDescent="0.25">
      <c r="A28" s="358"/>
      <c r="B28" t="s">
        <v>213</v>
      </c>
      <c r="C28" s="373">
        <v>-0.53</v>
      </c>
      <c r="D28" s="374">
        <v>-0.52</v>
      </c>
      <c r="E28" s="375">
        <v>-0.51</v>
      </c>
      <c r="F28" s="376">
        <v>-0.49</v>
      </c>
      <c r="G28" s="376">
        <v>-0.49</v>
      </c>
      <c r="H28" s="377">
        <v>-0.48</v>
      </c>
      <c r="I28" s="377">
        <v>-0.48</v>
      </c>
      <c r="J28" s="378">
        <v>-0.3</v>
      </c>
      <c r="K28" s="433"/>
      <c r="L28" s="432"/>
      <c r="M28" s="433" t="s">
        <v>213</v>
      </c>
      <c r="N28" s="373">
        <v>-0.57000000000000006</v>
      </c>
      <c r="O28" s="374">
        <v>-0.56000000000000005</v>
      </c>
      <c r="P28" s="375">
        <v>-0.55000000000000004</v>
      </c>
      <c r="Q28" s="376">
        <v>-0.52</v>
      </c>
      <c r="R28" s="376">
        <v>-0.52</v>
      </c>
      <c r="S28" s="377">
        <v>-0.51</v>
      </c>
      <c r="T28" s="377">
        <v>-0.51</v>
      </c>
      <c r="U28" s="378">
        <v>-0.3299999999999999</v>
      </c>
      <c r="V28" s="433"/>
      <c r="W28" s="432"/>
      <c r="X28" s="433" t="s">
        <v>213</v>
      </c>
      <c r="Y28" s="373">
        <v>-0.62000000000000011</v>
      </c>
      <c r="Z28" s="374">
        <v>-0.6100000000000001</v>
      </c>
      <c r="AA28" s="375">
        <v>-0.60000000000000009</v>
      </c>
      <c r="AB28" s="376">
        <v>-0.57000000000000006</v>
      </c>
      <c r="AC28" s="376">
        <v>-0.57000000000000006</v>
      </c>
      <c r="AD28" s="377">
        <v>-0.56000000000000005</v>
      </c>
      <c r="AE28" s="377">
        <v>-0.56000000000000005</v>
      </c>
      <c r="AF28" s="378">
        <v>-0.37999999999999995</v>
      </c>
      <c r="AG28" s="433"/>
      <c r="AH28" s="432"/>
      <c r="AI28" s="433" t="s">
        <v>213</v>
      </c>
      <c r="AJ28" s="373">
        <v>-0.7</v>
      </c>
      <c r="AK28" s="374">
        <v>-0.69</v>
      </c>
      <c r="AL28" s="375">
        <v>-0.68</v>
      </c>
      <c r="AM28" s="376">
        <v>-0.65</v>
      </c>
      <c r="AN28" s="376">
        <v>-0.62000000000000011</v>
      </c>
      <c r="AO28" s="377">
        <v>-0.6100000000000001</v>
      </c>
      <c r="AP28" s="377">
        <v>-0.6100000000000001</v>
      </c>
      <c r="AQ28" s="378">
        <v>-0.42999999999999994</v>
      </c>
    </row>
    <row r="29" spans="1:43" x14ac:dyDescent="0.25">
      <c r="A29" s="358"/>
      <c r="B29" t="s">
        <v>232</v>
      </c>
      <c r="C29" s="379">
        <v>-0.52</v>
      </c>
      <c r="D29" s="380">
        <v>-0.51</v>
      </c>
      <c r="E29" s="381">
        <v>-0.5</v>
      </c>
      <c r="F29" s="376">
        <v>-0.47</v>
      </c>
      <c r="G29" s="376">
        <v>-0.48</v>
      </c>
      <c r="H29" s="377">
        <v>-0.48</v>
      </c>
      <c r="I29" s="377">
        <v>-0.46</v>
      </c>
      <c r="J29" s="378">
        <v>-0.3</v>
      </c>
      <c r="K29" s="433"/>
      <c r="L29" s="432"/>
      <c r="M29" s="433" t="s">
        <v>232</v>
      </c>
      <c r="N29" s="379">
        <v>-0.56000000000000005</v>
      </c>
      <c r="O29" s="380">
        <v>-0.55000000000000004</v>
      </c>
      <c r="P29" s="381">
        <v>-0.54</v>
      </c>
      <c r="Q29" s="376">
        <v>-0.51500000000000001</v>
      </c>
      <c r="R29" s="376">
        <v>-0.51</v>
      </c>
      <c r="S29" s="377">
        <v>-0.51</v>
      </c>
      <c r="T29" s="377">
        <v>-0.49</v>
      </c>
      <c r="U29" s="378">
        <v>-0.3299999999999999</v>
      </c>
      <c r="V29" s="433"/>
      <c r="W29" s="432"/>
      <c r="X29" s="433" t="s">
        <v>232</v>
      </c>
      <c r="Y29" s="379">
        <v>-0.6100000000000001</v>
      </c>
      <c r="Z29" s="380">
        <v>-0.60000000000000009</v>
      </c>
      <c r="AA29" s="381">
        <v>-0.59000000000000008</v>
      </c>
      <c r="AB29" s="376">
        <v>-0.55000000000000004</v>
      </c>
      <c r="AC29" s="376">
        <v>-0.56000000000000005</v>
      </c>
      <c r="AD29" s="377">
        <v>-0.56000000000000005</v>
      </c>
      <c r="AE29" s="377">
        <v>-0.54</v>
      </c>
      <c r="AF29" s="378">
        <v>-0.37999999999999995</v>
      </c>
      <c r="AG29" s="433"/>
      <c r="AH29" s="432"/>
      <c r="AI29" s="433" t="s">
        <v>232</v>
      </c>
      <c r="AJ29" s="379">
        <v>-0.69</v>
      </c>
      <c r="AK29" s="380">
        <v>-0.68</v>
      </c>
      <c r="AL29" s="381">
        <v>-0.67</v>
      </c>
      <c r="AM29" s="376">
        <v>-0.64</v>
      </c>
      <c r="AN29" s="376">
        <v>-0.62</v>
      </c>
      <c r="AO29" s="377">
        <v>-0.6100000000000001</v>
      </c>
      <c r="AP29" s="377">
        <v>-0.6</v>
      </c>
      <c r="AQ29" s="378">
        <v>-0.42999999999999994</v>
      </c>
    </row>
    <row r="30" spans="1:43" x14ac:dyDescent="0.25">
      <c r="A30" s="358"/>
      <c r="B30" t="s">
        <v>215</v>
      </c>
      <c r="C30" s="382">
        <v>-0.53</v>
      </c>
      <c r="D30" s="383">
        <v>-0.5</v>
      </c>
      <c r="E30" s="383">
        <v>-0.49</v>
      </c>
      <c r="F30" s="384">
        <v>-0.48</v>
      </c>
      <c r="G30" s="384">
        <v>-0.47</v>
      </c>
      <c r="H30" s="393">
        <v>-0.46</v>
      </c>
      <c r="I30" s="393">
        <v>-0.45</v>
      </c>
      <c r="J30" s="394">
        <v>-0.25</v>
      </c>
      <c r="K30" s="433"/>
      <c r="L30" s="432"/>
      <c r="M30" s="433" t="s">
        <v>215</v>
      </c>
      <c r="N30" s="382">
        <v>-0.56000000000000005</v>
      </c>
      <c r="O30" s="383">
        <v>-0.53</v>
      </c>
      <c r="P30" s="383">
        <v>-0.52</v>
      </c>
      <c r="Q30" s="384">
        <v>-0.51</v>
      </c>
      <c r="R30" s="384">
        <v>-0.5</v>
      </c>
      <c r="S30" s="393">
        <v>-0.49</v>
      </c>
      <c r="T30" s="393">
        <v>-0.48</v>
      </c>
      <c r="U30" s="394">
        <v>-0.28000000000000003</v>
      </c>
      <c r="V30" s="433"/>
      <c r="W30" s="432"/>
      <c r="X30" s="433" t="s">
        <v>215</v>
      </c>
      <c r="Y30" s="382">
        <v>-0.60000000000000009</v>
      </c>
      <c r="Z30" s="383">
        <v>-0.57999999999999996</v>
      </c>
      <c r="AA30" s="383">
        <v>-0.56000000000000005</v>
      </c>
      <c r="AB30" s="384">
        <v>-0.55000000000000004</v>
      </c>
      <c r="AC30" s="384">
        <v>-0.54</v>
      </c>
      <c r="AD30" s="393">
        <v>-0.53</v>
      </c>
      <c r="AE30" s="393">
        <v>-0.52</v>
      </c>
      <c r="AF30" s="394">
        <v>-0.33</v>
      </c>
      <c r="AG30" s="433"/>
      <c r="AH30" s="432"/>
      <c r="AI30" s="433" t="s">
        <v>215</v>
      </c>
      <c r="AJ30" s="382">
        <v>-0.7</v>
      </c>
      <c r="AK30" s="383">
        <v>-0.68</v>
      </c>
      <c r="AL30" s="383">
        <v>-0.66</v>
      </c>
      <c r="AM30" s="384">
        <v>-0.64</v>
      </c>
      <c r="AN30" s="384">
        <v>-0.62</v>
      </c>
      <c r="AO30" s="393">
        <v>-0.6</v>
      </c>
      <c r="AP30" s="393">
        <v>-0.57999999999999996</v>
      </c>
      <c r="AQ30" s="394">
        <v>-0.39</v>
      </c>
    </row>
    <row r="31" spans="1:43" x14ac:dyDescent="0.25">
      <c r="A31" s="358"/>
      <c r="B31" t="s">
        <v>249</v>
      </c>
      <c r="C31" s="382">
        <v>-0.52</v>
      </c>
      <c r="D31" s="383">
        <v>-0.5</v>
      </c>
      <c r="E31" s="383">
        <v>-0.49</v>
      </c>
      <c r="F31" s="384">
        <v>-0.47</v>
      </c>
      <c r="G31" s="384">
        <v>-0.47</v>
      </c>
      <c r="H31" s="393">
        <v>-0.46</v>
      </c>
      <c r="I31" s="393">
        <v>-0.45</v>
      </c>
      <c r="J31" s="394">
        <v>-0.23</v>
      </c>
      <c r="K31" s="433"/>
      <c r="L31" s="432"/>
      <c r="M31" s="433" t="s">
        <v>249</v>
      </c>
      <c r="N31" s="382">
        <v>-0.55000000000000004</v>
      </c>
      <c r="O31" s="383">
        <v>-0.53</v>
      </c>
      <c r="P31" s="383">
        <v>-0.52</v>
      </c>
      <c r="Q31" s="384">
        <v>-0.5</v>
      </c>
      <c r="R31" s="384">
        <v>-0.5</v>
      </c>
      <c r="S31" s="393">
        <v>-0.49</v>
      </c>
      <c r="T31" s="393">
        <v>-0.48</v>
      </c>
      <c r="U31" s="394">
        <v>-0.26</v>
      </c>
      <c r="V31" s="433"/>
      <c r="W31" s="432"/>
      <c r="X31" s="433" t="s">
        <v>249</v>
      </c>
      <c r="Y31" s="382">
        <v>-0.59000000000000008</v>
      </c>
      <c r="Z31" s="383">
        <v>-0.57000000000000006</v>
      </c>
      <c r="AA31" s="383">
        <v>-0.56000000000000005</v>
      </c>
      <c r="AB31" s="384">
        <v>-0.54</v>
      </c>
      <c r="AC31" s="384">
        <v>-0.54</v>
      </c>
      <c r="AD31" s="393">
        <v>-0.53</v>
      </c>
      <c r="AE31" s="393">
        <v>-0.52</v>
      </c>
      <c r="AF31" s="394">
        <v>-0.3</v>
      </c>
      <c r="AG31" s="433"/>
      <c r="AH31" s="432"/>
      <c r="AI31" s="433" t="s">
        <v>249</v>
      </c>
      <c r="AJ31" s="382">
        <v>-0.69</v>
      </c>
      <c r="AK31" s="383">
        <v>-0.67</v>
      </c>
      <c r="AL31" s="383">
        <v>-0.66</v>
      </c>
      <c r="AM31" s="384">
        <v>-0.64</v>
      </c>
      <c r="AN31" s="384">
        <v>-0.63</v>
      </c>
      <c r="AO31" s="393">
        <v>-0.6</v>
      </c>
      <c r="AP31" s="393">
        <v>-0.57999999999999996</v>
      </c>
      <c r="AQ31" s="394">
        <v>-0.36</v>
      </c>
    </row>
    <row r="32" spans="1:43" x14ac:dyDescent="0.25">
      <c r="A32" s="358"/>
      <c r="B32" t="s">
        <v>257</v>
      </c>
      <c r="C32" s="382">
        <v>-0.52</v>
      </c>
      <c r="D32" s="383">
        <v>-0.51</v>
      </c>
      <c r="E32" s="383">
        <v>-0.5</v>
      </c>
      <c r="F32" s="384">
        <v>-0.48</v>
      </c>
      <c r="G32" s="384">
        <v>-0.47</v>
      </c>
      <c r="H32" s="393">
        <v>-0.46</v>
      </c>
      <c r="I32" s="393">
        <v>-0.45</v>
      </c>
      <c r="J32" s="394">
        <v>-0.23</v>
      </c>
      <c r="K32" s="433"/>
      <c r="L32" s="432"/>
      <c r="M32" s="433" t="s">
        <v>257</v>
      </c>
      <c r="N32" s="382">
        <v>-0.55000000000000004</v>
      </c>
      <c r="O32" s="383">
        <v>-0.54</v>
      </c>
      <c r="P32" s="383">
        <v>-0.53</v>
      </c>
      <c r="Q32" s="384">
        <v>-0.51</v>
      </c>
      <c r="R32" s="384">
        <v>-0.5</v>
      </c>
      <c r="S32" s="393">
        <v>-0.49</v>
      </c>
      <c r="T32" s="393">
        <v>-0.48</v>
      </c>
      <c r="U32" s="394">
        <v>-0.26</v>
      </c>
      <c r="V32" s="433"/>
      <c r="W32" s="432"/>
      <c r="X32" s="433" t="s">
        <v>257</v>
      </c>
      <c r="Y32" s="382">
        <v>-0.59000000000000008</v>
      </c>
      <c r="Z32" s="383">
        <v>-0.58000000000000007</v>
      </c>
      <c r="AA32" s="383">
        <v>-0.57000000000000006</v>
      </c>
      <c r="AB32" s="384">
        <v>-0.55000000000000004</v>
      </c>
      <c r="AC32" s="384">
        <v>-0.54</v>
      </c>
      <c r="AD32" s="393">
        <v>-0.53</v>
      </c>
      <c r="AE32" s="393">
        <v>-0.52</v>
      </c>
      <c r="AF32" s="394">
        <v>-0.3</v>
      </c>
      <c r="AG32" s="433"/>
      <c r="AH32" s="432"/>
      <c r="AI32" s="433" t="s">
        <v>257</v>
      </c>
      <c r="AJ32" s="382">
        <v>-0.69</v>
      </c>
      <c r="AK32" s="383">
        <v>-0.68</v>
      </c>
      <c r="AL32" s="383">
        <v>-0.67</v>
      </c>
      <c r="AM32" s="384">
        <v>-0.66</v>
      </c>
      <c r="AN32" s="384">
        <v>-0.65</v>
      </c>
      <c r="AO32" s="393">
        <v>-0.63</v>
      </c>
      <c r="AP32" s="393">
        <v>-0.6</v>
      </c>
      <c r="AQ32" s="394">
        <v>-0.4</v>
      </c>
    </row>
    <row r="33" spans="1:43" x14ac:dyDescent="0.25">
      <c r="A33" s="358"/>
      <c r="B33" t="s">
        <v>264</v>
      </c>
      <c r="C33" s="385">
        <v>-0.53</v>
      </c>
      <c r="D33" s="386">
        <v>-0.51</v>
      </c>
      <c r="E33" s="386">
        <v>-0.5</v>
      </c>
      <c r="F33" s="387">
        <v>-0.48</v>
      </c>
      <c r="G33" s="387">
        <v>-0.47</v>
      </c>
      <c r="H33" s="441">
        <v>-0.48</v>
      </c>
      <c r="I33" s="441">
        <v>-0.47</v>
      </c>
      <c r="J33" s="442">
        <v>-0.27</v>
      </c>
      <c r="K33" s="433"/>
      <c r="L33" s="432"/>
      <c r="M33" s="433" t="s">
        <v>264</v>
      </c>
      <c r="N33" s="385">
        <v>-0.56000000000000005</v>
      </c>
      <c r="O33" s="386">
        <v>-0.54</v>
      </c>
      <c r="P33" s="386">
        <v>-0.53</v>
      </c>
      <c r="Q33" s="387">
        <v>-0.51</v>
      </c>
      <c r="R33" s="387">
        <v>-0.5</v>
      </c>
      <c r="S33" s="441">
        <v>-0.51</v>
      </c>
      <c r="T33" s="441">
        <v>-0.5</v>
      </c>
      <c r="U33" s="442">
        <v>-0.3</v>
      </c>
      <c r="V33" s="433"/>
      <c r="W33" s="432"/>
      <c r="X33" s="433" t="s">
        <v>264</v>
      </c>
      <c r="Y33" s="385">
        <v>-0.60000000000000009</v>
      </c>
      <c r="Z33" s="386">
        <v>-0.59</v>
      </c>
      <c r="AA33" s="386">
        <v>-0.56999999999999995</v>
      </c>
      <c r="AB33" s="387">
        <v>-0.55000000000000004</v>
      </c>
      <c r="AC33" s="387">
        <v>-0.54</v>
      </c>
      <c r="AD33" s="441">
        <v>-0.55000000000000004</v>
      </c>
      <c r="AE33" s="441">
        <v>-0.54</v>
      </c>
      <c r="AF33" s="442">
        <v>-0.34</v>
      </c>
      <c r="AG33" s="433"/>
      <c r="AH33" s="432"/>
      <c r="AI33" s="433" t="s">
        <v>264</v>
      </c>
      <c r="AJ33" s="385">
        <v>-0.7</v>
      </c>
      <c r="AK33" s="386">
        <v>-0.69</v>
      </c>
      <c r="AL33" s="386">
        <v>-0.68</v>
      </c>
      <c r="AM33" s="387">
        <v>-0.67</v>
      </c>
      <c r="AN33" s="387">
        <v>-0.65</v>
      </c>
      <c r="AO33" s="441">
        <v>-0.63</v>
      </c>
      <c r="AP33" s="441">
        <v>-0.61</v>
      </c>
      <c r="AQ33" s="442">
        <v>-0.44</v>
      </c>
    </row>
    <row r="34" spans="1:43" x14ac:dyDescent="0.25">
      <c r="A34" s="358"/>
      <c r="B34" t="s">
        <v>272</v>
      </c>
      <c r="C34" s="385">
        <v>-0.54</v>
      </c>
      <c r="D34" s="386">
        <v>-0.52</v>
      </c>
      <c r="E34" s="386">
        <v>-0.5</v>
      </c>
      <c r="F34" s="387">
        <v>-0.48</v>
      </c>
      <c r="G34" s="387">
        <v>-0.47</v>
      </c>
      <c r="H34" s="441">
        <v>-0.47</v>
      </c>
      <c r="I34" s="441">
        <v>-0.47</v>
      </c>
      <c r="J34" s="442">
        <v>-0.27</v>
      </c>
      <c r="K34" s="433"/>
      <c r="L34" s="432"/>
      <c r="M34" s="433" t="s">
        <v>272</v>
      </c>
      <c r="N34" s="385">
        <v>-0.56999999999999995</v>
      </c>
      <c r="O34" s="386">
        <v>-0.56000000000000005</v>
      </c>
      <c r="P34" s="386">
        <v>-0.55000000000000004</v>
      </c>
      <c r="Q34" s="387">
        <v>-0.53</v>
      </c>
      <c r="R34" s="387">
        <v>-0.52</v>
      </c>
      <c r="S34" s="441">
        <v>-0.5</v>
      </c>
      <c r="T34" s="441">
        <v>-0.5</v>
      </c>
      <c r="U34" s="442">
        <v>-0.3</v>
      </c>
      <c r="V34" s="433"/>
      <c r="W34" s="432"/>
      <c r="X34" s="433" t="s">
        <v>272</v>
      </c>
      <c r="Y34" s="385">
        <v>-0.6100000000000001</v>
      </c>
      <c r="Z34" s="386">
        <v>-0.6</v>
      </c>
      <c r="AA34" s="386">
        <v>-0.56999999999999995</v>
      </c>
      <c r="AB34" s="387">
        <v>-0.55000000000000004</v>
      </c>
      <c r="AC34" s="387">
        <v>-0.54</v>
      </c>
      <c r="AD34" s="441">
        <v>-0.54</v>
      </c>
      <c r="AE34" s="441">
        <v>-0.54</v>
      </c>
      <c r="AF34" s="442">
        <v>-0.34</v>
      </c>
      <c r="AG34" s="433"/>
      <c r="AH34" s="432"/>
      <c r="AI34" s="433" t="s">
        <v>272</v>
      </c>
      <c r="AJ34" s="385">
        <v>-0.71</v>
      </c>
      <c r="AK34" s="386">
        <v>-0.7</v>
      </c>
      <c r="AL34" s="386">
        <v>-0.68</v>
      </c>
      <c r="AM34" s="387">
        <v>-0.67</v>
      </c>
      <c r="AN34" s="387">
        <v>-0.65</v>
      </c>
      <c r="AO34" s="441">
        <v>-0.64</v>
      </c>
      <c r="AP34" s="441">
        <v>-0.63</v>
      </c>
      <c r="AQ34" s="442">
        <v>-0.47</v>
      </c>
    </row>
    <row r="35" spans="1:43" x14ac:dyDescent="0.25">
      <c r="A35" s="358"/>
      <c r="B35" t="s">
        <v>278</v>
      </c>
      <c r="C35" s="385">
        <v>-0.53</v>
      </c>
      <c r="D35" s="386">
        <v>-0.51</v>
      </c>
      <c r="E35" s="386">
        <v>-0.48</v>
      </c>
      <c r="F35" s="387">
        <v>-0.48</v>
      </c>
      <c r="G35" s="387">
        <v>-0.48</v>
      </c>
      <c r="H35" s="441">
        <v>-0.47</v>
      </c>
      <c r="I35" s="441">
        <v>-0.45</v>
      </c>
      <c r="J35" s="442">
        <v>-0.27</v>
      </c>
      <c r="K35" s="433"/>
      <c r="L35" s="432"/>
      <c r="M35" s="433" t="s">
        <v>278</v>
      </c>
      <c r="N35" s="385">
        <v>-0.56000000000000005</v>
      </c>
      <c r="O35" s="386">
        <v>-0.54</v>
      </c>
      <c r="P35" s="386">
        <v>-0.51</v>
      </c>
      <c r="Q35" s="387">
        <v>-0.51</v>
      </c>
      <c r="R35" s="387">
        <v>-0.51</v>
      </c>
      <c r="S35" s="441">
        <v>-0.5</v>
      </c>
      <c r="T35" s="441">
        <v>-0.47999999999999993</v>
      </c>
      <c r="U35" s="442">
        <v>-0.3</v>
      </c>
      <c r="V35" s="433"/>
      <c r="W35" s="432"/>
      <c r="X35" s="433" t="s">
        <v>278</v>
      </c>
      <c r="Y35" s="385">
        <v>-0.60000000000000009</v>
      </c>
      <c r="Z35" s="386">
        <v>-0.58000000000000007</v>
      </c>
      <c r="AA35" s="386">
        <v>-0.56000000000000005</v>
      </c>
      <c r="AB35" s="387">
        <v>-0.55000000000000004</v>
      </c>
      <c r="AC35" s="387">
        <v>-0.55000000000000004</v>
      </c>
      <c r="AD35" s="441">
        <v>-0.54</v>
      </c>
      <c r="AE35" s="441">
        <v>-0.51999999999999991</v>
      </c>
      <c r="AF35" s="442">
        <v>-0.35</v>
      </c>
      <c r="AG35" s="433"/>
      <c r="AH35" s="432"/>
      <c r="AI35" s="433" t="s">
        <v>278</v>
      </c>
      <c r="AJ35" s="385">
        <v>-0.71</v>
      </c>
      <c r="AK35" s="386">
        <v>-0.7</v>
      </c>
      <c r="AL35" s="386">
        <v>-0.68</v>
      </c>
      <c r="AM35" s="387">
        <v>-0.67</v>
      </c>
      <c r="AN35" s="387">
        <v>-0.65</v>
      </c>
      <c r="AO35" s="441">
        <v>-0.62</v>
      </c>
      <c r="AP35" s="441">
        <v>-0.61</v>
      </c>
      <c r="AQ35" s="442">
        <v>-0.48</v>
      </c>
    </row>
    <row r="36" spans="1:43" x14ac:dyDescent="0.25">
      <c r="A36" s="358"/>
      <c r="B36" t="s">
        <v>284</v>
      </c>
      <c r="C36" s="388">
        <v>-0.53</v>
      </c>
      <c r="D36" s="389">
        <v>-0.51</v>
      </c>
      <c r="E36" s="389">
        <v>-0.49</v>
      </c>
      <c r="F36" s="390">
        <v>-0.47</v>
      </c>
      <c r="G36" s="390">
        <v>-0.46</v>
      </c>
      <c r="H36" s="443">
        <v>-0.46</v>
      </c>
      <c r="I36" s="443">
        <v>-0.44</v>
      </c>
      <c r="J36" s="444">
        <v>-0.32</v>
      </c>
      <c r="K36" s="433"/>
      <c r="L36" s="432"/>
      <c r="M36" s="433" t="s">
        <v>284</v>
      </c>
      <c r="N36" s="388">
        <v>-0.56000000000000005</v>
      </c>
      <c r="O36" s="389">
        <v>-0.54</v>
      </c>
      <c r="P36" s="389">
        <v>-0.52</v>
      </c>
      <c r="Q36" s="390">
        <v>-0.5</v>
      </c>
      <c r="R36" s="390">
        <v>-0.49</v>
      </c>
      <c r="S36" s="443">
        <v>-0.49</v>
      </c>
      <c r="T36" s="443">
        <v>-0.47999999999999993</v>
      </c>
      <c r="U36" s="444">
        <v>-0.37</v>
      </c>
      <c r="V36" s="433"/>
      <c r="W36" s="432"/>
      <c r="X36" s="433" t="s">
        <v>284</v>
      </c>
      <c r="Y36" s="388">
        <v>-0.60000000000000009</v>
      </c>
      <c r="Z36" s="389">
        <v>-0.58000000000000007</v>
      </c>
      <c r="AA36" s="389">
        <v>-0.56000000000000005</v>
      </c>
      <c r="AB36" s="390">
        <v>-0.55000000000000004</v>
      </c>
      <c r="AC36" s="390">
        <v>-0.52999999999999992</v>
      </c>
      <c r="AD36" s="443">
        <v>-0.52999999999999992</v>
      </c>
      <c r="AE36" s="443">
        <v>-0.51</v>
      </c>
      <c r="AF36" s="444">
        <v>-0.4</v>
      </c>
      <c r="AG36" s="433"/>
      <c r="AH36" s="432"/>
      <c r="AI36" s="433" t="s">
        <v>284</v>
      </c>
      <c r="AJ36" s="388">
        <v>-0.7</v>
      </c>
      <c r="AK36" s="389">
        <v>-0.68</v>
      </c>
      <c r="AL36" s="389">
        <v>-0.67</v>
      </c>
      <c r="AM36" s="390">
        <v>-0.66</v>
      </c>
      <c r="AN36" s="390">
        <v>-0.65</v>
      </c>
      <c r="AO36" s="443">
        <v>-0.64</v>
      </c>
      <c r="AP36" s="443">
        <v>-0.6</v>
      </c>
      <c r="AQ36" s="444">
        <v>-0.52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430" t="s">
        <v>330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430" t="s">
        <v>331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430" t="s">
        <v>332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358"/>
      <c r="B39" t="s">
        <v>186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186</v>
      </c>
      <c r="N39" s="368">
        <v>-0.63</v>
      </c>
      <c r="O39" s="440">
        <v>-0.65</v>
      </c>
      <c r="P39" s="369">
        <v>-0.62000000000000011</v>
      </c>
      <c r="Q39" s="370">
        <v>-0.58000000000000007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186</v>
      </c>
      <c r="Y39" s="368">
        <v>-0.67</v>
      </c>
      <c r="Z39" s="440">
        <v>-0.69</v>
      </c>
      <c r="AA39" s="369">
        <v>-0.66000000000000014</v>
      </c>
      <c r="AB39" s="370">
        <v>-0.62000000000000011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186</v>
      </c>
      <c r="AJ39" s="368">
        <v>-0.71000000000000019</v>
      </c>
      <c r="AK39" s="440">
        <v>-0.73000000000000009</v>
      </c>
      <c r="AL39" s="369">
        <v>-0.70000000000000018</v>
      </c>
      <c r="AM39" s="370">
        <v>-0.66000000000000014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213</v>
      </c>
      <c r="C40" s="373">
        <v>-0.62</v>
      </c>
      <c r="D40" s="374">
        <v>-0.6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213</v>
      </c>
      <c r="N40" s="373">
        <v>-0.66</v>
      </c>
      <c r="O40" s="374">
        <v>-0.64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213</v>
      </c>
      <c r="Y40" s="373">
        <v>-0.7</v>
      </c>
      <c r="Z40" s="374">
        <v>-0.68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213</v>
      </c>
      <c r="AJ40" s="373">
        <v>-0.7400000000000001</v>
      </c>
      <c r="AK40" s="374">
        <v>-0.73</v>
      </c>
      <c r="AL40" s="375">
        <v>-0.70000000000000018</v>
      </c>
      <c r="AM40" s="376">
        <v>-0.67000000000000015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232</v>
      </c>
      <c r="C41" s="379">
        <v>-0.58000000000000007</v>
      </c>
      <c r="D41" s="380">
        <v>-0.58000000000000007</v>
      </c>
      <c r="E41" s="381">
        <v>-0.55000000000000004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232</v>
      </c>
      <c r="N41" s="379">
        <v>-0.63</v>
      </c>
      <c r="O41" s="380">
        <v>-0.62</v>
      </c>
      <c r="P41" s="381">
        <v>-0.59</v>
      </c>
      <c r="Q41" s="376">
        <v>-0.56000000000000005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232</v>
      </c>
      <c r="Y41" s="379">
        <v>-0.68</v>
      </c>
      <c r="Z41" s="380">
        <v>-0.66000000000000014</v>
      </c>
      <c r="AA41" s="381">
        <v>-0.64</v>
      </c>
      <c r="AB41" s="376">
        <v>-0.63</v>
      </c>
      <c r="AC41" s="376">
        <v>-0.62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232</v>
      </c>
      <c r="AJ41" s="379">
        <v>-0.72</v>
      </c>
      <c r="AK41" s="380">
        <v>-0.70000000000000018</v>
      </c>
      <c r="AL41" s="381">
        <v>-0.68</v>
      </c>
      <c r="AM41" s="376">
        <v>-0.65</v>
      </c>
      <c r="AN41" s="376">
        <v>-0.64000000000000012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215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-0.34</v>
      </c>
      <c r="K42" s="433"/>
      <c r="L42" s="432"/>
      <c r="M42" s="433" t="s">
        <v>215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-0.37</v>
      </c>
      <c r="V42" s="433"/>
      <c r="W42" s="432"/>
      <c r="X42" s="433" t="s">
        <v>215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-0.6100000000000001</v>
      </c>
      <c r="AF42" s="394">
        <v>-0.41</v>
      </c>
      <c r="AG42" s="433"/>
      <c r="AH42" s="432"/>
      <c r="AI42" s="433" t="s">
        <v>215</v>
      </c>
      <c r="AJ42" s="382">
        <v>-0.72</v>
      </c>
      <c r="AK42" s="383">
        <v>-0.71</v>
      </c>
      <c r="AL42" s="383">
        <v>-0.7</v>
      </c>
      <c r="AM42" s="384">
        <v>-0.68</v>
      </c>
      <c r="AN42" s="384">
        <v>-0.65</v>
      </c>
      <c r="AO42" s="393">
        <v>-0.66</v>
      </c>
      <c r="AP42" s="393">
        <v>-0.67</v>
      </c>
      <c r="AQ42" s="394">
        <v>-0.52</v>
      </c>
    </row>
    <row r="43" spans="1:43" x14ac:dyDescent="0.25">
      <c r="A43" s="358"/>
      <c r="B43" t="s">
        <v>249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-0.33</v>
      </c>
      <c r="K43" s="433"/>
      <c r="L43" s="432"/>
      <c r="M43" s="433" t="s">
        <v>249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-0.36</v>
      </c>
      <c r="V43" s="433"/>
      <c r="W43" s="432"/>
      <c r="X43" s="433" t="s">
        <v>249</v>
      </c>
      <c r="Y43" s="382">
        <v>-0.65000000000000013</v>
      </c>
      <c r="Z43" s="383">
        <v>-0.63000000000000012</v>
      </c>
      <c r="AA43" s="383">
        <v>-0.6100000000000001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-0.4</v>
      </c>
      <c r="AG43" s="433"/>
      <c r="AH43" s="432"/>
      <c r="AI43" s="433" t="s">
        <v>249</v>
      </c>
      <c r="AJ43" s="382">
        <v>-0.71</v>
      </c>
      <c r="AK43" s="383">
        <v>-0.7</v>
      </c>
      <c r="AL43" s="383">
        <v>-0.69</v>
      </c>
      <c r="AM43" s="384">
        <v>-0.69</v>
      </c>
      <c r="AN43" s="384">
        <v>-0.66</v>
      </c>
      <c r="AO43" s="393">
        <v>-0.65000000000000013</v>
      </c>
      <c r="AP43" s="393">
        <v>-0.65000000000000013</v>
      </c>
      <c r="AQ43" s="394">
        <v>-0.49</v>
      </c>
    </row>
    <row r="44" spans="1:43" x14ac:dyDescent="0.25">
      <c r="A44" s="358"/>
      <c r="B44" t="s">
        <v>257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257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-0.36</v>
      </c>
      <c r="V44" s="433"/>
      <c r="W44" s="432"/>
      <c r="X44" s="433" t="s">
        <v>257</v>
      </c>
      <c r="Y44" s="382">
        <v>-0.65000000000000013</v>
      </c>
      <c r="Z44" s="383">
        <v>-0.63000000000000012</v>
      </c>
      <c r="AA44" s="383">
        <v>-0.62000000000000011</v>
      </c>
      <c r="AB44" s="384">
        <v>-0.6100000000000001</v>
      </c>
      <c r="AC44" s="384">
        <v>-0.59000000000000008</v>
      </c>
      <c r="AD44" s="393">
        <v>-0.6100000000000001</v>
      </c>
      <c r="AE44" s="393">
        <v>-0.60000000000000009</v>
      </c>
      <c r="AF44" s="394">
        <v>-0.4</v>
      </c>
      <c r="AG44" s="433"/>
      <c r="AH44" s="432"/>
      <c r="AI44" s="433" t="s">
        <v>257</v>
      </c>
      <c r="AJ44" s="382">
        <v>-0.71</v>
      </c>
      <c r="AK44" s="383">
        <v>-0.7</v>
      </c>
      <c r="AL44" s="383">
        <v>-0.69</v>
      </c>
      <c r="AM44" s="384">
        <v>-0.68</v>
      </c>
      <c r="AN44" s="384">
        <v>-0.67</v>
      </c>
      <c r="AO44" s="393">
        <v>-0.65000000000000013</v>
      </c>
      <c r="AP44" s="393">
        <v>-0.64000000000000012</v>
      </c>
      <c r="AQ44" s="394">
        <v>-0.48</v>
      </c>
    </row>
    <row r="45" spans="1:43" x14ac:dyDescent="0.25">
      <c r="A45" s="358"/>
      <c r="B45" t="s">
        <v>264</v>
      </c>
      <c r="C45" s="385">
        <v>-0.60000000000000009</v>
      </c>
      <c r="D45" s="386">
        <v>-0.59000000000000008</v>
      </c>
      <c r="E45" s="386">
        <v>-0.56999999999999995</v>
      </c>
      <c r="F45" s="387">
        <v>-0.56000000000000005</v>
      </c>
      <c r="G45" s="387">
        <v>-0.55000000000000004</v>
      </c>
      <c r="H45" s="441">
        <v>-0.55000000000000004</v>
      </c>
      <c r="I45" s="441">
        <v>-0.54000000000000015</v>
      </c>
      <c r="J45" s="442">
        <v>-0.35</v>
      </c>
      <c r="K45" s="433"/>
      <c r="L45" s="432"/>
      <c r="M45" s="433" t="s">
        <v>264</v>
      </c>
      <c r="N45" s="385">
        <v>-0.63000000000000012</v>
      </c>
      <c r="O45" s="386">
        <v>-0.62000000000000011</v>
      </c>
      <c r="P45" s="386">
        <v>-0.60000000000000009</v>
      </c>
      <c r="Q45" s="387">
        <v>-0.59000000000000008</v>
      </c>
      <c r="R45" s="387">
        <v>-0.58000000000000007</v>
      </c>
      <c r="S45" s="441">
        <v>-0.58000000000000007</v>
      </c>
      <c r="T45" s="441">
        <v>-0.57000000000000017</v>
      </c>
      <c r="U45" s="442">
        <v>-0.38</v>
      </c>
      <c r="V45" s="433"/>
      <c r="W45" s="432"/>
      <c r="X45" s="433" t="s">
        <v>264</v>
      </c>
      <c r="Y45" s="385">
        <v>-0.67000000000000015</v>
      </c>
      <c r="Z45" s="386">
        <v>-0.66000000000000014</v>
      </c>
      <c r="AA45" s="386">
        <v>-0.64</v>
      </c>
      <c r="AB45" s="387">
        <v>-0.63000000000000012</v>
      </c>
      <c r="AC45" s="387">
        <v>-0.62000000000000011</v>
      </c>
      <c r="AD45" s="441">
        <v>-0.62000000000000011</v>
      </c>
      <c r="AE45" s="441">
        <v>-0.61000000000000021</v>
      </c>
      <c r="AF45" s="442">
        <v>-0.43</v>
      </c>
      <c r="AG45" s="433"/>
      <c r="AH45" s="432"/>
      <c r="AI45" s="433" t="s">
        <v>264</v>
      </c>
      <c r="AJ45" s="385">
        <v>-0.72</v>
      </c>
      <c r="AK45" s="386">
        <v>-0.71</v>
      </c>
      <c r="AL45" s="386">
        <v>-0.7</v>
      </c>
      <c r="AM45" s="387">
        <v>-0.69</v>
      </c>
      <c r="AN45" s="387">
        <v>-0.68</v>
      </c>
      <c r="AO45" s="441">
        <v>-0.66000000000000014</v>
      </c>
      <c r="AP45" s="441">
        <v>-0.65000000000000024</v>
      </c>
      <c r="AQ45" s="442">
        <v>-0.49</v>
      </c>
    </row>
    <row r="46" spans="1:43" x14ac:dyDescent="0.25">
      <c r="A46" s="358"/>
      <c r="B46" t="s">
        <v>272</v>
      </c>
      <c r="C46" s="385">
        <v>-0.56999999999999995</v>
      </c>
      <c r="D46" s="386">
        <v>-0.56000000000000005</v>
      </c>
      <c r="E46" s="386">
        <v>-0.56000000000000005</v>
      </c>
      <c r="F46" s="387">
        <v>-0.56000000000000005</v>
      </c>
      <c r="G46" s="387">
        <v>-0.54000000000000015</v>
      </c>
      <c r="H46" s="441">
        <v>-0.55000000000000004</v>
      </c>
      <c r="I46" s="441">
        <v>-0.52</v>
      </c>
      <c r="J46" s="442">
        <v>-0.33999999999999991</v>
      </c>
      <c r="K46" s="433"/>
      <c r="L46" s="432"/>
      <c r="M46" s="433" t="s">
        <v>272</v>
      </c>
      <c r="N46" s="385">
        <v>-0.60000000000000009</v>
      </c>
      <c r="O46" s="386">
        <v>-0.59000000000000008</v>
      </c>
      <c r="P46" s="386">
        <v>-0.59000000000000008</v>
      </c>
      <c r="Q46" s="387">
        <v>-0.59000000000000008</v>
      </c>
      <c r="R46" s="387">
        <v>-0.57000000000000017</v>
      </c>
      <c r="S46" s="441">
        <v>-0.58000000000000007</v>
      </c>
      <c r="T46" s="441">
        <v>-0.55000000000000004</v>
      </c>
      <c r="U46" s="442">
        <v>-0.37</v>
      </c>
      <c r="V46" s="433"/>
      <c r="W46" s="432"/>
      <c r="X46" s="433" t="s">
        <v>272</v>
      </c>
      <c r="Y46" s="385">
        <v>-0.64</v>
      </c>
      <c r="Z46" s="386">
        <v>-0.63000000000000012</v>
      </c>
      <c r="AA46" s="386">
        <v>-0.63000000000000012</v>
      </c>
      <c r="AB46" s="387">
        <v>-0.63000000000000012</v>
      </c>
      <c r="AC46" s="387">
        <v>-0.61000000000000021</v>
      </c>
      <c r="AD46" s="441">
        <v>-0.62000000000000011</v>
      </c>
      <c r="AE46" s="441">
        <v>-0.6</v>
      </c>
      <c r="AF46" s="442">
        <v>-0.43</v>
      </c>
      <c r="AG46" s="433"/>
      <c r="AH46" s="432"/>
      <c r="AI46" s="433" t="s">
        <v>272</v>
      </c>
      <c r="AJ46" s="385">
        <v>-0.74</v>
      </c>
      <c r="AK46" s="386">
        <v>-0.73</v>
      </c>
      <c r="AL46" s="386">
        <v>-0.71</v>
      </c>
      <c r="AM46" s="387">
        <v>-0.7</v>
      </c>
      <c r="AN46" s="387">
        <v>-0.69</v>
      </c>
      <c r="AO46" s="441">
        <v>-0.66</v>
      </c>
      <c r="AP46" s="441">
        <v>-0.67</v>
      </c>
      <c r="AQ46" s="442">
        <v>-0.53</v>
      </c>
    </row>
    <row r="47" spans="1:43" x14ac:dyDescent="0.25">
      <c r="A47" s="358"/>
      <c r="B47" t="s">
        <v>278</v>
      </c>
      <c r="C47" s="385">
        <v>-0.56999999999999995</v>
      </c>
      <c r="D47" s="386">
        <v>-0.55000000000000004</v>
      </c>
      <c r="E47" s="386">
        <v>-0.54000000000000015</v>
      </c>
      <c r="F47" s="387">
        <v>-0.54000000000000015</v>
      </c>
      <c r="G47" s="387">
        <v>-0.54000000000000015</v>
      </c>
      <c r="H47" s="441">
        <v>-0.52</v>
      </c>
      <c r="I47" s="441">
        <v>-0.52</v>
      </c>
      <c r="J47" s="442">
        <v>-0.39</v>
      </c>
      <c r="K47" s="433"/>
      <c r="L47" s="432"/>
      <c r="M47" s="433" t="s">
        <v>278</v>
      </c>
      <c r="N47" s="385">
        <v>-0.60000000000000009</v>
      </c>
      <c r="O47" s="386">
        <v>-0.58000000000000007</v>
      </c>
      <c r="P47" s="386">
        <v>-0.57000000000000017</v>
      </c>
      <c r="Q47" s="387">
        <v>-0.57000000000000017</v>
      </c>
      <c r="R47" s="387">
        <v>-0.57000000000000017</v>
      </c>
      <c r="S47" s="441">
        <v>-0.55000000000000004</v>
      </c>
      <c r="T47" s="441">
        <v>-0.55000000000000004</v>
      </c>
      <c r="U47" s="442">
        <v>-0.42</v>
      </c>
      <c r="V47" s="433"/>
      <c r="W47" s="432"/>
      <c r="X47" s="433" t="s">
        <v>278</v>
      </c>
      <c r="Y47" s="385">
        <v>-0.64</v>
      </c>
      <c r="Z47" s="386">
        <v>-0.62000000000000011</v>
      </c>
      <c r="AA47" s="386">
        <v>-0.61000000000000021</v>
      </c>
      <c r="AB47" s="387">
        <v>-0.61000000000000021</v>
      </c>
      <c r="AC47" s="387">
        <v>-0.61000000000000021</v>
      </c>
      <c r="AD47" s="441">
        <v>-0.59000000000000008</v>
      </c>
      <c r="AE47" s="441">
        <v>-0.59000000000000008</v>
      </c>
      <c r="AF47" s="442">
        <v>-0.46</v>
      </c>
      <c r="AG47" s="433"/>
      <c r="AH47" s="432"/>
      <c r="AI47" s="433" t="s">
        <v>278</v>
      </c>
      <c r="AJ47" s="385">
        <v>-0.73</v>
      </c>
      <c r="AK47" s="386">
        <v>-0.72</v>
      </c>
      <c r="AL47" s="386">
        <v>-0.71</v>
      </c>
      <c r="AM47" s="387">
        <v>-0.69</v>
      </c>
      <c r="AN47" s="387">
        <v>-0.68</v>
      </c>
      <c r="AO47" s="441">
        <v>-0.67</v>
      </c>
      <c r="AP47" s="441">
        <v>-0.66</v>
      </c>
      <c r="AQ47" s="442">
        <v>-0.55000000000000004</v>
      </c>
    </row>
    <row r="48" spans="1:43" x14ac:dyDescent="0.25">
      <c r="A48" s="358"/>
      <c r="B48" t="s">
        <v>284</v>
      </c>
      <c r="C48" s="388">
        <v>-0.56999999999999995</v>
      </c>
      <c r="D48" s="389">
        <v>-0.55000000000000004</v>
      </c>
      <c r="E48" s="389">
        <v>-0.55000000000000004</v>
      </c>
      <c r="F48" s="390">
        <v>-0.54000000000000015</v>
      </c>
      <c r="G48" s="390">
        <v>-0.53000000000000014</v>
      </c>
      <c r="H48" s="443">
        <v>-0.54000000000000015</v>
      </c>
      <c r="I48" s="443">
        <v>-0.51</v>
      </c>
      <c r="J48" s="444">
        <v>-0.44</v>
      </c>
      <c r="K48" s="433"/>
      <c r="L48" s="432"/>
      <c r="M48" s="433" t="s">
        <v>284</v>
      </c>
      <c r="N48" s="388">
        <v>-0.60000000000000009</v>
      </c>
      <c r="O48" s="389">
        <v>-0.58000000000000007</v>
      </c>
      <c r="P48" s="389">
        <v>-0.58000000000000007</v>
      </c>
      <c r="Q48" s="390">
        <v>-0.57000000000000017</v>
      </c>
      <c r="R48" s="390">
        <v>-0.56000000000000016</v>
      </c>
      <c r="S48" s="443">
        <v>-0.57000000000000017</v>
      </c>
      <c r="T48" s="443">
        <v>-0.54</v>
      </c>
      <c r="U48" s="444">
        <v>-0.46999999999999992</v>
      </c>
      <c r="V48" s="433"/>
      <c r="W48" s="432"/>
      <c r="X48" s="433" t="s">
        <v>284</v>
      </c>
      <c r="Y48" s="388">
        <v>-0.64</v>
      </c>
      <c r="Z48" s="389">
        <v>-0.62000000000000011</v>
      </c>
      <c r="AA48" s="389">
        <v>-0.62000000000000011</v>
      </c>
      <c r="AB48" s="390">
        <v>-0.61000000000000021</v>
      </c>
      <c r="AC48" s="390">
        <v>-0.60000000000000009</v>
      </c>
      <c r="AD48" s="443">
        <v>-0.61000000000000021</v>
      </c>
      <c r="AE48" s="443">
        <v>-0.58000000000000007</v>
      </c>
      <c r="AF48" s="444">
        <v>-0.5099999999999999</v>
      </c>
      <c r="AG48" s="433"/>
      <c r="AH48" s="432"/>
      <c r="AI48" s="433" t="s">
        <v>284</v>
      </c>
      <c r="AJ48" s="388">
        <v>-0.73</v>
      </c>
      <c r="AK48" s="389">
        <v>-0.72</v>
      </c>
      <c r="AL48" s="389">
        <v>-0.71</v>
      </c>
      <c r="AM48" s="390">
        <v>-0.7</v>
      </c>
      <c r="AN48" s="390">
        <v>-0.69</v>
      </c>
      <c r="AO48" s="443">
        <v>-0.68</v>
      </c>
      <c r="AP48" s="443">
        <v>-0.65</v>
      </c>
      <c r="AQ48" s="444">
        <v>-0.57999999999999996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430" t="s">
        <v>334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430" t="s">
        <v>335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430" t="s">
        <v>336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358"/>
      <c r="B51" t="s">
        <v>186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186</v>
      </c>
      <c r="N51" s="368">
        <v>-0.68000000000000016</v>
      </c>
      <c r="O51" s="440">
        <v>-0.7</v>
      </c>
      <c r="P51" s="369">
        <v>-0.67000000000000015</v>
      </c>
      <c r="Q51" s="370">
        <v>-0.63000000000000012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186</v>
      </c>
      <c r="Y51" s="368">
        <v>-0.7200000000000002</v>
      </c>
      <c r="Z51" s="440">
        <v>-0.7400000000000001</v>
      </c>
      <c r="AA51" s="369">
        <v>-0.71000000000000019</v>
      </c>
      <c r="AB51" s="370">
        <v>-0.67000000000000015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186</v>
      </c>
      <c r="AJ51" s="368">
        <v>-0.76000000000000023</v>
      </c>
      <c r="AK51" s="440">
        <v>-0.78000000000000014</v>
      </c>
      <c r="AL51" s="369">
        <v>-0.75000000000000033</v>
      </c>
      <c r="AM51" s="370">
        <v>-0.71000000000000019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213</v>
      </c>
      <c r="C52" s="373">
        <v>-0.67</v>
      </c>
      <c r="D52" s="374">
        <v>-0.65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213</v>
      </c>
      <c r="N52" s="373">
        <v>-0.71000000000000019</v>
      </c>
      <c r="O52" s="374">
        <v>-0.69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213</v>
      </c>
      <c r="Y52" s="373">
        <v>-0.75000000000000011</v>
      </c>
      <c r="Z52" s="374">
        <v>-0.73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213</v>
      </c>
      <c r="AJ52" s="373">
        <v>-0.79000000000000015</v>
      </c>
      <c r="AK52" s="374">
        <v>-0.78000000000000014</v>
      </c>
      <c r="AL52" s="375">
        <v>-0.75000000000000033</v>
      </c>
      <c r="AM52" s="376">
        <v>-0.7200000000000002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232</v>
      </c>
      <c r="C53" s="379">
        <v>-0.63000000000000012</v>
      </c>
      <c r="D53" s="380">
        <v>-0.63000000000000012</v>
      </c>
      <c r="E53" s="381">
        <v>-0.60000000000000009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232</v>
      </c>
      <c r="N53" s="379">
        <v>-0.68</v>
      </c>
      <c r="O53" s="380">
        <v>-0.67</v>
      </c>
      <c r="P53" s="381">
        <v>-0.64</v>
      </c>
      <c r="Q53" s="376">
        <v>-0.6100000000000001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232</v>
      </c>
      <c r="Y53" s="379">
        <v>-0.73</v>
      </c>
      <c r="Z53" s="380">
        <v>-0.71000000000000019</v>
      </c>
      <c r="AA53" s="381">
        <v>-0.69</v>
      </c>
      <c r="AB53" s="376">
        <v>-0.68</v>
      </c>
      <c r="AC53" s="376">
        <v>-0.67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232</v>
      </c>
      <c r="AJ53" s="379">
        <v>-0.77000000000000013</v>
      </c>
      <c r="AK53" s="380">
        <v>-0.75000000000000033</v>
      </c>
      <c r="AL53" s="381">
        <v>-0.73</v>
      </c>
      <c r="AM53" s="376">
        <v>-0.7</v>
      </c>
      <c r="AN53" s="376">
        <v>-0.69000000000000017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215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-0.39</v>
      </c>
      <c r="K54" s="433"/>
      <c r="L54" s="432"/>
      <c r="M54" s="433" t="s">
        <v>215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-0.4200000000000001</v>
      </c>
      <c r="V54" s="433"/>
      <c r="W54" s="432"/>
      <c r="X54" s="433" t="s">
        <v>215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-0.66000000000000014</v>
      </c>
      <c r="AF54" s="394">
        <v>-0.46</v>
      </c>
      <c r="AG54" s="433"/>
      <c r="AH54" s="432"/>
      <c r="AI54" s="433" t="s">
        <v>215</v>
      </c>
      <c r="AJ54" s="382">
        <v>-0.77000000000000013</v>
      </c>
      <c r="AK54" s="383">
        <v>-0.76</v>
      </c>
      <c r="AL54" s="383">
        <v>-0.75</v>
      </c>
      <c r="AM54" s="384">
        <v>-0.73</v>
      </c>
      <c r="AN54" s="384">
        <v>-0.7</v>
      </c>
      <c r="AO54" s="393">
        <v>-0.71</v>
      </c>
      <c r="AP54" s="393">
        <v>-0.72</v>
      </c>
      <c r="AQ54" s="394">
        <v>-0.57000000000000006</v>
      </c>
    </row>
    <row r="55" spans="1:43" x14ac:dyDescent="0.25">
      <c r="A55" s="358"/>
      <c r="B55" t="s">
        <v>249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-0.38</v>
      </c>
      <c r="K55" s="433"/>
      <c r="L55" s="432"/>
      <c r="M55" s="433" t="s">
        <v>249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-0.41</v>
      </c>
      <c r="V55" s="433"/>
      <c r="W55" s="432"/>
      <c r="X55" s="433" t="s">
        <v>249</v>
      </c>
      <c r="Y55" s="382">
        <v>-0.70000000000000018</v>
      </c>
      <c r="Z55" s="383">
        <v>-0.68000000000000016</v>
      </c>
      <c r="AA55" s="383">
        <v>-0.66000000000000014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-0.45</v>
      </c>
      <c r="AG55" s="433"/>
      <c r="AH55" s="432"/>
      <c r="AI55" s="433" t="s">
        <v>249</v>
      </c>
      <c r="AJ55" s="382">
        <v>-0.76000000000000012</v>
      </c>
      <c r="AK55" s="383">
        <v>-0.75</v>
      </c>
      <c r="AL55" s="383">
        <v>-0.74</v>
      </c>
      <c r="AM55" s="384">
        <v>-0.74</v>
      </c>
      <c r="AN55" s="384">
        <v>-0.71</v>
      </c>
      <c r="AO55" s="393">
        <v>-0.70000000000000018</v>
      </c>
      <c r="AP55" s="393">
        <v>-0.70000000000000018</v>
      </c>
      <c r="AQ55" s="394">
        <v>-0.54</v>
      </c>
    </row>
    <row r="56" spans="1:43" x14ac:dyDescent="0.25">
      <c r="A56" s="358"/>
      <c r="B56" t="s">
        <v>257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257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-0.41</v>
      </c>
      <c r="V56" s="433"/>
      <c r="W56" s="432"/>
      <c r="X56" s="433" t="s">
        <v>257</v>
      </c>
      <c r="Y56" s="382">
        <v>-0.70000000000000018</v>
      </c>
      <c r="Z56" s="383">
        <v>-0.68000000000000016</v>
      </c>
      <c r="AA56" s="383">
        <v>-0.67000000000000015</v>
      </c>
      <c r="AB56" s="384">
        <v>-0.66000000000000014</v>
      </c>
      <c r="AC56" s="384">
        <v>-0.64000000000000012</v>
      </c>
      <c r="AD56" s="393">
        <v>-0.66000000000000014</v>
      </c>
      <c r="AE56" s="393">
        <v>-0.65000000000000013</v>
      </c>
      <c r="AF56" s="394">
        <v>-0.45</v>
      </c>
      <c r="AG56" s="433"/>
      <c r="AH56" s="432"/>
      <c r="AI56" s="433" t="s">
        <v>257</v>
      </c>
      <c r="AJ56" s="382">
        <v>-0.76000000000000012</v>
      </c>
      <c r="AK56" s="383">
        <v>-0.75</v>
      </c>
      <c r="AL56" s="383">
        <v>-0.74</v>
      </c>
      <c r="AM56" s="384">
        <v>-0.73</v>
      </c>
      <c r="AN56" s="384">
        <v>-0.72</v>
      </c>
      <c r="AO56" s="393">
        <v>-0.70000000000000018</v>
      </c>
      <c r="AP56" s="393">
        <v>-0.69000000000000017</v>
      </c>
      <c r="AQ56" s="394">
        <v>-0.53</v>
      </c>
    </row>
    <row r="57" spans="1:43" x14ac:dyDescent="0.25">
      <c r="A57" s="358"/>
      <c r="B57" t="s">
        <v>264</v>
      </c>
      <c r="C57" s="385">
        <v>-0.65000000000000013</v>
      </c>
      <c r="D57" s="386">
        <v>-0.64</v>
      </c>
      <c r="E57" s="386">
        <v>-0.62000000000000011</v>
      </c>
      <c r="F57" s="387">
        <v>-0.6100000000000001</v>
      </c>
      <c r="G57" s="387">
        <v>-0.6</v>
      </c>
      <c r="H57" s="441">
        <v>-0.6</v>
      </c>
      <c r="I57" s="441">
        <v>-0.59000000000000008</v>
      </c>
      <c r="J57" s="442">
        <v>-0.4</v>
      </c>
      <c r="K57" s="433"/>
      <c r="L57" s="432"/>
      <c r="M57" s="433" t="s">
        <v>264</v>
      </c>
      <c r="N57" s="385">
        <v>-0.68000000000000016</v>
      </c>
      <c r="O57" s="386">
        <v>-0.67000000000000015</v>
      </c>
      <c r="P57" s="386">
        <v>-0.65000000000000013</v>
      </c>
      <c r="Q57" s="387">
        <v>-0.64</v>
      </c>
      <c r="R57" s="387">
        <v>-0.63</v>
      </c>
      <c r="S57" s="441">
        <v>-0.63</v>
      </c>
      <c r="T57" s="441">
        <v>-0.62000000000000011</v>
      </c>
      <c r="U57" s="442">
        <v>-0.43</v>
      </c>
      <c r="V57" s="433"/>
      <c r="W57" s="432"/>
      <c r="X57" s="433" t="s">
        <v>264</v>
      </c>
      <c r="Y57" s="385">
        <v>-0.7200000000000002</v>
      </c>
      <c r="Z57" s="386">
        <v>-0.71000000000000019</v>
      </c>
      <c r="AA57" s="386">
        <v>-0.69</v>
      </c>
      <c r="AB57" s="387">
        <v>-0.68000000000000016</v>
      </c>
      <c r="AC57" s="387">
        <v>-0.67</v>
      </c>
      <c r="AD57" s="441">
        <v>-0.67</v>
      </c>
      <c r="AE57" s="441">
        <v>-0.66000000000000014</v>
      </c>
      <c r="AF57" s="442">
        <v>-0.48000000000000009</v>
      </c>
      <c r="AG57" s="433"/>
      <c r="AH57" s="432"/>
      <c r="AI57" s="433" t="s">
        <v>264</v>
      </c>
      <c r="AJ57" s="385">
        <v>-0.77</v>
      </c>
      <c r="AK57" s="386">
        <v>-0.76</v>
      </c>
      <c r="AL57" s="386">
        <v>-0.75</v>
      </c>
      <c r="AM57" s="387">
        <v>-0.74</v>
      </c>
      <c r="AN57" s="387">
        <v>-0.72999999999999987</v>
      </c>
      <c r="AO57" s="441">
        <v>-0.71</v>
      </c>
      <c r="AP57" s="441">
        <v>-0.70000000000000029</v>
      </c>
      <c r="AQ57" s="442">
        <v>-0.54</v>
      </c>
    </row>
    <row r="58" spans="1:43" x14ac:dyDescent="0.25">
      <c r="A58" s="358"/>
      <c r="B58" t="s">
        <v>272</v>
      </c>
      <c r="C58" s="385">
        <v>-0.62000000000000011</v>
      </c>
      <c r="D58" s="386">
        <v>-0.6100000000000001</v>
      </c>
      <c r="E58" s="386">
        <v>-0.6100000000000001</v>
      </c>
      <c r="F58" s="387">
        <v>-0.6100000000000001</v>
      </c>
      <c r="G58" s="387">
        <v>-0.59000000000000008</v>
      </c>
      <c r="H58" s="441">
        <v>-0.6</v>
      </c>
      <c r="I58" s="441">
        <v>-0.56999999999999995</v>
      </c>
      <c r="J58" s="442">
        <v>-0.39</v>
      </c>
      <c r="K58" s="433"/>
      <c r="L58" s="432"/>
      <c r="M58" s="433" t="s">
        <v>272</v>
      </c>
      <c r="N58" s="385">
        <v>-0.65000000000000013</v>
      </c>
      <c r="O58" s="386">
        <v>-0.64</v>
      </c>
      <c r="P58" s="386">
        <v>-0.64</v>
      </c>
      <c r="Q58" s="387">
        <v>-0.64</v>
      </c>
      <c r="R58" s="387">
        <v>-0.62000000000000011</v>
      </c>
      <c r="S58" s="441">
        <v>-0.63</v>
      </c>
      <c r="T58" s="441">
        <v>-0.60000000000000009</v>
      </c>
      <c r="U58" s="442">
        <v>-0.42</v>
      </c>
      <c r="V58" s="433"/>
      <c r="W58" s="432"/>
      <c r="X58" s="433" t="s">
        <v>272</v>
      </c>
      <c r="Y58" s="385">
        <v>-0.69</v>
      </c>
      <c r="Z58" s="386">
        <v>-0.68000000000000016</v>
      </c>
      <c r="AA58" s="386">
        <v>-0.68000000000000016</v>
      </c>
      <c r="AB58" s="387">
        <v>-0.68000000000000016</v>
      </c>
      <c r="AC58" s="387">
        <v>-0.66000000000000014</v>
      </c>
      <c r="AD58" s="441">
        <v>-0.67</v>
      </c>
      <c r="AE58" s="441">
        <v>-0.65</v>
      </c>
      <c r="AF58" s="442">
        <v>-0.48000000000000009</v>
      </c>
      <c r="AG58" s="433"/>
      <c r="AH58" s="432"/>
      <c r="AI58" s="433" t="s">
        <v>272</v>
      </c>
      <c r="AJ58" s="385">
        <v>-0.79</v>
      </c>
      <c r="AK58" s="386">
        <v>-0.78</v>
      </c>
      <c r="AL58" s="386">
        <v>-0.76</v>
      </c>
      <c r="AM58" s="387">
        <v>-0.75</v>
      </c>
      <c r="AN58" s="387">
        <v>-0.74</v>
      </c>
      <c r="AO58" s="441">
        <v>-0.70999999999999985</v>
      </c>
      <c r="AP58" s="441">
        <v>-0.72</v>
      </c>
      <c r="AQ58" s="442">
        <v>-0.58000000000000007</v>
      </c>
    </row>
    <row r="59" spans="1:43" x14ac:dyDescent="0.25">
      <c r="A59" s="358"/>
      <c r="B59" t="s">
        <v>278</v>
      </c>
      <c r="C59" s="385">
        <v>-0.62000000000000011</v>
      </c>
      <c r="D59" s="386">
        <v>-0.6</v>
      </c>
      <c r="E59" s="386">
        <v>-0.59000000000000008</v>
      </c>
      <c r="F59" s="387">
        <v>-0.59000000000000008</v>
      </c>
      <c r="G59" s="387">
        <v>-0.59000000000000008</v>
      </c>
      <c r="H59" s="441">
        <v>-0.56999999999999995</v>
      </c>
      <c r="I59" s="441">
        <v>-0.56999999999999995</v>
      </c>
      <c r="J59" s="442">
        <v>-0.44</v>
      </c>
      <c r="K59" s="433"/>
      <c r="L59" s="432"/>
      <c r="M59" s="433" t="s">
        <v>278</v>
      </c>
      <c r="N59" s="385">
        <v>-0.65000000000000013</v>
      </c>
      <c r="O59" s="386">
        <v>-0.63</v>
      </c>
      <c r="P59" s="386">
        <v>-0.62000000000000011</v>
      </c>
      <c r="Q59" s="387">
        <v>-0.62000000000000011</v>
      </c>
      <c r="R59" s="387">
        <v>-0.62000000000000011</v>
      </c>
      <c r="S59" s="441">
        <v>-0.60000000000000009</v>
      </c>
      <c r="T59" s="441">
        <v>-0.60000000000000009</v>
      </c>
      <c r="U59" s="442">
        <v>-0.46999999999999992</v>
      </c>
      <c r="V59" s="433"/>
      <c r="W59" s="432"/>
      <c r="X59" s="433" t="s">
        <v>278</v>
      </c>
      <c r="Y59" s="385">
        <v>-0.69</v>
      </c>
      <c r="Z59" s="386">
        <v>-0.67</v>
      </c>
      <c r="AA59" s="386">
        <v>-0.66000000000000014</v>
      </c>
      <c r="AB59" s="387">
        <v>-0.66000000000000014</v>
      </c>
      <c r="AC59" s="387">
        <v>-0.66000000000000014</v>
      </c>
      <c r="AD59" s="441">
        <v>-0.64</v>
      </c>
      <c r="AE59" s="441">
        <v>-0.64</v>
      </c>
      <c r="AF59" s="442">
        <v>-0.5099999999999999</v>
      </c>
      <c r="AG59" s="433"/>
      <c r="AH59" s="432"/>
      <c r="AI59" s="433" t="s">
        <v>278</v>
      </c>
      <c r="AJ59" s="385">
        <v>-0.78</v>
      </c>
      <c r="AK59" s="386">
        <v>-0.76999999999999991</v>
      </c>
      <c r="AL59" s="386">
        <v>-0.76</v>
      </c>
      <c r="AM59" s="387">
        <v>-0.74</v>
      </c>
      <c r="AN59" s="387">
        <v>-0.73</v>
      </c>
      <c r="AO59" s="441">
        <v>-0.72</v>
      </c>
      <c r="AP59" s="441">
        <v>-0.71</v>
      </c>
      <c r="AQ59" s="442">
        <v>-0.6</v>
      </c>
    </row>
    <row r="60" spans="1:43" x14ac:dyDescent="0.25">
      <c r="A60" s="358"/>
      <c r="B60" t="s">
        <v>284</v>
      </c>
      <c r="C60" s="388">
        <v>-0.62000000000000011</v>
      </c>
      <c r="D60" s="389">
        <v>-0.6</v>
      </c>
      <c r="E60" s="389">
        <v>-0.6</v>
      </c>
      <c r="F60" s="390">
        <v>-0.59000000000000008</v>
      </c>
      <c r="G60" s="390">
        <v>-0.58000000000000007</v>
      </c>
      <c r="H60" s="443">
        <v>-0.59000000000000008</v>
      </c>
      <c r="I60" s="443">
        <v>-0.56000000000000005</v>
      </c>
      <c r="J60" s="444">
        <v>-0.49</v>
      </c>
      <c r="K60" s="433"/>
      <c r="L60" s="432"/>
      <c r="M60" s="433" t="s">
        <v>284</v>
      </c>
      <c r="N60" s="388">
        <v>-0.65000000000000013</v>
      </c>
      <c r="O60" s="389">
        <v>-0.63</v>
      </c>
      <c r="P60" s="389">
        <v>-0.63</v>
      </c>
      <c r="Q60" s="390">
        <v>-0.62000000000000011</v>
      </c>
      <c r="R60" s="390">
        <v>-0.6100000000000001</v>
      </c>
      <c r="S60" s="443">
        <v>-0.62000000000000011</v>
      </c>
      <c r="T60" s="443">
        <v>-0.59000000000000008</v>
      </c>
      <c r="U60" s="444">
        <v>-0.52</v>
      </c>
      <c r="V60" s="433"/>
      <c r="W60" s="432"/>
      <c r="X60" s="433" t="s">
        <v>284</v>
      </c>
      <c r="Y60" s="388">
        <v>-0.69</v>
      </c>
      <c r="Z60" s="389">
        <v>-0.67</v>
      </c>
      <c r="AA60" s="389">
        <v>-0.67</v>
      </c>
      <c r="AB60" s="390">
        <v>-0.66000000000000014</v>
      </c>
      <c r="AC60" s="390">
        <v>-0.65000000000000013</v>
      </c>
      <c r="AD60" s="443">
        <v>-0.66000000000000014</v>
      </c>
      <c r="AE60" s="443">
        <v>-0.63000000000000012</v>
      </c>
      <c r="AF60" s="444">
        <v>-0.56000000000000005</v>
      </c>
      <c r="AG60" s="433"/>
      <c r="AH60" s="432"/>
      <c r="AI60" s="433" t="s">
        <v>284</v>
      </c>
      <c r="AJ60" s="388">
        <v>-0.78</v>
      </c>
      <c r="AK60" s="389">
        <v>-0.76999999999999991</v>
      </c>
      <c r="AL60" s="389">
        <v>-0.7599999999999999</v>
      </c>
      <c r="AM60" s="390">
        <v>-0.75</v>
      </c>
      <c r="AN60" s="390">
        <v>-0.74</v>
      </c>
      <c r="AO60" s="443">
        <v>-0.73</v>
      </c>
      <c r="AP60" s="443">
        <v>-0.7</v>
      </c>
      <c r="AQ60" s="444">
        <v>-0.63000000000000012</v>
      </c>
    </row>
    <row r="62" spans="1:43" x14ac:dyDescent="0.25">
      <c r="C62" s="37"/>
      <c r="N62" s="37"/>
      <c r="Y62" s="37"/>
      <c r="AJ62" s="37"/>
    </row>
  </sheetData>
  <sheetProtection algorithmName="SHA-512" hashValue="O71dl4T+7OpMnnkgJByo9F7puJm0XvtHPUvHuCrRua3PodIS/JZV0atacmISZjf7/b/F6rfTXXtDbPF20H288Q==" saltValue="d5yLQKG3Rpch3NPxlnGg0g==" spinCount="100000" sheet="1" objects="1" scenarios="1" autoFilter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2"/>
  <sheetViews>
    <sheetView workbookViewId="0">
      <selection activeCell="F6" sqref="F6"/>
    </sheetView>
  </sheetViews>
  <sheetFormatPr defaultRowHeight="15" x14ac:dyDescent="0.25"/>
  <cols>
    <col min="1" max="1" width="9.28515625" style="356"/>
    <col min="2" max="2" width="4" customWidth="1"/>
    <col min="3" max="10" width="7.5703125" style="28" customWidth="1"/>
    <col min="11" max="11" width="5.28515625" style="28" customWidth="1"/>
    <col min="12" max="12" width="9.28515625" style="356"/>
    <col min="13" max="13" width="4" style="28" customWidth="1"/>
    <col min="14" max="21" width="7.5703125" style="28" customWidth="1"/>
    <col min="22" max="22" width="5.42578125" style="28" customWidth="1"/>
    <col min="23" max="23" width="9.28515625" style="356"/>
    <col min="24" max="24" width="4" style="28" customWidth="1"/>
    <col min="25" max="32" width="7.5703125" style="28" customWidth="1"/>
    <col min="33" max="33" width="5.5703125" style="28" customWidth="1"/>
    <col min="34" max="34" width="9.28515625" style="356"/>
    <col min="35" max="35" width="4" style="28" customWidth="1"/>
    <col min="36" max="43" width="7.5703125" style="28" customWidth="1"/>
  </cols>
  <sheetData>
    <row r="1" spans="1:43" ht="14.45" x14ac:dyDescent="0.3">
      <c r="A1" s="356" t="s">
        <v>1109</v>
      </c>
      <c r="B1" t="s">
        <v>316</v>
      </c>
    </row>
    <row r="2" spans="1:43" ht="14.45" x14ac:dyDescent="0.3">
      <c r="A2" s="357" t="s">
        <v>317</v>
      </c>
      <c r="C2" s="355" t="s">
        <v>187</v>
      </c>
      <c r="D2" s="355" t="s">
        <v>214</v>
      </c>
      <c r="E2" s="355" t="s">
        <v>233</v>
      </c>
      <c r="F2" s="355" t="s">
        <v>242</v>
      </c>
      <c r="G2" s="355" t="s">
        <v>250</v>
      </c>
      <c r="H2" s="355" t="s">
        <v>258</v>
      </c>
      <c r="I2" s="355" t="s">
        <v>265</v>
      </c>
      <c r="J2" s="355" t="s">
        <v>279</v>
      </c>
      <c r="K2" s="355"/>
      <c r="L2" s="357" t="s">
        <v>318</v>
      </c>
      <c r="M2" s="355"/>
      <c r="N2" s="355" t="s">
        <v>187</v>
      </c>
      <c r="O2" s="355" t="s">
        <v>214</v>
      </c>
      <c r="P2" s="355" t="s">
        <v>233</v>
      </c>
      <c r="Q2" s="355" t="s">
        <v>242</v>
      </c>
      <c r="R2" s="355" t="s">
        <v>250</v>
      </c>
      <c r="S2" s="355" t="s">
        <v>258</v>
      </c>
      <c r="T2" s="355" t="s">
        <v>265</v>
      </c>
      <c r="U2" s="355" t="s">
        <v>279</v>
      </c>
      <c r="V2" s="355"/>
      <c r="W2" s="357" t="s">
        <v>319</v>
      </c>
      <c r="X2" s="355"/>
      <c r="Y2" s="355" t="s">
        <v>187</v>
      </c>
      <c r="Z2" s="355" t="s">
        <v>214</v>
      </c>
      <c r="AA2" s="355" t="s">
        <v>233</v>
      </c>
      <c r="AB2" s="355" t="s">
        <v>242</v>
      </c>
      <c r="AC2" s="355" t="s">
        <v>250</v>
      </c>
      <c r="AD2" s="355" t="s">
        <v>258</v>
      </c>
      <c r="AE2" s="355" t="s">
        <v>265</v>
      </c>
      <c r="AF2" s="355" t="s">
        <v>279</v>
      </c>
      <c r="AG2" s="355"/>
      <c r="AH2" s="357" t="s">
        <v>320</v>
      </c>
      <c r="AJ2" s="355" t="s">
        <v>187</v>
      </c>
      <c r="AK2" s="355" t="s">
        <v>214</v>
      </c>
      <c r="AL2" s="355" t="s">
        <v>233</v>
      </c>
      <c r="AM2" s="355" t="s">
        <v>242</v>
      </c>
      <c r="AN2" s="355" t="s">
        <v>250</v>
      </c>
      <c r="AO2" s="355" t="s">
        <v>258</v>
      </c>
      <c r="AP2" s="355" t="s">
        <v>265</v>
      </c>
      <c r="AQ2" s="355" t="s">
        <v>279</v>
      </c>
    </row>
    <row r="3" spans="1:43" ht="14.45" x14ac:dyDescent="0.3">
      <c r="A3" s="358"/>
      <c r="B3" t="s">
        <v>186</v>
      </c>
      <c r="C3" s="368">
        <v>-0.36</v>
      </c>
      <c r="D3" s="440">
        <v>-0.37</v>
      </c>
      <c r="E3" s="369">
        <v>-0.37</v>
      </c>
      <c r="F3" s="370">
        <v>-0.34</v>
      </c>
      <c r="G3" s="370">
        <v>-0.32</v>
      </c>
      <c r="H3" s="371">
        <v>-0.33</v>
      </c>
      <c r="I3" s="371">
        <v>-0.32</v>
      </c>
      <c r="J3" s="372">
        <v>-0.15</v>
      </c>
      <c r="K3" s="433"/>
      <c r="L3" s="432"/>
      <c r="M3" s="433" t="s">
        <v>186</v>
      </c>
      <c r="N3" s="368">
        <v>-0.41</v>
      </c>
      <c r="O3" s="440">
        <v>-0.42</v>
      </c>
      <c r="P3" s="369">
        <v>-0.42</v>
      </c>
      <c r="Q3" s="370">
        <v>-0.38</v>
      </c>
      <c r="R3" s="370">
        <v>-0.36</v>
      </c>
      <c r="S3" s="371">
        <v>-0.37</v>
      </c>
      <c r="T3" s="371">
        <v>-0.36</v>
      </c>
      <c r="U3" s="372">
        <v>-0.19</v>
      </c>
      <c r="V3" s="433"/>
      <c r="W3" s="432"/>
      <c r="X3" s="433" t="s">
        <v>186</v>
      </c>
      <c r="Y3" s="368">
        <v>-0.49</v>
      </c>
      <c r="Z3" s="440">
        <v>-0.5</v>
      </c>
      <c r="AA3" s="369">
        <v>-0.5</v>
      </c>
      <c r="AB3" s="370">
        <v>-0.46</v>
      </c>
      <c r="AC3" s="370">
        <v>-0.43</v>
      </c>
      <c r="AD3" s="371">
        <v>-0.45</v>
      </c>
      <c r="AE3" s="371">
        <v>-0.44</v>
      </c>
      <c r="AF3" s="372">
        <v>-0.27</v>
      </c>
      <c r="AG3" s="433"/>
      <c r="AH3" s="432"/>
      <c r="AI3" s="433" t="s">
        <v>186</v>
      </c>
      <c r="AJ3" s="368">
        <v>-0.63</v>
      </c>
      <c r="AK3" s="440">
        <v>-0.63</v>
      </c>
      <c r="AL3" s="369">
        <v>-0.63</v>
      </c>
      <c r="AM3" s="370">
        <v>-0.6</v>
      </c>
      <c r="AN3" s="370">
        <v>-0.54</v>
      </c>
      <c r="AO3" s="371">
        <v>-0.53</v>
      </c>
      <c r="AP3" s="371">
        <v>-0.52</v>
      </c>
      <c r="AQ3" s="372">
        <v>-0.35</v>
      </c>
    </row>
    <row r="4" spans="1:43" ht="14.45" x14ac:dyDescent="0.3">
      <c r="A4" s="358"/>
      <c r="B4" t="s">
        <v>213</v>
      </c>
      <c r="C4" s="373">
        <v>-0.39</v>
      </c>
      <c r="D4" s="374">
        <v>-0.37</v>
      </c>
      <c r="E4" s="375">
        <v>-0.34</v>
      </c>
      <c r="F4" s="376">
        <v>-0.33</v>
      </c>
      <c r="G4" s="376">
        <v>-0.34</v>
      </c>
      <c r="H4" s="377">
        <v>-0.33</v>
      </c>
      <c r="I4" s="377">
        <v>-0.34</v>
      </c>
      <c r="J4" s="378">
        <v>-0.15</v>
      </c>
      <c r="K4" s="433"/>
      <c r="L4" s="432"/>
      <c r="M4" s="433" t="s">
        <v>213</v>
      </c>
      <c r="N4" s="373">
        <v>-0.44</v>
      </c>
      <c r="O4" s="374">
        <v>-0.42</v>
      </c>
      <c r="P4" s="375">
        <v>-0.39</v>
      </c>
      <c r="Q4" s="376">
        <v>-0.37</v>
      </c>
      <c r="R4" s="376">
        <v>-0.38</v>
      </c>
      <c r="S4" s="377">
        <v>-0.37</v>
      </c>
      <c r="T4" s="377">
        <v>-0.38</v>
      </c>
      <c r="U4" s="378">
        <v>-0.19</v>
      </c>
      <c r="V4" s="433"/>
      <c r="W4" s="432"/>
      <c r="X4" s="433" t="s">
        <v>213</v>
      </c>
      <c r="Y4" s="373">
        <v>-0.52</v>
      </c>
      <c r="Z4" s="374">
        <v>-0.5</v>
      </c>
      <c r="AA4" s="375">
        <v>-0.47</v>
      </c>
      <c r="AB4" s="376">
        <v>-0.44</v>
      </c>
      <c r="AC4" s="376">
        <v>-0.45</v>
      </c>
      <c r="AD4" s="377">
        <v>-0.45</v>
      </c>
      <c r="AE4" s="377">
        <v>-0.46</v>
      </c>
      <c r="AF4" s="378">
        <v>-0.27</v>
      </c>
      <c r="AG4" s="433"/>
      <c r="AH4" s="432"/>
      <c r="AI4" s="433" t="s">
        <v>213</v>
      </c>
      <c r="AJ4" s="373">
        <v>-0.65</v>
      </c>
      <c r="AK4" s="374">
        <v>-0.63</v>
      </c>
      <c r="AL4" s="375">
        <v>-0.60000000000000009</v>
      </c>
      <c r="AM4" s="376">
        <v>-0.56000000000000005</v>
      </c>
      <c r="AN4" s="376">
        <v>-0.56000000000000005</v>
      </c>
      <c r="AO4" s="377">
        <v>-0.53</v>
      </c>
      <c r="AP4" s="377">
        <v>-0.54</v>
      </c>
      <c r="AQ4" s="378">
        <v>-0.35</v>
      </c>
    </row>
    <row r="5" spans="1:43" ht="14.45" x14ac:dyDescent="0.3">
      <c r="A5" s="358"/>
      <c r="B5" t="s">
        <v>232</v>
      </c>
      <c r="C5" s="379">
        <v>-0.38</v>
      </c>
      <c r="D5" s="380">
        <v>-0.36</v>
      </c>
      <c r="E5" s="381">
        <v>-0.35</v>
      </c>
      <c r="F5" s="376">
        <v>-0.33</v>
      </c>
      <c r="G5" s="376">
        <v>-0.32</v>
      </c>
      <c r="H5" s="377">
        <v>-0.33</v>
      </c>
      <c r="I5" s="377">
        <v>-0.32</v>
      </c>
      <c r="J5" s="378">
        <v>-0.15</v>
      </c>
      <c r="K5" s="433"/>
      <c r="L5" s="432"/>
      <c r="M5" s="433" t="s">
        <v>232</v>
      </c>
      <c r="N5" s="379">
        <v>-0.43</v>
      </c>
      <c r="O5" s="380">
        <v>-0.41</v>
      </c>
      <c r="P5" s="381">
        <v>-0.4</v>
      </c>
      <c r="Q5" s="376">
        <v>-0.37</v>
      </c>
      <c r="R5" s="376">
        <v>-0.36</v>
      </c>
      <c r="S5" s="377">
        <v>-0.37</v>
      </c>
      <c r="T5" s="377">
        <v>-0.36</v>
      </c>
      <c r="U5" s="378">
        <v>-0.19</v>
      </c>
      <c r="V5" s="433"/>
      <c r="W5" s="432"/>
      <c r="X5" s="433" t="s">
        <v>232</v>
      </c>
      <c r="Y5" s="379">
        <v>-0.51</v>
      </c>
      <c r="Z5" s="380">
        <v>-0.49</v>
      </c>
      <c r="AA5" s="381">
        <v>-0.48</v>
      </c>
      <c r="AB5" s="376">
        <v>-0.44</v>
      </c>
      <c r="AC5" s="376">
        <v>-0.43</v>
      </c>
      <c r="AD5" s="377">
        <v>-0.45</v>
      </c>
      <c r="AE5" s="377">
        <v>-0.46</v>
      </c>
      <c r="AF5" s="378">
        <v>-0.27</v>
      </c>
      <c r="AG5" s="433"/>
      <c r="AH5" s="432"/>
      <c r="AI5" s="433" t="s">
        <v>232</v>
      </c>
      <c r="AJ5" s="379">
        <v>-0.64</v>
      </c>
      <c r="AK5" s="380">
        <v>-0.62</v>
      </c>
      <c r="AL5" s="381">
        <v>-0.61</v>
      </c>
      <c r="AM5" s="376">
        <v>-0.59</v>
      </c>
      <c r="AN5" s="376">
        <v>-0.54</v>
      </c>
      <c r="AO5" s="377">
        <v>-0.53</v>
      </c>
      <c r="AP5" s="377">
        <v>-0.52</v>
      </c>
      <c r="AQ5" s="378">
        <v>-0.35</v>
      </c>
    </row>
    <row r="6" spans="1:43" ht="14.45" x14ac:dyDescent="0.3">
      <c r="A6" s="358"/>
      <c r="B6" t="s">
        <v>215</v>
      </c>
      <c r="C6" s="382">
        <v>-0.37</v>
      </c>
      <c r="D6" s="383">
        <v>-0.35</v>
      </c>
      <c r="E6" s="383">
        <v>-0.35</v>
      </c>
      <c r="F6" s="384">
        <v>-0.32</v>
      </c>
      <c r="G6" s="384">
        <v>-0.31</v>
      </c>
      <c r="H6" s="393">
        <v>-0.33</v>
      </c>
      <c r="I6" s="393">
        <v>-0.32</v>
      </c>
      <c r="J6" s="394">
        <v>-0.13</v>
      </c>
      <c r="K6" s="433"/>
      <c r="L6" s="432"/>
      <c r="M6" s="433" t="s">
        <v>215</v>
      </c>
      <c r="N6" s="382">
        <v>-0.41</v>
      </c>
      <c r="O6" s="383">
        <v>-0.3899999999999999</v>
      </c>
      <c r="P6" s="383">
        <v>-0.3899999999999999</v>
      </c>
      <c r="Q6" s="384">
        <v>-0.36</v>
      </c>
      <c r="R6" s="384">
        <v>-0.35</v>
      </c>
      <c r="S6" s="393">
        <v>-0.37</v>
      </c>
      <c r="T6" s="393">
        <v>-0.36</v>
      </c>
      <c r="U6" s="394">
        <v>-0.17</v>
      </c>
      <c r="V6" s="433"/>
      <c r="W6" s="432"/>
      <c r="X6" s="433" t="s">
        <v>215</v>
      </c>
      <c r="Y6" s="382">
        <v>-0.49</v>
      </c>
      <c r="Z6" s="383">
        <v>-0.47</v>
      </c>
      <c r="AA6" s="383">
        <v>-0.47</v>
      </c>
      <c r="AB6" s="384">
        <v>-0.44</v>
      </c>
      <c r="AC6" s="384">
        <v>-0.43</v>
      </c>
      <c r="AD6" s="393">
        <v>-0.45</v>
      </c>
      <c r="AE6" s="393">
        <v>-0.44</v>
      </c>
      <c r="AF6" s="394">
        <v>-0.25</v>
      </c>
      <c r="AG6" s="433"/>
      <c r="AH6" s="432"/>
      <c r="AI6" s="433" t="s">
        <v>215</v>
      </c>
      <c r="AJ6" s="382">
        <v>-0.63</v>
      </c>
      <c r="AK6" s="383">
        <v>-0.61</v>
      </c>
      <c r="AL6" s="383">
        <v>-0.61</v>
      </c>
      <c r="AM6" s="384">
        <v>-0.59</v>
      </c>
      <c r="AN6" s="384">
        <v>-0.55000000000000004</v>
      </c>
      <c r="AO6" s="393">
        <v>-0.53</v>
      </c>
      <c r="AP6" s="393">
        <v>-0.52</v>
      </c>
      <c r="AQ6" s="394">
        <v>-0.35</v>
      </c>
    </row>
    <row r="7" spans="1:43" ht="14.45" x14ac:dyDescent="0.3">
      <c r="A7" s="358"/>
      <c r="B7" t="s">
        <v>249</v>
      </c>
      <c r="C7" s="382">
        <v>-0.37</v>
      </c>
      <c r="D7" s="383">
        <v>-0.35</v>
      </c>
      <c r="E7" s="383">
        <v>-0.34</v>
      </c>
      <c r="F7" s="384">
        <v>-0.32</v>
      </c>
      <c r="G7" s="384">
        <v>-0.31</v>
      </c>
      <c r="H7" s="393">
        <v>-0.32</v>
      </c>
      <c r="I7" s="393">
        <v>-0.31</v>
      </c>
      <c r="J7" s="394">
        <v>-0.1</v>
      </c>
      <c r="K7" s="433"/>
      <c r="L7" s="432"/>
      <c r="M7" s="433" t="s">
        <v>249</v>
      </c>
      <c r="N7" s="382">
        <v>-0.41</v>
      </c>
      <c r="O7" s="383">
        <v>-0.3899999999999999</v>
      </c>
      <c r="P7" s="383">
        <v>-0.38</v>
      </c>
      <c r="Q7" s="384">
        <v>-0.36</v>
      </c>
      <c r="R7" s="384">
        <v>-0.35</v>
      </c>
      <c r="S7" s="393">
        <v>-0.36</v>
      </c>
      <c r="T7" s="393">
        <v>-0.35</v>
      </c>
      <c r="U7" s="394">
        <v>-0.14000000000000001</v>
      </c>
      <c r="V7" s="433"/>
      <c r="W7" s="432"/>
      <c r="X7" s="433" t="s">
        <v>249</v>
      </c>
      <c r="Y7" s="382">
        <v>-0.49</v>
      </c>
      <c r="Z7" s="383">
        <v>-0.47</v>
      </c>
      <c r="AA7" s="383">
        <v>-0.46</v>
      </c>
      <c r="AB7" s="384">
        <v>-0.44</v>
      </c>
      <c r="AC7" s="384">
        <v>-0.43</v>
      </c>
      <c r="AD7" s="393">
        <v>-0.44</v>
      </c>
      <c r="AE7" s="393">
        <v>-0.43</v>
      </c>
      <c r="AF7" s="394">
        <v>-0.22</v>
      </c>
      <c r="AG7" s="433"/>
      <c r="AH7" s="432"/>
      <c r="AI7" s="433" t="s">
        <v>249</v>
      </c>
      <c r="AJ7" s="382">
        <v>-0.63</v>
      </c>
      <c r="AK7" s="383">
        <v>-0.61</v>
      </c>
      <c r="AL7" s="383">
        <v>-0.60000000000000009</v>
      </c>
      <c r="AM7" s="384">
        <v>-0.59</v>
      </c>
      <c r="AN7" s="384">
        <v>-0.54</v>
      </c>
      <c r="AO7" s="393">
        <v>-0.52</v>
      </c>
      <c r="AP7" s="393">
        <v>-0.51</v>
      </c>
      <c r="AQ7" s="394">
        <v>-0.32</v>
      </c>
    </row>
    <row r="8" spans="1:43" ht="14.45" x14ac:dyDescent="0.3">
      <c r="A8" s="358"/>
      <c r="B8" t="s">
        <v>257</v>
      </c>
      <c r="C8" s="382">
        <v>-0.38</v>
      </c>
      <c r="D8" s="383">
        <v>-0.36</v>
      </c>
      <c r="E8" s="383">
        <v>-0.34</v>
      </c>
      <c r="F8" s="384">
        <v>-0.31</v>
      </c>
      <c r="G8" s="384">
        <v>-0.31</v>
      </c>
      <c r="H8" s="393">
        <v>-0.32</v>
      </c>
      <c r="I8" s="393">
        <v>-0.32</v>
      </c>
      <c r="J8" s="394">
        <v>-0.1</v>
      </c>
      <c r="K8" s="433"/>
      <c r="L8" s="432"/>
      <c r="M8" s="433" t="s">
        <v>257</v>
      </c>
      <c r="N8" s="382">
        <v>-0.42</v>
      </c>
      <c r="O8" s="383">
        <v>-0.4</v>
      </c>
      <c r="P8" s="383">
        <v>-0.38</v>
      </c>
      <c r="Q8" s="384">
        <v>-0.35</v>
      </c>
      <c r="R8" s="384">
        <v>-0.35</v>
      </c>
      <c r="S8" s="393">
        <v>-0.36</v>
      </c>
      <c r="T8" s="393">
        <v>-0.36</v>
      </c>
      <c r="U8" s="394">
        <v>-0.14000000000000001</v>
      </c>
      <c r="V8" s="433"/>
      <c r="W8" s="432"/>
      <c r="X8" s="433" t="s">
        <v>257</v>
      </c>
      <c r="Y8" s="382">
        <v>-0.5</v>
      </c>
      <c r="Z8" s="383">
        <v>-0.48</v>
      </c>
      <c r="AA8" s="383">
        <v>-0.46</v>
      </c>
      <c r="AB8" s="384">
        <v>-0.43</v>
      </c>
      <c r="AC8" s="384">
        <v>-0.43</v>
      </c>
      <c r="AD8" s="393">
        <v>-0.44</v>
      </c>
      <c r="AE8" s="393">
        <v>-0.44</v>
      </c>
      <c r="AF8" s="394">
        <v>-0.22</v>
      </c>
      <c r="AG8" s="433"/>
      <c r="AH8" s="432"/>
      <c r="AI8" s="433" t="s">
        <v>257</v>
      </c>
      <c r="AJ8" s="382">
        <v>-0.64</v>
      </c>
      <c r="AK8" s="383">
        <v>-0.63</v>
      </c>
      <c r="AL8" s="383">
        <v>-0.61</v>
      </c>
      <c r="AM8" s="384">
        <v>-0.59</v>
      </c>
      <c r="AN8" s="384">
        <v>-0.55000000000000004</v>
      </c>
      <c r="AO8" s="393">
        <v>-0.52</v>
      </c>
      <c r="AP8" s="393">
        <v>-0.52</v>
      </c>
      <c r="AQ8" s="394">
        <v>-0.30000000000000004</v>
      </c>
    </row>
    <row r="9" spans="1:43" ht="14.45" x14ac:dyDescent="0.3">
      <c r="A9" s="358"/>
      <c r="B9" t="s">
        <v>264</v>
      </c>
      <c r="C9" s="385">
        <v>-0.4</v>
      </c>
      <c r="D9" s="386">
        <v>-0.39</v>
      </c>
      <c r="E9" s="386">
        <v>-0.38</v>
      </c>
      <c r="F9" s="387">
        <v>-0.36</v>
      </c>
      <c r="G9" s="387">
        <v>-0.36</v>
      </c>
      <c r="H9" s="441">
        <v>-0.35</v>
      </c>
      <c r="I9" s="441">
        <v>-0.36</v>
      </c>
      <c r="J9" s="442">
        <v>-0.15</v>
      </c>
      <c r="K9" s="433"/>
      <c r="L9" s="432"/>
      <c r="M9" s="433" t="s">
        <v>264</v>
      </c>
      <c r="N9" s="385">
        <v>-0.44</v>
      </c>
      <c r="O9" s="386">
        <v>-0.43</v>
      </c>
      <c r="P9" s="386">
        <v>-0.41999999999999993</v>
      </c>
      <c r="Q9" s="387">
        <v>-0.4</v>
      </c>
      <c r="R9" s="387">
        <v>-0.4</v>
      </c>
      <c r="S9" s="441">
        <v>-0.38</v>
      </c>
      <c r="T9" s="441">
        <v>-0.39</v>
      </c>
      <c r="U9" s="442">
        <v>-0.18</v>
      </c>
      <c r="V9" s="433"/>
      <c r="W9" s="432"/>
      <c r="X9" s="433" t="s">
        <v>264</v>
      </c>
      <c r="Y9" s="385">
        <v>-0.52</v>
      </c>
      <c r="Z9" s="386">
        <v>-0.51</v>
      </c>
      <c r="AA9" s="386">
        <v>-0.5</v>
      </c>
      <c r="AB9" s="387">
        <v>-0.48</v>
      </c>
      <c r="AC9" s="387">
        <v>-0.48</v>
      </c>
      <c r="AD9" s="441">
        <v>-0.47</v>
      </c>
      <c r="AE9" s="441">
        <v>-0.48</v>
      </c>
      <c r="AF9" s="442">
        <v>-0.27</v>
      </c>
      <c r="AG9" s="433"/>
      <c r="AH9" s="432"/>
      <c r="AI9" s="433" t="s">
        <v>264</v>
      </c>
      <c r="AJ9" s="385">
        <v>-0.64</v>
      </c>
      <c r="AK9" s="386">
        <v>-0.62</v>
      </c>
      <c r="AL9" s="386">
        <v>-0.61</v>
      </c>
      <c r="AM9" s="387">
        <v>-0.6</v>
      </c>
      <c r="AN9" s="387">
        <v>-0.59</v>
      </c>
      <c r="AO9" s="441">
        <v>-0.57999999999999996</v>
      </c>
      <c r="AP9" s="441">
        <v>-0.54</v>
      </c>
      <c r="AQ9" s="442">
        <v>-0.32</v>
      </c>
    </row>
    <row r="10" spans="1:43" ht="14.45" x14ac:dyDescent="0.3">
      <c r="A10" s="358"/>
      <c r="B10" t="s">
        <v>272</v>
      </c>
      <c r="C10" s="385">
        <v>-0.39</v>
      </c>
      <c r="D10" s="386">
        <v>-0.37</v>
      </c>
      <c r="E10" s="386">
        <v>-0.36</v>
      </c>
      <c r="F10" s="387">
        <v>-0.34</v>
      </c>
      <c r="G10" s="387">
        <v>-0.33</v>
      </c>
      <c r="H10" s="441">
        <v>-0.33</v>
      </c>
      <c r="I10" s="441">
        <v>-0.31000000000000005</v>
      </c>
      <c r="J10" s="442">
        <v>-0.15</v>
      </c>
      <c r="K10" s="433"/>
      <c r="L10" s="432"/>
      <c r="M10" s="433" t="s">
        <v>272</v>
      </c>
      <c r="N10" s="385">
        <v>-0.43</v>
      </c>
      <c r="O10" s="386">
        <v>-0.41</v>
      </c>
      <c r="P10" s="386">
        <v>-0.4</v>
      </c>
      <c r="Q10" s="387">
        <v>-0.38</v>
      </c>
      <c r="R10" s="387">
        <v>-0.37</v>
      </c>
      <c r="S10" s="441">
        <v>-0.35999999999999993</v>
      </c>
      <c r="T10" s="441">
        <v>-0.34000000000000008</v>
      </c>
      <c r="U10" s="442">
        <v>-0.18</v>
      </c>
      <c r="V10" s="432"/>
      <c r="W10" s="432"/>
      <c r="X10" s="433" t="s">
        <v>272</v>
      </c>
      <c r="Y10" s="385">
        <v>-0.51</v>
      </c>
      <c r="Z10" s="386">
        <v>-0.49</v>
      </c>
      <c r="AA10" s="386">
        <v>-0.48</v>
      </c>
      <c r="AB10" s="387">
        <v>-0.46</v>
      </c>
      <c r="AC10" s="387">
        <v>-0.45</v>
      </c>
      <c r="AD10" s="441">
        <v>-0.45</v>
      </c>
      <c r="AE10" s="441">
        <v>-0.43</v>
      </c>
      <c r="AF10" s="442">
        <v>-0.27</v>
      </c>
      <c r="AG10" s="433"/>
      <c r="AH10" s="432"/>
      <c r="AI10" s="433" t="s">
        <v>272</v>
      </c>
      <c r="AJ10" s="385">
        <v>-0.65</v>
      </c>
      <c r="AK10" s="386">
        <v>-0.63000000000000012</v>
      </c>
      <c r="AL10" s="386">
        <v>-0.62000000000000011</v>
      </c>
      <c r="AM10" s="387">
        <v>-0.6</v>
      </c>
      <c r="AN10" s="387">
        <v>-0.57999999999999996</v>
      </c>
      <c r="AO10" s="441">
        <v>-0.56000000000000005</v>
      </c>
      <c r="AP10" s="441">
        <v>-0.54</v>
      </c>
      <c r="AQ10" s="442">
        <v>-0.36</v>
      </c>
    </row>
    <row r="11" spans="1:43" ht="14.45" x14ac:dyDescent="0.3">
      <c r="A11" s="358"/>
      <c r="B11" t="s">
        <v>278</v>
      </c>
      <c r="C11" s="385">
        <v>-0.39</v>
      </c>
      <c r="D11" s="386">
        <v>-0.37</v>
      </c>
      <c r="E11" s="386">
        <v>-0.36</v>
      </c>
      <c r="F11" s="387">
        <v>-0.33</v>
      </c>
      <c r="G11" s="387">
        <v>-0.31999999999999995</v>
      </c>
      <c r="H11" s="441">
        <v>-0.34</v>
      </c>
      <c r="I11" s="441">
        <v>-0.3</v>
      </c>
      <c r="J11" s="442">
        <v>-0.15</v>
      </c>
      <c r="K11" s="433"/>
      <c r="L11" s="432"/>
      <c r="M11" s="433" t="s">
        <v>278</v>
      </c>
      <c r="N11" s="385">
        <v>-0.43</v>
      </c>
      <c r="O11" s="386">
        <v>-0.41</v>
      </c>
      <c r="P11" s="386">
        <v>-0.4</v>
      </c>
      <c r="Q11" s="387">
        <v>-0.38</v>
      </c>
      <c r="R11" s="387">
        <v>-0.35999999999999993</v>
      </c>
      <c r="S11" s="441">
        <v>-0.37</v>
      </c>
      <c r="T11" s="441">
        <v>-0.33</v>
      </c>
      <c r="U11" s="442">
        <v>-0.18</v>
      </c>
      <c r="V11" s="433"/>
      <c r="W11" s="427"/>
      <c r="X11" s="433" t="s">
        <v>278</v>
      </c>
      <c r="Y11" s="385">
        <v>-0.51</v>
      </c>
      <c r="Z11" s="386">
        <v>-0.49</v>
      </c>
      <c r="AA11" s="386">
        <v>-0.48</v>
      </c>
      <c r="AB11" s="387">
        <v>-0.45</v>
      </c>
      <c r="AC11" s="387">
        <v>-0.44</v>
      </c>
      <c r="AD11" s="441">
        <v>-0.46</v>
      </c>
      <c r="AE11" s="441">
        <v>-0.42</v>
      </c>
      <c r="AF11" s="442">
        <v>-0.28000000000000003</v>
      </c>
      <c r="AG11" s="433"/>
      <c r="AH11" s="432"/>
      <c r="AI11" s="433" t="s">
        <v>278</v>
      </c>
      <c r="AJ11" s="385">
        <v>-0.65</v>
      </c>
      <c r="AK11" s="386">
        <v>-0.63</v>
      </c>
      <c r="AL11" s="386">
        <v>-0.63</v>
      </c>
      <c r="AM11" s="387">
        <v>-0.61</v>
      </c>
      <c r="AN11" s="387">
        <v>-0.59</v>
      </c>
      <c r="AO11" s="441">
        <v>-0.57999999999999996</v>
      </c>
      <c r="AP11" s="441">
        <v>-0.55000000000000004</v>
      </c>
      <c r="AQ11" s="442">
        <v>-0.45</v>
      </c>
    </row>
    <row r="12" spans="1:43" ht="14.45" x14ac:dyDescent="0.3">
      <c r="A12" s="358"/>
      <c r="B12" t="s">
        <v>284</v>
      </c>
      <c r="C12" s="388">
        <v>-0.39</v>
      </c>
      <c r="D12" s="389">
        <v>-0.36</v>
      </c>
      <c r="E12" s="389">
        <v>-0.35</v>
      </c>
      <c r="F12" s="390">
        <v>-0.33</v>
      </c>
      <c r="G12" s="390">
        <v>-0.31999999999999995</v>
      </c>
      <c r="H12" s="443">
        <v>-0.33</v>
      </c>
      <c r="I12" s="443">
        <v>-0.31999999999999995</v>
      </c>
      <c r="J12" s="444">
        <v>-0.16</v>
      </c>
      <c r="K12" s="433"/>
      <c r="L12" s="432"/>
      <c r="M12" s="433" t="s">
        <v>284</v>
      </c>
      <c r="N12" s="388">
        <v>-0.43</v>
      </c>
      <c r="O12" s="389">
        <v>-0.42</v>
      </c>
      <c r="P12" s="389">
        <v>-0.41</v>
      </c>
      <c r="Q12" s="390">
        <v>-0.37</v>
      </c>
      <c r="R12" s="390">
        <v>-0.35999999999999993</v>
      </c>
      <c r="S12" s="443">
        <v>-0.35999999999999993</v>
      </c>
      <c r="T12" s="443">
        <v>-0.35</v>
      </c>
      <c r="U12" s="444">
        <v>-0.2</v>
      </c>
      <c r="V12" s="433"/>
      <c r="W12" s="432"/>
      <c r="X12" s="433" t="s">
        <v>284</v>
      </c>
      <c r="Y12" s="388">
        <v>-0.51</v>
      </c>
      <c r="Z12" s="389">
        <v>-0.48</v>
      </c>
      <c r="AA12" s="389">
        <v>-0.47</v>
      </c>
      <c r="AB12" s="390">
        <v>-0.45</v>
      </c>
      <c r="AC12" s="390">
        <v>-0.44</v>
      </c>
      <c r="AD12" s="443">
        <v>-0.45</v>
      </c>
      <c r="AE12" s="443">
        <v>-0.44</v>
      </c>
      <c r="AF12" s="444">
        <v>-0.31</v>
      </c>
      <c r="AG12" s="433"/>
      <c r="AH12" s="432"/>
      <c r="AI12" s="433" t="s">
        <v>284</v>
      </c>
      <c r="AJ12" s="388">
        <v>-0.62</v>
      </c>
      <c r="AK12" s="389">
        <v>-0.6</v>
      </c>
      <c r="AL12" s="389">
        <v>-0.59</v>
      </c>
      <c r="AM12" s="390">
        <v>-0.57999999999999996</v>
      </c>
      <c r="AN12" s="390">
        <v>-0.56999999999999995</v>
      </c>
      <c r="AO12" s="443">
        <v>-0.56000000000000005</v>
      </c>
      <c r="AP12" s="443">
        <v>-0.54</v>
      </c>
      <c r="AQ12" s="444">
        <v>-0.43</v>
      </c>
    </row>
    <row r="13" spans="1:43" ht="14.45" x14ac:dyDescent="0.3">
      <c r="A13" s="358"/>
      <c r="C13" s="433"/>
      <c r="D13" s="433"/>
      <c r="E13" s="433"/>
      <c r="F13" s="433"/>
      <c r="G13" s="433"/>
      <c r="H13" s="433"/>
      <c r="I13" s="433"/>
      <c r="J13" s="433"/>
      <c r="K13" s="433"/>
      <c r="L13" s="432"/>
      <c r="M13" s="433"/>
      <c r="N13" s="433"/>
      <c r="O13" s="433"/>
      <c r="P13" s="433"/>
      <c r="Q13" s="433"/>
      <c r="R13" s="433"/>
      <c r="S13" s="433"/>
      <c r="T13" s="433"/>
      <c r="U13" s="433"/>
      <c r="V13" s="433"/>
      <c r="W13" s="432"/>
      <c r="X13" s="433"/>
      <c r="Y13" s="433"/>
      <c r="Z13" s="433"/>
      <c r="AA13" s="433"/>
      <c r="AB13" s="433"/>
      <c r="AC13" s="433"/>
      <c r="AD13" s="433"/>
      <c r="AE13" s="433"/>
      <c r="AF13" s="433"/>
      <c r="AG13" s="433"/>
      <c r="AH13" s="432"/>
      <c r="AI13" s="433"/>
      <c r="AJ13" s="433"/>
      <c r="AK13" s="433"/>
      <c r="AL13" s="433"/>
      <c r="AM13" s="433"/>
      <c r="AN13" s="433"/>
      <c r="AO13" s="433"/>
      <c r="AP13" s="433"/>
      <c r="AQ13" s="433"/>
    </row>
    <row r="14" spans="1:43" ht="14.45" x14ac:dyDescent="0.3">
      <c r="A14" s="357" t="s">
        <v>321</v>
      </c>
      <c r="C14" s="431" t="s">
        <v>187</v>
      </c>
      <c r="D14" s="431" t="s">
        <v>214</v>
      </c>
      <c r="E14" s="431" t="s">
        <v>233</v>
      </c>
      <c r="F14" s="431" t="s">
        <v>242</v>
      </c>
      <c r="G14" s="431" t="s">
        <v>250</v>
      </c>
      <c r="H14" s="431" t="s">
        <v>258</v>
      </c>
      <c r="I14" s="431" t="s">
        <v>265</v>
      </c>
      <c r="J14" s="431" t="s">
        <v>279</v>
      </c>
      <c r="K14" s="431"/>
      <c r="L14" s="430" t="s">
        <v>322</v>
      </c>
      <c r="M14" s="431"/>
      <c r="N14" s="431" t="s">
        <v>187</v>
      </c>
      <c r="O14" s="431" t="s">
        <v>214</v>
      </c>
      <c r="P14" s="431" t="s">
        <v>233</v>
      </c>
      <c r="Q14" s="431" t="s">
        <v>242</v>
      </c>
      <c r="R14" s="431" t="s">
        <v>250</v>
      </c>
      <c r="S14" s="431" t="s">
        <v>258</v>
      </c>
      <c r="T14" s="431" t="s">
        <v>265</v>
      </c>
      <c r="U14" s="431" t="s">
        <v>279</v>
      </c>
      <c r="V14" s="431"/>
      <c r="W14" s="430" t="s">
        <v>323</v>
      </c>
      <c r="X14" s="431"/>
      <c r="Y14" s="431" t="s">
        <v>187</v>
      </c>
      <c r="Z14" s="431" t="s">
        <v>214</v>
      </c>
      <c r="AA14" s="431" t="s">
        <v>233</v>
      </c>
      <c r="AB14" s="431" t="s">
        <v>242</v>
      </c>
      <c r="AC14" s="431" t="s">
        <v>250</v>
      </c>
      <c r="AD14" s="431" t="s">
        <v>258</v>
      </c>
      <c r="AE14" s="431" t="s">
        <v>265</v>
      </c>
      <c r="AF14" s="431" t="s">
        <v>279</v>
      </c>
      <c r="AG14" s="431"/>
      <c r="AH14" s="430" t="s">
        <v>324</v>
      </c>
      <c r="AI14" s="433"/>
      <c r="AJ14" s="431" t="s">
        <v>187</v>
      </c>
      <c r="AK14" s="431" t="s">
        <v>214</v>
      </c>
      <c r="AL14" s="431" t="s">
        <v>233</v>
      </c>
      <c r="AM14" s="431" t="s">
        <v>242</v>
      </c>
      <c r="AN14" s="431" t="s">
        <v>250</v>
      </c>
      <c r="AO14" s="431" t="s">
        <v>258</v>
      </c>
      <c r="AP14" s="431" t="s">
        <v>265</v>
      </c>
      <c r="AQ14" s="431" t="s">
        <v>279</v>
      </c>
    </row>
    <row r="15" spans="1:43" ht="14.45" x14ac:dyDescent="0.3">
      <c r="A15" s="358"/>
      <c r="B15" t="s">
        <v>186</v>
      </c>
      <c r="C15" s="368">
        <v>-0.42</v>
      </c>
      <c r="D15" s="440">
        <v>-0.43</v>
      </c>
      <c r="E15" s="369">
        <v>-0.43</v>
      </c>
      <c r="F15" s="370">
        <v>-0.39</v>
      </c>
      <c r="G15" s="370">
        <v>-0.37</v>
      </c>
      <c r="H15" s="371">
        <v>-0.37</v>
      </c>
      <c r="I15" s="371">
        <v>-0.36</v>
      </c>
      <c r="J15" s="372">
        <v>-0.19</v>
      </c>
      <c r="K15" s="433"/>
      <c r="L15" s="432"/>
      <c r="M15" s="433" t="s">
        <v>186</v>
      </c>
      <c r="N15" s="368">
        <v>-0.44999999999999996</v>
      </c>
      <c r="O15" s="440">
        <v>-0.46</v>
      </c>
      <c r="P15" s="369">
        <v>-0.46</v>
      </c>
      <c r="Q15" s="370">
        <v>-0.41</v>
      </c>
      <c r="R15" s="370">
        <v>-0.39</v>
      </c>
      <c r="S15" s="371">
        <v>-0.4</v>
      </c>
      <c r="T15" s="371">
        <v>-0.39</v>
      </c>
      <c r="U15" s="372">
        <v>-0.22</v>
      </c>
      <c r="V15" s="433"/>
      <c r="W15" s="432"/>
      <c r="X15" s="433" t="s">
        <v>186</v>
      </c>
      <c r="Y15" s="368">
        <v>-0.53</v>
      </c>
      <c r="Z15" s="440">
        <v>-0.54</v>
      </c>
      <c r="AA15" s="369">
        <v>-0.54</v>
      </c>
      <c r="AB15" s="370">
        <v>-0.5</v>
      </c>
      <c r="AC15" s="370">
        <v>-0.46</v>
      </c>
      <c r="AD15" s="371">
        <v>-0.48</v>
      </c>
      <c r="AE15" s="371">
        <v>-0.47</v>
      </c>
      <c r="AF15" s="372">
        <v>-0.30000000000000004</v>
      </c>
      <c r="AG15" s="433"/>
      <c r="AH15" s="432"/>
      <c r="AI15" s="433" t="s">
        <v>186</v>
      </c>
      <c r="AJ15" s="368">
        <v>-0.66</v>
      </c>
      <c r="AK15" s="440">
        <v>-0.67</v>
      </c>
      <c r="AL15" s="369">
        <v>-0.67</v>
      </c>
      <c r="AM15" s="370">
        <v>-0.64</v>
      </c>
      <c r="AN15" s="370">
        <v>-0.62</v>
      </c>
      <c r="AO15" s="371">
        <v>-0.6</v>
      </c>
      <c r="AP15" s="371">
        <v>-0.57999999999999996</v>
      </c>
      <c r="AQ15" s="372">
        <v>-0.38</v>
      </c>
    </row>
    <row r="16" spans="1:43" ht="14.45" x14ac:dyDescent="0.3">
      <c r="A16" s="358"/>
      <c r="B16" t="s">
        <v>213</v>
      </c>
      <c r="C16" s="373">
        <v>-0.45</v>
      </c>
      <c r="D16" s="374">
        <v>-0.43</v>
      </c>
      <c r="E16" s="375">
        <v>-0.4</v>
      </c>
      <c r="F16" s="376">
        <v>-0.38</v>
      </c>
      <c r="G16" s="376">
        <v>-0.39</v>
      </c>
      <c r="H16" s="377">
        <v>-0.37</v>
      </c>
      <c r="I16" s="377">
        <v>-0.38</v>
      </c>
      <c r="J16" s="378">
        <v>-0.19</v>
      </c>
      <c r="K16" s="433"/>
      <c r="L16" s="432"/>
      <c r="M16" s="433" t="s">
        <v>213</v>
      </c>
      <c r="N16" s="373">
        <v>-0.48</v>
      </c>
      <c r="O16" s="374">
        <v>-0.46</v>
      </c>
      <c r="P16" s="375">
        <v>-0.43</v>
      </c>
      <c r="Q16" s="376">
        <v>-0.4</v>
      </c>
      <c r="R16" s="376">
        <v>-0.41</v>
      </c>
      <c r="S16" s="377">
        <v>-0.4</v>
      </c>
      <c r="T16" s="377">
        <v>-0.41</v>
      </c>
      <c r="U16" s="378">
        <v>-0.22</v>
      </c>
      <c r="V16" s="433"/>
      <c r="W16" s="432"/>
      <c r="X16" s="433" t="s">
        <v>213</v>
      </c>
      <c r="Y16" s="373">
        <v>-0.56000000000000005</v>
      </c>
      <c r="Z16" s="374">
        <v>-0.54</v>
      </c>
      <c r="AA16" s="375">
        <v>-0.51</v>
      </c>
      <c r="AB16" s="376">
        <v>-0.47</v>
      </c>
      <c r="AC16" s="376">
        <v>-0.48</v>
      </c>
      <c r="AD16" s="377">
        <v>-0.48</v>
      </c>
      <c r="AE16" s="377">
        <v>-0.49</v>
      </c>
      <c r="AF16" s="378">
        <v>-0.30000000000000004</v>
      </c>
      <c r="AG16" s="433"/>
      <c r="AH16" s="432"/>
      <c r="AI16" s="433" t="s">
        <v>213</v>
      </c>
      <c r="AJ16" s="373">
        <v>-0.69</v>
      </c>
      <c r="AK16" s="374">
        <v>-0.67</v>
      </c>
      <c r="AL16" s="375">
        <v>-0.64000000000000012</v>
      </c>
      <c r="AM16" s="376">
        <v>-0.61</v>
      </c>
      <c r="AN16" s="376">
        <v>-0.59000000000000008</v>
      </c>
      <c r="AO16" s="377">
        <v>-0.57999999999999996</v>
      </c>
      <c r="AP16" s="377">
        <v>-0.57000000000000006</v>
      </c>
      <c r="AQ16" s="378">
        <v>-0.38</v>
      </c>
    </row>
    <row r="17" spans="1:43" ht="14.45" x14ac:dyDescent="0.3">
      <c r="A17" s="358"/>
      <c r="B17" t="s">
        <v>232</v>
      </c>
      <c r="C17" s="379">
        <v>-0.44</v>
      </c>
      <c r="D17" s="380">
        <v>-0.42</v>
      </c>
      <c r="E17" s="381">
        <v>-0.41</v>
      </c>
      <c r="F17" s="376">
        <v>-0.38</v>
      </c>
      <c r="G17" s="376">
        <v>-0.37</v>
      </c>
      <c r="H17" s="377">
        <v>-0.37</v>
      </c>
      <c r="I17" s="377">
        <v>-0.36</v>
      </c>
      <c r="J17" s="378">
        <v>-0.19</v>
      </c>
      <c r="K17" s="433"/>
      <c r="L17" s="432"/>
      <c r="M17" s="433" t="s">
        <v>232</v>
      </c>
      <c r="N17" s="379">
        <v>-0.47</v>
      </c>
      <c r="O17" s="380">
        <v>-0.44999999999999996</v>
      </c>
      <c r="P17" s="381">
        <v>-0.43999999999999995</v>
      </c>
      <c r="Q17" s="376">
        <v>-0.4</v>
      </c>
      <c r="R17" s="376">
        <v>-0.39</v>
      </c>
      <c r="S17" s="377">
        <v>-0.4</v>
      </c>
      <c r="T17" s="377">
        <v>-0.39</v>
      </c>
      <c r="U17" s="378">
        <v>-0.22</v>
      </c>
      <c r="V17" s="433"/>
      <c r="W17" s="432"/>
      <c r="X17" s="433" t="s">
        <v>232</v>
      </c>
      <c r="Y17" s="379">
        <v>-0.55000000000000004</v>
      </c>
      <c r="Z17" s="380">
        <v>-0.53</v>
      </c>
      <c r="AA17" s="381">
        <v>-0.52</v>
      </c>
      <c r="AB17" s="376">
        <v>-0.5</v>
      </c>
      <c r="AC17" s="376">
        <v>-0.48</v>
      </c>
      <c r="AD17" s="377">
        <v>-0.49</v>
      </c>
      <c r="AE17" s="377">
        <v>-0.48</v>
      </c>
      <c r="AF17" s="378">
        <v>-0.30000000000000004</v>
      </c>
      <c r="AG17" s="433"/>
      <c r="AH17" s="432"/>
      <c r="AI17" s="433" t="s">
        <v>232</v>
      </c>
      <c r="AJ17" s="379">
        <v>-0.68</v>
      </c>
      <c r="AK17" s="380">
        <v>-0.66</v>
      </c>
      <c r="AL17" s="381">
        <v>-0.65</v>
      </c>
      <c r="AM17" s="376">
        <v>-0.62</v>
      </c>
      <c r="AN17" s="376">
        <v>-0.57999999999999996</v>
      </c>
      <c r="AO17" s="377">
        <v>-0.56000000000000005</v>
      </c>
      <c r="AP17" s="377">
        <v>-0.56999999999999995</v>
      </c>
      <c r="AQ17" s="378">
        <v>-0.38</v>
      </c>
    </row>
    <row r="18" spans="1:43" ht="14.45" x14ac:dyDescent="0.3">
      <c r="A18" s="358"/>
      <c r="B18" t="s">
        <v>215</v>
      </c>
      <c r="C18" s="382">
        <v>-0.42</v>
      </c>
      <c r="D18" s="383">
        <v>-0.4</v>
      </c>
      <c r="E18" s="383">
        <v>-0.4</v>
      </c>
      <c r="F18" s="384">
        <v>-0.37</v>
      </c>
      <c r="G18" s="384">
        <v>-0.36</v>
      </c>
      <c r="H18" s="393">
        <v>-0.37</v>
      </c>
      <c r="I18" s="393">
        <v>-0.36</v>
      </c>
      <c r="J18" s="394">
        <v>-0.17</v>
      </c>
      <c r="K18" s="433"/>
      <c r="L18" s="432"/>
      <c r="M18" s="433" t="s">
        <v>215</v>
      </c>
      <c r="N18" s="382">
        <v>-0.44999999999999996</v>
      </c>
      <c r="O18" s="383">
        <v>-0.42999999999999994</v>
      </c>
      <c r="P18" s="383">
        <v>-0.42999999999999994</v>
      </c>
      <c r="Q18" s="384">
        <v>-0.39</v>
      </c>
      <c r="R18" s="384">
        <v>-0.38</v>
      </c>
      <c r="S18" s="393">
        <v>-0.4</v>
      </c>
      <c r="T18" s="393">
        <v>-0.39</v>
      </c>
      <c r="U18" s="394">
        <v>-0.2</v>
      </c>
      <c r="V18" s="433"/>
      <c r="W18" s="432"/>
      <c r="X18" s="433" t="s">
        <v>215</v>
      </c>
      <c r="Y18" s="382">
        <v>-0.53</v>
      </c>
      <c r="Z18" s="383">
        <v>-0.51</v>
      </c>
      <c r="AA18" s="383">
        <v>-0.51</v>
      </c>
      <c r="AB18" s="384">
        <v>-0.48</v>
      </c>
      <c r="AC18" s="384">
        <v>-0.46</v>
      </c>
      <c r="AD18" s="393">
        <v>-0.48</v>
      </c>
      <c r="AE18" s="393">
        <v>-0.47</v>
      </c>
      <c r="AF18" s="394">
        <v>-0.28000000000000003</v>
      </c>
      <c r="AG18" s="433"/>
      <c r="AH18" s="432"/>
      <c r="AI18" s="433" t="s">
        <v>215</v>
      </c>
      <c r="AJ18" s="382">
        <v>-0.67</v>
      </c>
      <c r="AK18" s="383">
        <v>-0.65</v>
      </c>
      <c r="AL18" s="383">
        <v>-0.65</v>
      </c>
      <c r="AM18" s="384">
        <v>-0.63</v>
      </c>
      <c r="AN18" s="384">
        <v>-0.6</v>
      </c>
      <c r="AO18" s="393">
        <v>-0.57999999999999996</v>
      </c>
      <c r="AP18" s="393">
        <v>-0.55000000000000004</v>
      </c>
      <c r="AQ18" s="394">
        <v>-0.37</v>
      </c>
    </row>
    <row r="19" spans="1:43" ht="14.45" x14ac:dyDescent="0.3">
      <c r="A19" s="358"/>
      <c r="B19" t="s">
        <v>249</v>
      </c>
      <c r="C19" s="382">
        <v>-0.42</v>
      </c>
      <c r="D19" s="383">
        <v>-0.4</v>
      </c>
      <c r="E19" s="383">
        <v>-0.39</v>
      </c>
      <c r="F19" s="384">
        <v>-0.37</v>
      </c>
      <c r="G19" s="384">
        <v>-0.36</v>
      </c>
      <c r="H19" s="393">
        <v>-0.36</v>
      </c>
      <c r="I19" s="393">
        <v>-0.35</v>
      </c>
      <c r="J19" s="394">
        <v>-0.14000000000000001</v>
      </c>
      <c r="K19" s="433"/>
      <c r="L19" s="432"/>
      <c r="M19" s="433" t="s">
        <v>249</v>
      </c>
      <c r="N19" s="382">
        <v>-0.44999999999999996</v>
      </c>
      <c r="O19" s="383">
        <v>-0.42999999999999994</v>
      </c>
      <c r="P19" s="383">
        <v>-0.42</v>
      </c>
      <c r="Q19" s="384">
        <v>-0.39</v>
      </c>
      <c r="R19" s="384">
        <v>-0.38</v>
      </c>
      <c r="S19" s="393">
        <v>-0.39</v>
      </c>
      <c r="T19" s="393">
        <v>-0.38</v>
      </c>
      <c r="U19" s="394">
        <v>-0.17</v>
      </c>
      <c r="V19" s="433"/>
      <c r="W19" s="432"/>
      <c r="X19" s="433" t="s">
        <v>249</v>
      </c>
      <c r="Y19" s="382">
        <v>-0.53</v>
      </c>
      <c r="Z19" s="383">
        <v>-0.51</v>
      </c>
      <c r="AA19" s="383">
        <v>-0.5</v>
      </c>
      <c r="AB19" s="384">
        <v>-0.47</v>
      </c>
      <c r="AC19" s="384">
        <v>-0.46</v>
      </c>
      <c r="AD19" s="393">
        <v>-0.47</v>
      </c>
      <c r="AE19" s="393">
        <v>-0.46</v>
      </c>
      <c r="AF19" s="394">
        <v>-0.25</v>
      </c>
      <c r="AG19" s="433"/>
      <c r="AH19" s="432"/>
      <c r="AI19" s="433" t="s">
        <v>249</v>
      </c>
      <c r="AJ19" s="382">
        <v>-0.67</v>
      </c>
      <c r="AK19" s="383">
        <v>-0.68</v>
      </c>
      <c r="AL19" s="383">
        <v>-0.67</v>
      </c>
      <c r="AM19" s="384">
        <v>-0.65</v>
      </c>
      <c r="AN19" s="384">
        <v>-0.62</v>
      </c>
      <c r="AO19" s="393">
        <v>-0.55000000000000004</v>
      </c>
      <c r="AP19" s="393">
        <v>-0.54</v>
      </c>
      <c r="AQ19" s="394">
        <v>-0.33000000000000007</v>
      </c>
    </row>
    <row r="20" spans="1:43" ht="14.45" x14ac:dyDescent="0.3">
      <c r="A20" s="358"/>
      <c r="B20" t="s">
        <v>257</v>
      </c>
      <c r="C20" s="382">
        <v>-0.43</v>
      </c>
      <c r="D20" s="383">
        <v>-0.4</v>
      </c>
      <c r="E20" s="383">
        <v>-0.39</v>
      </c>
      <c r="F20" s="384">
        <v>-0.36</v>
      </c>
      <c r="G20" s="384">
        <v>-0.36</v>
      </c>
      <c r="H20" s="393">
        <v>-0.36</v>
      </c>
      <c r="I20" s="393">
        <v>-0.36</v>
      </c>
      <c r="J20" s="394">
        <v>-0.14000000000000001</v>
      </c>
      <c r="K20" s="433"/>
      <c r="L20" s="432"/>
      <c r="M20" s="433" t="s">
        <v>257</v>
      </c>
      <c r="N20" s="382">
        <v>-0.46</v>
      </c>
      <c r="O20" s="383">
        <v>-0.45</v>
      </c>
      <c r="P20" s="383">
        <v>-0.42</v>
      </c>
      <c r="Q20" s="384">
        <v>-0.4</v>
      </c>
      <c r="R20" s="384">
        <v>-0.38</v>
      </c>
      <c r="S20" s="393">
        <v>-0.39</v>
      </c>
      <c r="T20" s="393">
        <v>-0.39</v>
      </c>
      <c r="U20" s="394">
        <v>-0.17</v>
      </c>
      <c r="V20" s="433"/>
      <c r="W20" s="432"/>
      <c r="X20" s="433" t="s">
        <v>257</v>
      </c>
      <c r="Y20" s="382">
        <v>-0.54</v>
      </c>
      <c r="Z20" s="383">
        <v>-0.52</v>
      </c>
      <c r="AA20" s="383">
        <v>-0.5</v>
      </c>
      <c r="AB20" s="384">
        <v>-0.48</v>
      </c>
      <c r="AC20" s="384">
        <v>-0.46</v>
      </c>
      <c r="AD20" s="393">
        <v>-0.47</v>
      </c>
      <c r="AE20" s="393">
        <v>-0.47</v>
      </c>
      <c r="AF20" s="394">
        <v>-0.25</v>
      </c>
      <c r="AG20" s="433"/>
      <c r="AH20" s="432"/>
      <c r="AI20" s="433" t="s">
        <v>257</v>
      </c>
      <c r="AJ20" s="382">
        <v>-0.68</v>
      </c>
      <c r="AK20" s="383">
        <v>-0.67</v>
      </c>
      <c r="AL20" s="383">
        <v>-0.65</v>
      </c>
      <c r="AM20" s="384">
        <v>-0.63</v>
      </c>
      <c r="AN20" s="384">
        <v>-0.6</v>
      </c>
      <c r="AO20" s="393">
        <v>-0.57999999999999996</v>
      </c>
      <c r="AP20" s="393">
        <v>-0.55000000000000004</v>
      </c>
      <c r="AQ20" s="394">
        <v>-0.33000000000000007</v>
      </c>
    </row>
    <row r="21" spans="1:43" ht="14.45" x14ac:dyDescent="0.3">
      <c r="A21" s="358"/>
      <c r="B21" t="s">
        <v>264</v>
      </c>
      <c r="C21" s="385">
        <v>-0.44</v>
      </c>
      <c r="D21" s="386">
        <v>-0.43</v>
      </c>
      <c r="E21" s="386">
        <v>-0.41999999999999993</v>
      </c>
      <c r="F21" s="387">
        <v>-0.4</v>
      </c>
      <c r="G21" s="387">
        <v>-0.4</v>
      </c>
      <c r="H21" s="441">
        <v>-0.39</v>
      </c>
      <c r="I21" s="441">
        <v>-0.4</v>
      </c>
      <c r="J21" s="442">
        <v>-0.19</v>
      </c>
      <c r="K21" s="433"/>
      <c r="L21" s="432"/>
      <c r="M21" s="433" t="s">
        <v>264</v>
      </c>
      <c r="N21" s="385">
        <v>-0.46999999999999992</v>
      </c>
      <c r="O21" s="386">
        <v>-0.45999999999999991</v>
      </c>
      <c r="P21" s="386">
        <v>-0.44999999999999996</v>
      </c>
      <c r="Q21" s="387">
        <v>-0.43</v>
      </c>
      <c r="R21" s="387">
        <v>-0.43</v>
      </c>
      <c r="S21" s="441">
        <v>-0.41</v>
      </c>
      <c r="T21" s="441">
        <v>-0.42</v>
      </c>
      <c r="U21" s="442">
        <v>-0.21</v>
      </c>
      <c r="V21" s="433"/>
      <c r="W21" s="432"/>
      <c r="X21" s="433" t="s">
        <v>264</v>
      </c>
      <c r="Y21" s="385">
        <v>-0.55000000000000004</v>
      </c>
      <c r="Z21" s="386">
        <v>-0.54</v>
      </c>
      <c r="AA21" s="386">
        <v>-0.53</v>
      </c>
      <c r="AB21" s="387">
        <v>-0.52</v>
      </c>
      <c r="AC21" s="387">
        <v>-0.51</v>
      </c>
      <c r="AD21" s="441">
        <v>-0.5</v>
      </c>
      <c r="AE21" s="441">
        <v>-0.51</v>
      </c>
      <c r="AF21" s="442">
        <v>-0.3</v>
      </c>
      <c r="AG21" s="433"/>
      <c r="AH21" s="432"/>
      <c r="AI21" s="433" t="s">
        <v>264</v>
      </c>
      <c r="AJ21" s="385">
        <v>-0.69</v>
      </c>
      <c r="AK21" s="386">
        <v>-0.68</v>
      </c>
      <c r="AL21" s="386">
        <v>-0.67</v>
      </c>
      <c r="AM21" s="387">
        <v>-0.66</v>
      </c>
      <c r="AN21" s="387">
        <v>-0.64</v>
      </c>
      <c r="AO21" s="441">
        <v>-0.62</v>
      </c>
      <c r="AP21" s="441">
        <v>-0.57999999999999996</v>
      </c>
      <c r="AQ21" s="442">
        <v>-0.38</v>
      </c>
    </row>
    <row r="22" spans="1:43" ht="14.45" x14ac:dyDescent="0.3">
      <c r="A22" s="358"/>
      <c r="B22" t="s">
        <v>272</v>
      </c>
      <c r="C22" s="385">
        <v>-0.43</v>
      </c>
      <c r="D22" s="386">
        <v>-0.41</v>
      </c>
      <c r="E22" s="386">
        <v>-0.4</v>
      </c>
      <c r="F22" s="387">
        <v>-0.38</v>
      </c>
      <c r="G22" s="387">
        <v>-0.37</v>
      </c>
      <c r="H22" s="441">
        <v>-0.37</v>
      </c>
      <c r="I22" s="441">
        <v>-0.35</v>
      </c>
      <c r="J22" s="442">
        <v>-0.19</v>
      </c>
      <c r="K22" s="433"/>
      <c r="L22" s="432"/>
      <c r="M22" s="433" t="s">
        <v>272</v>
      </c>
      <c r="N22" s="385">
        <v>-0.45999999999999991</v>
      </c>
      <c r="O22" s="386">
        <v>-0.44</v>
      </c>
      <c r="P22" s="386">
        <v>-0.43</v>
      </c>
      <c r="Q22" s="387">
        <v>-0.41</v>
      </c>
      <c r="R22" s="387">
        <v>-0.4</v>
      </c>
      <c r="S22" s="441">
        <v>-0.39</v>
      </c>
      <c r="T22" s="441">
        <v>-0.37000000000000005</v>
      </c>
      <c r="U22" s="442">
        <v>-0.21</v>
      </c>
      <c r="V22" s="433"/>
      <c r="W22" s="432"/>
      <c r="X22" s="433" t="s">
        <v>272</v>
      </c>
      <c r="Y22" s="385">
        <v>-0.54</v>
      </c>
      <c r="Z22" s="386">
        <v>-0.52</v>
      </c>
      <c r="AA22" s="386">
        <v>-0.51</v>
      </c>
      <c r="AB22" s="387">
        <v>-0.49</v>
      </c>
      <c r="AC22" s="387">
        <v>-0.47999999999999993</v>
      </c>
      <c r="AD22" s="441">
        <v>-0.47999999999999993</v>
      </c>
      <c r="AE22" s="441">
        <v>-0.46000000000000008</v>
      </c>
      <c r="AF22" s="442">
        <v>-0.3</v>
      </c>
      <c r="AG22" s="433"/>
      <c r="AH22" s="432"/>
      <c r="AI22" s="433" t="s">
        <v>272</v>
      </c>
      <c r="AJ22" s="385">
        <v>-0.66</v>
      </c>
      <c r="AK22" s="386">
        <v>-0.64</v>
      </c>
      <c r="AL22" s="386">
        <v>-0.63</v>
      </c>
      <c r="AM22" s="387">
        <v>-0.61</v>
      </c>
      <c r="AN22" s="387">
        <v>-0.6</v>
      </c>
      <c r="AO22" s="441">
        <v>-0.57999999999999996</v>
      </c>
      <c r="AP22" s="441">
        <v>-0.55000000000000004</v>
      </c>
      <c r="AQ22" s="442">
        <v>-0.37</v>
      </c>
    </row>
    <row r="23" spans="1:43" ht="14.45" x14ac:dyDescent="0.3">
      <c r="A23" s="358"/>
      <c r="B23" t="s">
        <v>278</v>
      </c>
      <c r="C23" s="385">
        <v>-0.43</v>
      </c>
      <c r="D23" s="386">
        <v>-0.41</v>
      </c>
      <c r="E23" s="386">
        <v>-0.4</v>
      </c>
      <c r="F23" s="387">
        <v>-0.37</v>
      </c>
      <c r="G23" s="387">
        <v>-0.35999999999999993</v>
      </c>
      <c r="H23" s="441">
        <v>-0.38</v>
      </c>
      <c r="I23" s="441">
        <v>-0.34</v>
      </c>
      <c r="J23" s="442">
        <v>-0.19</v>
      </c>
      <c r="K23" s="433"/>
      <c r="L23" s="432"/>
      <c r="M23" s="433" t="s">
        <v>278</v>
      </c>
      <c r="N23" s="385">
        <v>-0.45999999999999991</v>
      </c>
      <c r="O23" s="386">
        <v>-0.44</v>
      </c>
      <c r="P23" s="386">
        <v>-0.45</v>
      </c>
      <c r="Q23" s="387">
        <v>-0.42</v>
      </c>
      <c r="R23" s="387">
        <v>-0.39</v>
      </c>
      <c r="S23" s="441">
        <v>-0.4</v>
      </c>
      <c r="T23" s="441">
        <v>-0.3600000000000001</v>
      </c>
      <c r="U23" s="442">
        <v>-0.21</v>
      </c>
      <c r="V23" s="433"/>
      <c r="W23" s="432"/>
      <c r="X23" s="433" t="s">
        <v>278</v>
      </c>
      <c r="Y23" s="385">
        <v>-0.54</v>
      </c>
      <c r="Z23" s="386">
        <v>-0.52</v>
      </c>
      <c r="AA23" s="386">
        <v>-0.51</v>
      </c>
      <c r="AB23" s="387">
        <v>-0.49</v>
      </c>
      <c r="AC23" s="387">
        <v>-0.46999999999999992</v>
      </c>
      <c r="AD23" s="441">
        <v>-0.49</v>
      </c>
      <c r="AE23" s="441">
        <v>-0.48</v>
      </c>
      <c r="AF23" s="442">
        <v>-0.36</v>
      </c>
      <c r="AG23" s="433"/>
      <c r="AH23" s="432"/>
      <c r="AI23" s="433" t="s">
        <v>278</v>
      </c>
      <c r="AJ23" s="385">
        <v>-0.66</v>
      </c>
      <c r="AK23" s="386">
        <v>-0.65</v>
      </c>
      <c r="AL23" s="386">
        <v>-0.66</v>
      </c>
      <c r="AM23" s="387">
        <v>-0.65</v>
      </c>
      <c r="AN23" s="387">
        <v>-0.66</v>
      </c>
      <c r="AO23" s="441">
        <v>-0.65</v>
      </c>
      <c r="AP23" s="441">
        <v>-0.64</v>
      </c>
      <c r="AQ23" s="442">
        <v>-0.56000000000000005</v>
      </c>
    </row>
    <row r="24" spans="1:43" ht="14.45" x14ac:dyDescent="0.3">
      <c r="A24" s="358"/>
      <c r="B24" t="s">
        <v>284</v>
      </c>
      <c r="C24" s="388">
        <v>-0.43</v>
      </c>
      <c r="D24" s="389">
        <v>-0.4</v>
      </c>
      <c r="E24" s="389">
        <v>-0.39</v>
      </c>
      <c r="F24" s="390">
        <v>-0.37</v>
      </c>
      <c r="G24" s="390">
        <v>-0.35999999999999993</v>
      </c>
      <c r="H24" s="443">
        <v>-0.37</v>
      </c>
      <c r="I24" s="443">
        <v>-0.35999999999999993</v>
      </c>
      <c r="J24" s="444">
        <v>-0.21</v>
      </c>
      <c r="K24" s="433"/>
      <c r="L24" s="432"/>
      <c r="M24" s="433" t="s">
        <v>284</v>
      </c>
      <c r="N24" s="388">
        <v>-0.45999999999999991</v>
      </c>
      <c r="O24" s="389">
        <v>-0.44</v>
      </c>
      <c r="P24" s="389">
        <v>-0.45</v>
      </c>
      <c r="Q24" s="390">
        <v>-0.43</v>
      </c>
      <c r="R24" s="390">
        <v>-0.41</v>
      </c>
      <c r="S24" s="443">
        <v>-0.39</v>
      </c>
      <c r="T24" s="443">
        <v>-0.38</v>
      </c>
      <c r="U24" s="444">
        <v>-0.24</v>
      </c>
      <c r="V24" s="433"/>
      <c r="W24" s="432"/>
      <c r="X24" s="433" t="s">
        <v>284</v>
      </c>
      <c r="Y24" s="388">
        <v>-0.54</v>
      </c>
      <c r="Z24" s="389">
        <v>-0.52</v>
      </c>
      <c r="AA24" s="389">
        <v>-0.51</v>
      </c>
      <c r="AB24" s="390">
        <v>-0.47999999999999993</v>
      </c>
      <c r="AC24" s="390">
        <v>-0.46999999999999992</v>
      </c>
      <c r="AD24" s="443">
        <v>-0.47999999999999993</v>
      </c>
      <c r="AE24" s="443">
        <v>-0.46999999999999992</v>
      </c>
      <c r="AF24" s="444">
        <v>-0.35</v>
      </c>
      <c r="AG24" s="433"/>
      <c r="AH24" s="432"/>
      <c r="AI24" s="433" t="s">
        <v>284</v>
      </c>
      <c r="AJ24" s="388">
        <v>-0.65</v>
      </c>
      <c r="AK24" s="389">
        <v>-0.64</v>
      </c>
      <c r="AL24" s="389">
        <v>-0.64</v>
      </c>
      <c r="AM24" s="390">
        <v>-0.63</v>
      </c>
      <c r="AN24" s="390">
        <v>-0.62</v>
      </c>
      <c r="AO24" s="443">
        <v>-0.61</v>
      </c>
      <c r="AP24" s="443">
        <v>-0.59</v>
      </c>
      <c r="AQ24" s="444">
        <v>-0.5</v>
      </c>
    </row>
    <row r="25" spans="1:43" ht="14.45" x14ac:dyDescent="0.3">
      <c r="A25" s="358"/>
      <c r="C25" s="433"/>
      <c r="D25" s="433"/>
      <c r="E25" s="433"/>
      <c r="F25" s="433"/>
      <c r="G25" s="433"/>
      <c r="H25" s="433"/>
      <c r="I25" s="433"/>
      <c r="J25" s="433"/>
      <c r="K25" s="433"/>
      <c r="L25" s="432"/>
      <c r="M25" s="433"/>
      <c r="N25" s="433"/>
      <c r="O25" s="433"/>
      <c r="P25" s="433"/>
      <c r="Q25" s="433"/>
      <c r="R25" s="433"/>
      <c r="S25" s="433"/>
      <c r="T25" s="433"/>
      <c r="U25" s="433"/>
      <c r="V25" s="433"/>
      <c r="W25" s="432"/>
      <c r="X25" s="433"/>
      <c r="Y25" s="433"/>
      <c r="Z25" s="433"/>
      <c r="AA25" s="433"/>
      <c r="AB25" s="433"/>
      <c r="AC25" s="433"/>
      <c r="AD25" s="433"/>
      <c r="AE25" s="433"/>
      <c r="AF25" s="433"/>
      <c r="AG25" s="433"/>
      <c r="AH25" s="432"/>
      <c r="AI25" s="433"/>
      <c r="AJ25" s="433"/>
      <c r="AK25" s="433"/>
      <c r="AL25" s="433"/>
      <c r="AM25" s="433"/>
      <c r="AN25" s="433"/>
      <c r="AO25" s="433"/>
      <c r="AP25" s="433"/>
      <c r="AQ25" s="433"/>
    </row>
    <row r="26" spans="1:43" ht="14.45" x14ac:dyDescent="0.3">
      <c r="A26" s="357" t="s">
        <v>325</v>
      </c>
      <c r="C26" s="431" t="s">
        <v>187</v>
      </c>
      <c r="D26" s="431" t="s">
        <v>214</v>
      </c>
      <c r="E26" s="431" t="s">
        <v>233</v>
      </c>
      <c r="F26" s="431" t="s">
        <v>242</v>
      </c>
      <c r="G26" s="431" t="s">
        <v>250</v>
      </c>
      <c r="H26" s="431" t="s">
        <v>258</v>
      </c>
      <c r="I26" s="431" t="s">
        <v>265</v>
      </c>
      <c r="J26" s="431" t="s">
        <v>279</v>
      </c>
      <c r="K26" s="431"/>
      <c r="L26" s="430" t="s">
        <v>326</v>
      </c>
      <c r="M26" s="431"/>
      <c r="N26" s="431" t="s">
        <v>187</v>
      </c>
      <c r="O26" s="431" t="s">
        <v>214</v>
      </c>
      <c r="P26" s="431" t="s">
        <v>233</v>
      </c>
      <c r="Q26" s="431" t="s">
        <v>242</v>
      </c>
      <c r="R26" s="431" t="s">
        <v>250</v>
      </c>
      <c r="S26" s="431" t="s">
        <v>258</v>
      </c>
      <c r="T26" s="431" t="s">
        <v>265</v>
      </c>
      <c r="U26" s="431" t="s">
        <v>279</v>
      </c>
      <c r="V26" s="431"/>
      <c r="W26" s="430" t="s">
        <v>327</v>
      </c>
      <c r="X26" s="431"/>
      <c r="Y26" s="431" t="s">
        <v>187</v>
      </c>
      <c r="Z26" s="431" t="s">
        <v>214</v>
      </c>
      <c r="AA26" s="431" t="s">
        <v>233</v>
      </c>
      <c r="AB26" s="431" t="s">
        <v>242</v>
      </c>
      <c r="AC26" s="431" t="s">
        <v>250</v>
      </c>
      <c r="AD26" s="431" t="s">
        <v>258</v>
      </c>
      <c r="AE26" s="431" t="s">
        <v>265</v>
      </c>
      <c r="AF26" s="431" t="s">
        <v>279</v>
      </c>
      <c r="AG26" s="431"/>
      <c r="AH26" s="430" t="s">
        <v>328</v>
      </c>
      <c r="AI26" s="433"/>
      <c r="AJ26" s="431" t="s">
        <v>187</v>
      </c>
      <c r="AK26" s="431" t="s">
        <v>214</v>
      </c>
      <c r="AL26" s="431" t="s">
        <v>233</v>
      </c>
      <c r="AM26" s="431" t="s">
        <v>242</v>
      </c>
      <c r="AN26" s="431" t="s">
        <v>250</v>
      </c>
      <c r="AO26" s="431" t="s">
        <v>258</v>
      </c>
      <c r="AP26" s="431" t="s">
        <v>265</v>
      </c>
      <c r="AQ26" s="431" t="s">
        <v>279</v>
      </c>
    </row>
    <row r="27" spans="1:43" x14ac:dyDescent="0.25">
      <c r="A27" s="358"/>
      <c r="B27" t="s">
        <v>186</v>
      </c>
      <c r="C27" s="368">
        <v>-0.52</v>
      </c>
      <c r="D27" s="440">
        <v>-0.52</v>
      </c>
      <c r="E27" s="369">
        <v>-0.52</v>
      </c>
      <c r="F27" s="370">
        <v>-0.49</v>
      </c>
      <c r="G27" s="370">
        <v>-0.47</v>
      </c>
      <c r="H27" s="371">
        <v>-0.48</v>
      </c>
      <c r="I27" s="371">
        <v>-0.47</v>
      </c>
      <c r="J27" s="372">
        <v>-0.3</v>
      </c>
      <c r="K27" s="433"/>
      <c r="L27" s="432"/>
      <c r="M27" s="433" t="s">
        <v>186</v>
      </c>
      <c r="N27" s="368">
        <v>-0.55000000000000004</v>
      </c>
      <c r="O27" s="440">
        <v>-0.56000000000000005</v>
      </c>
      <c r="P27" s="369">
        <v>-0.56000000000000005</v>
      </c>
      <c r="Q27" s="370">
        <v>-0.52</v>
      </c>
      <c r="R27" s="370">
        <v>-0.5</v>
      </c>
      <c r="S27" s="371">
        <v>-0.51</v>
      </c>
      <c r="T27" s="371">
        <v>-0.5</v>
      </c>
      <c r="U27" s="372">
        <v>-0.3299999999999999</v>
      </c>
      <c r="V27" s="433"/>
      <c r="W27" s="432"/>
      <c r="X27" s="433" t="s">
        <v>186</v>
      </c>
      <c r="Y27" s="368">
        <v>-0.60000000000000009</v>
      </c>
      <c r="Z27" s="440">
        <v>-0.6100000000000001</v>
      </c>
      <c r="AA27" s="369">
        <v>-0.6100000000000001</v>
      </c>
      <c r="AB27" s="370">
        <v>-0.57999999999999996</v>
      </c>
      <c r="AC27" s="370">
        <v>-0.55000000000000004</v>
      </c>
      <c r="AD27" s="371">
        <v>-0.56000000000000005</v>
      </c>
      <c r="AE27" s="371">
        <v>-0.55000000000000004</v>
      </c>
      <c r="AF27" s="372">
        <v>-0.37999999999999995</v>
      </c>
      <c r="AG27" s="433"/>
      <c r="AH27" s="432"/>
      <c r="AI27" s="433" t="s">
        <v>186</v>
      </c>
      <c r="AJ27" s="368">
        <v>-0.68</v>
      </c>
      <c r="AK27" s="440">
        <v>-0.69</v>
      </c>
      <c r="AL27" s="369">
        <v>-0.69</v>
      </c>
      <c r="AM27" s="370">
        <v>-0.67</v>
      </c>
      <c r="AN27" s="370">
        <v>-0.65</v>
      </c>
      <c r="AO27" s="371">
        <v>-0.6100000000000001</v>
      </c>
      <c r="AP27" s="371">
        <v>-0.60000000000000009</v>
      </c>
      <c r="AQ27" s="372">
        <v>-0.42999999999999994</v>
      </c>
    </row>
    <row r="28" spans="1:43" x14ac:dyDescent="0.25">
      <c r="A28" s="358"/>
      <c r="B28" t="s">
        <v>213</v>
      </c>
      <c r="C28" s="373">
        <v>-0.54</v>
      </c>
      <c r="D28" s="374">
        <v>-0.52</v>
      </c>
      <c r="E28" s="375">
        <v>-0.49</v>
      </c>
      <c r="F28" s="376">
        <v>-0.48</v>
      </c>
      <c r="G28" s="376">
        <v>-0.49</v>
      </c>
      <c r="H28" s="377">
        <v>-0.48</v>
      </c>
      <c r="I28" s="377">
        <v>-0.49</v>
      </c>
      <c r="J28" s="378">
        <v>-0.3</v>
      </c>
      <c r="K28" s="433"/>
      <c r="L28" s="432"/>
      <c r="M28" s="433" t="s">
        <v>213</v>
      </c>
      <c r="N28" s="373">
        <v>-0.58000000000000007</v>
      </c>
      <c r="O28" s="374">
        <v>-0.56000000000000005</v>
      </c>
      <c r="P28" s="375">
        <v>-0.53</v>
      </c>
      <c r="Q28" s="376">
        <v>-0.51</v>
      </c>
      <c r="R28" s="376">
        <v>-0.52</v>
      </c>
      <c r="S28" s="377">
        <v>-0.51</v>
      </c>
      <c r="T28" s="377">
        <v>-0.52</v>
      </c>
      <c r="U28" s="378">
        <v>-0.3299999999999999</v>
      </c>
      <c r="V28" s="433"/>
      <c r="W28" s="432"/>
      <c r="X28" s="433" t="s">
        <v>213</v>
      </c>
      <c r="Y28" s="373">
        <v>-0.63000000000000012</v>
      </c>
      <c r="Z28" s="374">
        <v>-0.6100000000000001</v>
      </c>
      <c r="AA28" s="375">
        <v>-0.58000000000000007</v>
      </c>
      <c r="AB28" s="376">
        <v>-0.56000000000000005</v>
      </c>
      <c r="AC28" s="376">
        <v>-0.57000000000000006</v>
      </c>
      <c r="AD28" s="377">
        <v>-0.56000000000000005</v>
      </c>
      <c r="AE28" s="377">
        <v>-0.57000000000000006</v>
      </c>
      <c r="AF28" s="378">
        <v>-0.37999999999999995</v>
      </c>
      <c r="AG28" s="433"/>
      <c r="AH28" s="432"/>
      <c r="AI28" s="433" t="s">
        <v>213</v>
      </c>
      <c r="AJ28" s="373">
        <v>-0.71</v>
      </c>
      <c r="AK28" s="374">
        <v>-0.69</v>
      </c>
      <c r="AL28" s="375">
        <v>-0.67</v>
      </c>
      <c r="AM28" s="376">
        <v>-0.64</v>
      </c>
      <c r="AN28" s="376">
        <v>-0.62000000000000011</v>
      </c>
      <c r="AO28" s="377">
        <v>-0.6100000000000001</v>
      </c>
      <c r="AP28" s="377">
        <v>-0.62000000000000011</v>
      </c>
      <c r="AQ28" s="378">
        <v>-0.42999999999999994</v>
      </c>
    </row>
    <row r="29" spans="1:43" x14ac:dyDescent="0.25">
      <c r="A29" s="358"/>
      <c r="B29" t="s">
        <v>232</v>
      </c>
      <c r="C29" s="379">
        <v>-0.53</v>
      </c>
      <c r="D29" s="380">
        <v>-0.51</v>
      </c>
      <c r="E29" s="381">
        <v>-0.5</v>
      </c>
      <c r="F29" s="376">
        <v>-0.48</v>
      </c>
      <c r="G29" s="376">
        <v>-0.47</v>
      </c>
      <c r="H29" s="377">
        <v>-0.48</v>
      </c>
      <c r="I29" s="377">
        <v>-0.47</v>
      </c>
      <c r="J29" s="378">
        <v>-0.3</v>
      </c>
      <c r="K29" s="433"/>
      <c r="L29" s="432"/>
      <c r="M29" s="433" t="s">
        <v>232</v>
      </c>
      <c r="N29" s="379">
        <v>-0.57000000000000006</v>
      </c>
      <c r="O29" s="380">
        <v>-0.55000000000000004</v>
      </c>
      <c r="P29" s="381">
        <v>-0.54</v>
      </c>
      <c r="Q29" s="376">
        <v>-0.51</v>
      </c>
      <c r="R29" s="376">
        <v>-0.5</v>
      </c>
      <c r="S29" s="377">
        <v>-0.51</v>
      </c>
      <c r="T29" s="377">
        <v>-0.5</v>
      </c>
      <c r="U29" s="378">
        <v>-0.3299999999999999</v>
      </c>
      <c r="V29" s="433"/>
      <c r="W29" s="432"/>
      <c r="X29" s="433" t="s">
        <v>232</v>
      </c>
      <c r="Y29" s="379">
        <v>-0.62000000000000011</v>
      </c>
      <c r="Z29" s="380">
        <v>-0.60000000000000009</v>
      </c>
      <c r="AA29" s="381">
        <v>-0.59000000000000008</v>
      </c>
      <c r="AB29" s="376">
        <v>-0.56000000000000005</v>
      </c>
      <c r="AC29" s="376">
        <v>-0.55000000000000004</v>
      </c>
      <c r="AD29" s="377">
        <v>-0.56000000000000005</v>
      </c>
      <c r="AE29" s="377">
        <v>-0.57999999999999996</v>
      </c>
      <c r="AF29" s="378">
        <v>-0.37999999999999995</v>
      </c>
      <c r="AG29" s="433"/>
      <c r="AH29" s="432"/>
      <c r="AI29" s="433" t="s">
        <v>232</v>
      </c>
      <c r="AJ29" s="379">
        <v>-0.7</v>
      </c>
      <c r="AK29" s="380">
        <v>-0.68</v>
      </c>
      <c r="AL29" s="381">
        <v>-0.67</v>
      </c>
      <c r="AM29" s="376">
        <v>-0.65</v>
      </c>
      <c r="AN29" s="376">
        <v>-0.60000000000000009</v>
      </c>
      <c r="AO29" s="377">
        <v>-0.6100000000000001</v>
      </c>
      <c r="AP29" s="377">
        <v>-0.62</v>
      </c>
      <c r="AQ29" s="378">
        <v>-0.42999999999999994</v>
      </c>
    </row>
    <row r="30" spans="1:43" x14ac:dyDescent="0.25">
      <c r="A30" s="358"/>
      <c r="B30" t="s">
        <v>215</v>
      </c>
      <c r="C30" s="382">
        <v>-0.52</v>
      </c>
      <c r="D30" s="383">
        <v>-0.5</v>
      </c>
      <c r="E30" s="383">
        <v>-0.5</v>
      </c>
      <c r="F30" s="384">
        <v>-0.47</v>
      </c>
      <c r="G30" s="384">
        <v>-0.46</v>
      </c>
      <c r="H30" s="393">
        <v>-0.46</v>
      </c>
      <c r="I30" s="393">
        <v>-0.45</v>
      </c>
      <c r="J30" s="394">
        <v>-0.28000000000000003</v>
      </c>
      <c r="K30" s="433"/>
      <c r="L30" s="432"/>
      <c r="M30" s="433" t="s">
        <v>215</v>
      </c>
      <c r="N30" s="382">
        <v>-0.55000000000000004</v>
      </c>
      <c r="O30" s="383">
        <v>-0.53</v>
      </c>
      <c r="P30" s="383">
        <v>-0.53</v>
      </c>
      <c r="Q30" s="384">
        <v>-0.5</v>
      </c>
      <c r="R30" s="384">
        <v>-0.49</v>
      </c>
      <c r="S30" s="393">
        <v>-0.49</v>
      </c>
      <c r="T30" s="393">
        <v>-0.48</v>
      </c>
      <c r="U30" s="394">
        <v>-0.31</v>
      </c>
      <c r="V30" s="433"/>
      <c r="W30" s="432"/>
      <c r="X30" s="433" t="s">
        <v>215</v>
      </c>
      <c r="Y30" s="382">
        <v>-0.59000000000000008</v>
      </c>
      <c r="Z30" s="383">
        <v>-0.57000000000000006</v>
      </c>
      <c r="AA30" s="383">
        <v>-0.57000000000000006</v>
      </c>
      <c r="AB30" s="384">
        <v>-0.54</v>
      </c>
      <c r="AC30" s="384">
        <v>-0.53</v>
      </c>
      <c r="AD30" s="393">
        <v>-0.53</v>
      </c>
      <c r="AE30" s="393">
        <v>-0.56000000000000005</v>
      </c>
      <c r="AF30" s="394">
        <v>-0.38</v>
      </c>
      <c r="AG30" s="433"/>
      <c r="AH30" s="432"/>
      <c r="AI30" s="433" t="s">
        <v>215</v>
      </c>
      <c r="AJ30" s="382">
        <v>-0.69</v>
      </c>
      <c r="AK30" s="383">
        <v>-0.68</v>
      </c>
      <c r="AL30" s="383">
        <v>-0.67</v>
      </c>
      <c r="AM30" s="384">
        <v>-0.66</v>
      </c>
      <c r="AN30" s="384">
        <v>-0.64</v>
      </c>
      <c r="AO30" s="393">
        <v>-0.6</v>
      </c>
      <c r="AP30" s="393">
        <v>-0.6</v>
      </c>
      <c r="AQ30" s="394">
        <v>-0.42</v>
      </c>
    </row>
    <row r="31" spans="1:43" x14ac:dyDescent="0.25">
      <c r="A31" s="358"/>
      <c r="B31" t="s">
        <v>249</v>
      </c>
      <c r="C31" s="382">
        <v>-0.52</v>
      </c>
      <c r="D31" s="383">
        <v>-0.5</v>
      </c>
      <c r="E31" s="383">
        <v>-0.49</v>
      </c>
      <c r="F31" s="384">
        <v>-0.47</v>
      </c>
      <c r="G31" s="384">
        <v>-0.46</v>
      </c>
      <c r="H31" s="393">
        <v>-0.45</v>
      </c>
      <c r="I31" s="393">
        <v>-0.44</v>
      </c>
      <c r="J31" s="394">
        <v>-0.25</v>
      </c>
      <c r="K31" s="433"/>
      <c r="L31" s="432"/>
      <c r="M31" s="433" t="s">
        <v>249</v>
      </c>
      <c r="N31" s="382">
        <v>-0.55000000000000004</v>
      </c>
      <c r="O31" s="383">
        <v>-0.53</v>
      </c>
      <c r="P31" s="383">
        <v>-0.52</v>
      </c>
      <c r="Q31" s="384">
        <v>-0.5</v>
      </c>
      <c r="R31" s="384">
        <v>-0.49</v>
      </c>
      <c r="S31" s="393">
        <v>-0.48</v>
      </c>
      <c r="T31" s="393">
        <v>-0.47</v>
      </c>
      <c r="U31" s="394">
        <v>-0.28000000000000003</v>
      </c>
      <c r="V31" s="433"/>
      <c r="W31" s="432"/>
      <c r="X31" s="433" t="s">
        <v>249</v>
      </c>
      <c r="Y31" s="382">
        <v>-0.59000000000000008</v>
      </c>
      <c r="Z31" s="383">
        <v>-0.57000000000000006</v>
      </c>
      <c r="AA31" s="383">
        <v>-0.56000000000000005</v>
      </c>
      <c r="AB31" s="384">
        <v>-0.54</v>
      </c>
      <c r="AC31" s="384">
        <v>-0.53</v>
      </c>
      <c r="AD31" s="393">
        <v>-0.52</v>
      </c>
      <c r="AE31" s="393">
        <v>-0.51</v>
      </c>
      <c r="AF31" s="394">
        <v>-0.34</v>
      </c>
      <c r="AG31" s="433"/>
      <c r="AH31" s="432"/>
      <c r="AI31" s="433" t="s">
        <v>249</v>
      </c>
      <c r="AJ31" s="382">
        <v>-0.69</v>
      </c>
      <c r="AK31" s="383">
        <v>-0.7</v>
      </c>
      <c r="AL31" s="383">
        <v>-0.69</v>
      </c>
      <c r="AM31" s="384">
        <v>-0.67</v>
      </c>
      <c r="AN31" s="384">
        <v>-0.65</v>
      </c>
      <c r="AO31" s="393">
        <v>-0.59</v>
      </c>
      <c r="AP31" s="393">
        <v>-0.55000000000000004</v>
      </c>
      <c r="AQ31" s="394">
        <v>-0.39</v>
      </c>
    </row>
    <row r="32" spans="1:43" x14ac:dyDescent="0.25">
      <c r="A32" s="358"/>
      <c r="B32" t="s">
        <v>257</v>
      </c>
      <c r="C32" s="382">
        <v>-0.53</v>
      </c>
      <c r="D32" s="383">
        <v>-0.51</v>
      </c>
      <c r="E32" s="383">
        <v>-0.49</v>
      </c>
      <c r="F32" s="384">
        <v>-0.46</v>
      </c>
      <c r="G32" s="384">
        <v>-0.46</v>
      </c>
      <c r="H32" s="393">
        <v>-0.45</v>
      </c>
      <c r="I32" s="393">
        <v>-0.45</v>
      </c>
      <c r="J32" s="394">
        <v>-0.23</v>
      </c>
      <c r="K32" s="433"/>
      <c r="L32" s="432"/>
      <c r="M32" s="433" t="s">
        <v>257</v>
      </c>
      <c r="N32" s="382">
        <v>-0.56000000000000005</v>
      </c>
      <c r="O32" s="383">
        <v>-0.57999999999999996</v>
      </c>
      <c r="P32" s="383">
        <v>-0.56000000000000005</v>
      </c>
      <c r="Q32" s="384">
        <v>-0.53</v>
      </c>
      <c r="R32" s="384">
        <v>-0.5</v>
      </c>
      <c r="S32" s="393">
        <v>-0.48</v>
      </c>
      <c r="T32" s="393">
        <v>-0.48</v>
      </c>
      <c r="U32" s="394">
        <v>-0.26</v>
      </c>
      <c r="V32" s="433"/>
      <c r="W32" s="432"/>
      <c r="X32" s="433" t="s">
        <v>257</v>
      </c>
      <c r="Y32" s="382">
        <v>-0.60000000000000009</v>
      </c>
      <c r="Z32" s="383">
        <v>-0.6</v>
      </c>
      <c r="AA32" s="383">
        <v>-0.57999999999999996</v>
      </c>
      <c r="AB32" s="384">
        <v>-0.56000000000000005</v>
      </c>
      <c r="AC32" s="384">
        <v>-0.53</v>
      </c>
      <c r="AD32" s="393">
        <v>-0.52</v>
      </c>
      <c r="AE32" s="393">
        <v>-0.52</v>
      </c>
      <c r="AF32" s="394">
        <v>-0.3</v>
      </c>
      <c r="AG32" s="433"/>
      <c r="AH32" s="432"/>
      <c r="AI32" s="433" t="s">
        <v>257</v>
      </c>
      <c r="AJ32" s="382">
        <v>-0.69</v>
      </c>
      <c r="AK32" s="383">
        <v>-0.69</v>
      </c>
      <c r="AL32" s="383">
        <v>-0.68</v>
      </c>
      <c r="AM32" s="384">
        <v>-0.66</v>
      </c>
      <c r="AN32" s="384">
        <v>-0.64</v>
      </c>
      <c r="AO32" s="393">
        <v>-0.62</v>
      </c>
      <c r="AP32" s="393">
        <v>-0.56000000000000005</v>
      </c>
      <c r="AQ32" s="394">
        <v>-0.35</v>
      </c>
    </row>
    <row r="33" spans="1:43" x14ac:dyDescent="0.25">
      <c r="A33" s="358"/>
      <c r="B33" t="s">
        <v>264</v>
      </c>
      <c r="C33" s="385">
        <v>-0.53</v>
      </c>
      <c r="D33" s="386">
        <v>-0.52</v>
      </c>
      <c r="E33" s="386">
        <v>-0.51</v>
      </c>
      <c r="F33" s="387">
        <v>-0.5</v>
      </c>
      <c r="G33" s="387">
        <v>-0.48</v>
      </c>
      <c r="H33" s="441">
        <v>-0.47</v>
      </c>
      <c r="I33" s="441">
        <v>-0.48</v>
      </c>
      <c r="J33" s="442">
        <v>-0.27</v>
      </c>
      <c r="K33" s="433"/>
      <c r="L33" s="432"/>
      <c r="M33" s="433" t="s">
        <v>264</v>
      </c>
      <c r="N33" s="385">
        <v>-0.56000000000000005</v>
      </c>
      <c r="O33" s="386">
        <v>-0.55000000000000004</v>
      </c>
      <c r="P33" s="386">
        <v>-0.54</v>
      </c>
      <c r="Q33" s="387">
        <v>-0.53</v>
      </c>
      <c r="R33" s="387">
        <v>-0.51</v>
      </c>
      <c r="S33" s="441">
        <v>-0.5</v>
      </c>
      <c r="T33" s="441">
        <v>-0.51</v>
      </c>
      <c r="U33" s="442">
        <v>-0.3</v>
      </c>
      <c r="V33" s="433"/>
      <c r="W33" s="432"/>
      <c r="X33" s="433" t="s">
        <v>264</v>
      </c>
      <c r="Y33" s="385">
        <v>-0.60000000000000009</v>
      </c>
      <c r="Z33" s="386">
        <v>-0.59000000000000008</v>
      </c>
      <c r="AA33" s="386">
        <v>-0.58000000000000007</v>
      </c>
      <c r="AB33" s="387">
        <v>-0.57999999999999996</v>
      </c>
      <c r="AC33" s="387">
        <v>-0.56000000000000005</v>
      </c>
      <c r="AD33" s="441">
        <v>-0.54</v>
      </c>
      <c r="AE33" s="441">
        <v>-0.55000000000000004</v>
      </c>
      <c r="AF33" s="442">
        <v>-0.34</v>
      </c>
      <c r="AG33" s="433"/>
      <c r="AH33" s="432"/>
      <c r="AI33" s="433" t="s">
        <v>264</v>
      </c>
      <c r="AJ33" s="385">
        <v>-0.7</v>
      </c>
      <c r="AK33" s="386">
        <v>-0.69</v>
      </c>
      <c r="AL33" s="386">
        <v>-0.68</v>
      </c>
      <c r="AM33" s="387">
        <v>-0.67</v>
      </c>
      <c r="AN33" s="387">
        <v>-0.66</v>
      </c>
      <c r="AO33" s="441">
        <v>-0.66</v>
      </c>
      <c r="AP33" s="441">
        <v>-0.62</v>
      </c>
      <c r="AQ33" s="442">
        <v>-0.44</v>
      </c>
    </row>
    <row r="34" spans="1:43" x14ac:dyDescent="0.25">
      <c r="A34" s="358"/>
      <c r="B34" t="s">
        <v>272</v>
      </c>
      <c r="C34" s="385">
        <v>-0.52</v>
      </c>
      <c r="D34" s="386">
        <v>-0.5</v>
      </c>
      <c r="E34" s="386">
        <v>-0.49</v>
      </c>
      <c r="F34" s="387">
        <v>-0.46</v>
      </c>
      <c r="G34" s="387">
        <v>-0.45</v>
      </c>
      <c r="H34" s="441">
        <v>-0.45</v>
      </c>
      <c r="I34" s="441">
        <v>-0.43</v>
      </c>
      <c r="J34" s="442">
        <v>-0.27</v>
      </c>
      <c r="K34" s="433"/>
      <c r="L34" s="432"/>
      <c r="M34" s="433" t="s">
        <v>272</v>
      </c>
      <c r="N34" s="385">
        <v>-0.55000000000000004</v>
      </c>
      <c r="O34" s="386">
        <v>-0.53</v>
      </c>
      <c r="P34" s="386">
        <v>-0.52</v>
      </c>
      <c r="Q34" s="387">
        <v>-0.49</v>
      </c>
      <c r="R34" s="387">
        <v>-0.47999999999999993</v>
      </c>
      <c r="S34" s="441">
        <v>-0.47999999999999993</v>
      </c>
      <c r="T34" s="441">
        <v>-0.46000000000000008</v>
      </c>
      <c r="U34" s="442">
        <v>-0.3</v>
      </c>
      <c r="V34" s="433"/>
      <c r="W34" s="432"/>
      <c r="X34" s="433" t="s">
        <v>272</v>
      </c>
      <c r="Y34" s="385">
        <v>-0.59000000000000008</v>
      </c>
      <c r="Z34" s="386">
        <v>-0.56999999999999995</v>
      </c>
      <c r="AA34" s="386">
        <v>-0.56000000000000005</v>
      </c>
      <c r="AB34" s="387">
        <v>-0.52999999999999992</v>
      </c>
      <c r="AC34" s="387">
        <v>-0.51999999999999991</v>
      </c>
      <c r="AD34" s="441">
        <v>-0.51999999999999991</v>
      </c>
      <c r="AE34" s="441">
        <v>-0.5</v>
      </c>
      <c r="AF34" s="442">
        <v>-0.34</v>
      </c>
      <c r="AG34" s="433"/>
      <c r="AH34" s="432"/>
      <c r="AI34" s="433" t="s">
        <v>272</v>
      </c>
      <c r="AJ34" s="385">
        <v>-0.67</v>
      </c>
      <c r="AK34" s="386">
        <v>-0.65</v>
      </c>
      <c r="AL34" s="386">
        <v>-0.66</v>
      </c>
      <c r="AM34" s="387">
        <v>-0.65</v>
      </c>
      <c r="AN34" s="387">
        <v>-0.64</v>
      </c>
      <c r="AO34" s="441">
        <v>-0.64</v>
      </c>
      <c r="AP34" s="441">
        <v>-0.62</v>
      </c>
      <c r="AQ34" s="442">
        <v>-0.48</v>
      </c>
    </row>
    <row r="35" spans="1:43" x14ac:dyDescent="0.25">
      <c r="A35" s="358"/>
      <c r="B35" t="s">
        <v>278</v>
      </c>
      <c r="C35" s="385">
        <v>-0.52</v>
      </c>
      <c r="D35" s="386">
        <v>-0.5</v>
      </c>
      <c r="E35" s="386">
        <v>-0.5</v>
      </c>
      <c r="F35" s="387">
        <v>-0.48</v>
      </c>
      <c r="G35" s="387">
        <v>-0.45</v>
      </c>
      <c r="H35" s="441">
        <v>-0.46</v>
      </c>
      <c r="I35" s="441">
        <v>-0.42</v>
      </c>
      <c r="J35" s="442">
        <v>-0.28000000000000003</v>
      </c>
      <c r="K35" s="433"/>
      <c r="L35" s="432"/>
      <c r="M35" s="433" t="s">
        <v>278</v>
      </c>
      <c r="N35" s="385">
        <v>-0.55000000000000004</v>
      </c>
      <c r="O35" s="386">
        <v>-0.53</v>
      </c>
      <c r="P35" s="386">
        <v>-0.52</v>
      </c>
      <c r="Q35" s="387">
        <v>-0.5</v>
      </c>
      <c r="R35" s="387">
        <v>-0.46999999999999992</v>
      </c>
      <c r="S35" s="441">
        <v>-0.49</v>
      </c>
      <c r="T35" s="441">
        <v>-0.47</v>
      </c>
      <c r="U35" s="442">
        <v>-0.35</v>
      </c>
      <c r="V35" s="433"/>
      <c r="W35" s="432"/>
      <c r="X35" s="433" t="s">
        <v>278</v>
      </c>
      <c r="Y35" s="385">
        <v>-0.59000000000000008</v>
      </c>
      <c r="Z35" s="386">
        <v>-0.56999999999999995</v>
      </c>
      <c r="AA35" s="386">
        <v>-0.57999999999999996</v>
      </c>
      <c r="AB35" s="387">
        <v>-0.59</v>
      </c>
      <c r="AC35" s="387">
        <v>-0.56999999999999995</v>
      </c>
      <c r="AD35" s="441">
        <v>-0.55000000000000004</v>
      </c>
      <c r="AE35" s="441">
        <v>-0.53</v>
      </c>
      <c r="AF35" s="442">
        <v>-0.42</v>
      </c>
      <c r="AG35" s="433"/>
      <c r="AH35" s="432"/>
      <c r="AI35" s="433" t="s">
        <v>278</v>
      </c>
      <c r="AJ35" s="385">
        <v>-0.68</v>
      </c>
      <c r="AK35" s="386">
        <v>-0.67</v>
      </c>
      <c r="AL35" s="386">
        <v>-0.68</v>
      </c>
      <c r="AM35" s="387">
        <v>-0.67</v>
      </c>
      <c r="AN35" s="387">
        <v>-0.67</v>
      </c>
      <c r="AO35" s="441">
        <v>-0.66</v>
      </c>
      <c r="AP35" s="441">
        <v>-0.65</v>
      </c>
      <c r="AQ35" s="442">
        <v>-0.56999999999999995</v>
      </c>
    </row>
    <row r="36" spans="1:43" x14ac:dyDescent="0.25">
      <c r="A36" s="358"/>
      <c r="B36" t="s">
        <v>284</v>
      </c>
      <c r="C36" s="388">
        <v>-0.52</v>
      </c>
      <c r="D36" s="389">
        <v>-0.5</v>
      </c>
      <c r="E36" s="389">
        <v>-0.49</v>
      </c>
      <c r="F36" s="390">
        <v>-0.46</v>
      </c>
      <c r="G36" s="390">
        <v>-0.44</v>
      </c>
      <c r="H36" s="443">
        <v>-0.45</v>
      </c>
      <c r="I36" s="443">
        <v>-0.44</v>
      </c>
      <c r="J36" s="444">
        <v>-0.31</v>
      </c>
      <c r="K36" s="433"/>
      <c r="L36" s="432"/>
      <c r="M36" s="433" t="s">
        <v>284</v>
      </c>
      <c r="N36" s="388">
        <v>-0.55000000000000004</v>
      </c>
      <c r="O36" s="389">
        <v>-0.53</v>
      </c>
      <c r="P36" s="389">
        <v>-0.52</v>
      </c>
      <c r="Q36" s="390">
        <v>-0.49</v>
      </c>
      <c r="R36" s="390">
        <v>-0.46999999999999992</v>
      </c>
      <c r="S36" s="443">
        <v>-0.47999999999999993</v>
      </c>
      <c r="T36" s="443">
        <v>-0.46999999999999992</v>
      </c>
      <c r="U36" s="444">
        <v>-0.35</v>
      </c>
      <c r="V36" s="433"/>
      <c r="W36" s="432"/>
      <c r="X36" s="433" t="s">
        <v>284</v>
      </c>
      <c r="Y36" s="388">
        <v>-0.59000000000000008</v>
      </c>
      <c r="Z36" s="389">
        <v>-0.56999999999999995</v>
      </c>
      <c r="AA36" s="389">
        <v>-0.56000000000000005</v>
      </c>
      <c r="AB36" s="390">
        <v>-0.55000000000000004</v>
      </c>
      <c r="AC36" s="390">
        <v>-0.54</v>
      </c>
      <c r="AD36" s="443">
        <v>-0.51999999999999991</v>
      </c>
      <c r="AE36" s="443">
        <v>-0.5099999999999999</v>
      </c>
      <c r="AF36" s="444">
        <v>-0.4</v>
      </c>
      <c r="AG36" s="433"/>
      <c r="AH36" s="432"/>
      <c r="AI36" s="433" t="s">
        <v>284</v>
      </c>
      <c r="AJ36" s="388">
        <v>-0.66</v>
      </c>
      <c r="AK36" s="389">
        <v>-0.66</v>
      </c>
      <c r="AL36" s="389">
        <v>-0.67</v>
      </c>
      <c r="AM36" s="390">
        <v>-0.66</v>
      </c>
      <c r="AN36" s="390">
        <v>-0.65</v>
      </c>
      <c r="AO36" s="443">
        <v>-0.64</v>
      </c>
      <c r="AP36" s="443">
        <v>-0.62</v>
      </c>
      <c r="AQ36" s="444">
        <v>-0.54</v>
      </c>
    </row>
    <row r="37" spans="1:43" x14ac:dyDescent="0.25">
      <c r="A37" s="358"/>
      <c r="C37" s="433"/>
      <c r="D37" s="433"/>
      <c r="E37" s="433"/>
      <c r="F37" s="433"/>
      <c r="G37" s="433"/>
      <c r="H37" s="433"/>
      <c r="I37" s="433"/>
      <c r="J37" s="433"/>
      <c r="K37" s="433"/>
      <c r="L37" s="432"/>
      <c r="M37" s="433"/>
      <c r="N37" s="433"/>
      <c r="O37" s="433"/>
      <c r="P37" s="433"/>
      <c r="Q37" s="433"/>
      <c r="R37" s="433"/>
      <c r="S37" s="433"/>
      <c r="T37" s="433"/>
      <c r="U37" s="433"/>
      <c r="V37" s="433"/>
      <c r="W37" s="432"/>
      <c r="X37" s="433"/>
      <c r="Y37" s="433"/>
      <c r="Z37" s="433"/>
      <c r="AA37" s="433"/>
      <c r="AB37" s="433"/>
      <c r="AC37" s="433"/>
      <c r="AD37" s="433"/>
      <c r="AE37" s="433"/>
      <c r="AF37" s="433"/>
      <c r="AG37" s="433"/>
      <c r="AH37" s="432"/>
      <c r="AI37" s="433"/>
      <c r="AJ37" s="433"/>
      <c r="AK37" s="433"/>
      <c r="AL37" s="433"/>
      <c r="AM37" s="433"/>
      <c r="AN37" s="433"/>
      <c r="AO37" s="433"/>
      <c r="AP37" s="433"/>
      <c r="AQ37" s="433"/>
    </row>
    <row r="38" spans="1:43" x14ac:dyDescent="0.25">
      <c r="A38" s="357" t="s">
        <v>329</v>
      </c>
      <c r="C38" s="431" t="s">
        <v>187</v>
      </c>
      <c r="D38" s="431" t="s">
        <v>214</v>
      </c>
      <c r="E38" s="431" t="s">
        <v>233</v>
      </c>
      <c r="F38" s="431" t="s">
        <v>242</v>
      </c>
      <c r="G38" s="431" t="s">
        <v>250</v>
      </c>
      <c r="H38" s="431" t="s">
        <v>258</v>
      </c>
      <c r="I38" s="431" t="s">
        <v>265</v>
      </c>
      <c r="J38" s="431" t="s">
        <v>279</v>
      </c>
      <c r="K38" s="431"/>
      <c r="L38" s="430" t="s">
        <v>330</v>
      </c>
      <c r="M38" s="431"/>
      <c r="N38" s="431" t="s">
        <v>187</v>
      </c>
      <c r="O38" s="431" t="s">
        <v>214</v>
      </c>
      <c r="P38" s="431" t="s">
        <v>233</v>
      </c>
      <c r="Q38" s="431" t="s">
        <v>242</v>
      </c>
      <c r="R38" s="431" t="s">
        <v>250</v>
      </c>
      <c r="S38" s="431" t="s">
        <v>258</v>
      </c>
      <c r="T38" s="431" t="s">
        <v>265</v>
      </c>
      <c r="U38" s="431" t="s">
        <v>279</v>
      </c>
      <c r="V38" s="431"/>
      <c r="W38" s="430" t="s">
        <v>331</v>
      </c>
      <c r="X38" s="431"/>
      <c r="Y38" s="431" t="s">
        <v>187</v>
      </c>
      <c r="Z38" s="431" t="s">
        <v>214</v>
      </c>
      <c r="AA38" s="431" t="s">
        <v>233</v>
      </c>
      <c r="AB38" s="431" t="s">
        <v>242</v>
      </c>
      <c r="AC38" s="431" t="s">
        <v>250</v>
      </c>
      <c r="AD38" s="431" t="s">
        <v>258</v>
      </c>
      <c r="AE38" s="431" t="s">
        <v>265</v>
      </c>
      <c r="AF38" s="431" t="s">
        <v>279</v>
      </c>
      <c r="AG38" s="431"/>
      <c r="AH38" s="430" t="s">
        <v>332</v>
      </c>
      <c r="AI38" s="433"/>
      <c r="AJ38" s="431" t="s">
        <v>187</v>
      </c>
      <c r="AK38" s="431" t="s">
        <v>214</v>
      </c>
      <c r="AL38" s="431" t="s">
        <v>233</v>
      </c>
      <c r="AM38" s="431" t="s">
        <v>242</v>
      </c>
      <c r="AN38" s="431" t="s">
        <v>250</v>
      </c>
      <c r="AO38" s="431" t="s">
        <v>258</v>
      </c>
      <c r="AP38" s="431" t="s">
        <v>265</v>
      </c>
      <c r="AQ38" s="431" t="s">
        <v>279</v>
      </c>
    </row>
    <row r="39" spans="1:43" x14ac:dyDescent="0.25">
      <c r="A39" s="358"/>
      <c r="B39" t="s">
        <v>186</v>
      </c>
      <c r="C39" s="368">
        <v>-0.59</v>
      </c>
      <c r="D39" s="440">
        <v>-0.61</v>
      </c>
      <c r="E39" s="369">
        <v>-0.58000000000000007</v>
      </c>
      <c r="F39" s="370">
        <v>-0.55000000000000004</v>
      </c>
      <c r="G39" s="370">
        <v>-0.55000000000000004</v>
      </c>
      <c r="H39" s="371">
        <v>-0.54</v>
      </c>
      <c r="I39" s="371">
        <v>-0.53</v>
      </c>
      <c r="J39" s="372">
        <v>-0.37</v>
      </c>
      <c r="K39" s="433"/>
      <c r="L39" s="432"/>
      <c r="M39" s="433" t="s">
        <v>186</v>
      </c>
      <c r="N39" s="368">
        <v>-0.63</v>
      </c>
      <c r="O39" s="440">
        <v>-0.65</v>
      </c>
      <c r="P39" s="369">
        <v>-0.62000000000000011</v>
      </c>
      <c r="Q39" s="370">
        <v>-0.6</v>
      </c>
      <c r="R39" s="370">
        <v>-0.58000000000000007</v>
      </c>
      <c r="S39" s="371">
        <v>-0.57000000000000006</v>
      </c>
      <c r="T39" s="371">
        <v>-0.56000000000000005</v>
      </c>
      <c r="U39" s="372">
        <v>-0.4</v>
      </c>
      <c r="V39" s="433"/>
      <c r="W39" s="432"/>
      <c r="X39" s="433" t="s">
        <v>186</v>
      </c>
      <c r="Y39" s="368">
        <v>-0.7</v>
      </c>
      <c r="Z39" s="440">
        <v>-0.69</v>
      </c>
      <c r="AA39" s="369">
        <v>-0.66000000000000014</v>
      </c>
      <c r="AB39" s="370">
        <v>-0.65</v>
      </c>
      <c r="AC39" s="370">
        <v>-0.62000000000000011</v>
      </c>
      <c r="AD39" s="371">
        <v>-0.6100000000000001</v>
      </c>
      <c r="AE39" s="371">
        <v>-0.60000000000000009</v>
      </c>
      <c r="AF39" s="372">
        <v>-0.44</v>
      </c>
      <c r="AG39" s="433"/>
      <c r="AH39" s="432"/>
      <c r="AI39" s="433" t="s">
        <v>186</v>
      </c>
      <c r="AJ39" s="368">
        <v>-0.71000000000000019</v>
      </c>
      <c r="AK39" s="440">
        <v>-0.73000000000000009</v>
      </c>
      <c r="AL39" s="369">
        <v>-0.70000000000000018</v>
      </c>
      <c r="AM39" s="370">
        <v>-0.68</v>
      </c>
      <c r="AN39" s="370">
        <v>-0.66000000000000014</v>
      </c>
      <c r="AO39" s="371">
        <v>-0.65000000000000013</v>
      </c>
      <c r="AP39" s="371">
        <v>-0.64000000000000012</v>
      </c>
      <c r="AQ39" s="372">
        <v>-0.48</v>
      </c>
    </row>
    <row r="40" spans="1:43" x14ac:dyDescent="0.25">
      <c r="A40" s="358"/>
      <c r="B40" t="s">
        <v>213</v>
      </c>
      <c r="C40" s="373">
        <v>-0.62</v>
      </c>
      <c r="D40" s="374">
        <v>-0.59000000000000008</v>
      </c>
      <c r="E40" s="375">
        <v>-0.58000000000000007</v>
      </c>
      <c r="F40" s="376">
        <v>-0.56000000000000005</v>
      </c>
      <c r="G40" s="376">
        <v>-0.54</v>
      </c>
      <c r="H40" s="377">
        <v>-0.54</v>
      </c>
      <c r="I40" s="377">
        <v>-0.52</v>
      </c>
      <c r="J40" s="378">
        <v>-0.37</v>
      </c>
      <c r="K40" s="433"/>
      <c r="L40" s="432"/>
      <c r="M40" s="433" t="s">
        <v>213</v>
      </c>
      <c r="N40" s="373">
        <v>-0.66</v>
      </c>
      <c r="O40" s="374">
        <v>-0.63000000000000012</v>
      </c>
      <c r="P40" s="375">
        <v>-0.62000000000000011</v>
      </c>
      <c r="Q40" s="376">
        <v>-0.59000000000000008</v>
      </c>
      <c r="R40" s="376">
        <v>-0.57000000000000006</v>
      </c>
      <c r="S40" s="377">
        <v>-0.57000000000000006</v>
      </c>
      <c r="T40" s="377">
        <v>-0.55000000000000004</v>
      </c>
      <c r="U40" s="378">
        <v>-0.4</v>
      </c>
      <c r="V40" s="433"/>
      <c r="W40" s="432"/>
      <c r="X40" s="433" t="s">
        <v>213</v>
      </c>
      <c r="Y40" s="373">
        <v>-0.7</v>
      </c>
      <c r="Z40" s="374">
        <v>-0.68</v>
      </c>
      <c r="AA40" s="375">
        <v>-0.66000000000000014</v>
      </c>
      <c r="AB40" s="376">
        <v>-0.63000000000000012</v>
      </c>
      <c r="AC40" s="376">
        <v>-0.6100000000000001</v>
      </c>
      <c r="AD40" s="377">
        <v>-0.6100000000000001</v>
      </c>
      <c r="AE40" s="377">
        <v>-0.59000000000000008</v>
      </c>
      <c r="AF40" s="378">
        <v>-0.44</v>
      </c>
      <c r="AG40" s="433"/>
      <c r="AH40" s="432"/>
      <c r="AI40" s="433" t="s">
        <v>213</v>
      </c>
      <c r="AJ40" s="373">
        <v>-0.7400000000000001</v>
      </c>
      <c r="AK40" s="374">
        <v>-0.73</v>
      </c>
      <c r="AL40" s="375">
        <v>-0.72</v>
      </c>
      <c r="AM40" s="376">
        <v>-0.7</v>
      </c>
      <c r="AN40" s="376">
        <v>-0.65000000000000013</v>
      </c>
      <c r="AO40" s="377">
        <v>-0.65000000000000013</v>
      </c>
      <c r="AP40" s="377">
        <v>-0.63000000000000012</v>
      </c>
      <c r="AQ40" s="378">
        <v>-0.48</v>
      </c>
    </row>
    <row r="41" spans="1:43" x14ac:dyDescent="0.25">
      <c r="A41" s="358"/>
      <c r="B41" t="s">
        <v>232</v>
      </c>
      <c r="C41" s="379">
        <v>-0.58000000000000007</v>
      </c>
      <c r="D41" s="380">
        <v>-0.58000000000000007</v>
      </c>
      <c r="E41" s="381">
        <v>-0.54</v>
      </c>
      <c r="F41" s="376">
        <v>-0.53</v>
      </c>
      <c r="G41" s="376">
        <v>-0.53</v>
      </c>
      <c r="H41" s="377">
        <v>-0.53</v>
      </c>
      <c r="I41" s="377">
        <v>-0.52</v>
      </c>
      <c r="J41" s="378">
        <v>-0.37</v>
      </c>
      <c r="K41" s="433"/>
      <c r="L41" s="432"/>
      <c r="M41" s="433" t="s">
        <v>232</v>
      </c>
      <c r="N41" s="379">
        <v>-0.62000000000000011</v>
      </c>
      <c r="O41" s="380">
        <v>-0.62000000000000011</v>
      </c>
      <c r="P41" s="381">
        <v>-0.6</v>
      </c>
      <c r="Q41" s="376">
        <v>-0.57999999999999996</v>
      </c>
      <c r="R41" s="376">
        <v>-0.56000000000000005</v>
      </c>
      <c r="S41" s="377">
        <v>-0.56000000000000005</v>
      </c>
      <c r="T41" s="377">
        <v>-0.55000000000000004</v>
      </c>
      <c r="U41" s="378">
        <v>-0.4</v>
      </c>
      <c r="V41" s="433"/>
      <c r="W41" s="432"/>
      <c r="X41" s="433" t="s">
        <v>232</v>
      </c>
      <c r="Y41" s="379">
        <v>-0.66000000000000014</v>
      </c>
      <c r="Z41" s="380">
        <v>-0.66000000000000014</v>
      </c>
      <c r="AA41" s="381">
        <v>-0.64</v>
      </c>
      <c r="AB41" s="376">
        <v>-0.62</v>
      </c>
      <c r="AC41" s="376">
        <v>-0.60000000000000009</v>
      </c>
      <c r="AD41" s="377">
        <v>-0.60000000000000009</v>
      </c>
      <c r="AE41" s="377">
        <v>-0.59000000000000008</v>
      </c>
      <c r="AF41" s="378">
        <v>-0.44</v>
      </c>
      <c r="AG41" s="433"/>
      <c r="AH41" s="432"/>
      <c r="AI41" s="433" t="s">
        <v>232</v>
      </c>
      <c r="AJ41" s="379">
        <v>-0.72</v>
      </c>
      <c r="AK41" s="380">
        <v>-0.70000000000000018</v>
      </c>
      <c r="AL41" s="381">
        <v>-0.68</v>
      </c>
      <c r="AM41" s="376">
        <v>-0.67</v>
      </c>
      <c r="AN41" s="376">
        <v>-0.65</v>
      </c>
      <c r="AO41" s="377">
        <v>-0.64000000000000012</v>
      </c>
      <c r="AP41" s="377">
        <v>-0.63000000000000012</v>
      </c>
      <c r="AQ41" s="378">
        <v>-0.48</v>
      </c>
    </row>
    <row r="42" spans="1:43" x14ac:dyDescent="0.25">
      <c r="A42" s="358"/>
      <c r="B42" t="s">
        <v>215</v>
      </c>
      <c r="C42" s="382">
        <v>-0.58000000000000007</v>
      </c>
      <c r="D42" s="383">
        <v>-0.56000000000000005</v>
      </c>
      <c r="E42" s="383">
        <v>-0.55000000000000004</v>
      </c>
      <c r="F42" s="384">
        <v>-0.54</v>
      </c>
      <c r="G42" s="384">
        <v>-0.53</v>
      </c>
      <c r="H42" s="393">
        <v>-0.54</v>
      </c>
      <c r="I42" s="393">
        <v>-0.54</v>
      </c>
      <c r="J42" s="394">
        <v>-0.38</v>
      </c>
      <c r="K42" s="433"/>
      <c r="L42" s="432"/>
      <c r="M42" s="433" t="s">
        <v>215</v>
      </c>
      <c r="N42" s="382">
        <v>-0.6100000000000001</v>
      </c>
      <c r="O42" s="383">
        <v>-0.59000000000000008</v>
      </c>
      <c r="P42" s="383">
        <v>-0.58000000000000007</v>
      </c>
      <c r="Q42" s="384">
        <v>-0.57000000000000006</v>
      </c>
      <c r="R42" s="384">
        <v>-0.56000000000000005</v>
      </c>
      <c r="S42" s="393">
        <v>-0.57000000000000006</v>
      </c>
      <c r="T42" s="393">
        <v>-0.57000000000000006</v>
      </c>
      <c r="U42" s="394">
        <v>-0.39</v>
      </c>
      <c r="V42" s="433"/>
      <c r="W42" s="432"/>
      <c r="X42" s="433" t="s">
        <v>215</v>
      </c>
      <c r="Y42" s="382">
        <v>-0.65000000000000013</v>
      </c>
      <c r="Z42" s="383">
        <v>-0.63000000000000012</v>
      </c>
      <c r="AA42" s="383">
        <v>-0.62000000000000011</v>
      </c>
      <c r="AB42" s="384">
        <v>-0.6100000000000001</v>
      </c>
      <c r="AC42" s="384">
        <v>-0.60000000000000009</v>
      </c>
      <c r="AD42" s="393">
        <v>-0.6100000000000001</v>
      </c>
      <c r="AE42" s="393">
        <v>-0.6100000000000001</v>
      </c>
      <c r="AF42" s="394">
        <v>-0.43</v>
      </c>
      <c r="AG42" s="433"/>
      <c r="AH42" s="432"/>
      <c r="AI42" s="433" t="s">
        <v>215</v>
      </c>
      <c r="AJ42" s="382">
        <v>-0.72</v>
      </c>
      <c r="AK42" s="383">
        <v>-0.71</v>
      </c>
      <c r="AL42" s="383">
        <v>-0.7</v>
      </c>
      <c r="AM42" s="384">
        <v>-0.68</v>
      </c>
      <c r="AN42" s="384">
        <v>-0.66</v>
      </c>
      <c r="AO42" s="393">
        <v>-0.65000000000000013</v>
      </c>
      <c r="AP42" s="393">
        <v>-0.65000000000000013</v>
      </c>
      <c r="AQ42" s="394">
        <v>-0.47</v>
      </c>
    </row>
    <row r="43" spans="1:43" x14ac:dyDescent="0.25">
      <c r="A43" s="358"/>
      <c r="B43" t="s">
        <v>249</v>
      </c>
      <c r="C43" s="382">
        <v>-0.58000000000000007</v>
      </c>
      <c r="D43" s="383">
        <v>-0.56000000000000005</v>
      </c>
      <c r="E43" s="383">
        <v>-0.54</v>
      </c>
      <c r="F43" s="384">
        <v>-0.54</v>
      </c>
      <c r="G43" s="384">
        <v>-0.53</v>
      </c>
      <c r="H43" s="393">
        <v>-0.54</v>
      </c>
      <c r="I43" s="393">
        <v>-0.54</v>
      </c>
      <c r="J43" s="394">
        <v>-0.35</v>
      </c>
      <c r="K43" s="433"/>
      <c r="L43" s="432"/>
      <c r="M43" s="433" t="s">
        <v>249</v>
      </c>
      <c r="N43" s="382">
        <v>-0.6100000000000001</v>
      </c>
      <c r="O43" s="383">
        <v>-0.59000000000000008</v>
      </c>
      <c r="P43" s="383">
        <v>-0.57000000000000006</v>
      </c>
      <c r="Q43" s="384">
        <v>-0.57000000000000006</v>
      </c>
      <c r="R43" s="384">
        <v>-0.56000000000000005</v>
      </c>
      <c r="S43" s="393">
        <v>-0.57000000000000006</v>
      </c>
      <c r="T43" s="393">
        <v>-0.57000000000000006</v>
      </c>
      <c r="U43" s="394">
        <v>-0.36</v>
      </c>
      <c r="V43" s="433"/>
      <c r="W43" s="432"/>
      <c r="X43" s="433" t="s">
        <v>249</v>
      </c>
      <c r="Y43" s="382">
        <v>-0.65000000000000013</v>
      </c>
      <c r="Z43" s="383">
        <v>-0.64</v>
      </c>
      <c r="AA43" s="383">
        <v>-0.62</v>
      </c>
      <c r="AB43" s="384">
        <v>-0.6100000000000001</v>
      </c>
      <c r="AC43" s="384">
        <v>-0.60000000000000009</v>
      </c>
      <c r="AD43" s="393">
        <v>-0.6100000000000001</v>
      </c>
      <c r="AE43" s="393">
        <v>-0.6100000000000001</v>
      </c>
      <c r="AF43" s="394">
        <v>-0.4</v>
      </c>
      <c r="AG43" s="433"/>
      <c r="AH43" s="432"/>
      <c r="AI43" s="433" t="s">
        <v>249</v>
      </c>
      <c r="AJ43" s="382">
        <v>-0.7</v>
      </c>
      <c r="AK43" s="383">
        <v>-0.71</v>
      </c>
      <c r="AL43" s="383">
        <v>-0.71</v>
      </c>
      <c r="AM43" s="384">
        <v>-0.7</v>
      </c>
      <c r="AN43" s="384">
        <v>-0.68</v>
      </c>
      <c r="AO43" s="393">
        <v>-0.65000000000000013</v>
      </c>
      <c r="AP43" s="393">
        <v>-0.65000000000000013</v>
      </c>
      <c r="AQ43" s="394">
        <v>-0.43999999999999995</v>
      </c>
    </row>
    <row r="44" spans="1:43" x14ac:dyDescent="0.25">
      <c r="A44" s="358"/>
      <c r="B44" t="s">
        <v>257</v>
      </c>
      <c r="C44" s="382">
        <v>-0.58000000000000007</v>
      </c>
      <c r="D44" s="383">
        <v>-0.56000000000000005</v>
      </c>
      <c r="E44" s="383">
        <v>-0.55000000000000004</v>
      </c>
      <c r="F44" s="384">
        <v>-0.54</v>
      </c>
      <c r="G44" s="384">
        <v>-0.52</v>
      </c>
      <c r="H44" s="393">
        <v>-0.54</v>
      </c>
      <c r="I44" s="393">
        <v>-0.53</v>
      </c>
      <c r="J44" s="394">
        <v>-0.33</v>
      </c>
      <c r="K44" s="433"/>
      <c r="L44" s="432"/>
      <c r="M44" s="433" t="s">
        <v>257</v>
      </c>
      <c r="N44" s="382">
        <v>-0.6100000000000001</v>
      </c>
      <c r="O44" s="383">
        <v>-0.59000000000000008</v>
      </c>
      <c r="P44" s="383">
        <v>-0.58000000000000007</v>
      </c>
      <c r="Q44" s="384">
        <v>-0.57000000000000006</v>
      </c>
      <c r="R44" s="384">
        <v>-0.55000000000000004</v>
      </c>
      <c r="S44" s="393">
        <v>-0.57000000000000006</v>
      </c>
      <c r="T44" s="393">
        <v>-0.56000000000000005</v>
      </c>
      <c r="U44" s="394">
        <v>-0.36</v>
      </c>
      <c r="V44" s="433"/>
      <c r="W44" s="432"/>
      <c r="X44" s="433" t="s">
        <v>257</v>
      </c>
      <c r="Y44" s="382">
        <v>-0.65000000000000013</v>
      </c>
      <c r="Z44" s="383">
        <v>-0.64</v>
      </c>
      <c r="AA44" s="383">
        <v>-0.62000000000000011</v>
      </c>
      <c r="AB44" s="384">
        <v>-0.6100000000000001</v>
      </c>
      <c r="AC44" s="384">
        <v>-0.59000000000000008</v>
      </c>
      <c r="AD44" s="393">
        <v>-0.6100000000000001</v>
      </c>
      <c r="AE44" s="393">
        <v>-0.60000000000000009</v>
      </c>
      <c r="AF44" s="394">
        <v>-0.4</v>
      </c>
      <c r="AG44" s="433"/>
      <c r="AH44" s="432"/>
      <c r="AI44" s="433" t="s">
        <v>257</v>
      </c>
      <c r="AJ44" s="382">
        <v>-0.7</v>
      </c>
      <c r="AK44" s="383">
        <v>-0.7</v>
      </c>
      <c r="AL44" s="383">
        <v>-0.69</v>
      </c>
      <c r="AM44" s="384">
        <v>-0.67</v>
      </c>
      <c r="AN44" s="384">
        <v>-0.65</v>
      </c>
      <c r="AO44" s="393">
        <v>-0.65000000000000013</v>
      </c>
      <c r="AP44" s="393">
        <v>-0.64000000000000012</v>
      </c>
      <c r="AQ44" s="394">
        <v>-0.43999999999999995</v>
      </c>
    </row>
    <row r="45" spans="1:43" x14ac:dyDescent="0.25">
      <c r="A45" s="358"/>
      <c r="B45" t="s">
        <v>264</v>
      </c>
      <c r="C45" s="385">
        <v>-0.60000000000000009</v>
      </c>
      <c r="D45" s="386">
        <v>-0.59000000000000008</v>
      </c>
      <c r="E45" s="386">
        <v>-0.56999999999999995</v>
      </c>
      <c r="F45" s="387">
        <v>-0.56000000000000005</v>
      </c>
      <c r="G45" s="387">
        <v>-0.55000000000000004</v>
      </c>
      <c r="H45" s="441">
        <v>-0.55000000000000004</v>
      </c>
      <c r="I45" s="441">
        <v>-0.54000000000000015</v>
      </c>
      <c r="J45" s="442">
        <v>-0.35</v>
      </c>
      <c r="K45" s="433"/>
      <c r="L45" s="432"/>
      <c r="M45" s="433" t="s">
        <v>264</v>
      </c>
      <c r="N45" s="385">
        <v>-0.63000000000000012</v>
      </c>
      <c r="O45" s="386">
        <v>-0.62000000000000011</v>
      </c>
      <c r="P45" s="386">
        <v>-0.60000000000000009</v>
      </c>
      <c r="Q45" s="387">
        <v>-0.59000000000000008</v>
      </c>
      <c r="R45" s="387">
        <v>-0.58000000000000007</v>
      </c>
      <c r="S45" s="441">
        <v>-0.58000000000000007</v>
      </c>
      <c r="T45" s="441">
        <v>-0.57000000000000017</v>
      </c>
      <c r="U45" s="442">
        <v>-0.38</v>
      </c>
      <c r="V45" s="433"/>
      <c r="W45" s="432"/>
      <c r="X45" s="433" t="s">
        <v>264</v>
      </c>
      <c r="Y45" s="385">
        <v>-0.67000000000000015</v>
      </c>
      <c r="Z45" s="386">
        <v>-0.66000000000000014</v>
      </c>
      <c r="AA45" s="386">
        <v>-0.64</v>
      </c>
      <c r="AB45" s="387">
        <v>-0.63000000000000012</v>
      </c>
      <c r="AC45" s="387">
        <v>-0.62000000000000011</v>
      </c>
      <c r="AD45" s="441">
        <v>-0.62000000000000011</v>
      </c>
      <c r="AE45" s="441">
        <v>-0.61000000000000021</v>
      </c>
      <c r="AF45" s="442">
        <v>-0.41999999999999993</v>
      </c>
      <c r="AG45" s="433"/>
      <c r="AH45" s="432"/>
      <c r="AI45" s="433" t="s">
        <v>264</v>
      </c>
      <c r="AJ45" s="385">
        <v>-0.71000000000000019</v>
      </c>
      <c r="AK45" s="386">
        <v>-0.70000000000000018</v>
      </c>
      <c r="AL45" s="386">
        <v>-0.7</v>
      </c>
      <c r="AM45" s="387">
        <v>-0.69</v>
      </c>
      <c r="AN45" s="387">
        <v>-0.68</v>
      </c>
      <c r="AO45" s="441">
        <v>-0.67</v>
      </c>
      <c r="AP45" s="441">
        <v>-0.65000000000000024</v>
      </c>
      <c r="AQ45" s="442">
        <v>-0.48</v>
      </c>
    </row>
    <row r="46" spans="1:43" x14ac:dyDescent="0.25">
      <c r="A46" s="358"/>
      <c r="B46" t="s">
        <v>272</v>
      </c>
      <c r="C46" s="385">
        <v>-0.56999999999999995</v>
      </c>
      <c r="D46" s="386">
        <v>-0.56000000000000005</v>
      </c>
      <c r="E46" s="386">
        <v>-0.56000000000000005</v>
      </c>
      <c r="F46" s="387">
        <v>-0.56000000000000005</v>
      </c>
      <c r="G46" s="387">
        <v>-0.54000000000000015</v>
      </c>
      <c r="H46" s="441">
        <v>-0.55000000000000004</v>
      </c>
      <c r="I46" s="441">
        <v>-0.52</v>
      </c>
      <c r="J46" s="442">
        <v>-0.33999999999999991</v>
      </c>
      <c r="K46" s="433"/>
      <c r="L46" s="432"/>
      <c r="M46" s="433" t="s">
        <v>272</v>
      </c>
      <c r="N46" s="385">
        <v>-0.60000000000000009</v>
      </c>
      <c r="O46" s="386">
        <v>-0.59000000000000008</v>
      </c>
      <c r="P46" s="386">
        <v>-0.59000000000000008</v>
      </c>
      <c r="Q46" s="387">
        <v>-0.59000000000000008</v>
      </c>
      <c r="R46" s="387">
        <v>-0.57000000000000017</v>
      </c>
      <c r="S46" s="441">
        <v>-0.58000000000000007</v>
      </c>
      <c r="T46" s="441">
        <v>-0.55000000000000004</v>
      </c>
      <c r="U46" s="442">
        <v>-0.37</v>
      </c>
      <c r="V46" s="433"/>
      <c r="W46" s="432"/>
      <c r="X46" s="433" t="s">
        <v>272</v>
      </c>
      <c r="Y46" s="385">
        <v>-0.64</v>
      </c>
      <c r="Z46" s="386">
        <v>-0.63000000000000012</v>
      </c>
      <c r="AA46" s="386">
        <v>-0.63000000000000012</v>
      </c>
      <c r="AB46" s="387">
        <v>-0.63000000000000012</v>
      </c>
      <c r="AC46" s="387">
        <v>-0.64</v>
      </c>
      <c r="AD46" s="441">
        <v>-0.63</v>
      </c>
      <c r="AE46" s="441">
        <v>-0.6</v>
      </c>
      <c r="AF46" s="442">
        <v>-0.44</v>
      </c>
      <c r="AG46" s="433"/>
      <c r="AH46" s="432"/>
      <c r="AI46" s="433" t="s">
        <v>272</v>
      </c>
      <c r="AJ46" s="385">
        <v>-0.68000000000000016</v>
      </c>
      <c r="AK46" s="386">
        <v>-0.67000000000000015</v>
      </c>
      <c r="AL46" s="386">
        <v>-0.67000000000000015</v>
      </c>
      <c r="AM46" s="387">
        <v>-0.67000000000000015</v>
      </c>
      <c r="AN46" s="387">
        <v>-0.66</v>
      </c>
      <c r="AO46" s="441">
        <v>-0.65</v>
      </c>
      <c r="AP46" s="441">
        <v>-0.63000000000000012</v>
      </c>
      <c r="AQ46" s="442">
        <v>-0.49</v>
      </c>
    </row>
    <row r="47" spans="1:43" x14ac:dyDescent="0.25">
      <c r="A47" s="358"/>
      <c r="B47" t="s">
        <v>278</v>
      </c>
      <c r="C47" s="385">
        <v>-0.56999999999999995</v>
      </c>
      <c r="D47" s="386">
        <v>-0.55000000000000004</v>
      </c>
      <c r="E47" s="386">
        <v>-0.54000000000000015</v>
      </c>
      <c r="F47" s="387">
        <v>-0.54000000000000015</v>
      </c>
      <c r="G47" s="387">
        <v>-0.54000000000000015</v>
      </c>
      <c r="H47" s="441">
        <v>-0.52</v>
      </c>
      <c r="I47" s="441">
        <v>-0.52</v>
      </c>
      <c r="J47" s="442">
        <v>-0.41</v>
      </c>
      <c r="K47" s="433"/>
      <c r="L47" s="432"/>
      <c r="M47" s="433" t="s">
        <v>278</v>
      </c>
      <c r="N47" s="385">
        <v>-0.60000000000000009</v>
      </c>
      <c r="O47" s="386">
        <v>-0.58000000000000007</v>
      </c>
      <c r="P47" s="386">
        <v>-0.57000000000000017</v>
      </c>
      <c r="Q47" s="387">
        <v>-0.57000000000000017</v>
      </c>
      <c r="R47" s="387">
        <v>-0.57000000000000017</v>
      </c>
      <c r="S47" s="441">
        <v>-0.55000000000000004</v>
      </c>
      <c r="T47" s="441">
        <v>-0.55000000000000004</v>
      </c>
      <c r="U47" s="442">
        <v>-0.45</v>
      </c>
      <c r="V47" s="433"/>
      <c r="W47" s="432"/>
      <c r="X47" s="433" t="s">
        <v>278</v>
      </c>
      <c r="Y47" s="385">
        <v>-0.64</v>
      </c>
      <c r="Z47" s="386">
        <v>-0.62000000000000011</v>
      </c>
      <c r="AA47" s="386">
        <v>-0.61000000000000021</v>
      </c>
      <c r="AB47" s="387">
        <v>-0.61000000000000021</v>
      </c>
      <c r="AC47" s="387">
        <v>-0.61000000000000021</v>
      </c>
      <c r="AD47" s="441">
        <v>-0.59000000000000008</v>
      </c>
      <c r="AE47" s="441">
        <v>-0.56999999999999995</v>
      </c>
      <c r="AF47" s="442">
        <v>-0.49</v>
      </c>
      <c r="AG47" s="433"/>
      <c r="AH47" s="432"/>
      <c r="AI47" s="433" t="s">
        <v>278</v>
      </c>
      <c r="AJ47" s="385">
        <v>-0.7</v>
      </c>
      <c r="AK47" s="386">
        <v>-0.69</v>
      </c>
      <c r="AL47" s="386">
        <v>-0.69</v>
      </c>
      <c r="AM47" s="387">
        <v>-0.68</v>
      </c>
      <c r="AN47" s="387">
        <v>-0.68</v>
      </c>
      <c r="AO47" s="441">
        <v>-0.68</v>
      </c>
      <c r="AP47" s="441">
        <v>-0.66</v>
      </c>
      <c r="AQ47" s="442">
        <v>-0.57999999999999996</v>
      </c>
    </row>
    <row r="48" spans="1:43" x14ac:dyDescent="0.25">
      <c r="A48" s="358"/>
      <c r="B48" t="s">
        <v>284</v>
      </c>
      <c r="C48" s="388">
        <v>-0.56999999999999995</v>
      </c>
      <c r="D48" s="389">
        <v>-0.55000000000000004</v>
      </c>
      <c r="E48" s="389">
        <v>-0.55000000000000004</v>
      </c>
      <c r="F48" s="390">
        <v>-0.54000000000000015</v>
      </c>
      <c r="G48" s="390">
        <v>-0.53000000000000014</v>
      </c>
      <c r="H48" s="443">
        <v>-0.54000000000000015</v>
      </c>
      <c r="I48" s="443">
        <v>-0.51</v>
      </c>
      <c r="J48" s="444">
        <v>-0.44</v>
      </c>
      <c r="K48" s="433"/>
      <c r="L48" s="432"/>
      <c r="M48" s="433" t="s">
        <v>284</v>
      </c>
      <c r="N48" s="388">
        <v>-0.60000000000000009</v>
      </c>
      <c r="O48" s="389">
        <v>-0.58000000000000007</v>
      </c>
      <c r="P48" s="389">
        <v>-0.58000000000000007</v>
      </c>
      <c r="Q48" s="390">
        <v>-0.57000000000000017</v>
      </c>
      <c r="R48" s="390">
        <v>-0.56000000000000016</v>
      </c>
      <c r="S48" s="443">
        <v>-0.57000000000000017</v>
      </c>
      <c r="T48" s="443">
        <v>-0.54</v>
      </c>
      <c r="U48" s="444">
        <v>-0.46999999999999992</v>
      </c>
      <c r="V48" s="433"/>
      <c r="W48" s="432"/>
      <c r="X48" s="433" t="s">
        <v>284</v>
      </c>
      <c r="Y48" s="388">
        <v>-0.64</v>
      </c>
      <c r="Z48" s="389">
        <v>-0.62000000000000011</v>
      </c>
      <c r="AA48" s="389">
        <v>-0.62000000000000011</v>
      </c>
      <c r="AB48" s="390">
        <v>-0.61000000000000021</v>
      </c>
      <c r="AC48" s="390">
        <v>-0.60000000000000009</v>
      </c>
      <c r="AD48" s="443">
        <v>-0.61000000000000021</v>
      </c>
      <c r="AE48" s="443">
        <v>-0.58000000000000007</v>
      </c>
      <c r="AF48" s="444">
        <v>-0.5099999999999999</v>
      </c>
      <c r="AG48" s="433"/>
      <c r="AH48" s="432"/>
      <c r="AI48" s="433" t="s">
        <v>284</v>
      </c>
      <c r="AJ48" s="388">
        <v>-0.68000000000000016</v>
      </c>
      <c r="AK48" s="389">
        <v>-0.68</v>
      </c>
      <c r="AL48" s="389">
        <v>-0.68</v>
      </c>
      <c r="AM48" s="390">
        <v>-0.67</v>
      </c>
      <c r="AN48" s="390">
        <v>-0.66</v>
      </c>
      <c r="AO48" s="443">
        <v>-0.65000000000000024</v>
      </c>
      <c r="AP48" s="443">
        <v>-0.64</v>
      </c>
      <c r="AQ48" s="444">
        <v>-0.56000000000000005</v>
      </c>
    </row>
    <row r="49" spans="1:43" x14ac:dyDescent="0.25">
      <c r="A49" s="358"/>
      <c r="C49" s="433"/>
      <c r="D49" s="433"/>
      <c r="E49" s="433"/>
      <c r="F49" s="433"/>
      <c r="G49" s="433"/>
      <c r="H49" s="433"/>
      <c r="I49" s="433"/>
      <c r="J49" s="433"/>
      <c r="K49" s="433"/>
      <c r="L49" s="432"/>
      <c r="M49" s="433"/>
      <c r="N49" s="433"/>
      <c r="O49" s="433"/>
      <c r="P49" s="433"/>
      <c r="Q49" s="433"/>
      <c r="R49" s="433"/>
      <c r="S49" s="433"/>
      <c r="T49" s="433"/>
      <c r="U49" s="433"/>
      <c r="V49" s="433"/>
      <c r="W49" s="432"/>
      <c r="X49" s="433"/>
      <c r="Y49" s="433"/>
      <c r="Z49" s="433"/>
      <c r="AA49" s="433"/>
      <c r="AB49" s="433"/>
      <c r="AC49" s="433"/>
      <c r="AD49" s="433"/>
      <c r="AE49" s="433"/>
      <c r="AF49" s="433"/>
      <c r="AG49" s="433"/>
      <c r="AH49" s="432"/>
      <c r="AI49" s="433"/>
      <c r="AJ49" s="433"/>
      <c r="AK49" s="433"/>
      <c r="AL49" s="433"/>
      <c r="AM49" s="433"/>
      <c r="AN49" s="433"/>
      <c r="AO49" s="433"/>
      <c r="AP49" s="433"/>
      <c r="AQ49" s="433"/>
    </row>
    <row r="50" spans="1:43" x14ac:dyDescent="0.25">
      <c r="A50" s="357" t="s">
        <v>333</v>
      </c>
      <c r="C50" s="431" t="s">
        <v>187</v>
      </c>
      <c r="D50" s="431" t="s">
        <v>214</v>
      </c>
      <c r="E50" s="431" t="s">
        <v>233</v>
      </c>
      <c r="F50" s="431" t="s">
        <v>242</v>
      </c>
      <c r="G50" s="431" t="s">
        <v>250</v>
      </c>
      <c r="H50" s="431" t="s">
        <v>258</v>
      </c>
      <c r="I50" s="431" t="s">
        <v>265</v>
      </c>
      <c r="J50" s="431" t="s">
        <v>279</v>
      </c>
      <c r="K50" s="431"/>
      <c r="L50" s="430" t="s">
        <v>334</v>
      </c>
      <c r="M50" s="431"/>
      <c r="N50" s="431" t="s">
        <v>187</v>
      </c>
      <c r="O50" s="431" t="s">
        <v>214</v>
      </c>
      <c r="P50" s="431" t="s">
        <v>233</v>
      </c>
      <c r="Q50" s="431" t="s">
        <v>242</v>
      </c>
      <c r="R50" s="431" t="s">
        <v>250</v>
      </c>
      <c r="S50" s="431" t="s">
        <v>258</v>
      </c>
      <c r="T50" s="431" t="s">
        <v>265</v>
      </c>
      <c r="U50" s="431" t="s">
        <v>279</v>
      </c>
      <c r="V50" s="431"/>
      <c r="W50" s="430" t="s">
        <v>335</v>
      </c>
      <c r="X50" s="431"/>
      <c r="Y50" s="431" t="s">
        <v>187</v>
      </c>
      <c r="Z50" s="431" t="s">
        <v>214</v>
      </c>
      <c r="AA50" s="431" t="s">
        <v>233</v>
      </c>
      <c r="AB50" s="431" t="s">
        <v>242</v>
      </c>
      <c r="AC50" s="431" t="s">
        <v>250</v>
      </c>
      <c r="AD50" s="431" t="s">
        <v>258</v>
      </c>
      <c r="AE50" s="431" t="s">
        <v>265</v>
      </c>
      <c r="AF50" s="431" t="s">
        <v>279</v>
      </c>
      <c r="AG50" s="431"/>
      <c r="AH50" s="430" t="s">
        <v>336</v>
      </c>
      <c r="AI50" s="433"/>
      <c r="AJ50" s="431" t="s">
        <v>187</v>
      </c>
      <c r="AK50" s="431" t="s">
        <v>214</v>
      </c>
      <c r="AL50" s="431" t="s">
        <v>233</v>
      </c>
      <c r="AM50" s="431" t="s">
        <v>242</v>
      </c>
      <c r="AN50" s="431" t="s">
        <v>250</v>
      </c>
      <c r="AO50" s="431" t="s">
        <v>258</v>
      </c>
      <c r="AP50" s="431" t="s">
        <v>265</v>
      </c>
      <c r="AQ50" s="431" t="s">
        <v>279</v>
      </c>
    </row>
    <row r="51" spans="1:43" x14ac:dyDescent="0.25">
      <c r="A51" s="358"/>
      <c r="B51" t="s">
        <v>186</v>
      </c>
      <c r="C51" s="368">
        <v>-0.64000000000000012</v>
      </c>
      <c r="D51" s="440">
        <v>-0.66</v>
      </c>
      <c r="E51" s="369">
        <v>-0.63000000000000012</v>
      </c>
      <c r="F51" s="370">
        <v>-0.60000000000000009</v>
      </c>
      <c r="G51" s="370">
        <v>-0.60000000000000009</v>
      </c>
      <c r="H51" s="371">
        <v>-0.59000000000000008</v>
      </c>
      <c r="I51" s="371">
        <v>-0.58000000000000007</v>
      </c>
      <c r="J51" s="372">
        <v>-0.42</v>
      </c>
      <c r="K51" s="433"/>
      <c r="L51" s="432"/>
      <c r="M51" s="433" t="s">
        <v>186</v>
      </c>
      <c r="N51" s="368">
        <v>-0.68000000000000016</v>
      </c>
      <c r="O51" s="440">
        <v>-0.7</v>
      </c>
      <c r="P51" s="369">
        <v>-0.67000000000000015</v>
      </c>
      <c r="Q51" s="370">
        <v>-0.65</v>
      </c>
      <c r="R51" s="370">
        <v>-0.63000000000000012</v>
      </c>
      <c r="S51" s="371">
        <v>-0.62000000000000011</v>
      </c>
      <c r="T51" s="371">
        <v>-0.6100000000000001</v>
      </c>
      <c r="U51" s="372">
        <v>-0.44999999999999996</v>
      </c>
      <c r="V51" s="433"/>
      <c r="W51" s="432"/>
      <c r="X51" s="433" t="s">
        <v>186</v>
      </c>
      <c r="Y51" s="368">
        <v>-0.75000000000000011</v>
      </c>
      <c r="Z51" s="440">
        <v>-0.7400000000000001</v>
      </c>
      <c r="AA51" s="369">
        <v>-0.71000000000000019</v>
      </c>
      <c r="AB51" s="370">
        <v>-0.7</v>
      </c>
      <c r="AC51" s="370">
        <v>-0.67000000000000015</v>
      </c>
      <c r="AD51" s="371">
        <v>-0.66000000000000014</v>
      </c>
      <c r="AE51" s="371">
        <v>-0.65000000000000013</v>
      </c>
      <c r="AF51" s="372">
        <v>-0.48999999999999994</v>
      </c>
      <c r="AG51" s="433"/>
      <c r="AH51" s="432"/>
      <c r="AI51" s="433" t="s">
        <v>186</v>
      </c>
      <c r="AJ51" s="368">
        <v>-0.76000000000000023</v>
      </c>
      <c r="AK51" s="440">
        <v>-0.78000000000000014</v>
      </c>
      <c r="AL51" s="369">
        <v>-0.75000000000000033</v>
      </c>
      <c r="AM51" s="370">
        <v>-0.73</v>
      </c>
      <c r="AN51" s="370">
        <v>-0.71000000000000019</v>
      </c>
      <c r="AO51" s="371">
        <v>-0.70000000000000018</v>
      </c>
      <c r="AP51" s="371">
        <v>-0.69000000000000017</v>
      </c>
      <c r="AQ51" s="372">
        <v>-0.52999999999999992</v>
      </c>
    </row>
    <row r="52" spans="1:43" x14ac:dyDescent="0.25">
      <c r="A52" s="358"/>
      <c r="B52" t="s">
        <v>213</v>
      </c>
      <c r="C52" s="373">
        <v>-0.67</v>
      </c>
      <c r="D52" s="374">
        <v>-0.64000000000000012</v>
      </c>
      <c r="E52" s="375">
        <v>-0.63000000000000012</v>
      </c>
      <c r="F52" s="376">
        <v>-0.6100000000000001</v>
      </c>
      <c r="G52" s="376">
        <v>-0.59000000000000008</v>
      </c>
      <c r="H52" s="377">
        <v>-0.59000000000000008</v>
      </c>
      <c r="I52" s="377">
        <v>-0.57000000000000006</v>
      </c>
      <c r="J52" s="378">
        <v>-0.42</v>
      </c>
      <c r="K52" s="433"/>
      <c r="L52" s="432"/>
      <c r="M52" s="433" t="s">
        <v>213</v>
      </c>
      <c r="N52" s="373">
        <v>-0.71000000000000019</v>
      </c>
      <c r="O52" s="374">
        <v>-0.68000000000000016</v>
      </c>
      <c r="P52" s="375">
        <v>-0.67000000000000015</v>
      </c>
      <c r="Q52" s="376">
        <v>-0.64000000000000012</v>
      </c>
      <c r="R52" s="376">
        <v>-0.62000000000000011</v>
      </c>
      <c r="S52" s="377">
        <v>-0.62000000000000011</v>
      </c>
      <c r="T52" s="377">
        <v>-0.60000000000000009</v>
      </c>
      <c r="U52" s="378">
        <v>-0.44999999999999996</v>
      </c>
      <c r="V52" s="433"/>
      <c r="W52" s="432"/>
      <c r="X52" s="433" t="s">
        <v>213</v>
      </c>
      <c r="Y52" s="373">
        <v>-0.75000000000000011</v>
      </c>
      <c r="Z52" s="374">
        <v>-0.73</v>
      </c>
      <c r="AA52" s="375">
        <v>-0.71000000000000019</v>
      </c>
      <c r="AB52" s="376">
        <v>-0.68000000000000016</v>
      </c>
      <c r="AC52" s="376">
        <v>-0.66000000000000014</v>
      </c>
      <c r="AD52" s="377">
        <v>-0.66000000000000014</v>
      </c>
      <c r="AE52" s="377">
        <v>-0.64000000000000012</v>
      </c>
      <c r="AF52" s="378">
        <v>-0.48999999999999994</v>
      </c>
      <c r="AG52" s="433"/>
      <c r="AH52" s="432"/>
      <c r="AI52" s="433" t="s">
        <v>213</v>
      </c>
      <c r="AJ52" s="373">
        <v>-0.79000000000000015</v>
      </c>
      <c r="AK52" s="374">
        <v>-0.78000000000000014</v>
      </c>
      <c r="AL52" s="375">
        <v>-0.77000000000000013</v>
      </c>
      <c r="AM52" s="376">
        <v>-0.75</v>
      </c>
      <c r="AN52" s="376">
        <v>-0.70000000000000018</v>
      </c>
      <c r="AO52" s="377">
        <v>-0.70000000000000018</v>
      </c>
      <c r="AP52" s="377">
        <v>-0.68000000000000016</v>
      </c>
      <c r="AQ52" s="378">
        <v>-0.52999999999999992</v>
      </c>
    </row>
    <row r="53" spans="1:43" x14ac:dyDescent="0.25">
      <c r="A53" s="358"/>
      <c r="B53" t="s">
        <v>232</v>
      </c>
      <c r="C53" s="379">
        <v>-0.63000000000000012</v>
      </c>
      <c r="D53" s="380">
        <v>-0.63000000000000012</v>
      </c>
      <c r="E53" s="381">
        <v>-0.59000000000000008</v>
      </c>
      <c r="F53" s="376">
        <v>-0.58000000000000007</v>
      </c>
      <c r="G53" s="376">
        <v>-0.58000000000000007</v>
      </c>
      <c r="H53" s="377">
        <v>-0.58000000000000007</v>
      </c>
      <c r="I53" s="377">
        <v>-0.57000000000000006</v>
      </c>
      <c r="J53" s="378">
        <v>-0.42</v>
      </c>
      <c r="K53" s="433"/>
      <c r="L53" s="432"/>
      <c r="M53" s="433" t="s">
        <v>232</v>
      </c>
      <c r="N53" s="379">
        <v>-0.67000000000000015</v>
      </c>
      <c r="O53" s="380">
        <v>-0.67000000000000015</v>
      </c>
      <c r="P53" s="381">
        <v>-0.65</v>
      </c>
      <c r="Q53" s="376">
        <v>-0.63</v>
      </c>
      <c r="R53" s="376">
        <v>-0.6100000000000001</v>
      </c>
      <c r="S53" s="377">
        <v>-0.6100000000000001</v>
      </c>
      <c r="T53" s="377">
        <v>-0.60000000000000009</v>
      </c>
      <c r="U53" s="378">
        <v>-0.44999999999999996</v>
      </c>
      <c r="V53" s="433"/>
      <c r="W53" s="432"/>
      <c r="X53" s="433" t="s">
        <v>232</v>
      </c>
      <c r="Y53" s="379">
        <v>-0.71000000000000019</v>
      </c>
      <c r="Z53" s="380">
        <v>-0.71000000000000019</v>
      </c>
      <c r="AA53" s="381">
        <v>-0.69</v>
      </c>
      <c r="AB53" s="376">
        <v>-0.67</v>
      </c>
      <c r="AC53" s="376">
        <v>-0.65000000000000013</v>
      </c>
      <c r="AD53" s="377">
        <v>-0.65000000000000013</v>
      </c>
      <c r="AE53" s="377">
        <v>-0.64000000000000012</v>
      </c>
      <c r="AF53" s="378">
        <v>-0.48999999999999994</v>
      </c>
      <c r="AG53" s="433"/>
      <c r="AH53" s="432"/>
      <c r="AI53" s="433" t="s">
        <v>232</v>
      </c>
      <c r="AJ53" s="379">
        <v>-0.77000000000000013</v>
      </c>
      <c r="AK53" s="380">
        <v>-0.75000000000000033</v>
      </c>
      <c r="AL53" s="381">
        <v>-0.73</v>
      </c>
      <c r="AM53" s="376">
        <v>-0.72</v>
      </c>
      <c r="AN53" s="376">
        <v>-0.7</v>
      </c>
      <c r="AO53" s="377">
        <v>-0.69000000000000017</v>
      </c>
      <c r="AP53" s="377">
        <v>-0.68000000000000016</v>
      </c>
      <c r="AQ53" s="378">
        <v>-0.52999999999999992</v>
      </c>
    </row>
    <row r="54" spans="1:43" x14ac:dyDescent="0.25">
      <c r="A54" s="358"/>
      <c r="B54" t="s">
        <v>215</v>
      </c>
      <c r="C54" s="382">
        <v>-0.63000000000000012</v>
      </c>
      <c r="D54" s="383">
        <v>-0.6100000000000001</v>
      </c>
      <c r="E54" s="383">
        <v>-0.60000000000000009</v>
      </c>
      <c r="F54" s="384">
        <v>-0.59000000000000008</v>
      </c>
      <c r="G54" s="384">
        <v>-0.58000000000000007</v>
      </c>
      <c r="H54" s="393">
        <v>-0.59000000000000008</v>
      </c>
      <c r="I54" s="393">
        <v>-0.59000000000000008</v>
      </c>
      <c r="J54" s="394">
        <v>-0.43</v>
      </c>
      <c r="K54" s="433"/>
      <c r="L54" s="432"/>
      <c r="M54" s="433" t="s">
        <v>215</v>
      </c>
      <c r="N54" s="382">
        <v>-0.66000000000000014</v>
      </c>
      <c r="O54" s="383">
        <v>-0.64000000000000012</v>
      </c>
      <c r="P54" s="383">
        <v>-0.63000000000000012</v>
      </c>
      <c r="Q54" s="384">
        <v>-0.62000000000000011</v>
      </c>
      <c r="R54" s="384">
        <v>-0.6100000000000001</v>
      </c>
      <c r="S54" s="393">
        <v>-0.62000000000000011</v>
      </c>
      <c r="T54" s="393">
        <v>-0.62000000000000011</v>
      </c>
      <c r="U54" s="394">
        <v>-0.44000000000000006</v>
      </c>
      <c r="V54" s="433"/>
      <c r="W54" s="432"/>
      <c r="X54" s="433" t="s">
        <v>215</v>
      </c>
      <c r="Y54" s="382">
        <v>-0.70000000000000018</v>
      </c>
      <c r="Z54" s="383">
        <v>-0.68000000000000016</v>
      </c>
      <c r="AA54" s="383">
        <v>-0.67000000000000015</v>
      </c>
      <c r="AB54" s="384">
        <v>-0.66000000000000014</v>
      </c>
      <c r="AC54" s="384">
        <v>-0.65000000000000013</v>
      </c>
      <c r="AD54" s="393">
        <v>-0.66000000000000014</v>
      </c>
      <c r="AE54" s="393">
        <v>-0.66000000000000014</v>
      </c>
      <c r="AF54" s="394">
        <v>-0.48</v>
      </c>
      <c r="AG54" s="433"/>
      <c r="AH54" s="432"/>
      <c r="AI54" s="433" t="s">
        <v>215</v>
      </c>
      <c r="AJ54" s="382">
        <v>-0.77000000000000013</v>
      </c>
      <c r="AK54" s="383">
        <v>-0.76</v>
      </c>
      <c r="AL54" s="383">
        <v>-0.75</v>
      </c>
      <c r="AM54" s="384">
        <v>-0.73</v>
      </c>
      <c r="AN54" s="384">
        <v>-0.71</v>
      </c>
      <c r="AO54" s="393">
        <v>-0.70000000000000018</v>
      </c>
      <c r="AP54" s="393">
        <v>-0.70000000000000018</v>
      </c>
      <c r="AQ54" s="394">
        <v>-0.52</v>
      </c>
    </row>
    <row r="55" spans="1:43" x14ac:dyDescent="0.25">
      <c r="A55" s="358"/>
      <c r="B55" t="s">
        <v>249</v>
      </c>
      <c r="C55" s="382">
        <v>-0.63000000000000012</v>
      </c>
      <c r="D55" s="383">
        <v>-0.6100000000000001</v>
      </c>
      <c r="E55" s="383">
        <v>-0.59000000000000008</v>
      </c>
      <c r="F55" s="384">
        <v>-0.59000000000000008</v>
      </c>
      <c r="G55" s="384">
        <v>-0.58000000000000007</v>
      </c>
      <c r="H55" s="393">
        <v>-0.59000000000000008</v>
      </c>
      <c r="I55" s="393">
        <v>-0.59000000000000008</v>
      </c>
      <c r="J55" s="394">
        <v>-0.4</v>
      </c>
      <c r="K55" s="433"/>
      <c r="L55" s="432"/>
      <c r="M55" s="433" t="s">
        <v>249</v>
      </c>
      <c r="N55" s="382">
        <v>-0.66000000000000014</v>
      </c>
      <c r="O55" s="383">
        <v>-0.64000000000000012</v>
      </c>
      <c r="P55" s="383">
        <v>-0.62000000000000011</v>
      </c>
      <c r="Q55" s="384">
        <v>-0.62000000000000011</v>
      </c>
      <c r="R55" s="384">
        <v>-0.6100000000000001</v>
      </c>
      <c r="S55" s="393">
        <v>-0.62000000000000011</v>
      </c>
      <c r="T55" s="393">
        <v>-0.62000000000000011</v>
      </c>
      <c r="U55" s="394">
        <v>-0.41</v>
      </c>
      <c r="V55" s="433"/>
      <c r="W55" s="432"/>
      <c r="X55" s="433" t="s">
        <v>249</v>
      </c>
      <c r="Y55" s="382">
        <v>-0.70000000000000018</v>
      </c>
      <c r="Z55" s="383">
        <v>-0.69</v>
      </c>
      <c r="AA55" s="383">
        <v>-0.67</v>
      </c>
      <c r="AB55" s="384">
        <v>-0.66000000000000014</v>
      </c>
      <c r="AC55" s="384">
        <v>-0.65000000000000013</v>
      </c>
      <c r="AD55" s="393">
        <v>-0.66000000000000014</v>
      </c>
      <c r="AE55" s="393">
        <v>-0.66000000000000014</v>
      </c>
      <c r="AF55" s="394">
        <v>-0.45</v>
      </c>
      <c r="AG55" s="433"/>
      <c r="AH55" s="432"/>
      <c r="AI55" s="433" t="s">
        <v>249</v>
      </c>
      <c r="AJ55" s="382">
        <v>-0.75000000000000011</v>
      </c>
      <c r="AK55" s="383">
        <v>-0.76</v>
      </c>
      <c r="AL55" s="383">
        <v>-0.76</v>
      </c>
      <c r="AM55" s="384">
        <v>-0.75</v>
      </c>
      <c r="AN55" s="384">
        <v>-0.73</v>
      </c>
      <c r="AO55" s="393">
        <v>-0.70000000000000018</v>
      </c>
      <c r="AP55" s="393">
        <v>-0.70000000000000018</v>
      </c>
      <c r="AQ55" s="394">
        <v>-0.49</v>
      </c>
    </row>
    <row r="56" spans="1:43" x14ac:dyDescent="0.25">
      <c r="A56" s="358"/>
      <c r="B56" t="s">
        <v>257</v>
      </c>
      <c r="C56" s="382">
        <v>-0.63000000000000012</v>
      </c>
      <c r="D56" s="383">
        <v>-0.6100000000000001</v>
      </c>
      <c r="E56" s="383">
        <v>-0.60000000000000009</v>
      </c>
      <c r="F56" s="384">
        <v>-0.59000000000000008</v>
      </c>
      <c r="G56" s="384">
        <v>-0.57000000000000006</v>
      </c>
      <c r="H56" s="393">
        <v>-0.59000000000000008</v>
      </c>
      <c r="I56" s="393">
        <v>-0.58000000000000007</v>
      </c>
      <c r="J56" s="394">
        <v>-0.38</v>
      </c>
      <c r="K56" s="433"/>
      <c r="L56" s="432"/>
      <c r="M56" s="433" t="s">
        <v>257</v>
      </c>
      <c r="N56" s="382">
        <v>-0.66000000000000014</v>
      </c>
      <c r="O56" s="383">
        <v>-0.64000000000000012</v>
      </c>
      <c r="P56" s="383">
        <v>-0.63000000000000012</v>
      </c>
      <c r="Q56" s="384">
        <v>-0.62000000000000011</v>
      </c>
      <c r="R56" s="384">
        <v>-0.60000000000000009</v>
      </c>
      <c r="S56" s="393">
        <v>-0.62000000000000011</v>
      </c>
      <c r="T56" s="393">
        <v>-0.6100000000000001</v>
      </c>
      <c r="U56" s="394">
        <v>-0.41</v>
      </c>
      <c r="V56" s="433"/>
      <c r="W56" s="432"/>
      <c r="X56" s="433" t="s">
        <v>257</v>
      </c>
      <c r="Y56" s="382">
        <v>-0.70000000000000018</v>
      </c>
      <c r="Z56" s="383">
        <v>-0.69</v>
      </c>
      <c r="AA56" s="383">
        <v>-0.67000000000000015</v>
      </c>
      <c r="AB56" s="384">
        <v>-0.66000000000000014</v>
      </c>
      <c r="AC56" s="384">
        <v>-0.64000000000000012</v>
      </c>
      <c r="AD56" s="393">
        <v>-0.66000000000000014</v>
      </c>
      <c r="AE56" s="393">
        <v>-0.65000000000000013</v>
      </c>
      <c r="AF56" s="394">
        <v>-0.45</v>
      </c>
      <c r="AG56" s="433"/>
      <c r="AH56" s="432"/>
      <c r="AI56" s="433" t="s">
        <v>257</v>
      </c>
      <c r="AJ56" s="382">
        <v>-0.75000000000000011</v>
      </c>
      <c r="AK56" s="383">
        <v>-0.75</v>
      </c>
      <c r="AL56" s="383">
        <v>-0.74</v>
      </c>
      <c r="AM56" s="384">
        <v>-0.72</v>
      </c>
      <c r="AN56" s="384">
        <v>-0.7</v>
      </c>
      <c r="AO56" s="393">
        <v>-0.70000000000000018</v>
      </c>
      <c r="AP56" s="393">
        <v>-0.69000000000000017</v>
      </c>
      <c r="AQ56" s="394">
        <v>-0.49</v>
      </c>
    </row>
    <row r="57" spans="1:43" x14ac:dyDescent="0.25">
      <c r="A57" s="358"/>
      <c r="B57" t="s">
        <v>264</v>
      </c>
      <c r="C57" s="385">
        <v>-0.65000000000000013</v>
      </c>
      <c r="D57" s="386">
        <v>-0.64</v>
      </c>
      <c r="E57" s="386">
        <v>-0.62000000000000011</v>
      </c>
      <c r="F57" s="387">
        <v>-0.6100000000000001</v>
      </c>
      <c r="G57" s="387">
        <v>-0.6</v>
      </c>
      <c r="H57" s="441">
        <v>-0.6</v>
      </c>
      <c r="I57" s="441">
        <v>-0.59000000000000008</v>
      </c>
      <c r="J57" s="442">
        <v>-0.4</v>
      </c>
      <c r="K57" s="433"/>
      <c r="L57" s="432"/>
      <c r="M57" s="433" t="s">
        <v>264</v>
      </c>
      <c r="N57" s="385">
        <v>-0.68000000000000016</v>
      </c>
      <c r="O57" s="386">
        <v>-0.67000000000000015</v>
      </c>
      <c r="P57" s="386">
        <v>-0.65000000000000013</v>
      </c>
      <c r="Q57" s="387">
        <v>-0.64</v>
      </c>
      <c r="R57" s="387">
        <v>-0.63</v>
      </c>
      <c r="S57" s="441">
        <v>-0.63</v>
      </c>
      <c r="T57" s="441">
        <v>-0.62000000000000011</v>
      </c>
      <c r="U57" s="442">
        <v>-0.43</v>
      </c>
      <c r="V57" s="433"/>
      <c r="W57" s="432"/>
      <c r="X57" s="433" t="s">
        <v>264</v>
      </c>
      <c r="Y57" s="385">
        <v>-0.7200000000000002</v>
      </c>
      <c r="Z57" s="386">
        <v>-0.71000000000000019</v>
      </c>
      <c r="AA57" s="386">
        <v>-0.69</v>
      </c>
      <c r="AB57" s="387">
        <v>-0.68000000000000016</v>
      </c>
      <c r="AC57" s="387">
        <v>-0.67</v>
      </c>
      <c r="AD57" s="441">
        <v>-0.67</v>
      </c>
      <c r="AE57" s="441">
        <v>-0.66000000000000014</v>
      </c>
      <c r="AF57" s="442">
        <v>-0.47</v>
      </c>
      <c r="AG57" s="433"/>
      <c r="AH57" s="432"/>
      <c r="AI57" s="433" t="s">
        <v>264</v>
      </c>
      <c r="AJ57" s="385">
        <v>-0.76000000000000012</v>
      </c>
      <c r="AK57" s="386">
        <v>-0.75000000000000011</v>
      </c>
      <c r="AL57" s="386">
        <v>-0.75</v>
      </c>
      <c r="AM57" s="387">
        <v>-0.74</v>
      </c>
      <c r="AN57" s="387">
        <v>-0.72999999999999987</v>
      </c>
      <c r="AO57" s="441">
        <v>-0.71999999999999986</v>
      </c>
      <c r="AP57" s="441">
        <v>-0.70000000000000029</v>
      </c>
      <c r="AQ57" s="442">
        <v>-0.53</v>
      </c>
    </row>
    <row r="58" spans="1:43" x14ac:dyDescent="0.25">
      <c r="A58" s="358"/>
      <c r="B58" t="s">
        <v>272</v>
      </c>
      <c r="C58" s="385">
        <v>-0.62000000000000011</v>
      </c>
      <c r="D58" s="386">
        <v>-0.6100000000000001</v>
      </c>
      <c r="E58" s="386">
        <v>-0.6100000000000001</v>
      </c>
      <c r="F58" s="387">
        <v>-0.6100000000000001</v>
      </c>
      <c r="G58" s="387">
        <v>-0.59000000000000008</v>
      </c>
      <c r="H58" s="441">
        <v>-0.6</v>
      </c>
      <c r="I58" s="441">
        <v>-0.56999999999999995</v>
      </c>
      <c r="J58" s="442">
        <v>-0.39</v>
      </c>
      <c r="K58" s="433"/>
      <c r="L58" s="432"/>
      <c r="M58" s="433" t="s">
        <v>272</v>
      </c>
      <c r="N58" s="385">
        <v>-0.65000000000000013</v>
      </c>
      <c r="O58" s="386">
        <v>-0.64</v>
      </c>
      <c r="P58" s="386">
        <v>-0.64</v>
      </c>
      <c r="Q58" s="387">
        <v>-0.64</v>
      </c>
      <c r="R58" s="387">
        <v>-0.62000000000000011</v>
      </c>
      <c r="S58" s="441">
        <v>-0.63</v>
      </c>
      <c r="T58" s="441">
        <v>-0.60000000000000009</v>
      </c>
      <c r="U58" s="442">
        <v>-0.42</v>
      </c>
      <c r="V58" s="433"/>
      <c r="W58" s="432"/>
      <c r="X58" s="433" t="s">
        <v>272</v>
      </c>
      <c r="Y58" s="385">
        <v>-0.69</v>
      </c>
      <c r="Z58" s="386">
        <v>-0.68000000000000016</v>
      </c>
      <c r="AA58" s="386">
        <v>-0.68000000000000016</v>
      </c>
      <c r="AB58" s="387">
        <v>-0.68000000000000016</v>
      </c>
      <c r="AC58" s="387">
        <v>-0.69</v>
      </c>
      <c r="AD58" s="441">
        <v>-0.68</v>
      </c>
      <c r="AE58" s="441">
        <v>-0.65</v>
      </c>
      <c r="AF58" s="442">
        <v>-0.49000000000000005</v>
      </c>
      <c r="AG58" s="433"/>
      <c r="AH58" s="432"/>
      <c r="AI58" s="433" t="s">
        <v>272</v>
      </c>
      <c r="AJ58" s="385">
        <v>-0.73000000000000009</v>
      </c>
      <c r="AK58" s="386">
        <v>-0.7200000000000002</v>
      </c>
      <c r="AL58" s="386">
        <v>-0.7200000000000002</v>
      </c>
      <c r="AM58" s="387">
        <v>-0.7200000000000002</v>
      </c>
      <c r="AN58" s="387">
        <v>-0.71</v>
      </c>
      <c r="AO58" s="441">
        <v>-0.69999999999999984</v>
      </c>
      <c r="AP58" s="441">
        <v>-0.68000000000000016</v>
      </c>
      <c r="AQ58" s="442">
        <v>-0.54</v>
      </c>
    </row>
    <row r="59" spans="1:43" x14ac:dyDescent="0.25">
      <c r="A59" s="358"/>
      <c r="B59" t="s">
        <v>278</v>
      </c>
      <c r="C59" s="385">
        <v>-0.62000000000000011</v>
      </c>
      <c r="D59" s="386">
        <v>-0.6</v>
      </c>
      <c r="E59" s="386">
        <v>-0.59000000000000008</v>
      </c>
      <c r="F59" s="387">
        <v>-0.59000000000000008</v>
      </c>
      <c r="G59" s="387">
        <v>-0.59000000000000008</v>
      </c>
      <c r="H59" s="441">
        <v>-0.56999999999999995</v>
      </c>
      <c r="I59" s="441">
        <v>-0.56999999999999995</v>
      </c>
      <c r="J59" s="442">
        <v>-0.46</v>
      </c>
      <c r="K59" s="433"/>
      <c r="L59" s="432"/>
      <c r="M59" s="433" t="s">
        <v>278</v>
      </c>
      <c r="N59" s="385">
        <v>-0.65000000000000013</v>
      </c>
      <c r="O59" s="386">
        <v>-0.63</v>
      </c>
      <c r="P59" s="386">
        <v>-0.62000000000000011</v>
      </c>
      <c r="Q59" s="387">
        <v>-0.62000000000000011</v>
      </c>
      <c r="R59" s="387">
        <v>-0.62000000000000011</v>
      </c>
      <c r="S59" s="441">
        <v>-0.60000000000000009</v>
      </c>
      <c r="T59" s="441">
        <v>-0.60000000000000009</v>
      </c>
      <c r="U59" s="442">
        <v>-0.49999999999999994</v>
      </c>
      <c r="V59" s="433"/>
      <c r="W59" s="432"/>
      <c r="X59" s="433" t="s">
        <v>278</v>
      </c>
      <c r="Y59" s="385">
        <v>-0.69</v>
      </c>
      <c r="Z59" s="386">
        <v>-0.67</v>
      </c>
      <c r="AA59" s="386">
        <v>-0.66000000000000014</v>
      </c>
      <c r="AB59" s="387">
        <v>-0.66000000000000014</v>
      </c>
      <c r="AC59" s="387">
        <v>-0.66000000000000014</v>
      </c>
      <c r="AD59" s="441">
        <v>-0.64</v>
      </c>
      <c r="AE59" s="441">
        <v>-0.62</v>
      </c>
      <c r="AF59" s="442">
        <v>-0.53999999999999992</v>
      </c>
      <c r="AG59" s="433"/>
      <c r="AH59" s="432"/>
      <c r="AI59" s="433" t="s">
        <v>278</v>
      </c>
      <c r="AJ59" s="385">
        <v>-0.75</v>
      </c>
      <c r="AK59" s="386">
        <v>-0.73999999999999988</v>
      </c>
      <c r="AL59" s="386">
        <v>-0.74</v>
      </c>
      <c r="AM59" s="387">
        <v>-0.73</v>
      </c>
      <c r="AN59" s="387">
        <v>-0.73</v>
      </c>
      <c r="AO59" s="441">
        <v>-0.73</v>
      </c>
      <c r="AP59" s="441">
        <v>-0.71</v>
      </c>
      <c r="AQ59" s="442">
        <v>-0.62999999999999989</v>
      </c>
    </row>
    <row r="60" spans="1:43" x14ac:dyDescent="0.25">
      <c r="A60" s="358"/>
      <c r="B60" t="s">
        <v>284</v>
      </c>
      <c r="C60" s="388">
        <v>-0.62000000000000011</v>
      </c>
      <c r="D60" s="389">
        <v>-0.6</v>
      </c>
      <c r="E60" s="389">
        <v>-0.6</v>
      </c>
      <c r="F60" s="390">
        <v>-0.59000000000000008</v>
      </c>
      <c r="G60" s="390">
        <v>-0.58000000000000007</v>
      </c>
      <c r="H60" s="443">
        <v>-0.59000000000000008</v>
      </c>
      <c r="I60" s="443">
        <v>-0.56000000000000005</v>
      </c>
      <c r="J60" s="444">
        <v>-0.49</v>
      </c>
      <c r="K60" s="433"/>
      <c r="L60" s="432"/>
      <c r="M60" s="433" t="s">
        <v>284</v>
      </c>
      <c r="N60" s="388">
        <v>-0.65000000000000013</v>
      </c>
      <c r="O60" s="389">
        <v>-0.63</v>
      </c>
      <c r="P60" s="389">
        <v>-0.63</v>
      </c>
      <c r="Q60" s="390">
        <v>-0.62000000000000011</v>
      </c>
      <c r="R60" s="390">
        <v>-0.6100000000000001</v>
      </c>
      <c r="S60" s="443">
        <v>-0.62000000000000011</v>
      </c>
      <c r="T60" s="443">
        <v>-0.59000000000000008</v>
      </c>
      <c r="U60" s="444">
        <v>-0.52</v>
      </c>
      <c r="V60" s="433"/>
      <c r="W60" s="432"/>
      <c r="X60" s="433" t="s">
        <v>284</v>
      </c>
      <c r="Y60" s="388">
        <v>-0.69</v>
      </c>
      <c r="Z60" s="389">
        <v>-0.67</v>
      </c>
      <c r="AA60" s="389">
        <v>-0.67</v>
      </c>
      <c r="AB60" s="390">
        <v>-0.66000000000000014</v>
      </c>
      <c r="AC60" s="390">
        <v>-0.65000000000000013</v>
      </c>
      <c r="AD60" s="443">
        <v>-0.66000000000000014</v>
      </c>
      <c r="AE60" s="443">
        <v>-0.63000000000000012</v>
      </c>
      <c r="AF60" s="444">
        <v>-0.56000000000000005</v>
      </c>
      <c r="AG60" s="433"/>
      <c r="AH60" s="432"/>
      <c r="AI60" s="433" t="s">
        <v>284</v>
      </c>
      <c r="AJ60" s="388">
        <v>-0.73000000000000009</v>
      </c>
      <c r="AK60" s="389">
        <v>-0.72999999999999987</v>
      </c>
      <c r="AL60" s="389">
        <v>-0.72999999999999987</v>
      </c>
      <c r="AM60" s="390">
        <v>-0.72</v>
      </c>
      <c r="AN60" s="390">
        <v>-0.71</v>
      </c>
      <c r="AO60" s="443">
        <v>-0.70000000000000029</v>
      </c>
      <c r="AP60" s="443">
        <v>-0.69</v>
      </c>
      <c r="AQ60" s="444">
        <v>-0.6100000000000001</v>
      </c>
    </row>
    <row r="62" spans="1:43" x14ac:dyDescent="0.25">
      <c r="C62" s="37"/>
      <c r="N62" s="37"/>
      <c r="Y62" s="37"/>
      <c r="AJ62" s="37"/>
    </row>
  </sheetData>
  <sheetProtection algorithmName="SHA-512" hashValue="ZF2kfiNwyFjboor4o8C1VGeY60j45NXaIvzR0OPDhqmTGFVge+iAlest3QVcGgpViObqSh1pqgH7B3fAmxMmMA==" saltValue="x03pnEQSsJyCzHQen8d5ow==" spinCount="100000" sheet="1" objects="1" scenarios="1" autoFilter="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K302"/>
  <sheetViews>
    <sheetView workbookViewId="0">
      <selection activeCell="C4" sqref="C4"/>
    </sheetView>
  </sheetViews>
  <sheetFormatPr defaultRowHeight="15" x14ac:dyDescent="0.25"/>
  <cols>
    <col min="1" max="1" width="2" customWidth="1"/>
    <col min="2" max="2" width="11.5703125" style="18" bestFit="1" customWidth="1"/>
    <col min="3" max="3" width="8" bestFit="1" customWidth="1"/>
    <col min="4" max="4" width="6.5703125" customWidth="1"/>
    <col min="5" max="9" width="6.5703125" bestFit="1" customWidth="1"/>
    <col min="10" max="10" width="5.5703125" bestFit="1" customWidth="1"/>
    <col min="11" max="11" width="11.5703125" style="18" bestFit="1" customWidth="1"/>
    <col min="12" max="12" width="8.42578125" bestFit="1" customWidth="1"/>
    <col min="13" max="14" width="6.28515625" customWidth="1"/>
    <col min="15" max="15" width="5.7109375" bestFit="1" customWidth="1"/>
    <col min="16" max="16" width="5" customWidth="1"/>
    <col min="17" max="18" width="5.7109375" bestFit="1" customWidth="1"/>
    <col min="19" max="19" width="3.7109375" customWidth="1"/>
    <col min="20" max="20" width="8.5703125" customWidth="1"/>
    <col min="21" max="21" width="6.28515625" customWidth="1"/>
    <col min="22" max="27" width="5.28515625" bestFit="1" customWidth="1"/>
    <col min="28" max="28" width="3" customWidth="1"/>
    <col min="29" max="29" width="9" bestFit="1" customWidth="1"/>
    <col min="30" max="30" width="5.28515625" bestFit="1" customWidth="1"/>
    <col min="31" max="31" width="6.28515625" bestFit="1" customWidth="1"/>
    <col min="32" max="32" width="6.5703125" bestFit="1" customWidth="1"/>
    <col min="33" max="36" width="5.28515625" bestFit="1" customWidth="1"/>
    <col min="37" max="37" width="3.5703125" customWidth="1"/>
    <col min="38" max="38" width="9" bestFit="1" customWidth="1"/>
    <col min="39" max="45" width="5.5703125" customWidth="1"/>
    <col min="46" max="46" width="3" customWidth="1"/>
    <col min="47" max="47" width="9" bestFit="1" customWidth="1"/>
    <col min="48" max="54" width="5.7109375" bestFit="1" customWidth="1"/>
    <col min="55" max="55" width="3.7109375" customWidth="1"/>
    <col min="56" max="56" width="6.85546875" bestFit="1" customWidth="1"/>
    <col min="57" max="63" width="7.28515625" customWidth="1"/>
  </cols>
  <sheetData>
    <row r="1" spans="2:63" s="569" customFormat="1" ht="15.6" x14ac:dyDescent="0.3">
      <c r="B1" s="860" t="s">
        <v>235</v>
      </c>
      <c r="C1" s="860"/>
      <c r="D1" s="860"/>
      <c r="E1" s="860"/>
      <c r="F1" s="860"/>
      <c r="G1" s="860"/>
      <c r="H1" s="860"/>
      <c r="I1" s="860"/>
      <c r="K1" s="860" t="s">
        <v>240</v>
      </c>
      <c r="L1" s="860"/>
      <c r="M1" s="860"/>
      <c r="N1" s="860"/>
      <c r="O1" s="860"/>
      <c r="P1" s="860"/>
      <c r="Q1" s="860"/>
      <c r="R1" s="860"/>
      <c r="T1" s="860" t="s">
        <v>919</v>
      </c>
      <c r="U1" s="860"/>
      <c r="V1" s="860"/>
      <c r="W1" s="860"/>
      <c r="X1" s="860"/>
      <c r="Y1" s="860"/>
      <c r="Z1" s="860"/>
      <c r="AA1" s="860"/>
      <c r="AC1" s="860" t="s">
        <v>210</v>
      </c>
      <c r="AD1" s="860"/>
      <c r="AE1" s="860"/>
      <c r="AF1" s="860"/>
      <c r="AG1" s="860"/>
      <c r="AH1" s="860"/>
      <c r="AI1" s="860"/>
      <c r="AJ1" s="860"/>
      <c r="AL1" s="860" t="s">
        <v>967</v>
      </c>
      <c r="AM1" s="860"/>
      <c r="AN1" s="860"/>
      <c r="AO1" s="860"/>
      <c r="AP1" s="860"/>
      <c r="AQ1" s="860"/>
      <c r="AR1" s="860"/>
      <c r="AS1" s="860"/>
      <c r="AU1" s="860" t="s">
        <v>970</v>
      </c>
      <c r="AV1" s="860"/>
      <c r="AW1" s="860"/>
      <c r="AX1" s="860"/>
      <c r="AY1" s="860"/>
      <c r="AZ1" s="860"/>
      <c r="BA1" s="860"/>
      <c r="BB1" s="860"/>
      <c r="BD1" s="860" t="s">
        <v>1140</v>
      </c>
      <c r="BE1" s="860"/>
      <c r="BF1" s="860"/>
      <c r="BG1" s="860"/>
      <c r="BH1" s="860"/>
      <c r="BI1" s="860"/>
      <c r="BJ1" s="860"/>
      <c r="BK1" s="860"/>
    </row>
    <row r="2" spans="2:63" ht="14.25" customHeight="1" x14ac:dyDescent="0.3">
      <c r="B2" s="555"/>
      <c r="K2" s="555"/>
      <c r="T2" s="745"/>
      <c r="AC2" s="556"/>
      <c r="AL2" s="556"/>
      <c r="AU2" s="556"/>
    </row>
    <row r="3" spans="2:63" thickBot="1" x14ac:dyDescent="0.35">
      <c r="B3" s="557" t="s">
        <v>1077</v>
      </c>
      <c r="C3" s="746"/>
      <c r="D3" s="746"/>
      <c r="E3" s="746"/>
      <c r="F3" s="746"/>
      <c r="G3" s="746"/>
      <c r="H3" s="746"/>
      <c r="I3" s="747"/>
      <c r="K3" s="557" t="s">
        <v>1077</v>
      </c>
      <c r="L3" s="746"/>
      <c r="M3" s="746"/>
      <c r="N3" s="746"/>
      <c r="O3" s="746"/>
      <c r="P3" s="746"/>
      <c r="Q3" s="746"/>
      <c r="R3" s="747"/>
      <c r="T3" s="557" t="s">
        <v>1077</v>
      </c>
      <c r="U3" s="746"/>
      <c r="V3" s="746"/>
      <c r="W3" s="746"/>
      <c r="X3" s="746"/>
      <c r="Y3" s="746"/>
      <c r="Z3" s="746"/>
      <c r="AA3" s="747"/>
      <c r="AC3" s="557" t="s">
        <v>1077</v>
      </c>
      <c r="AD3" s="746"/>
      <c r="AE3" s="746"/>
      <c r="AF3" s="746"/>
      <c r="AG3" s="746"/>
      <c r="AH3" s="746"/>
      <c r="AI3" s="746"/>
      <c r="AJ3" s="747"/>
      <c r="AL3" s="557" t="s">
        <v>1077</v>
      </c>
      <c r="AM3" s="746"/>
      <c r="AN3" s="746"/>
      <c r="AO3" s="746"/>
      <c r="AP3" s="746"/>
      <c r="AQ3" s="746"/>
      <c r="AR3" s="746"/>
      <c r="AS3" s="747"/>
      <c r="AU3" s="557" t="s">
        <v>1077</v>
      </c>
      <c r="AV3" s="746"/>
      <c r="AW3" s="746"/>
      <c r="AX3" s="746"/>
      <c r="AY3" s="746"/>
      <c r="AZ3" s="746"/>
      <c r="BA3" s="746"/>
      <c r="BB3" s="747"/>
      <c r="BD3" s="557" t="s">
        <v>1077</v>
      </c>
    </row>
    <row r="4" spans="2:63" thickBot="1" x14ac:dyDescent="0.35">
      <c r="B4" s="748" t="s">
        <v>1027</v>
      </c>
      <c r="C4" s="749" t="s">
        <v>187</v>
      </c>
      <c r="D4" s="749" t="s">
        <v>214</v>
      </c>
      <c r="E4" s="749" t="s">
        <v>233</v>
      </c>
      <c r="F4" s="749" t="s">
        <v>242</v>
      </c>
      <c r="G4" s="749" t="s">
        <v>250</v>
      </c>
      <c r="H4" s="749" t="s">
        <v>258</v>
      </c>
      <c r="I4" s="750" t="s">
        <v>265</v>
      </c>
      <c r="K4" s="748" t="s">
        <v>1027</v>
      </c>
      <c r="L4" s="749" t="s">
        <v>187</v>
      </c>
      <c r="M4" s="749" t="s">
        <v>214</v>
      </c>
      <c r="N4" s="749" t="s">
        <v>233</v>
      </c>
      <c r="O4" s="749" t="s">
        <v>242</v>
      </c>
      <c r="P4" s="749" t="s">
        <v>250</v>
      </c>
      <c r="Q4" s="749" t="s">
        <v>258</v>
      </c>
      <c r="R4" s="750" t="s">
        <v>265</v>
      </c>
      <c r="T4" s="751" t="s">
        <v>1027</v>
      </c>
      <c r="U4" s="749" t="s">
        <v>187</v>
      </c>
      <c r="V4" s="749" t="s">
        <v>214</v>
      </c>
      <c r="W4" s="749" t="s">
        <v>233</v>
      </c>
      <c r="X4" s="749" t="s">
        <v>242</v>
      </c>
      <c r="Y4" s="749" t="s">
        <v>250</v>
      </c>
      <c r="Z4" s="749" t="s">
        <v>258</v>
      </c>
      <c r="AA4" s="750" t="s">
        <v>265</v>
      </c>
      <c r="AC4" s="752" t="s">
        <v>1027</v>
      </c>
      <c r="AD4" s="749" t="s">
        <v>187</v>
      </c>
      <c r="AE4" s="749" t="s">
        <v>214</v>
      </c>
      <c r="AF4" s="749" t="s">
        <v>233</v>
      </c>
      <c r="AG4" s="749" t="s">
        <v>242</v>
      </c>
      <c r="AH4" s="749" t="s">
        <v>250</v>
      </c>
      <c r="AI4" s="749" t="s">
        <v>258</v>
      </c>
      <c r="AJ4" s="750" t="s">
        <v>265</v>
      </c>
      <c r="AL4" s="752" t="s">
        <v>1027</v>
      </c>
      <c r="AM4" s="749" t="s">
        <v>187</v>
      </c>
      <c r="AN4" s="749" t="s">
        <v>214</v>
      </c>
      <c r="AO4" s="749" t="s">
        <v>233</v>
      </c>
      <c r="AP4" s="749" t="s">
        <v>242</v>
      </c>
      <c r="AQ4" s="749" t="s">
        <v>250</v>
      </c>
      <c r="AR4" s="749" t="s">
        <v>258</v>
      </c>
      <c r="AS4" s="750" t="s">
        <v>265</v>
      </c>
      <c r="AU4" s="752" t="s">
        <v>1027</v>
      </c>
      <c r="AV4" s="749" t="s">
        <v>187</v>
      </c>
      <c r="AW4" s="749" t="s">
        <v>214</v>
      </c>
      <c r="AX4" s="749" t="s">
        <v>233</v>
      </c>
      <c r="AY4" s="749" t="s">
        <v>242</v>
      </c>
      <c r="AZ4" s="749" t="s">
        <v>250</v>
      </c>
      <c r="BA4" s="749" t="s">
        <v>258</v>
      </c>
      <c r="BB4" s="750" t="s">
        <v>265</v>
      </c>
    </row>
    <row r="5" spans="2:63" ht="14.45" x14ac:dyDescent="0.3">
      <c r="B5" s="753" t="s">
        <v>186</v>
      </c>
      <c r="C5" s="754">
        <v>-41</v>
      </c>
      <c r="D5" s="755">
        <v>-41</v>
      </c>
      <c r="E5" s="755">
        <v>-40</v>
      </c>
      <c r="F5" s="755">
        <v>-41</v>
      </c>
      <c r="G5" s="755">
        <v>-44</v>
      </c>
      <c r="H5" s="755">
        <v>-44</v>
      </c>
      <c r="I5" s="756">
        <v>-37</v>
      </c>
      <c r="K5" s="753" t="s">
        <v>186</v>
      </c>
      <c r="L5" s="754">
        <v>-40</v>
      </c>
      <c r="M5" s="755">
        <v>-46</v>
      </c>
      <c r="N5" s="755">
        <v>-44</v>
      </c>
      <c r="O5" s="755">
        <v>-46</v>
      </c>
      <c r="P5" s="755">
        <v>-43</v>
      </c>
      <c r="Q5" s="755">
        <v>-43</v>
      </c>
      <c r="R5" s="756">
        <v>-37</v>
      </c>
      <c r="T5" s="757" t="s">
        <v>186</v>
      </c>
      <c r="U5" s="754">
        <v>-47</v>
      </c>
      <c r="V5" s="755">
        <v>-49</v>
      </c>
      <c r="W5" s="755">
        <v>-52</v>
      </c>
      <c r="X5" s="755">
        <v>-52</v>
      </c>
      <c r="Y5" s="755">
        <v>-51</v>
      </c>
      <c r="Z5" s="755">
        <v>-47</v>
      </c>
      <c r="AA5" s="756">
        <v>-49</v>
      </c>
      <c r="AC5" s="758" t="s">
        <v>186</v>
      </c>
      <c r="AD5" s="754">
        <v>-58</v>
      </c>
      <c r="AE5" s="755">
        <v>-60</v>
      </c>
      <c r="AF5" s="755">
        <v>-59</v>
      </c>
      <c r="AG5" s="755">
        <v>-60</v>
      </c>
      <c r="AH5" s="755">
        <v>-58</v>
      </c>
      <c r="AI5" s="755">
        <v>-54</v>
      </c>
      <c r="AJ5" s="756">
        <v>-49</v>
      </c>
      <c r="AL5" s="758" t="s">
        <v>186</v>
      </c>
      <c r="AM5" s="754">
        <v>-33</v>
      </c>
      <c r="AN5" s="755">
        <v>-33</v>
      </c>
      <c r="AO5" s="755">
        <v>-32</v>
      </c>
      <c r="AP5" s="755">
        <v>-30</v>
      </c>
      <c r="AQ5" s="755">
        <v>-33</v>
      </c>
      <c r="AR5" s="755">
        <v>-34</v>
      </c>
      <c r="AS5" s="756">
        <v>-36</v>
      </c>
      <c r="AU5" s="758" t="s">
        <v>186</v>
      </c>
      <c r="AV5" s="754">
        <v>-53</v>
      </c>
      <c r="AW5" s="755">
        <v>-56</v>
      </c>
      <c r="AX5" s="755">
        <v>-57</v>
      </c>
      <c r="AY5" s="755">
        <v>-55</v>
      </c>
      <c r="AZ5" s="755">
        <v>-53</v>
      </c>
      <c r="BA5" s="755">
        <v>-55</v>
      </c>
      <c r="BB5" s="756">
        <v>-52</v>
      </c>
    </row>
    <row r="6" spans="2:63" ht="14.45" x14ac:dyDescent="0.3">
      <c r="B6" s="759" t="s">
        <v>213</v>
      </c>
      <c r="C6" s="760">
        <v>-38</v>
      </c>
      <c r="D6" s="761">
        <v>-39</v>
      </c>
      <c r="E6" s="761">
        <v>-39</v>
      </c>
      <c r="F6" s="761">
        <v>-38</v>
      </c>
      <c r="G6" s="761">
        <v>-41</v>
      </c>
      <c r="H6" s="761">
        <v>-41</v>
      </c>
      <c r="I6" s="762">
        <v>-35</v>
      </c>
      <c r="K6" s="759" t="s">
        <v>213</v>
      </c>
      <c r="L6" s="760">
        <v>-43</v>
      </c>
      <c r="M6" s="761">
        <v>-44</v>
      </c>
      <c r="N6" s="761">
        <v>-42</v>
      </c>
      <c r="O6" s="761">
        <v>-43</v>
      </c>
      <c r="P6" s="761">
        <v>-42</v>
      </c>
      <c r="Q6" s="761">
        <v>-40</v>
      </c>
      <c r="R6" s="762">
        <v>-36</v>
      </c>
      <c r="T6" s="763" t="s">
        <v>213</v>
      </c>
      <c r="U6" s="760">
        <v>-50</v>
      </c>
      <c r="V6" s="761">
        <v>-51</v>
      </c>
      <c r="W6" s="761">
        <v>-52</v>
      </c>
      <c r="X6" s="761">
        <v>-51</v>
      </c>
      <c r="Y6" s="761">
        <v>-51</v>
      </c>
      <c r="Z6" s="761">
        <v>-51</v>
      </c>
      <c r="AA6" s="762">
        <v>-47</v>
      </c>
      <c r="AC6" s="764" t="s">
        <v>213</v>
      </c>
      <c r="AD6" s="760">
        <v>-57</v>
      </c>
      <c r="AE6" s="761">
        <v>-59</v>
      </c>
      <c r="AF6" s="761">
        <v>-60</v>
      </c>
      <c r="AG6" s="761">
        <v>-59</v>
      </c>
      <c r="AH6" s="761">
        <v>-57</v>
      </c>
      <c r="AI6" s="761">
        <v>-56</v>
      </c>
      <c r="AJ6" s="762">
        <v>-48</v>
      </c>
      <c r="AL6" s="764" t="s">
        <v>213</v>
      </c>
      <c r="AM6" s="760">
        <v>-27</v>
      </c>
      <c r="AN6" s="761">
        <v>-30</v>
      </c>
      <c r="AO6" s="761">
        <v>-29</v>
      </c>
      <c r="AP6" s="761">
        <v>-31</v>
      </c>
      <c r="AQ6" s="761">
        <v>-31</v>
      </c>
      <c r="AR6" s="761">
        <v>-32</v>
      </c>
      <c r="AS6" s="762">
        <v>-34</v>
      </c>
      <c r="AU6" s="764" t="s">
        <v>213</v>
      </c>
      <c r="AV6" s="760">
        <v>-53</v>
      </c>
      <c r="AW6" s="761">
        <v>-55</v>
      </c>
      <c r="AX6" s="761">
        <v>-56</v>
      </c>
      <c r="AY6" s="761">
        <v>-54</v>
      </c>
      <c r="AZ6" s="761">
        <v>-53</v>
      </c>
      <c r="BA6" s="761">
        <v>-54</v>
      </c>
      <c r="BB6" s="762">
        <v>-49</v>
      </c>
    </row>
    <row r="7" spans="2:63" ht="14.45" x14ac:dyDescent="0.3">
      <c r="B7" s="759" t="s">
        <v>232</v>
      </c>
      <c r="C7" s="765">
        <v>-37</v>
      </c>
      <c r="D7" s="766">
        <v>-36</v>
      </c>
      <c r="E7" s="766">
        <v>-36</v>
      </c>
      <c r="F7" s="766">
        <v>-37</v>
      </c>
      <c r="G7" s="766">
        <v>-40</v>
      </c>
      <c r="H7" s="766">
        <v>-40</v>
      </c>
      <c r="I7" s="767">
        <v>-33</v>
      </c>
      <c r="K7" s="759" t="s">
        <v>232</v>
      </c>
      <c r="L7" s="765">
        <v>-41</v>
      </c>
      <c r="M7" s="766">
        <v>-42</v>
      </c>
      <c r="N7" s="766">
        <v>-41</v>
      </c>
      <c r="O7" s="766">
        <v>-42</v>
      </c>
      <c r="P7" s="766">
        <v>-41</v>
      </c>
      <c r="Q7" s="766">
        <v>-39</v>
      </c>
      <c r="R7" s="767">
        <v>-34</v>
      </c>
      <c r="T7" s="763" t="s">
        <v>232</v>
      </c>
      <c r="U7" s="765">
        <v>-49</v>
      </c>
      <c r="V7" s="766">
        <v>-51</v>
      </c>
      <c r="W7" s="766">
        <v>-50</v>
      </c>
      <c r="X7" s="766">
        <v>-51</v>
      </c>
      <c r="Y7" s="766">
        <v>-50</v>
      </c>
      <c r="Z7" s="766">
        <v>-50</v>
      </c>
      <c r="AA7" s="767">
        <v>-45</v>
      </c>
      <c r="AC7" s="764" t="s">
        <v>232</v>
      </c>
      <c r="AD7" s="765">
        <v>-55</v>
      </c>
      <c r="AE7" s="766">
        <v>-59</v>
      </c>
      <c r="AF7" s="766">
        <v>-58</v>
      </c>
      <c r="AG7" s="766">
        <v>-58</v>
      </c>
      <c r="AH7" s="766">
        <v>-57</v>
      </c>
      <c r="AI7" s="766">
        <v>-56</v>
      </c>
      <c r="AJ7" s="767">
        <v>-48</v>
      </c>
      <c r="AL7" s="764" t="s">
        <v>232</v>
      </c>
      <c r="AM7" s="765">
        <v>-32</v>
      </c>
      <c r="AN7" s="766">
        <v>-30</v>
      </c>
      <c r="AO7" s="766">
        <v>-28</v>
      </c>
      <c r="AP7" s="766">
        <v>-30</v>
      </c>
      <c r="AQ7" s="766">
        <v>-29</v>
      </c>
      <c r="AR7" s="766">
        <v>-33</v>
      </c>
      <c r="AS7" s="767">
        <v>-34</v>
      </c>
      <c r="AU7" s="764" t="s">
        <v>232</v>
      </c>
      <c r="AV7" s="765">
        <v>-53</v>
      </c>
      <c r="AW7" s="766">
        <v>-55</v>
      </c>
      <c r="AX7" s="766">
        <v>-54</v>
      </c>
      <c r="AY7" s="766">
        <v>-53</v>
      </c>
      <c r="AZ7" s="766">
        <v>-52</v>
      </c>
      <c r="BA7" s="766">
        <v>-53</v>
      </c>
      <c r="BB7" s="767">
        <v>-47</v>
      </c>
    </row>
    <row r="8" spans="2:63" ht="14.45" x14ac:dyDescent="0.3">
      <c r="B8" s="759" t="s">
        <v>215</v>
      </c>
      <c r="C8" s="765">
        <v>-37</v>
      </c>
      <c r="D8" s="766">
        <v>-35</v>
      </c>
      <c r="E8" s="766">
        <v>-34</v>
      </c>
      <c r="F8" s="766">
        <v>-33</v>
      </c>
      <c r="G8" s="766">
        <v>-39</v>
      </c>
      <c r="H8" s="766">
        <v>-38</v>
      </c>
      <c r="I8" s="767">
        <v>-33</v>
      </c>
      <c r="K8" s="759" t="s">
        <v>215</v>
      </c>
      <c r="L8" s="765">
        <v>-44</v>
      </c>
      <c r="M8" s="766">
        <v>-42</v>
      </c>
      <c r="N8" s="766">
        <v>-40</v>
      </c>
      <c r="O8" s="766">
        <v>-40</v>
      </c>
      <c r="P8" s="766">
        <v>-40</v>
      </c>
      <c r="Q8" s="766">
        <v>-37</v>
      </c>
      <c r="R8" s="767">
        <v>-35</v>
      </c>
      <c r="T8" s="763" t="s">
        <v>215</v>
      </c>
      <c r="U8" s="765">
        <v>-49</v>
      </c>
      <c r="V8" s="766">
        <v>-49</v>
      </c>
      <c r="W8" s="766">
        <v>-48</v>
      </c>
      <c r="X8" s="766">
        <v>-49</v>
      </c>
      <c r="Y8" s="766">
        <v>-50</v>
      </c>
      <c r="Z8" s="766">
        <v>-49</v>
      </c>
      <c r="AA8" s="767">
        <v>-45</v>
      </c>
      <c r="AC8" s="764" t="s">
        <v>215</v>
      </c>
      <c r="AD8" s="765">
        <v>-59</v>
      </c>
      <c r="AE8" s="766">
        <v>-58</v>
      </c>
      <c r="AF8" s="766">
        <v>-57</v>
      </c>
      <c r="AG8" s="766">
        <v>-58</v>
      </c>
      <c r="AH8" s="766">
        <v>-57</v>
      </c>
      <c r="AI8" s="766">
        <v>-55</v>
      </c>
      <c r="AJ8" s="767">
        <v>-50</v>
      </c>
      <c r="AL8" s="764" t="s">
        <v>215</v>
      </c>
      <c r="AM8" s="765">
        <v>-30</v>
      </c>
      <c r="AN8" s="766">
        <v>-30</v>
      </c>
      <c r="AO8" s="766">
        <v>-28</v>
      </c>
      <c r="AP8" s="766">
        <v>-27</v>
      </c>
      <c r="AQ8" s="766">
        <v>-28</v>
      </c>
      <c r="AR8" s="766">
        <v>-31</v>
      </c>
      <c r="AS8" s="767">
        <v>-31</v>
      </c>
      <c r="AU8" s="764" t="s">
        <v>215</v>
      </c>
      <c r="AV8" s="765">
        <v>-54</v>
      </c>
      <c r="AW8" s="766">
        <v>-53</v>
      </c>
      <c r="AX8" s="766">
        <v>-52</v>
      </c>
      <c r="AY8" s="766">
        <v>-51</v>
      </c>
      <c r="AZ8" s="766">
        <v>-52</v>
      </c>
      <c r="BA8" s="766">
        <v>-53</v>
      </c>
      <c r="BB8" s="767">
        <v>-48</v>
      </c>
    </row>
    <row r="9" spans="2:63" ht="14.45" x14ac:dyDescent="0.3">
      <c r="B9" s="759" t="s">
        <v>249</v>
      </c>
      <c r="C9" s="765">
        <v>-37</v>
      </c>
      <c r="D9" s="766">
        <v>-38</v>
      </c>
      <c r="E9" s="766">
        <v>-36</v>
      </c>
      <c r="F9" s="766">
        <v>-35</v>
      </c>
      <c r="G9" s="766">
        <v>-35</v>
      </c>
      <c r="H9" s="766">
        <v>-36</v>
      </c>
      <c r="I9" s="767">
        <v>-35</v>
      </c>
      <c r="K9" s="759" t="s">
        <v>249</v>
      </c>
      <c r="L9" s="765">
        <v>-43</v>
      </c>
      <c r="M9" s="766">
        <v>-44</v>
      </c>
      <c r="N9" s="766">
        <v>-42</v>
      </c>
      <c r="O9" s="766">
        <v>-42</v>
      </c>
      <c r="P9" s="766">
        <v>-41</v>
      </c>
      <c r="Q9" s="766">
        <v>-38</v>
      </c>
      <c r="R9" s="767">
        <v>-38</v>
      </c>
      <c r="T9" s="763" t="s">
        <v>249</v>
      </c>
      <c r="U9" s="765">
        <v>-49</v>
      </c>
      <c r="V9" s="766">
        <v>-50</v>
      </c>
      <c r="W9" s="766">
        <v>-49</v>
      </c>
      <c r="X9" s="766">
        <v>-48</v>
      </c>
      <c r="Y9" s="766">
        <v>-49</v>
      </c>
      <c r="Z9" s="766">
        <v>-47</v>
      </c>
      <c r="AA9" s="767">
        <v>-43</v>
      </c>
      <c r="AC9" s="764" t="s">
        <v>249</v>
      </c>
      <c r="AD9" s="765">
        <v>-58</v>
      </c>
      <c r="AE9" s="766">
        <v>-59</v>
      </c>
      <c r="AF9" s="766">
        <v>-58</v>
      </c>
      <c r="AG9" s="766">
        <v>-57</v>
      </c>
      <c r="AH9" s="766">
        <v>-57</v>
      </c>
      <c r="AI9" s="766">
        <v>-54</v>
      </c>
      <c r="AJ9" s="767">
        <v>-50</v>
      </c>
      <c r="AL9" s="764" t="s">
        <v>249</v>
      </c>
      <c r="AM9" s="765">
        <v>-35</v>
      </c>
      <c r="AN9" s="766">
        <v>-34</v>
      </c>
      <c r="AO9" s="766">
        <v>-34</v>
      </c>
      <c r="AP9" s="766">
        <v>-33</v>
      </c>
      <c r="AQ9" s="766">
        <v>-31</v>
      </c>
      <c r="AR9" s="766">
        <v>-32</v>
      </c>
      <c r="AS9" s="767">
        <v>-32</v>
      </c>
      <c r="AU9" s="764" t="s">
        <v>249</v>
      </c>
      <c r="AV9" s="765">
        <v>-52</v>
      </c>
      <c r="AW9" s="766">
        <v>-54</v>
      </c>
      <c r="AX9" s="766">
        <v>-52</v>
      </c>
      <c r="AY9" s="766">
        <v>-53</v>
      </c>
      <c r="AZ9" s="766">
        <v>-52</v>
      </c>
      <c r="BA9" s="766">
        <v>-53</v>
      </c>
      <c r="BB9" s="767">
        <v>-48</v>
      </c>
    </row>
    <row r="10" spans="2:63" ht="14.45" x14ac:dyDescent="0.3">
      <c r="B10" s="759" t="s">
        <v>257</v>
      </c>
      <c r="C10" s="765">
        <v>-38</v>
      </c>
      <c r="D10" s="766">
        <v>-37</v>
      </c>
      <c r="E10" s="766">
        <v>-35</v>
      </c>
      <c r="F10" s="766">
        <v>-34</v>
      </c>
      <c r="G10" s="766">
        <v>-36</v>
      </c>
      <c r="H10" s="766">
        <v>-35</v>
      </c>
      <c r="I10" s="767">
        <v>-37</v>
      </c>
      <c r="K10" s="759" t="s">
        <v>257</v>
      </c>
      <c r="L10" s="765">
        <v>-41</v>
      </c>
      <c r="M10" s="766">
        <v>-42</v>
      </c>
      <c r="N10" s="766">
        <v>-41</v>
      </c>
      <c r="O10" s="766">
        <v>-41</v>
      </c>
      <c r="P10" s="766">
        <v>-42</v>
      </c>
      <c r="Q10" s="766">
        <v>-37</v>
      </c>
      <c r="R10" s="767">
        <v>-38</v>
      </c>
      <c r="T10" s="763" t="s">
        <v>257</v>
      </c>
      <c r="U10" s="765">
        <v>-46</v>
      </c>
      <c r="V10" s="766">
        <v>-48</v>
      </c>
      <c r="W10" s="766">
        <v>-47</v>
      </c>
      <c r="X10" s="766">
        <v>-46</v>
      </c>
      <c r="Y10" s="766">
        <v>-46</v>
      </c>
      <c r="Z10" s="766">
        <v>-42</v>
      </c>
      <c r="AA10" s="767">
        <v>-43</v>
      </c>
      <c r="AC10" s="764" t="s">
        <v>257</v>
      </c>
      <c r="AD10" s="765">
        <v>-60</v>
      </c>
      <c r="AE10" s="766">
        <v>-59</v>
      </c>
      <c r="AF10" s="766">
        <v>-58</v>
      </c>
      <c r="AG10" s="766">
        <v>-57</v>
      </c>
      <c r="AH10" s="766">
        <v>-56</v>
      </c>
      <c r="AI10" s="766">
        <v>-52</v>
      </c>
      <c r="AJ10" s="767">
        <v>-49</v>
      </c>
      <c r="AL10" s="764" t="s">
        <v>257</v>
      </c>
      <c r="AM10" s="765">
        <v>-31</v>
      </c>
      <c r="AN10" s="766">
        <v>-30</v>
      </c>
      <c r="AO10" s="766">
        <v>-32</v>
      </c>
      <c r="AP10" s="766">
        <v>-31</v>
      </c>
      <c r="AQ10" s="766">
        <v>-32</v>
      </c>
      <c r="AR10" s="766">
        <v>-35</v>
      </c>
      <c r="AS10" s="767">
        <v>-35</v>
      </c>
      <c r="AU10" s="764" t="s">
        <v>257</v>
      </c>
      <c r="AV10" s="765">
        <v>-49</v>
      </c>
      <c r="AW10" s="766">
        <v>-54</v>
      </c>
      <c r="AX10" s="766">
        <v>-53</v>
      </c>
      <c r="AY10" s="766">
        <v>-52</v>
      </c>
      <c r="AZ10" s="766">
        <v>-51</v>
      </c>
      <c r="BA10" s="766">
        <v>-49</v>
      </c>
      <c r="BB10" s="767">
        <v>-51</v>
      </c>
    </row>
    <row r="11" spans="2:63" ht="14.45" x14ac:dyDescent="0.3">
      <c r="B11" s="759" t="s">
        <v>264</v>
      </c>
      <c r="C11" s="765"/>
      <c r="D11" s="766"/>
      <c r="E11" s="766"/>
      <c r="F11" s="766"/>
      <c r="G11" s="766"/>
      <c r="H11" s="766"/>
      <c r="I11" s="767"/>
      <c r="K11" s="759" t="s">
        <v>264</v>
      </c>
      <c r="L11" s="765"/>
      <c r="M11" s="766"/>
      <c r="N11" s="766"/>
      <c r="O11" s="766"/>
      <c r="P11" s="766"/>
      <c r="Q11" s="766"/>
      <c r="R11" s="767"/>
      <c r="T11" s="763" t="s">
        <v>264</v>
      </c>
      <c r="U11" s="765"/>
      <c r="V11" s="766"/>
      <c r="W11" s="766"/>
      <c r="X11" s="766"/>
      <c r="Y11" s="766"/>
      <c r="Z11" s="766"/>
      <c r="AA11" s="767"/>
      <c r="AC11" s="764" t="s">
        <v>264</v>
      </c>
      <c r="AD11" s="765"/>
      <c r="AE11" s="766"/>
      <c r="AF11" s="766"/>
      <c r="AG11" s="766"/>
      <c r="AH11" s="766"/>
      <c r="AI11" s="766"/>
      <c r="AJ11" s="767"/>
      <c r="AL11" s="764" t="s">
        <v>264</v>
      </c>
      <c r="AM11" s="765"/>
      <c r="AN11" s="766"/>
      <c r="AO11" s="766"/>
      <c r="AP11" s="766"/>
      <c r="AQ11" s="766"/>
      <c r="AR11" s="766"/>
      <c r="AS11" s="767"/>
      <c r="AU11" s="764" t="s">
        <v>264</v>
      </c>
      <c r="AV11" s="765"/>
      <c r="AW11" s="766"/>
      <c r="AX11" s="766"/>
      <c r="AY11" s="766"/>
      <c r="AZ11" s="766"/>
      <c r="BA11" s="766"/>
      <c r="BB11" s="767"/>
    </row>
    <row r="12" spans="2:63" ht="14.45" x14ac:dyDescent="0.3">
      <c r="B12" s="759" t="s">
        <v>272</v>
      </c>
      <c r="C12" s="765"/>
      <c r="D12" s="766"/>
      <c r="E12" s="766"/>
      <c r="F12" s="766"/>
      <c r="G12" s="766"/>
      <c r="H12" s="766"/>
      <c r="I12" s="767"/>
      <c r="K12" s="759" t="s">
        <v>272</v>
      </c>
      <c r="L12" s="765"/>
      <c r="M12" s="766"/>
      <c r="N12" s="766"/>
      <c r="O12" s="766"/>
      <c r="P12" s="766"/>
      <c r="Q12" s="766"/>
      <c r="R12" s="767"/>
      <c r="T12" s="763" t="s">
        <v>272</v>
      </c>
      <c r="U12" s="765"/>
      <c r="V12" s="766"/>
      <c r="W12" s="766"/>
      <c r="X12" s="766"/>
      <c r="Y12" s="766"/>
      <c r="Z12" s="766"/>
      <c r="AA12" s="767"/>
      <c r="AC12" s="764" t="s">
        <v>272</v>
      </c>
      <c r="AD12" s="765"/>
      <c r="AE12" s="766"/>
      <c r="AF12" s="766"/>
      <c r="AG12" s="766"/>
      <c r="AH12" s="766"/>
      <c r="AI12" s="766"/>
      <c r="AJ12" s="767"/>
      <c r="AL12" s="764" t="s">
        <v>272</v>
      </c>
      <c r="AM12" s="765"/>
      <c r="AN12" s="766"/>
      <c r="AO12" s="766"/>
      <c r="AP12" s="766"/>
      <c r="AQ12" s="766"/>
      <c r="AR12" s="766"/>
      <c r="AS12" s="767"/>
      <c r="AU12" s="764" t="s">
        <v>272</v>
      </c>
      <c r="AV12" s="765"/>
      <c r="AW12" s="766"/>
      <c r="AX12" s="766"/>
      <c r="AY12" s="766"/>
      <c r="AZ12" s="766"/>
      <c r="BA12" s="766"/>
      <c r="BB12" s="767"/>
    </row>
    <row r="13" spans="2:63" ht="14.45" x14ac:dyDescent="0.3">
      <c r="B13" s="759" t="s">
        <v>278</v>
      </c>
      <c r="C13" s="765"/>
      <c r="D13" s="766"/>
      <c r="E13" s="766"/>
      <c r="F13" s="766"/>
      <c r="G13" s="766"/>
      <c r="H13" s="766"/>
      <c r="I13" s="767"/>
      <c r="K13" s="759" t="s">
        <v>278</v>
      </c>
      <c r="L13" s="765"/>
      <c r="M13" s="766"/>
      <c r="N13" s="766"/>
      <c r="O13" s="766"/>
      <c r="P13" s="766"/>
      <c r="Q13" s="766"/>
      <c r="R13" s="767"/>
      <c r="T13" s="763" t="s">
        <v>278</v>
      </c>
      <c r="U13" s="765"/>
      <c r="V13" s="766"/>
      <c r="W13" s="766"/>
      <c r="X13" s="766"/>
      <c r="Y13" s="766"/>
      <c r="Z13" s="766"/>
      <c r="AA13" s="767"/>
      <c r="AC13" s="764" t="s">
        <v>278</v>
      </c>
      <c r="AD13" s="765"/>
      <c r="AE13" s="766"/>
      <c r="AF13" s="766"/>
      <c r="AG13" s="766"/>
      <c r="AH13" s="766"/>
      <c r="AI13" s="766"/>
      <c r="AJ13" s="767"/>
      <c r="AL13" s="764" t="s">
        <v>278</v>
      </c>
      <c r="AM13" s="765"/>
      <c r="AN13" s="766"/>
      <c r="AO13" s="766"/>
      <c r="AP13" s="766"/>
      <c r="AQ13" s="766"/>
      <c r="AR13" s="766"/>
      <c r="AS13" s="767"/>
      <c r="AU13" s="764" t="s">
        <v>278</v>
      </c>
      <c r="AV13" s="765"/>
      <c r="AW13" s="766"/>
      <c r="AX13" s="766"/>
      <c r="AY13" s="766"/>
      <c r="AZ13" s="766"/>
      <c r="BA13" s="766"/>
      <c r="BB13" s="767"/>
    </row>
    <row r="14" spans="2:63" thickBot="1" x14ac:dyDescent="0.35">
      <c r="B14" s="768" t="s">
        <v>284</v>
      </c>
      <c r="C14" s="769" t="s">
        <v>1048</v>
      </c>
      <c r="D14" s="770" t="s">
        <v>1048</v>
      </c>
      <c r="E14" s="770" t="s">
        <v>1048</v>
      </c>
      <c r="F14" s="770" t="s">
        <v>1048</v>
      </c>
      <c r="G14" s="770" t="s">
        <v>1048</v>
      </c>
      <c r="H14" s="770" t="s">
        <v>1048</v>
      </c>
      <c r="I14" s="771" t="s">
        <v>1048</v>
      </c>
      <c r="K14" s="768" t="s">
        <v>284</v>
      </c>
      <c r="L14" s="769" t="s">
        <v>1048</v>
      </c>
      <c r="M14" s="770" t="s">
        <v>1048</v>
      </c>
      <c r="N14" s="770" t="s">
        <v>1048</v>
      </c>
      <c r="O14" s="770" t="s">
        <v>1048</v>
      </c>
      <c r="P14" s="770" t="s">
        <v>1048</v>
      </c>
      <c r="Q14" s="770" t="s">
        <v>1048</v>
      </c>
      <c r="R14" s="771" t="s">
        <v>1048</v>
      </c>
      <c r="T14" s="772" t="s">
        <v>284</v>
      </c>
      <c r="U14" s="769" t="s">
        <v>1048</v>
      </c>
      <c r="V14" s="770" t="s">
        <v>1048</v>
      </c>
      <c r="W14" s="770" t="s">
        <v>1048</v>
      </c>
      <c r="X14" s="770" t="s">
        <v>1048</v>
      </c>
      <c r="Y14" s="770" t="s">
        <v>1048</v>
      </c>
      <c r="Z14" s="770" t="s">
        <v>1048</v>
      </c>
      <c r="AA14" s="771" t="s">
        <v>1048</v>
      </c>
      <c r="AC14" s="773" t="s">
        <v>284</v>
      </c>
      <c r="AD14" s="769" t="s">
        <v>1048</v>
      </c>
      <c r="AE14" s="770" t="s">
        <v>1048</v>
      </c>
      <c r="AF14" s="770" t="s">
        <v>1048</v>
      </c>
      <c r="AG14" s="770" t="s">
        <v>1048</v>
      </c>
      <c r="AH14" s="770" t="s">
        <v>1048</v>
      </c>
      <c r="AI14" s="770" t="s">
        <v>1048</v>
      </c>
      <c r="AJ14" s="771" t="s">
        <v>1048</v>
      </c>
      <c r="AL14" s="773" t="s">
        <v>284</v>
      </c>
      <c r="AM14" s="769" t="s">
        <v>1048</v>
      </c>
      <c r="AN14" s="770" t="s">
        <v>1048</v>
      </c>
      <c r="AO14" s="770" t="s">
        <v>1048</v>
      </c>
      <c r="AP14" s="770" t="s">
        <v>1048</v>
      </c>
      <c r="AQ14" s="770" t="s">
        <v>1048</v>
      </c>
      <c r="AR14" s="770" t="s">
        <v>1048</v>
      </c>
      <c r="AS14" s="771" t="s">
        <v>1048</v>
      </c>
      <c r="AU14" s="773" t="s">
        <v>284</v>
      </c>
      <c r="AV14" s="769" t="s">
        <v>1048</v>
      </c>
      <c r="AW14" s="770" t="s">
        <v>1048</v>
      </c>
      <c r="AX14" s="770" t="s">
        <v>1048</v>
      </c>
      <c r="AY14" s="770" t="s">
        <v>1048</v>
      </c>
      <c r="AZ14" s="770" t="s">
        <v>1048</v>
      </c>
      <c r="BA14" s="770" t="s">
        <v>1048</v>
      </c>
      <c r="BB14" s="771" t="s">
        <v>1048</v>
      </c>
    </row>
    <row r="15" spans="2:63" thickBot="1" x14ac:dyDescent="0.35">
      <c r="B15" s="774"/>
      <c r="C15" s="775"/>
      <c r="D15" s="775"/>
      <c r="E15" s="775"/>
      <c r="F15" s="775"/>
      <c r="G15" s="775"/>
      <c r="H15" s="775"/>
      <c r="I15" s="775"/>
      <c r="K15" s="774"/>
      <c r="L15" s="775"/>
      <c r="M15" s="775"/>
      <c r="N15" s="775"/>
      <c r="O15" s="775"/>
      <c r="P15" s="775"/>
      <c r="Q15" s="775"/>
      <c r="R15" s="775"/>
      <c r="T15" s="776"/>
      <c r="U15" s="775"/>
      <c r="V15" s="775"/>
      <c r="W15" s="775"/>
      <c r="X15" s="775"/>
      <c r="Y15" s="775"/>
      <c r="Z15" s="775"/>
      <c r="AA15" s="775"/>
      <c r="AC15" s="777"/>
      <c r="AD15" s="775"/>
      <c r="AE15" s="775"/>
      <c r="AF15" s="775"/>
      <c r="AG15" s="775"/>
      <c r="AH15" s="775"/>
      <c r="AI15" s="775"/>
      <c r="AJ15" s="775"/>
      <c r="AL15" s="777"/>
      <c r="AM15" s="775"/>
      <c r="AN15" s="775"/>
      <c r="AO15" s="775"/>
      <c r="AP15" s="775"/>
      <c r="AQ15" s="775"/>
      <c r="AR15" s="775"/>
      <c r="AS15" s="775"/>
      <c r="AU15" s="777"/>
      <c r="AV15" s="775"/>
      <c r="AW15" s="775"/>
      <c r="AX15" s="775"/>
      <c r="AY15" s="775"/>
      <c r="AZ15" s="775"/>
      <c r="BA15" s="775"/>
      <c r="BB15" s="775"/>
    </row>
    <row r="16" spans="2:63" thickBot="1" x14ac:dyDescent="0.35">
      <c r="B16" s="748" t="s">
        <v>1028</v>
      </c>
      <c r="C16" s="778" t="s">
        <v>187</v>
      </c>
      <c r="D16" s="778" t="s">
        <v>214</v>
      </c>
      <c r="E16" s="778" t="s">
        <v>233</v>
      </c>
      <c r="F16" s="778" t="s">
        <v>242</v>
      </c>
      <c r="G16" s="778" t="s">
        <v>250</v>
      </c>
      <c r="H16" s="778" t="s">
        <v>258</v>
      </c>
      <c r="I16" s="779" t="s">
        <v>265</v>
      </c>
      <c r="K16" s="748" t="s">
        <v>1028</v>
      </c>
      <c r="L16" s="778" t="s">
        <v>187</v>
      </c>
      <c r="M16" s="778" t="s">
        <v>214</v>
      </c>
      <c r="N16" s="778" t="s">
        <v>233</v>
      </c>
      <c r="O16" s="778" t="s">
        <v>242</v>
      </c>
      <c r="P16" s="778" t="s">
        <v>250</v>
      </c>
      <c r="Q16" s="778" t="s">
        <v>258</v>
      </c>
      <c r="R16" s="779" t="s">
        <v>265</v>
      </c>
      <c r="T16" s="751" t="s">
        <v>1028</v>
      </c>
      <c r="U16" s="778" t="s">
        <v>187</v>
      </c>
      <c r="V16" s="778" t="s">
        <v>214</v>
      </c>
      <c r="W16" s="778" t="s">
        <v>233</v>
      </c>
      <c r="X16" s="778" t="s">
        <v>242</v>
      </c>
      <c r="Y16" s="778" t="s">
        <v>250</v>
      </c>
      <c r="Z16" s="778" t="s">
        <v>258</v>
      </c>
      <c r="AA16" s="779" t="s">
        <v>265</v>
      </c>
      <c r="AC16" s="752" t="s">
        <v>1028</v>
      </c>
      <c r="AD16" s="778" t="s">
        <v>187</v>
      </c>
      <c r="AE16" s="778" t="s">
        <v>214</v>
      </c>
      <c r="AF16" s="778" t="s">
        <v>233</v>
      </c>
      <c r="AG16" s="778" t="s">
        <v>242</v>
      </c>
      <c r="AH16" s="778" t="s">
        <v>250</v>
      </c>
      <c r="AI16" s="778" t="s">
        <v>258</v>
      </c>
      <c r="AJ16" s="779" t="s">
        <v>265</v>
      </c>
      <c r="AL16" s="752" t="s">
        <v>1028</v>
      </c>
      <c r="AM16" s="778" t="s">
        <v>187</v>
      </c>
      <c r="AN16" s="778" t="s">
        <v>214</v>
      </c>
      <c r="AO16" s="778" t="s">
        <v>233</v>
      </c>
      <c r="AP16" s="778" t="s">
        <v>242</v>
      </c>
      <c r="AQ16" s="778" t="s">
        <v>250</v>
      </c>
      <c r="AR16" s="778" t="s">
        <v>258</v>
      </c>
      <c r="AS16" s="779" t="s">
        <v>265</v>
      </c>
      <c r="AU16" s="752" t="s">
        <v>1028</v>
      </c>
      <c r="AV16" s="778" t="s">
        <v>187</v>
      </c>
      <c r="AW16" s="778" t="s">
        <v>214</v>
      </c>
      <c r="AX16" s="778" t="s">
        <v>233</v>
      </c>
      <c r="AY16" s="778" t="s">
        <v>242</v>
      </c>
      <c r="AZ16" s="778" t="s">
        <v>250</v>
      </c>
      <c r="BA16" s="778" t="s">
        <v>258</v>
      </c>
      <c r="BB16" s="779" t="s">
        <v>265</v>
      </c>
    </row>
    <row r="17" spans="2:54" ht="14.45" x14ac:dyDescent="0.3">
      <c r="B17" s="753" t="s">
        <v>186</v>
      </c>
      <c r="C17" s="754">
        <v>-33</v>
      </c>
      <c r="D17" s="755">
        <v>-30</v>
      </c>
      <c r="E17" s="755">
        <v>-28</v>
      </c>
      <c r="F17" s="755">
        <v>-29</v>
      </c>
      <c r="G17" s="755">
        <v>-30</v>
      </c>
      <c r="H17" s="755">
        <v>-31</v>
      </c>
      <c r="I17" s="756">
        <v>-30</v>
      </c>
      <c r="K17" s="753" t="s">
        <v>186</v>
      </c>
      <c r="L17" s="754">
        <v>-30</v>
      </c>
      <c r="M17" s="755">
        <v>-31</v>
      </c>
      <c r="N17" s="755">
        <v>-32</v>
      </c>
      <c r="O17" s="755">
        <v>-30</v>
      </c>
      <c r="P17" s="755">
        <v>-31</v>
      </c>
      <c r="Q17" s="755">
        <v>-26</v>
      </c>
      <c r="R17" s="756">
        <v>-30</v>
      </c>
      <c r="T17" s="757" t="s">
        <v>186</v>
      </c>
      <c r="U17" s="754">
        <v>-38</v>
      </c>
      <c r="V17" s="755">
        <v>-39</v>
      </c>
      <c r="W17" s="755">
        <v>-42</v>
      </c>
      <c r="X17" s="755">
        <v>-40</v>
      </c>
      <c r="Y17" s="755">
        <v>-42</v>
      </c>
      <c r="Z17" s="755">
        <v>-34</v>
      </c>
      <c r="AA17" s="756">
        <v>-36</v>
      </c>
      <c r="AC17" s="758" t="s">
        <v>186</v>
      </c>
      <c r="AD17" s="754">
        <v>-50</v>
      </c>
      <c r="AE17" s="755">
        <v>-53</v>
      </c>
      <c r="AF17" s="755">
        <v>-51</v>
      </c>
      <c r="AG17" s="755">
        <v>-51</v>
      </c>
      <c r="AH17" s="755">
        <v>-53</v>
      </c>
      <c r="AI17" s="755">
        <v>-49</v>
      </c>
      <c r="AJ17" s="756">
        <v>-45</v>
      </c>
      <c r="AL17" s="758" t="s">
        <v>186</v>
      </c>
      <c r="AM17" s="754">
        <v>-22</v>
      </c>
      <c r="AN17" s="755">
        <v>-23</v>
      </c>
      <c r="AO17" s="755">
        <v>-22</v>
      </c>
      <c r="AP17" s="755">
        <v>-23</v>
      </c>
      <c r="AQ17" s="755">
        <v>-23</v>
      </c>
      <c r="AR17" s="755">
        <v>-23</v>
      </c>
      <c r="AS17" s="756">
        <v>-28</v>
      </c>
      <c r="AU17" s="758" t="s">
        <v>186</v>
      </c>
      <c r="AV17" s="754">
        <v>-48</v>
      </c>
      <c r="AW17" s="755">
        <v>-46</v>
      </c>
      <c r="AX17" s="755">
        <v>-49</v>
      </c>
      <c r="AY17" s="755">
        <v>-48</v>
      </c>
      <c r="AZ17" s="755">
        <v>-48</v>
      </c>
      <c r="BA17" s="755">
        <v>-44</v>
      </c>
      <c r="BB17" s="756">
        <v>-42</v>
      </c>
    </row>
    <row r="18" spans="2:54" ht="14.45" x14ac:dyDescent="0.3">
      <c r="B18" s="759" t="s">
        <v>213</v>
      </c>
      <c r="C18" s="760">
        <v>-28</v>
      </c>
      <c r="D18" s="761">
        <v>-29</v>
      </c>
      <c r="E18" s="761">
        <v>-26</v>
      </c>
      <c r="F18" s="761">
        <v>-25</v>
      </c>
      <c r="G18" s="761">
        <v>-27</v>
      </c>
      <c r="H18" s="761">
        <v>-26</v>
      </c>
      <c r="I18" s="762">
        <v>-31</v>
      </c>
      <c r="K18" s="759" t="s">
        <v>213</v>
      </c>
      <c r="L18" s="760">
        <v>-27</v>
      </c>
      <c r="M18" s="761">
        <v>-32</v>
      </c>
      <c r="N18" s="761">
        <v>-30</v>
      </c>
      <c r="O18" s="761">
        <v>-29</v>
      </c>
      <c r="P18" s="761">
        <v>-27</v>
      </c>
      <c r="Q18" s="761">
        <v>-29</v>
      </c>
      <c r="R18" s="762">
        <v>-25</v>
      </c>
      <c r="T18" s="763" t="s">
        <v>213</v>
      </c>
      <c r="U18" s="760">
        <v>-38</v>
      </c>
      <c r="V18" s="761">
        <v>-41</v>
      </c>
      <c r="W18" s="761">
        <v>-42</v>
      </c>
      <c r="X18" s="761">
        <v>-44</v>
      </c>
      <c r="Y18" s="761">
        <v>-41</v>
      </c>
      <c r="Z18" s="761">
        <v>-42</v>
      </c>
      <c r="AA18" s="762">
        <v>-43</v>
      </c>
      <c r="AC18" s="764" t="s">
        <v>213</v>
      </c>
      <c r="AD18" s="760">
        <v>-48</v>
      </c>
      <c r="AE18" s="761">
        <v>-51</v>
      </c>
      <c r="AF18" s="761">
        <v>-49</v>
      </c>
      <c r="AG18" s="761">
        <v>-49</v>
      </c>
      <c r="AH18" s="761">
        <v>-51</v>
      </c>
      <c r="AI18" s="761">
        <v>-48</v>
      </c>
      <c r="AJ18" s="762">
        <v>-45</v>
      </c>
      <c r="AL18" s="764" t="s">
        <v>213</v>
      </c>
      <c r="AM18" s="760">
        <v>-23</v>
      </c>
      <c r="AN18" s="761">
        <v>-23</v>
      </c>
      <c r="AO18" s="761">
        <v>-26</v>
      </c>
      <c r="AP18" s="761">
        <v>-26</v>
      </c>
      <c r="AQ18" s="761">
        <v>-22</v>
      </c>
      <c r="AR18" s="761">
        <v>-22</v>
      </c>
      <c r="AS18" s="762">
        <v>-29</v>
      </c>
      <c r="AU18" s="764" t="s">
        <v>213</v>
      </c>
      <c r="AV18" s="760">
        <v>-48</v>
      </c>
      <c r="AW18" s="761">
        <v>-49</v>
      </c>
      <c r="AX18" s="761">
        <v>-47</v>
      </c>
      <c r="AY18" s="761">
        <v>-46</v>
      </c>
      <c r="AZ18" s="761">
        <v>-47</v>
      </c>
      <c r="BA18" s="761">
        <v>-43</v>
      </c>
      <c r="BB18" s="762">
        <v>-41</v>
      </c>
    </row>
    <row r="19" spans="2:54" ht="14.45" x14ac:dyDescent="0.3">
      <c r="B19" s="759" t="s">
        <v>232</v>
      </c>
      <c r="C19" s="765">
        <v>-25</v>
      </c>
      <c r="D19" s="766">
        <v>-26</v>
      </c>
      <c r="E19" s="766">
        <v>-26</v>
      </c>
      <c r="F19" s="766">
        <v>-26</v>
      </c>
      <c r="G19" s="766">
        <v>-25</v>
      </c>
      <c r="H19" s="766">
        <v>-27</v>
      </c>
      <c r="I19" s="767">
        <v>-31</v>
      </c>
      <c r="K19" s="759" t="s">
        <v>232</v>
      </c>
      <c r="L19" s="765">
        <v>-30</v>
      </c>
      <c r="M19" s="766">
        <v>-32</v>
      </c>
      <c r="N19" s="766">
        <v>-30</v>
      </c>
      <c r="O19" s="766">
        <v>-29</v>
      </c>
      <c r="P19" s="766">
        <v>-28</v>
      </c>
      <c r="Q19" s="766">
        <v>-28</v>
      </c>
      <c r="R19" s="767">
        <v>-24</v>
      </c>
      <c r="T19" s="763" t="s">
        <v>232</v>
      </c>
      <c r="U19" s="765">
        <v>-43</v>
      </c>
      <c r="V19" s="766">
        <v>-43</v>
      </c>
      <c r="W19" s="766">
        <v>-43</v>
      </c>
      <c r="X19" s="766">
        <v>-43</v>
      </c>
      <c r="Y19" s="766">
        <v>-41</v>
      </c>
      <c r="Z19" s="766">
        <v>-40</v>
      </c>
      <c r="AA19" s="767">
        <v>-41</v>
      </c>
      <c r="AC19" s="764" t="s">
        <v>232</v>
      </c>
      <c r="AD19" s="765">
        <v>-50</v>
      </c>
      <c r="AE19" s="766">
        <v>-51</v>
      </c>
      <c r="AF19" s="766">
        <v>-49</v>
      </c>
      <c r="AG19" s="766">
        <v>-49</v>
      </c>
      <c r="AH19" s="766">
        <v>-52</v>
      </c>
      <c r="AI19" s="766">
        <v>-51</v>
      </c>
      <c r="AJ19" s="767">
        <v>-46</v>
      </c>
      <c r="AL19" s="764" t="s">
        <v>232</v>
      </c>
      <c r="AM19" s="765">
        <v>-23</v>
      </c>
      <c r="AN19" s="766">
        <v>-22</v>
      </c>
      <c r="AO19" s="766">
        <v>-22</v>
      </c>
      <c r="AP19" s="766">
        <v>-24</v>
      </c>
      <c r="AQ19" s="766">
        <v>-22</v>
      </c>
      <c r="AR19" s="766">
        <v>-23</v>
      </c>
      <c r="AS19" s="767">
        <v>-26</v>
      </c>
      <c r="AU19" s="764" t="s">
        <v>232</v>
      </c>
      <c r="AV19" s="765">
        <v>-47</v>
      </c>
      <c r="AW19" s="766">
        <v>-48</v>
      </c>
      <c r="AX19" s="766">
        <v>-46</v>
      </c>
      <c r="AY19" s="766">
        <v>-46</v>
      </c>
      <c r="AZ19" s="766">
        <v>-46</v>
      </c>
      <c r="BA19" s="766">
        <v>-42</v>
      </c>
      <c r="BB19" s="767">
        <v>-41</v>
      </c>
    </row>
    <row r="20" spans="2:54" ht="14.45" x14ac:dyDescent="0.3">
      <c r="B20" s="759" t="s">
        <v>215</v>
      </c>
      <c r="C20" s="765">
        <v>-22</v>
      </c>
      <c r="D20" s="766">
        <v>-24</v>
      </c>
      <c r="E20" s="766">
        <v>-22</v>
      </c>
      <c r="F20" s="766">
        <v>-22</v>
      </c>
      <c r="G20" s="766">
        <v>-25</v>
      </c>
      <c r="H20" s="766">
        <v>-26</v>
      </c>
      <c r="I20" s="767">
        <v>-31</v>
      </c>
      <c r="K20" s="759" t="s">
        <v>215</v>
      </c>
      <c r="L20" s="765">
        <v>-33</v>
      </c>
      <c r="M20" s="766">
        <v>-30</v>
      </c>
      <c r="N20" s="766">
        <v>-27</v>
      </c>
      <c r="O20" s="766">
        <v>-28</v>
      </c>
      <c r="P20" s="766">
        <v>-29</v>
      </c>
      <c r="Q20" s="766">
        <v>-28</v>
      </c>
      <c r="R20" s="767">
        <v>-25</v>
      </c>
      <c r="T20" s="763" t="s">
        <v>215</v>
      </c>
      <c r="U20" s="765">
        <v>-44</v>
      </c>
      <c r="V20" s="766">
        <v>-41</v>
      </c>
      <c r="W20" s="766">
        <v>-42</v>
      </c>
      <c r="X20" s="766">
        <v>-42</v>
      </c>
      <c r="Y20" s="766">
        <v>-41</v>
      </c>
      <c r="Z20" s="766">
        <v>-41</v>
      </c>
      <c r="AA20" s="767">
        <v>-39</v>
      </c>
      <c r="AC20" s="764" t="s">
        <v>215</v>
      </c>
      <c r="AD20" s="765">
        <v>-48</v>
      </c>
      <c r="AE20" s="766">
        <v>-49</v>
      </c>
      <c r="AF20" s="766">
        <v>-52</v>
      </c>
      <c r="AG20" s="766">
        <v>-52</v>
      </c>
      <c r="AH20" s="766">
        <v>-51</v>
      </c>
      <c r="AI20" s="766">
        <v>-50</v>
      </c>
      <c r="AJ20" s="767">
        <v>-49</v>
      </c>
      <c r="AL20" s="764" t="s">
        <v>215</v>
      </c>
      <c r="AM20" s="765">
        <v>-20</v>
      </c>
      <c r="AN20" s="766">
        <v>-20</v>
      </c>
      <c r="AO20" s="766">
        <v>-19</v>
      </c>
      <c r="AP20" s="766">
        <v>-20</v>
      </c>
      <c r="AQ20" s="766">
        <v>-22</v>
      </c>
      <c r="AR20" s="766">
        <v>-21</v>
      </c>
      <c r="AS20" s="767">
        <v>-23</v>
      </c>
      <c r="AU20" s="764" t="s">
        <v>215</v>
      </c>
      <c r="AV20" s="765">
        <v>-48</v>
      </c>
      <c r="AW20" s="766">
        <v>-46</v>
      </c>
      <c r="AX20" s="766">
        <v>-43</v>
      </c>
      <c r="AY20" s="766">
        <v>-44</v>
      </c>
      <c r="AZ20" s="766">
        <v>-45</v>
      </c>
      <c r="BA20" s="766">
        <v>-40</v>
      </c>
      <c r="BB20" s="767">
        <v>-42</v>
      </c>
    </row>
    <row r="21" spans="2:54" ht="14.45" x14ac:dyDescent="0.3">
      <c r="B21" s="759" t="s">
        <v>249</v>
      </c>
      <c r="C21" s="765">
        <v>-28</v>
      </c>
      <c r="D21" s="766">
        <v>-28</v>
      </c>
      <c r="E21" s="766">
        <v>-24</v>
      </c>
      <c r="F21" s="766">
        <v>-27</v>
      </c>
      <c r="G21" s="766">
        <v>-26</v>
      </c>
      <c r="H21" s="766">
        <v>-27</v>
      </c>
      <c r="I21" s="767">
        <v>-28</v>
      </c>
      <c r="K21" s="759" t="s">
        <v>249</v>
      </c>
      <c r="L21" s="765">
        <v>-28</v>
      </c>
      <c r="M21" s="766">
        <v>-27</v>
      </c>
      <c r="N21" s="766">
        <v>-28</v>
      </c>
      <c r="O21" s="766">
        <v>-27</v>
      </c>
      <c r="P21" s="766">
        <v>-25</v>
      </c>
      <c r="Q21" s="766">
        <v>-26</v>
      </c>
      <c r="R21" s="767">
        <v>-24</v>
      </c>
      <c r="T21" s="763" t="s">
        <v>249</v>
      </c>
      <c r="U21" s="765">
        <v>-40</v>
      </c>
      <c r="V21" s="766">
        <v>-43</v>
      </c>
      <c r="W21" s="766">
        <v>-40</v>
      </c>
      <c r="X21" s="766">
        <v>-39</v>
      </c>
      <c r="Y21" s="766">
        <v>-40</v>
      </c>
      <c r="Z21" s="766">
        <v>-39</v>
      </c>
      <c r="AA21" s="767">
        <v>-38</v>
      </c>
      <c r="AC21" s="764" t="s">
        <v>249</v>
      </c>
      <c r="AD21" s="765">
        <v>-51</v>
      </c>
      <c r="AE21" s="766">
        <v>-54</v>
      </c>
      <c r="AF21" s="766">
        <v>-51</v>
      </c>
      <c r="AG21" s="766">
        <v>-51</v>
      </c>
      <c r="AH21" s="766">
        <v>-50</v>
      </c>
      <c r="AI21" s="766">
        <v>-48</v>
      </c>
      <c r="AJ21" s="767">
        <v>-49</v>
      </c>
      <c r="AL21" s="764" t="s">
        <v>249</v>
      </c>
      <c r="AM21" s="765">
        <v>-22</v>
      </c>
      <c r="AN21" s="766">
        <v>-20</v>
      </c>
      <c r="AO21" s="766">
        <v>-23</v>
      </c>
      <c r="AP21" s="766">
        <v>-22</v>
      </c>
      <c r="AQ21" s="766">
        <v>-21</v>
      </c>
      <c r="AR21" s="766">
        <v>-23</v>
      </c>
      <c r="AS21" s="767">
        <v>-24</v>
      </c>
      <c r="AU21" s="764" t="s">
        <v>249</v>
      </c>
      <c r="AV21" s="765">
        <v>-44</v>
      </c>
      <c r="AW21" s="766">
        <v>-45</v>
      </c>
      <c r="AX21" s="766">
        <v>-45</v>
      </c>
      <c r="AY21" s="766">
        <v>-44</v>
      </c>
      <c r="AZ21" s="766">
        <v>-43</v>
      </c>
      <c r="BA21" s="766">
        <v>-41</v>
      </c>
      <c r="BB21" s="767">
        <v>-43</v>
      </c>
    </row>
    <row r="22" spans="2:54" ht="14.45" x14ac:dyDescent="0.3">
      <c r="B22" s="759" t="s">
        <v>257</v>
      </c>
      <c r="C22" s="765">
        <v>-21</v>
      </c>
      <c r="D22" s="766">
        <v>-21</v>
      </c>
      <c r="E22" s="766">
        <v>-20</v>
      </c>
      <c r="F22" s="766">
        <v>-24</v>
      </c>
      <c r="G22" s="766">
        <v>-31</v>
      </c>
      <c r="H22" s="766">
        <v>-24</v>
      </c>
      <c r="I22" s="767">
        <v>-25</v>
      </c>
      <c r="K22" s="759" t="s">
        <v>257</v>
      </c>
      <c r="L22" s="765">
        <v>-32</v>
      </c>
      <c r="M22" s="766">
        <v>-32</v>
      </c>
      <c r="N22" s="766">
        <v>-33</v>
      </c>
      <c r="O22" s="766">
        <v>-32</v>
      </c>
      <c r="P22" s="766">
        <v>-30</v>
      </c>
      <c r="Q22" s="766">
        <v>-28</v>
      </c>
      <c r="R22" s="767">
        <v>-24</v>
      </c>
      <c r="T22" s="763" t="s">
        <v>257</v>
      </c>
      <c r="U22" s="765">
        <v>-39</v>
      </c>
      <c r="V22" s="766">
        <v>-40</v>
      </c>
      <c r="W22" s="766">
        <v>-39</v>
      </c>
      <c r="X22" s="766">
        <v>-38</v>
      </c>
      <c r="Y22" s="766">
        <v>-39</v>
      </c>
      <c r="Z22" s="766">
        <v>-34</v>
      </c>
      <c r="AA22" s="767">
        <v>-35</v>
      </c>
      <c r="AC22" s="764" t="s">
        <v>257</v>
      </c>
      <c r="AD22" s="765">
        <v>-53</v>
      </c>
      <c r="AE22" s="766">
        <v>-55</v>
      </c>
      <c r="AF22" s="766">
        <v>-54</v>
      </c>
      <c r="AG22" s="766">
        <v>-53</v>
      </c>
      <c r="AH22" s="766">
        <v>-52</v>
      </c>
      <c r="AI22" s="766">
        <v>-47</v>
      </c>
      <c r="AJ22" s="767">
        <v>-47</v>
      </c>
      <c r="AL22" s="764" t="s">
        <v>257</v>
      </c>
      <c r="AM22" s="765">
        <v>-25</v>
      </c>
      <c r="AN22" s="766">
        <v>-23</v>
      </c>
      <c r="AO22" s="766">
        <v>-21</v>
      </c>
      <c r="AP22" s="766">
        <v>-20</v>
      </c>
      <c r="AQ22" s="766">
        <v>-20</v>
      </c>
      <c r="AR22" s="766">
        <v>-26</v>
      </c>
      <c r="AS22" s="767">
        <v>-23</v>
      </c>
      <c r="AU22" s="764" t="s">
        <v>257</v>
      </c>
      <c r="AV22" s="765">
        <v>-41</v>
      </c>
      <c r="AW22" s="766">
        <v>-42</v>
      </c>
      <c r="AX22" s="766">
        <v>-43</v>
      </c>
      <c r="AY22" s="766">
        <v>-42</v>
      </c>
      <c r="AZ22" s="766">
        <v>-40</v>
      </c>
      <c r="BA22" s="766">
        <v>-38</v>
      </c>
      <c r="BB22" s="767">
        <v>-40</v>
      </c>
    </row>
    <row r="23" spans="2:54" ht="14.45" x14ac:dyDescent="0.3">
      <c r="B23" s="759" t="s">
        <v>264</v>
      </c>
      <c r="C23" s="765" t="s">
        <v>1048</v>
      </c>
      <c r="D23" s="766" t="s">
        <v>1048</v>
      </c>
      <c r="E23" s="766" t="s">
        <v>1048</v>
      </c>
      <c r="F23" s="766" t="s">
        <v>1048</v>
      </c>
      <c r="G23" s="766" t="s">
        <v>1048</v>
      </c>
      <c r="H23" s="766" t="s">
        <v>1048</v>
      </c>
      <c r="I23" s="767" t="s">
        <v>1048</v>
      </c>
      <c r="K23" s="759" t="s">
        <v>264</v>
      </c>
      <c r="L23" s="765" t="s">
        <v>1048</v>
      </c>
      <c r="M23" s="766" t="s">
        <v>1048</v>
      </c>
      <c r="N23" s="766" t="s">
        <v>1048</v>
      </c>
      <c r="O23" s="766" t="s">
        <v>1048</v>
      </c>
      <c r="P23" s="766" t="s">
        <v>1048</v>
      </c>
      <c r="Q23" s="766" t="s">
        <v>1048</v>
      </c>
      <c r="R23" s="767" t="s">
        <v>1048</v>
      </c>
      <c r="T23" s="763" t="s">
        <v>264</v>
      </c>
      <c r="U23" s="765" t="s">
        <v>1048</v>
      </c>
      <c r="V23" s="766" t="s">
        <v>1048</v>
      </c>
      <c r="W23" s="766" t="s">
        <v>1048</v>
      </c>
      <c r="X23" s="766" t="s">
        <v>1048</v>
      </c>
      <c r="Y23" s="766" t="s">
        <v>1048</v>
      </c>
      <c r="Z23" s="766" t="s">
        <v>1048</v>
      </c>
      <c r="AA23" s="767" t="s">
        <v>1048</v>
      </c>
      <c r="AC23" s="764" t="s">
        <v>264</v>
      </c>
      <c r="AD23" s="765" t="s">
        <v>1048</v>
      </c>
      <c r="AE23" s="766" t="s">
        <v>1048</v>
      </c>
      <c r="AF23" s="766" t="s">
        <v>1048</v>
      </c>
      <c r="AG23" s="766" t="s">
        <v>1048</v>
      </c>
      <c r="AH23" s="766" t="s">
        <v>1048</v>
      </c>
      <c r="AI23" s="766" t="s">
        <v>1048</v>
      </c>
      <c r="AJ23" s="767" t="s">
        <v>1048</v>
      </c>
      <c r="AL23" s="764" t="s">
        <v>264</v>
      </c>
      <c r="AM23" s="765" t="s">
        <v>1048</v>
      </c>
      <c r="AN23" s="766" t="s">
        <v>1048</v>
      </c>
      <c r="AO23" s="766" t="s">
        <v>1048</v>
      </c>
      <c r="AP23" s="766" t="s">
        <v>1048</v>
      </c>
      <c r="AQ23" s="766" t="s">
        <v>1048</v>
      </c>
      <c r="AR23" s="766" t="s">
        <v>1048</v>
      </c>
      <c r="AS23" s="767" t="s">
        <v>1048</v>
      </c>
      <c r="AU23" s="764" t="s">
        <v>264</v>
      </c>
      <c r="AV23" s="765" t="s">
        <v>1048</v>
      </c>
      <c r="AW23" s="766" t="s">
        <v>1048</v>
      </c>
      <c r="AX23" s="766" t="s">
        <v>1048</v>
      </c>
      <c r="AY23" s="766" t="s">
        <v>1048</v>
      </c>
      <c r="AZ23" s="766" t="s">
        <v>1048</v>
      </c>
      <c r="BA23" s="766" t="s">
        <v>1048</v>
      </c>
      <c r="BB23" s="767" t="s">
        <v>1048</v>
      </c>
    </row>
    <row r="24" spans="2:54" ht="14.45" x14ac:dyDescent="0.3">
      <c r="B24" s="759" t="s">
        <v>272</v>
      </c>
      <c r="C24" s="765" t="s">
        <v>1048</v>
      </c>
      <c r="D24" s="766" t="s">
        <v>1048</v>
      </c>
      <c r="E24" s="766" t="s">
        <v>1048</v>
      </c>
      <c r="F24" s="766" t="s">
        <v>1048</v>
      </c>
      <c r="G24" s="766" t="s">
        <v>1048</v>
      </c>
      <c r="H24" s="766" t="s">
        <v>1048</v>
      </c>
      <c r="I24" s="767" t="s">
        <v>1048</v>
      </c>
      <c r="K24" s="759" t="s">
        <v>272</v>
      </c>
      <c r="L24" s="765" t="s">
        <v>1048</v>
      </c>
      <c r="M24" s="766" t="s">
        <v>1048</v>
      </c>
      <c r="N24" s="766" t="s">
        <v>1048</v>
      </c>
      <c r="O24" s="766" t="s">
        <v>1048</v>
      </c>
      <c r="P24" s="766" t="s">
        <v>1048</v>
      </c>
      <c r="Q24" s="766" t="s">
        <v>1048</v>
      </c>
      <c r="R24" s="767" t="s">
        <v>1048</v>
      </c>
      <c r="T24" s="763" t="s">
        <v>272</v>
      </c>
      <c r="U24" s="765" t="s">
        <v>1048</v>
      </c>
      <c r="V24" s="766" t="s">
        <v>1048</v>
      </c>
      <c r="W24" s="766" t="s">
        <v>1048</v>
      </c>
      <c r="X24" s="766" t="s">
        <v>1048</v>
      </c>
      <c r="Y24" s="766" t="s">
        <v>1048</v>
      </c>
      <c r="Z24" s="766" t="s">
        <v>1048</v>
      </c>
      <c r="AA24" s="767" t="s">
        <v>1048</v>
      </c>
      <c r="AC24" s="764" t="s">
        <v>272</v>
      </c>
      <c r="AD24" s="765" t="s">
        <v>1048</v>
      </c>
      <c r="AE24" s="766" t="s">
        <v>1048</v>
      </c>
      <c r="AF24" s="766" t="s">
        <v>1048</v>
      </c>
      <c r="AG24" s="766" t="s">
        <v>1048</v>
      </c>
      <c r="AH24" s="766" t="s">
        <v>1048</v>
      </c>
      <c r="AI24" s="766" t="s">
        <v>1048</v>
      </c>
      <c r="AJ24" s="767" t="s">
        <v>1048</v>
      </c>
      <c r="AL24" s="764" t="s">
        <v>272</v>
      </c>
      <c r="AM24" s="765" t="s">
        <v>1048</v>
      </c>
      <c r="AN24" s="766" t="s">
        <v>1048</v>
      </c>
      <c r="AO24" s="766" t="s">
        <v>1048</v>
      </c>
      <c r="AP24" s="766" t="s">
        <v>1048</v>
      </c>
      <c r="AQ24" s="766" t="s">
        <v>1048</v>
      </c>
      <c r="AR24" s="766" t="s">
        <v>1048</v>
      </c>
      <c r="AS24" s="767" t="s">
        <v>1048</v>
      </c>
      <c r="AU24" s="764" t="s">
        <v>272</v>
      </c>
      <c r="AV24" s="765" t="s">
        <v>1048</v>
      </c>
      <c r="AW24" s="766" t="s">
        <v>1048</v>
      </c>
      <c r="AX24" s="766" t="s">
        <v>1048</v>
      </c>
      <c r="AY24" s="766" t="s">
        <v>1048</v>
      </c>
      <c r="AZ24" s="766" t="s">
        <v>1048</v>
      </c>
      <c r="BA24" s="766" t="s">
        <v>1048</v>
      </c>
      <c r="BB24" s="767" t="s">
        <v>1048</v>
      </c>
    </row>
    <row r="25" spans="2:54" ht="14.45" x14ac:dyDescent="0.3">
      <c r="B25" s="759" t="s">
        <v>278</v>
      </c>
      <c r="C25" s="765" t="s">
        <v>1048</v>
      </c>
      <c r="D25" s="766" t="s">
        <v>1048</v>
      </c>
      <c r="E25" s="766" t="s">
        <v>1048</v>
      </c>
      <c r="F25" s="766" t="s">
        <v>1048</v>
      </c>
      <c r="G25" s="766" t="s">
        <v>1048</v>
      </c>
      <c r="H25" s="766" t="s">
        <v>1048</v>
      </c>
      <c r="I25" s="767" t="s">
        <v>1048</v>
      </c>
      <c r="K25" s="759" t="s">
        <v>278</v>
      </c>
      <c r="L25" s="765" t="s">
        <v>1048</v>
      </c>
      <c r="M25" s="766" t="s">
        <v>1048</v>
      </c>
      <c r="N25" s="766" t="s">
        <v>1048</v>
      </c>
      <c r="O25" s="766" t="s">
        <v>1048</v>
      </c>
      <c r="P25" s="766" t="s">
        <v>1048</v>
      </c>
      <c r="Q25" s="766" t="s">
        <v>1048</v>
      </c>
      <c r="R25" s="767" t="s">
        <v>1048</v>
      </c>
      <c r="T25" s="763" t="s">
        <v>278</v>
      </c>
      <c r="U25" s="765" t="s">
        <v>1048</v>
      </c>
      <c r="V25" s="766" t="s">
        <v>1048</v>
      </c>
      <c r="W25" s="766" t="s">
        <v>1048</v>
      </c>
      <c r="X25" s="766" t="s">
        <v>1048</v>
      </c>
      <c r="Y25" s="766" t="s">
        <v>1048</v>
      </c>
      <c r="Z25" s="766" t="s">
        <v>1048</v>
      </c>
      <c r="AA25" s="767" t="s">
        <v>1048</v>
      </c>
      <c r="AC25" s="764" t="s">
        <v>278</v>
      </c>
      <c r="AD25" s="765" t="s">
        <v>1048</v>
      </c>
      <c r="AE25" s="766" t="s">
        <v>1048</v>
      </c>
      <c r="AF25" s="766" t="s">
        <v>1048</v>
      </c>
      <c r="AG25" s="766" t="s">
        <v>1048</v>
      </c>
      <c r="AH25" s="766" t="s">
        <v>1048</v>
      </c>
      <c r="AI25" s="766" t="s">
        <v>1048</v>
      </c>
      <c r="AJ25" s="767" t="s">
        <v>1048</v>
      </c>
      <c r="AL25" s="764" t="s">
        <v>278</v>
      </c>
      <c r="AM25" s="765" t="s">
        <v>1048</v>
      </c>
      <c r="AN25" s="766" t="s">
        <v>1048</v>
      </c>
      <c r="AO25" s="766" t="s">
        <v>1048</v>
      </c>
      <c r="AP25" s="766" t="s">
        <v>1048</v>
      </c>
      <c r="AQ25" s="766" t="s">
        <v>1048</v>
      </c>
      <c r="AR25" s="766" t="s">
        <v>1048</v>
      </c>
      <c r="AS25" s="767" t="s">
        <v>1048</v>
      </c>
      <c r="AU25" s="764" t="s">
        <v>278</v>
      </c>
      <c r="AV25" s="765" t="s">
        <v>1048</v>
      </c>
      <c r="AW25" s="766" t="s">
        <v>1048</v>
      </c>
      <c r="AX25" s="766" t="s">
        <v>1048</v>
      </c>
      <c r="AY25" s="766" t="s">
        <v>1048</v>
      </c>
      <c r="AZ25" s="766" t="s">
        <v>1048</v>
      </c>
      <c r="BA25" s="766" t="s">
        <v>1048</v>
      </c>
      <c r="BB25" s="767" t="s">
        <v>1048</v>
      </c>
    </row>
    <row r="26" spans="2:54" thickBot="1" x14ac:dyDescent="0.35">
      <c r="B26" s="768" t="s">
        <v>284</v>
      </c>
      <c r="C26" s="769" t="s">
        <v>1048</v>
      </c>
      <c r="D26" s="770" t="s">
        <v>1048</v>
      </c>
      <c r="E26" s="770" t="s">
        <v>1048</v>
      </c>
      <c r="F26" s="770" t="s">
        <v>1048</v>
      </c>
      <c r="G26" s="770" t="s">
        <v>1048</v>
      </c>
      <c r="H26" s="770" t="s">
        <v>1048</v>
      </c>
      <c r="I26" s="771" t="s">
        <v>1048</v>
      </c>
      <c r="K26" s="768" t="s">
        <v>284</v>
      </c>
      <c r="L26" s="769" t="s">
        <v>1048</v>
      </c>
      <c r="M26" s="770" t="s">
        <v>1048</v>
      </c>
      <c r="N26" s="770" t="s">
        <v>1048</v>
      </c>
      <c r="O26" s="770" t="s">
        <v>1048</v>
      </c>
      <c r="P26" s="770" t="s">
        <v>1048</v>
      </c>
      <c r="Q26" s="770" t="s">
        <v>1048</v>
      </c>
      <c r="R26" s="771" t="s">
        <v>1048</v>
      </c>
      <c r="T26" s="772" t="s">
        <v>284</v>
      </c>
      <c r="U26" s="769" t="s">
        <v>1048</v>
      </c>
      <c r="V26" s="770" t="s">
        <v>1048</v>
      </c>
      <c r="W26" s="770" t="s">
        <v>1048</v>
      </c>
      <c r="X26" s="770" t="s">
        <v>1048</v>
      </c>
      <c r="Y26" s="770" t="s">
        <v>1048</v>
      </c>
      <c r="Z26" s="770" t="s">
        <v>1048</v>
      </c>
      <c r="AA26" s="771" t="s">
        <v>1048</v>
      </c>
      <c r="AC26" s="773" t="s">
        <v>284</v>
      </c>
      <c r="AD26" s="769" t="s">
        <v>1048</v>
      </c>
      <c r="AE26" s="770" t="s">
        <v>1048</v>
      </c>
      <c r="AF26" s="770" t="s">
        <v>1048</v>
      </c>
      <c r="AG26" s="770" t="s">
        <v>1048</v>
      </c>
      <c r="AH26" s="770" t="s">
        <v>1048</v>
      </c>
      <c r="AI26" s="770" t="s">
        <v>1048</v>
      </c>
      <c r="AJ26" s="771" t="s">
        <v>1048</v>
      </c>
      <c r="AL26" s="773" t="s">
        <v>284</v>
      </c>
      <c r="AM26" s="769" t="s">
        <v>1048</v>
      </c>
      <c r="AN26" s="770" t="s">
        <v>1048</v>
      </c>
      <c r="AO26" s="770" t="s">
        <v>1048</v>
      </c>
      <c r="AP26" s="770" t="s">
        <v>1048</v>
      </c>
      <c r="AQ26" s="770" t="s">
        <v>1048</v>
      </c>
      <c r="AR26" s="770" t="s">
        <v>1048</v>
      </c>
      <c r="AS26" s="771" t="s">
        <v>1048</v>
      </c>
      <c r="AU26" s="773" t="s">
        <v>284</v>
      </c>
      <c r="AV26" s="769" t="s">
        <v>1048</v>
      </c>
      <c r="AW26" s="770" t="s">
        <v>1048</v>
      </c>
      <c r="AX26" s="770" t="s">
        <v>1048</v>
      </c>
      <c r="AY26" s="770" t="s">
        <v>1048</v>
      </c>
      <c r="AZ26" s="770" t="s">
        <v>1048</v>
      </c>
      <c r="BA26" s="770" t="s">
        <v>1048</v>
      </c>
      <c r="BB26" s="771" t="s">
        <v>1048</v>
      </c>
    </row>
    <row r="27" spans="2:54" thickBot="1" x14ac:dyDescent="0.35">
      <c r="B27" s="774"/>
      <c r="C27" s="775"/>
      <c r="D27" s="775"/>
      <c r="E27" s="775"/>
      <c r="F27" s="775"/>
      <c r="G27" s="775"/>
      <c r="H27" s="775"/>
      <c r="I27" s="775"/>
      <c r="K27" s="774"/>
      <c r="L27" s="775"/>
      <c r="M27" s="775"/>
      <c r="N27" s="775"/>
      <c r="O27" s="775"/>
      <c r="P27" s="775"/>
      <c r="Q27" s="775"/>
      <c r="R27" s="775"/>
      <c r="T27" s="776"/>
      <c r="U27" s="775"/>
      <c r="V27" s="775"/>
      <c r="W27" s="775"/>
      <c r="X27" s="775"/>
      <c r="Y27" s="775"/>
      <c r="Z27" s="775"/>
      <c r="AA27" s="775"/>
      <c r="AC27" s="777"/>
      <c r="AD27" s="775"/>
      <c r="AE27" s="775"/>
      <c r="AF27" s="775"/>
      <c r="AG27" s="775"/>
      <c r="AH27" s="775"/>
      <c r="AI27" s="775"/>
      <c r="AJ27" s="775"/>
      <c r="AL27" s="777"/>
      <c r="AM27" s="775"/>
      <c r="AN27" s="775"/>
      <c r="AO27" s="775"/>
      <c r="AP27" s="775"/>
      <c r="AQ27" s="775"/>
      <c r="AR27" s="775"/>
      <c r="AS27" s="775"/>
      <c r="AU27" s="777"/>
      <c r="AV27" s="775"/>
      <c r="AW27" s="775"/>
      <c r="AX27" s="775"/>
      <c r="AY27" s="775"/>
      <c r="AZ27" s="775"/>
      <c r="BA27" s="775"/>
      <c r="BB27" s="775"/>
    </row>
    <row r="28" spans="2:54" ht="15.75" thickBot="1" x14ac:dyDescent="0.3">
      <c r="B28" s="748" t="s">
        <v>1029</v>
      </c>
      <c r="C28" s="778" t="s">
        <v>187</v>
      </c>
      <c r="D28" s="778" t="s">
        <v>214</v>
      </c>
      <c r="E28" s="778" t="s">
        <v>233</v>
      </c>
      <c r="F28" s="778" t="s">
        <v>242</v>
      </c>
      <c r="G28" s="778" t="s">
        <v>250</v>
      </c>
      <c r="H28" s="778" t="s">
        <v>258</v>
      </c>
      <c r="I28" s="779" t="s">
        <v>265</v>
      </c>
      <c r="K28" s="748" t="s">
        <v>1029</v>
      </c>
      <c r="L28" s="778" t="s">
        <v>187</v>
      </c>
      <c r="M28" s="778" t="s">
        <v>214</v>
      </c>
      <c r="N28" s="778" t="s">
        <v>233</v>
      </c>
      <c r="O28" s="778" t="s">
        <v>242</v>
      </c>
      <c r="P28" s="778" t="s">
        <v>250</v>
      </c>
      <c r="Q28" s="778" t="s">
        <v>258</v>
      </c>
      <c r="R28" s="779" t="s">
        <v>265</v>
      </c>
      <c r="T28" s="751" t="s">
        <v>1029</v>
      </c>
      <c r="U28" s="778" t="s">
        <v>187</v>
      </c>
      <c r="V28" s="778" t="s">
        <v>214</v>
      </c>
      <c r="W28" s="778" t="s">
        <v>233</v>
      </c>
      <c r="X28" s="778" t="s">
        <v>242</v>
      </c>
      <c r="Y28" s="778" t="s">
        <v>250</v>
      </c>
      <c r="Z28" s="778" t="s">
        <v>258</v>
      </c>
      <c r="AA28" s="779" t="s">
        <v>265</v>
      </c>
      <c r="AC28" s="752" t="s">
        <v>1029</v>
      </c>
      <c r="AD28" s="780" t="s">
        <v>187</v>
      </c>
      <c r="AE28" s="780" t="s">
        <v>214</v>
      </c>
      <c r="AF28" s="780" t="s">
        <v>233</v>
      </c>
      <c r="AG28" s="780" t="s">
        <v>242</v>
      </c>
      <c r="AH28" s="780" t="s">
        <v>250</v>
      </c>
      <c r="AI28" s="780" t="s">
        <v>258</v>
      </c>
      <c r="AJ28" s="781" t="s">
        <v>265</v>
      </c>
      <c r="AL28" s="752" t="s">
        <v>1029</v>
      </c>
      <c r="AM28" s="778" t="s">
        <v>187</v>
      </c>
      <c r="AN28" s="778" t="s">
        <v>214</v>
      </c>
      <c r="AO28" s="778" t="s">
        <v>233</v>
      </c>
      <c r="AP28" s="778" t="s">
        <v>242</v>
      </c>
      <c r="AQ28" s="778" t="s">
        <v>250</v>
      </c>
      <c r="AR28" s="778" t="s">
        <v>258</v>
      </c>
      <c r="AS28" s="779" t="s">
        <v>265</v>
      </c>
      <c r="AU28" s="752" t="s">
        <v>1029</v>
      </c>
      <c r="AV28" s="778" t="s">
        <v>187</v>
      </c>
      <c r="AW28" s="778" t="s">
        <v>214</v>
      </c>
      <c r="AX28" s="778" t="s">
        <v>233</v>
      </c>
      <c r="AY28" s="778" t="s">
        <v>242</v>
      </c>
      <c r="AZ28" s="778" t="s">
        <v>250</v>
      </c>
      <c r="BA28" s="778" t="s">
        <v>258</v>
      </c>
      <c r="BB28" s="779" t="s">
        <v>265</v>
      </c>
    </row>
    <row r="29" spans="2:54" x14ac:dyDescent="0.25">
      <c r="B29" s="753" t="s">
        <v>186</v>
      </c>
      <c r="C29" s="754">
        <v>-35</v>
      </c>
      <c r="D29" s="755">
        <v>-32</v>
      </c>
      <c r="E29" s="755">
        <v>-38</v>
      </c>
      <c r="F29" s="755">
        <v>-36</v>
      </c>
      <c r="G29" s="755">
        <v>-37</v>
      </c>
      <c r="H29" s="755">
        <v>-42</v>
      </c>
      <c r="I29" s="756">
        <v>-40</v>
      </c>
      <c r="K29" s="753" t="s">
        <v>186</v>
      </c>
      <c r="L29" s="754">
        <v>-40</v>
      </c>
      <c r="M29" s="755">
        <v>-37</v>
      </c>
      <c r="N29" s="755">
        <v>-40</v>
      </c>
      <c r="O29" s="755">
        <v>-40</v>
      </c>
      <c r="P29" s="755">
        <v>-41</v>
      </c>
      <c r="Q29" s="755">
        <v>-40</v>
      </c>
      <c r="R29" s="756">
        <v>-41</v>
      </c>
      <c r="T29" s="757" t="s">
        <v>186</v>
      </c>
      <c r="U29" s="754">
        <v>-51</v>
      </c>
      <c r="V29" s="755">
        <v>-49</v>
      </c>
      <c r="W29" s="755">
        <v>-51</v>
      </c>
      <c r="X29" s="755">
        <v>-51</v>
      </c>
      <c r="Y29" s="755">
        <v>-52</v>
      </c>
      <c r="Z29" s="755">
        <v>-49</v>
      </c>
      <c r="AA29" s="756">
        <v>-52</v>
      </c>
      <c r="AC29" s="758" t="s">
        <v>186</v>
      </c>
      <c r="AD29" s="754">
        <v>-53</v>
      </c>
      <c r="AE29" s="755">
        <v>-56</v>
      </c>
      <c r="AF29" s="755">
        <v>-57</v>
      </c>
      <c r="AG29" s="755">
        <v>-60</v>
      </c>
      <c r="AH29" s="755">
        <v>-58</v>
      </c>
      <c r="AI29" s="755">
        <v>-54</v>
      </c>
      <c r="AJ29" s="756">
        <v>-57</v>
      </c>
      <c r="AL29" s="758" t="s">
        <v>186</v>
      </c>
      <c r="AM29" s="754">
        <v>-30</v>
      </c>
      <c r="AN29" s="755">
        <v>-31</v>
      </c>
      <c r="AO29" s="755">
        <v>-30</v>
      </c>
      <c r="AP29" s="755">
        <v>-30</v>
      </c>
      <c r="AQ29" s="755">
        <v>-34</v>
      </c>
      <c r="AR29" s="755">
        <v>-35</v>
      </c>
      <c r="AS29" s="756">
        <v>-40</v>
      </c>
      <c r="AU29" s="758" t="s">
        <v>186</v>
      </c>
      <c r="AV29" s="754">
        <v>-52</v>
      </c>
      <c r="AW29" s="755">
        <v>-54</v>
      </c>
      <c r="AX29" s="755">
        <v>-56</v>
      </c>
      <c r="AY29" s="755">
        <v>-55</v>
      </c>
      <c r="AZ29" s="755">
        <v>-56</v>
      </c>
      <c r="BA29" s="755">
        <v>-57</v>
      </c>
      <c r="BB29" s="756">
        <v>-53</v>
      </c>
    </row>
    <row r="30" spans="2:54" x14ac:dyDescent="0.25">
      <c r="B30" s="759" t="s">
        <v>213</v>
      </c>
      <c r="C30" s="760">
        <v>-30</v>
      </c>
      <c r="D30" s="761">
        <v>-31</v>
      </c>
      <c r="E30" s="761">
        <v>-35</v>
      </c>
      <c r="F30" s="761">
        <v>-34</v>
      </c>
      <c r="G30" s="761">
        <v>-35</v>
      </c>
      <c r="H30" s="761">
        <v>-41</v>
      </c>
      <c r="I30" s="762">
        <v>-41</v>
      </c>
      <c r="K30" s="759" t="s">
        <v>213</v>
      </c>
      <c r="L30" s="760">
        <v>-38</v>
      </c>
      <c r="M30" s="761">
        <v>-36</v>
      </c>
      <c r="N30" s="761">
        <v>-40</v>
      </c>
      <c r="O30" s="761">
        <v>-39</v>
      </c>
      <c r="P30" s="761">
        <v>-39</v>
      </c>
      <c r="Q30" s="761">
        <v>-38</v>
      </c>
      <c r="R30" s="762">
        <v>-40</v>
      </c>
      <c r="T30" s="763" t="s">
        <v>213</v>
      </c>
      <c r="U30" s="760">
        <v>-53</v>
      </c>
      <c r="V30" s="761">
        <v>-52</v>
      </c>
      <c r="W30" s="761">
        <v>-52</v>
      </c>
      <c r="X30" s="761">
        <v>-51</v>
      </c>
      <c r="Y30" s="761">
        <v>-54</v>
      </c>
      <c r="Z30" s="761">
        <v>-52</v>
      </c>
      <c r="AA30" s="762">
        <v>-50</v>
      </c>
      <c r="AC30" s="764" t="s">
        <v>213</v>
      </c>
      <c r="AD30" s="760">
        <v>-55</v>
      </c>
      <c r="AE30" s="761">
        <v>-59</v>
      </c>
      <c r="AF30" s="761">
        <v>-58</v>
      </c>
      <c r="AG30" s="761">
        <v>-59</v>
      </c>
      <c r="AH30" s="761">
        <v>-59</v>
      </c>
      <c r="AI30" s="761">
        <v>-55</v>
      </c>
      <c r="AJ30" s="762">
        <v>-57</v>
      </c>
      <c r="AL30" s="764" t="s">
        <v>213</v>
      </c>
      <c r="AM30" s="760">
        <v>-27</v>
      </c>
      <c r="AN30" s="761">
        <v>-28</v>
      </c>
      <c r="AO30" s="761">
        <v>-29</v>
      </c>
      <c r="AP30" s="761">
        <v>-30</v>
      </c>
      <c r="AQ30" s="761">
        <v>-32</v>
      </c>
      <c r="AR30" s="761">
        <v>-33</v>
      </c>
      <c r="AS30" s="762">
        <v>-38</v>
      </c>
      <c r="AU30" s="764" t="s">
        <v>213</v>
      </c>
      <c r="AV30" s="760">
        <v>-50</v>
      </c>
      <c r="AW30" s="761">
        <v>-53</v>
      </c>
      <c r="AX30" s="761">
        <v>-56</v>
      </c>
      <c r="AY30" s="761">
        <v>-57</v>
      </c>
      <c r="AZ30" s="761">
        <v>-56</v>
      </c>
      <c r="BA30" s="761">
        <v>-56</v>
      </c>
      <c r="BB30" s="762">
        <v>-54</v>
      </c>
    </row>
    <row r="31" spans="2:54" x14ac:dyDescent="0.25">
      <c r="B31" s="759" t="s">
        <v>232</v>
      </c>
      <c r="C31" s="765">
        <v>-31</v>
      </c>
      <c r="D31" s="766">
        <v>-33</v>
      </c>
      <c r="E31" s="766">
        <v>-33</v>
      </c>
      <c r="F31" s="766">
        <v>-32</v>
      </c>
      <c r="G31" s="766">
        <v>-33</v>
      </c>
      <c r="H31" s="766">
        <v>-39</v>
      </c>
      <c r="I31" s="767">
        <v>-39</v>
      </c>
      <c r="K31" s="759" t="s">
        <v>232</v>
      </c>
      <c r="L31" s="765">
        <v>-42</v>
      </c>
      <c r="M31" s="766">
        <v>-40</v>
      </c>
      <c r="N31" s="766">
        <v>-39</v>
      </c>
      <c r="O31" s="766">
        <v>-37</v>
      </c>
      <c r="P31" s="766">
        <v>-37</v>
      </c>
      <c r="Q31" s="766">
        <v>-39</v>
      </c>
      <c r="R31" s="767">
        <v>-37</v>
      </c>
      <c r="T31" s="763" t="s">
        <v>232</v>
      </c>
      <c r="U31" s="765">
        <v>-53</v>
      </c>
      <c r="V31" s="766">
        <v>-52</v>
      </c>
      <c r="W31" s="766">
        <v>-53</v>
      </c>
      <c r="X31" s="766">
        <v>-52</v>
      </c>
      <c r="Y31" s="766">
        <v>-54</v>
      </c>
      <c r="Z31" s="766">
        <v>-52</v>
      </c>
      <c r="AA31" s="767">
        <v>-49</v>
      </c>
      <c r="AC31" s="764" t="s">
        <v>232</v>
      </c>
      <c r="AD31" s="765">
        <v>-60</v>
      </c>
      <c r="AE31" s="766">
        <v>-59</v>
      </c>
      <c r="AF31" s="766">
        <v>-60</v>
      </c>
      <c r="AG31" s="766">
        <v>-60</v>
      </c>
      <c r="AH31" s="766">
        <v>-62</v>
      </c>
      <c r="AI31" s="766">
        <v>-58</v>
      </c>
      <c r="AJ31" s="767">
        <v>-55</v>
      </c>
      <c r="AL31" s="764" t="s">
        <v>232</v>
      </c>
      <c r="AM31" s="765">
        <v>-25</v>
      </c>
      <c r="AN31" s="766">
        <v>-25</v>
      </c>
      <c r="AO31" s="766">
        <v>-28</v>
      </c>
      <c r="AP31" s="766">
        <v>-29</v>
      </c>
      <c r="AQ31" s="766">
        <v>-30</v>
      </c>
      <c r="AR31" s="766">
        <v>-33</v>
      </c>
      <c r="AS31" s="767">
        <v>-35</v>
      </c>
      <c r="AU31" s="764" t="s">
        <v>232</v>
      </c>
      <c r="AV31" s="765">
        <v>-54</v>
      </c>
      <c r="AW31" s="766">
        <v>-56</v>
      </c>
      <c r="AX31" s="766">
        <v>-55</v>
      </c>
      <c r="AY31" s="766">
        <v>-56</v>
      </c>
      <c r="AZ31" s="766">
        <v>-55</v>
      </c>
      <c r="BA31" s="766">
        <v>-56</v>
      </c>
      <c r="BB31" s="767">
        <v>-52</v>
      </c>
    </row>
    <row r="32" spans="2:54" x14ac:dyDescent="0.25">
      <c r="B32" s="759" t="s">
        <v>215</v>
      </c>
      <c r="C32" s="765">
        <v>-32</v>
      </c>
      <c r="D32" s="766">
        <v>-32</v>
      </c>
      <c r="E32" s="766">
        <v>-30</v>
      </c>
      <c r="F32" s="766">
        <v>-28</v>
      </c>
      <c r="G32" s="766">
        <v>-31</v>
      </c>
      <c r="H32" s="766">
        <v>-35</v>
      </c>
      <c r="I32" s="767">
        <v>-37</v>
      </c>
      <c r="K32" s="759" t="s">
        <v>215</v>
      </c>
      <c r="L32" s="765">
        <v>-40</v>
      </c>
      <c r="M32" s="766">
        <v>-37</v>
      </c>
      <c r="N32" s="766">
        <v>-36</v>
      </c>
      <c r="O32" s="766">
        <v>-38</v>
      </c>
      <c r="P32" s="766">
        <v>-37</v>
      </c>
      <c r="Q32" s="766">
        <v>-36</v>
      </c>
      <c r="R32" s="767">
        <v>-35</v>
      </c>
      <c r="T32" s="763" t="s">
        <v>215</v>
      </c>
      <c r="U32" s="765">
        <v>-53</v>
      </c>
      <c r="V32" s="766">
        <v>-52</v>
      </c>
      <c r="W32" s="766">
        <v>-51</v>
      </c>
      <c r="X32" s="766">
        <v>-52</v>
      </c>
      <c r="Y32" s="766">
        <v>-52</v>
      </c>
      <c r="Z32" s="766">
        <v>-49</v>
      </c>
      <c r="AA32" s="767">
        <v>-48</v>
      </c>
      <c r="AC32" s="764" t="s">
        <v>215</v>
      </c>
      <c r="AD32" s="765">
        <v>-59</v>
      </c>
      <c r="AE32" s="766">
        <v>-60</v>
      </c>
      <c r="AF32" s="766">
        <v>-59</v>
      </c>
      <c r="AG32" s="766">
        <v>-60</v>
      </c>
      <c r="AH32" s="766">
        <v>-60</v>
      </c>
      <c r="AI32" s="766">
        <v>-55</v>
      </c>
      <c r="AJ32" s="767">
        <v>-53</v>
      </c>
      <c r="AL32" s="764" t="s">
        <v>215</v>
      </c>
      <c r="AM32" s="765">
        <v>-26</v>
      </c>
      <c r="AN32" s="766">
        <v>-26</v>
      </c>
      <c r="AO32" s="766">
        <v>-25</v>
      </c>
      <c r="AP32" s="766">
        <v>-25</v>
      </c>
      <c r="AQ32" s="766">
        <v>-32</v>
      </c>
      <c r="AR32" s="766">
        <v>-30</v>
      </c>
      <c r="AS32" s="767">
        <v>-32</v>
      </c>
      <c r="AU32" s="764" t="s">
        <v>215</v>
      </c>
      <c r="AV32" s="765">
        <v>-53</v>
      </c>
      <c r="AW32" s="766">
        <v>-55</v>
      </c>
      <c r="AX32" s="766">
        <v>-56</v>
      </c>
      <c r="AY32" s="766">
        <v>-55</v>
      </c>
      <c r="AZ32" s="766">
        <v>-54</v>
      </c>
      <c r="BA32" s="766">
        <v>-53</v>
      </c>
      <c r="BB32" s="767">
        <v>-50</v>
      </c>
    </row>
    <row r="33" spans="2:54" x14ac:dyDescent="0.25">
      <c r="B33" s="759" t="s">
        <v>249</v>
      </c>
      <c r="C33" s="765">
        <v>-33</v>
      </c>
      <c r="D33" s="766">
        <v>-33</v>
      </c>
      <c r="E33" s="766">
        <v>-31</v>
      </c>
      <c r="F33" s="766">
        <v>-30</v>
      </c>
      <c r="G33" s="766">
        <v>-31</v>
      </c>
      <c r="H33" s="766">
        <v>-36</v>
      </c>
      <c r="I33" s="767">
        <v>-33</v>
      </c>
      <c r="K33" s="759" t="s">
        <v>249</v>
      </c>
      <c r="L33" s="765">
        <v>-36</v>
      </c>
      <c r="M33" s="766">
        <v>-39</v>
      </c>
      <c r="N33" s="766">
        <v>-37</v>
      </c>
      <c r="O33" s="766">
        <v>-35</v>
      </c>
      <c r="P33" s="766">
        <v>-32</v>
      </c>
      <c r="Q33" s="766">
        <v>-35</v>
      </c>
      <c r="R33" s="767">
        <v>-32</v>
      </c>
      <c r="T33" s="763" t="s">
        <v>249</v>
      </c>
      <c r="U33" s="765">
        <v>-50</v>
      </c>
      <c r="V33" s="766">
        <v>-52</v>
      </c>
      <c r="W33" s="766">
        <v>-50</v>
      </c>
      <c r="X33" s="766">
        <v>-48</v>
      </c>
      <c r="Y33" s="766">
        <v>-48</v>
      </c>
      <c r="Z33" s="766">
        <v>-47</v>
      </c>
      <c r="AA33" s="767">
        <v>-48</v>
      </c>
      <c r="AC33" s="764" t="s">
        <v>249</v>
      </c>
      <c r="AD33" s="765">
        <v>-56</v>
      </c>
      <c r="AE33" s="766">
        <v>-58</v>
      </c>
      <c r="AF33" s="766">
        <v>-60</v>
      </c>
      <c r="AG33" s="766">
        <v>-60</v>
      </c>
      <c r="AH33" s="766">
        <v>-59</v>
      </c>
      <c r="AI33" s="766">
        <v>-55</v>
      </c>
      <c r="AJ33" s="767">
        <v>-52</v>
      </c>
      <c r="AL33" s="764" t="s">
        <v>249</v>
      </c>
      <c r="AM33" s="765">
        <v>-27</v>
      </c>
      <c r="AN33" s="766">
        <v>-29</v>
      </c>
      <c r="AO33" s="766">
        <v>-28</v>
      </c>
      <c r="AP33" s="766">
        <v>-26</v>
      </c>
      <c r="AQ33" s="766">
        <v>-26</v>
      </c>
      <c r="AR33" s="766">
        <v>-31</v>
      </c>
      <c r="AS33" s="767">
        <v>-31</v>
      </c>
      <c r="AU33" s="764" t="s">
        <v>249</v>
      </c>
      <c r="AV33" s="765">
        <v>-54</v>
      </c>
      <c r="AW33" s="766">
        <v>-54</v>
      </c>
      <c r="AX33" s="766">
        <v>-53</v>
      </c>
      <c r="AY33" s="766">
        <v>-52</v>
      </c>
      <c r="AZ33" s="766">
        <v>-50</v>
      </c>
      <c r="BA33" s="766">
        <v>-51</v>
      </c>
      <c r="BB33" s="767">
        <v>-48</v>
      </c>
    </row>
    <row r="34" spans="2:54" x14ac:dyDescent="0.25">
      <c r="B34" s="759" t="s">
        <v>257</v>
      </c>
      <c r="C34" s="765">
        <v>-29</v>
      </c>
      <c r="D34" s="766">
        <v>-27</v>
      </c>
      <c r="E34" s="766">
        <v>-29</v>
      </c>
      <c r="F34" s="766">
        <v>-30</v>
      </c>
      <c r="G34" s="766">
        <v>-29</v>
      </c>
      <c r="H34" s="766">
        <v>-30</v>
      </c>
      <c r="I34" s="767">
        <v>-33</v>
      </c>
      <c r="K34" s="759" t="s">
        <v>257</v>
      </c>
      <c r="L34" s="765">
        <v>-40</v>
      </c>
      <c r="M34" s="766">
        <v>-37</v>
      </c>
      <c r="N34" s="766">
        <v>-34</v>
      </c>
      <c r="O34" s="766">
        <v>-31</v>
      </c>
      <c r="P34" s="766">
        <v>-30</v>
      </c>
      <c r="Q34" s="766">
        <v>-29</v>
      </c>
      <c r="R34" s="767">
        <v>-28</v>
      </c>
      <c r="T34" s="763" t="s">
        <v>257</v>
      </c>
      <c r="U34" s="765">
        <v>-45</v>
      </c>
      <c r="V34" s="766">
        <v>-46</v>
      </c>
      <c r="W34" s="766">
        <v>-44</v>
      </c>
      <c r="X34" s="766">
        <v>-42</v>
      </c>
      <c r="Y34" s="766">
        <v>-44</v>
      </c>
      <c r="Z34" s="766">
        <v>-43</v>
      </c>
      <c r="AA34" s="767">
        <v>-47</v>
      </c>
      <c r="AC34" s="764" t="s">
        <v>257</v>
      </c>
      <c r="AD34" s="765">
        <v>-58</v>
      </c>
      <c r="AE34" s="766">
        <v>-57</v>
      </c>
      <c r="AF34" s="766">
        <v>-58</v>
      </c>
      <c r="AG34" s="766">
        <v>-57</v>
      </c>
      <c r="AH34" s="766">
        <v>-57</v>
      </c>
      <c r="AI34" s="766">
        <v>-55</v>
      </c>
      <c r="AJ34" s="767">
        <v>-51</v>
      </c>
      <c r="AL34" s="764" t="s">
        <v>257</v>
      </c>
      <c r="AM34" s="765">
        <v>-26</v>
      </c>
      <c r="AN34" s="766">
        <v>-33</v>
      </c>
      <c r="AO34" s="766">
        <v>-30</v>
      </c>
      <c r="AP34" s="766">
        <v>-27</v>
      </c>
      <c r="AQ34" s="766">
        <v>-29</v>
      </c>
      <c r="AR34" s="766">
        <v>-26</v>
      </c>
      <c r="AS34" s="767">
        <v>-27</v>
      </c>
      <c r="AU34" s="764" t="s">
        <v>257</v>
      </c>
      <c r="AV34" s="765">
        <v>-46</v>
      </c>
      <c r="AW34" s="766">
        <v>-46</v>
      </c>
      <c r="AX34" s="766">
        <v>-46</v>
      </c>
      <c r="AY34" s="766">
        <v>-43</v>
      </c>
      <c r="AZ34" s="766">
        <v>-45</v>
      </c>
      <c r="BA34" s="766">
        <v>-47</v>
      </c>
      <c r="BB34" s="767">
        <v>-49</v>
      </c>
    </row>
    <row r="35" spans="2:54" x14ac:dyDescent="0.25">
      <c r="B35" s="759" t="s">
        <v>264</v>
      </c>
      <c r="C35" s="765" t="s">
        <v>1048</v>
      </c>
      <c r="D35" s="766" t="s">
        <v>1048</v>
      </c>
      <c r="E35" s="766" t="s">
        <v>1048</v>
      </c>
      <c r="F35" s="766" t="s">
        <v>1048</v>
      </c>
      <c r="G35" s="766" t="s">
        <v>1048</v>
      </c>
      <c r="H35" s="766" t="s">
        <v>1048</v>
      </c>
      <c r="I35" s="767" t="s">
        <v>1048</v>
      </c>
      <c r="K35" s="759" t="s">
        <v>264</v>
      </c>
      <c r="L35" s="765">
        <v>-32</v>
      </c>
      <c r="M35" s="766">
        <v>-31</v>
      </c>
      <c r="N35" s="766">
        <v>-32</v>
      </c>
      <c r="O35" s="766">
        <v>-36</v>
      </c>
      <c r="P35" s="766">
        <v>-34</v>
      </c>
      <c r="Q35" s="766">
        <v>-33</v>
      </c>
      <c r="R35" s="767">
        <v>-32</v>
      </c>
      <c r="T35" s="763" t="s">
        <v>264</v>
      </c>
      <c r="U35" s="765" t="s">
        <v>1048</v>
      </c>
      <c r="V35" s="766" t="s">
        <v>1048</v>
      </c>
      <c r="W35" s="766" t="s">
        <v>1048</v>
      </c>
      <c r="X35" s="766" t="s">
        <v>1048</v>
      </c>
      <c r="Y35" s="766" t="s">
        <v>1048</v>
      </c>
      <c r="Z35" s="766" t="s">
        <v>1048</v>
      </c>
      <c r="AA35" s="767" t="s">
        <v>1048</v>
      </c>
      <c r="AC35" s="764" t="s">
        <v>264</v>
      </c>
      <c r="AD35" s="765" t="s">
        <v>1048</v>
      </c>
      <c r="AE35" s="766" t="s">
        <v>1048</v>
      </c>
      <c r="AF35" s="766" t="s">
        <v>1048</v>
      </c>
      <c r="AG35" s="766" t="s">
        <v>1048</v>
      </c>
      <c r="AH35" s="766" t="s">
        <v>1048</v>
      </c>
      <c r="AI35" s="766" t="s">
        <v>1048</v>
      </c>
      <c r="AJ35" s="767" t="s">
        <v>1048</v>
      </c>
      <c r="AL35" s="764" t="s">
        <v>264</v>
      </c>
      <c r="AM35" s="765" t="s">
        <v>1048</v>
      </c>
      <c r="AN35" s="766" t="s">
        <v>1048</v>
      </c>
      <c r="AO35" s="766" t="s">
        <v>1048</v>
      </c>
      <c r="AP35" s="766" t="s">
        <v>1048</v>
      </c>
      <c r="AQ35" s="766" t="s">
        <v>1048</v>
      </c>
      <c r="AR35" s="766" t="s">
        <v>1048</v>
      </c>
      <c r="AS35" s="767" t="s">
        <v>1048</v>
      </c>
      <c r="AU35" s="764" t="s">
        <v>264</v>
      </c>
      <c r="AV35" s="765">
        <v>-44</v>
      </c>
      <c r="AW35" s="766">
        <v>-46</v>
      </c>
      <c r="AX35" s="766">
        <v>-48</v>
      </c>
      <c r="AY35" s="766">
        <v>-47</v>
      </c>
      <c r="AZ35" s="766">
        <v>-46</v>
      </c>
      <c r="BA35" s="766">
        <v>-45</v>
      </c>
      <c r="BB35" s="767">
        <v>-45</v>
      </c>
    </row>
    <row r="36" spans="2:54" x14ac:dyDescent="0.25">
      <c r="B36" s="759" t="s">
        <v>272</v>
      </c>
      <c r="C36" s="765" t="s">
        <v>1048</v>
      </c>
      <c r="D36" s="766" t="s">
        <v>1048</v>
      </c>
      <c r="E36" s="766" t="s">
        <v>1048</v>
      </c>
      <c r="F36" s="766" t="s">
        <v>1048</v>
      </c>
      <c r="G36" s="766" t="s">
        <v>1048</v>
      </c>
      <c r="H36" s="766" t="s">
        <v>1048</v>
      </c>
      <c r="I36" s="767" t="s">
        <v>1048</v>
      </c>
      <c r="K36" s="759" t="s">
        <v>272</v>
      </c>
      <c r="L36" s="765"/>
      <c r="M36" s="766"/>
      <c r="N36" s="766"/>
      <c r="O36" s="766"/>
      <c r="P36" s="766"/>
      <c r="Q36" s="766"/>
      <c r="R36" s="767"/>
      <c r="T36" s="763" t="s">
        <v>272</v>
      </c>
      <c r="U36" s="765" t="s">
        <v>1048</v>
      </c>
      <c r="V36" s="766" t="s">
        <v>1048</v>
      </c>
      <c r="W36" s="766" t="s">
        <v>1048</v>
      </c>
      <c r="X36" s="766" t="s">
        <v>1048</v>
      </c>
      <c r="Y36" s="766" t="s">
        <v>1048</v>
      </c>
      <c r="Z36" s="766" t="s">
        <v>1048</v>
      </c>
      <c r="AA36" s="767" t="s">
        <v>1048</v>
      </c>
      <c r="AC36" s="764" t="s">
        <v>272</v>
      </c>
      <c r="AD36" s="765" t="s">
        <v>1048</v>
      </c>
      <c r="AE36" s="766" t="s">
        <v>1048</v>
      </c>
      <c r="AF36" s="766" t="s">
        <v>1048</v>
      </c>
      <c r="AG36" s="766" t="s">
        <v>1048</v>
      </c>
      <c r="AH36" s="766" t="s">
        <v>1048</v>
      </c>
      <c r="AI36" s="766" t="s">
        <v>1048</v>
      </c>
      <c r="AJ36" s="767" t="s">
        <v>1048</v>
      </c>
      <c r="AL36" s="764" t="s">
        <v>272</v>
      </c>
      <c r="AM36" s="765" t="s">
        <v>1048</v>
      </c>
      <c r="AN36" s="766" t="s">
        <v>1048</v>
      </c>
      <c r="AO36" s="766" t="s">
        <v>1048</v>
      </c>
      <c r="AP36" s="766" t="s">
        <v>1048</v>
      </c>
      <c r="AQ36" s="766" t="s">
        <v>1048</v>
      </c>
      <c r="AR36" s="766" t="s">
        <v>1048</v>
      </c>
      <c r="AS36" s="767" t="s">
        <v>1048</v>
      </c>
      <c r="AU36" s="764" t="s">
        <v>272</v>
      </c>
      <c r="AV36" s="765"/>
      <c r="AW36" s="766"/>
      <c r="AX36" s="766"/>
      <c r="AY36" s="766"/>
      <c r="AZ36" s="766"/>
      <c r="BA36" s="766"/>
      <c r="BB36" s="767"/>
    </row>
    <row r="37" spans="2:54" x14ac:dyDescent="0.25">
      <c r="B37" s="759" t="s">
        <v>278</v>
      </c>
      <c r="C37" s="765" t="s">
        <v>1048</v>
      </c>
      <c r="D37" s="766" t="s">
        <v>1048</v>
      </c>
      <c r="E37" s="766" t="s">
        <v>1048</v>
      </c>
      <c r="F37" s="766" t="s">
        <v>1048</v>
      </c>
      <c r="G37" s="766" t="s">
        <v>1048</v>
      </c>
      <c r="H37" s="766" t="s">
        <v>1048</v>
      </c>
      <c r="I37" s="767" t="s">
        <v>1048</v>
      </c>
      <c r="K37" s="759" t="s">
        <v>278</v>
      </c>
      <c r="L37" s="765" t="s">
        <v>1048</v>
      </c>
      <c r="M37" s="766" t="s">
        <v>1048</v>
      </c>
      <c r="N37" s="766" t="s">
        <v>1048</v>
      </c>
      <c r="O37" s="766" t="s">
        <v>1048</v>
      </c>
      <c r="P37" s="766" t="s">
        <v>1048</v>
      </c>
      <c r="Q37" s="766" t="s">
        <v>1048</v>
      </c>
      <c r="R37" s="767" t="s">
        <v>1048</v>
      </c>
      <c r="T37" s="763" t="s">
        <v>278</v>
      </c>
      <c r="U37" s="765" t="s">
        <v>1048</v>
      </c>
      <c r="V37" s="766" t="s">
        <v>1048</v>
      </c>
      <c r="W37" s="766" t="s">
        <v>1048</v>
      </c>
      <c r="X37" s="766" t="s">
        <v>1048</v>
      </c>
      <c r="Y37" s="766" t="s">
        <v>1048</v>
      </c>
      <c r="Z37" s="766" t="s">
        <v>1048</v>
      </c>
      <c r="AA37" s="767" t="s">
        <v>1048</v>
      </c>
      <c r="AC37" s="764" t="s">
        <v>278</v>
      </c>
      <c r="AD37" s="765" t="s">
        <v>1048</v>
      </c>
      <c r="AE37" s="766" t="s">
        <v>1048</v>
      </c>
      <c r="AF37" s="766" t="s">
        <v>1048</v>
      </c>
      <c r="AG37" s="766" t="s">
        <v>1048</v>
      </c>
      <c r="AH37" s="766" t="s">
        <v>1048</v>
      </c>
      <c r="AI37" s="766" t="s">
        <v>1048</v>
      </c>
      <c r="AJ37" s="767" t="s">
        <v>1048</v>
      </c>
      <c r="AL37" s="764" t="s">
        <v>278</v>
      </c>
      <c r="AM37" s="765" t="s">
        <v>1048</v>
      </c>
      <c r="AN37" s="766" t="s">
        <v>1048</v>
      </c>
      <c r="AO37" s="766" t="s">
        <v>1048</v>
      </c>
      <c r="AP37" s="766" t="s">
        <v>1048</v>
      </c>
      <c r="AQ37" s="766" t="s">
        <v>1048</v>
      </c>
      <c r="AR37" s="766" t="s">
        <v>1048</v>
      </c>
      <c r="AS37" s="767" t="s">
        <v>1048</v>
      </c>
      <c r="AU37" s="764" t="s">
        <v>278</v>
      </c>
      <c r="AV37" s="765" t="s">
        <v>1048</v>
      </c>
      <c r="AW37" s="766" t="s">
        <v>1048</v>
      </c>
      <c r="AX37" s="766" t="s">
        <v>1048</v>
      </c>
      <c r="AY37" s="766" t="s">
        <v>1048</v>
      </c>
      <c r="AZ37" s="766" t="s">
        <v>1048</v>
      </c>
      <c r="BA37" s="766" t="s">
        <v>1048</v>
      </c>
      <c r="BB37" s="767" t="s">
        <v>1048</v>
      </c>
    </row>
    <row r="38" spans="2:54" ht="15.75" thickBot="1" x14ac:dyDescent="0.3">
      <c r="B38" s="768" t="s">
        <v>284</v>
      </c>
      <c r="C38" s="769" t="s">
        <v>1048</v>
      </c>
      <c r="D38" s="770" t="s">
        <v>1048</v>
      </c>
      <c r="E38" s="770" t="s">
        <v>1048</v>
      </c>
      <c r="F38" s="770" t="s">
        <v>1048</v>
      </c>
      <c r="G38" s="770" t="s">
        <v>1048</v>
      </c>
      <c r="H38" s="770" t="s">
        <v>1048</v>
      </c>
      <c r="I38" s="771" t="s">
        <v>1048</v>
      </c>
      <c r="K38" s="768" t="s">
        <v>284</v>
      </c>
      <c r="L38" s="769" t="s">
        <v>1048</v>
      </c>
      <c r="M38" s="770" t="s">
        <v>1048</v>
      </c>
      <c r="N38" s="770" t="s">
        <v>1048</v>
      </c>
      <c r="O38" s="770" t="s">
        <v>1048</v>
      </c>
      <c r="P38" s="770" t="s">
        <v>1048</v>
      </c>
      <c r="Q38" s="770" t="s">
        <v>1048</v>
      </c>
      <c r="R38" s="771" t="s">
        <v>1048</v>
      </c>
      <c r="T38" s="772" t="s">
        <v>284</v>
      </c>
      <c r="U38" s="769" t="s">
        <v>1048</v>
      </c>
      <c r="V38" s="770" t="s">
        <v>1048</v>
      </c>
      <c r="W38" s="770" t="s">
        <v>1048</v>
      </c>
      <c r="X38" s="770" t="s">
        <v>1048</v>
      </c>
      <c r="Y38" s="770" t="s">
        <v>1048</v>
      </c>
      <c r="Z38" s="770" t="s">
        <v>1048</v>
      </c>
      <c r="AA38" s="771" t="s">
        <v>1048</v>
      </c>
      <c r="AC38" s="773" t="s">
        <v>284</v>
      </c>
      <c r="AD38" s="769" t="s">
        <v>1048</v>
      </c>
      <c r="AE38" s="770" t="s">
        <v>1048</v>
      </c>
      <c r="AF38" s="770" t="s">
        <v>1048</v>
      </c>
      <c r="AG38" s="770" t="s">
        <v>1048</v>
      </c>
      <c r="AH38" s="770" t="s">
        <v>1048</v>
      </c>
      <c r="AI38" s="770" t="s">
        <v>1048</v>
      </c>
      <c r="AJ38" s="771" t="s">
        <v>1048</v>
      </c>
      <c r="AL38" s="773" t="s">
        <v>284</v>
      </c>
      <c r="AM38" s="769" t="s">
        <v>1048</v>
      </c>
      <c r="AN38" s="770" t="s">
        <v>1048</v>
      </c>
      <c r="AO38" s="770" t="s">
        <v>1048</v>
      </c>
      <c r="AP38" s="770" t="s">
        <v>1048</v>
      </c>
      <c r="AQ38" s="770" t="s">
        <v>1048</v>
      </c>
      <c r="AR38" s="770" t="s">
        <v>1048</v>
      </c>
      <c r="AS38" s="771" t="s">
        <v>1048</v>
      </c>
      <c r="AU38" s="773" t="s">
        <v>284</v>
      </c>
      <c r="AV38" s="769" t="s">
        <v>1048</v>
      </c>
      <c r="AW38" s="770" t="s">
        <v>1048</v>
      </c>
      <c r="AX38" s="770" t="s">
        <v>1048</v>
      </c>
      <c r="AY38" s="770" t="s">
        <v>1048</v>
      </c>
      <c r="AZ38" s="770" t="s">
        <v>1048</v>
      </c>
      <c r="BA38" s="770" t="s">
        <v>1048</v>
      </c>
      <c r="BB38" s="771" t="s">
        <v>1048</v>
      </c>
    </row>
    <row r="39" spans="2:54" ht="15.75" thickBot="1" x14ac:dyDescent="0.3">
      <c r="B39" s="774"/>
      <c r="C39" s="775"/>
      <c r="D39" s="775"/>
      <c r="E39" s="775"/>
      <c r="F39" s="775"/>
      <c r="G39" s="775"/>
      <c r="H39" s="775"/>
      <c r="I39" s="775"/>
      <c r="K39" s="774"/>
      <c r="L39" s="775"/>
      <c r="M39" s="775"/>
      <c r="N39" s="775"/>
      <c r="O39" s="775"/>
      <c r="P39" s="775"/>
      <c r="Q39" s="775"/>
      <c r="R39" s="775"/>
      <c r="T39" s="776"/>
      <c r="U39" s="775"/>
      <c r="V39" s="775"/>
      <c r="W39" s="775"/>
      <c r="X39" s="775"/>
      <c r="Y39" s="775"/>
      <c r="Z39" s="775"/>
      <c r="AA39" s="775"/>
      <c r="AC39" s="777"/>
      <c r="AD39" s="775"/>
      <c r="AE39" s="775"/>
      <c r="AF39" s="775"/>
      <c r="AG39" s="775"/>
      <c r="AH39" s="775"/>
      <c r="AI39" s="775"/>
      <c r="AJ39" s="775"/>
      <c r="AL39" s="777"/>
      <c r="AM39" s="775"/>
      <c r="AN39" s="775"/>
      <c r="AO39" s="775"/>
      <c r="AP39" s="775"/>
      <c r="AQ39" s="775"/>
      <c r="AR39" s="775"/>
      <c r="AS39" s="775"/>
      <c r="AU39" s="777"/>
      <c r="AV39" s="775"/>
      <c r="AW39" s="775"/>
      <c r="AX39" s="775"/>
      <c r="AY39" s="775"/>
      <c r="AZ39" s="775"/>
      <c r="BA39" s="775"/>
      <c r="BB39" s="775"/>
    </row>
    <row r="40" spans="2:54" ht="15.75" thickBot="1" x14ac:dyDescent="0.3">
      <c r="B40" s="748" t="s">
        <v>1030</v>
      </c>
      <c r="C40" s="778" t="s">
        <v>187</v>
      </c>
      <c r="D40" s="778" t="s">
        <v>214</v>
      </c>
      <c r="E40" s="778" t="s">
        <v>233</v>
      </c>
      <c r="F40" s="778" t="s">
        <v>242</v>
      </c>
      <c r="G40" s="778" t="s">
        <v>250</v>
      </c>
      <c r="H40" s="778" t="s">
        <v>258</v>
      </c>
      <c r="I40" s="779" t="s">
        <v>265</v>
      </c>
      <c r="K40" s="748" t="s">
        <v>1030</v>
      </c>
      <c r="L40" s="778" t="s">
        <v>187</v>
      </c>
      <c r="M40" s="778" t="s">
        <v>214</v>
      </c>
      <c r="N40" s="778" t="s">
        <v>233</v>
      </c>
      <c r="O40" s="778" t="s">
        <v>242</v>
      </c>
      <c r="P40" s="778" t="s">
        <v>250</v>
      </c>
      <c r="Q40" s="778" t="s">
        <v>258</v>
      </c>
      <c r="R40" s="779" t="s">
        <v>265</v>
      </c>
      <c r="T40" s="751" t="s">
        <v>1030</v>
      </c>
      <c r="U40" s="778" t="s">
        <v>187</v>
      </c>
      <c r="V40" s="778" t="s">
        <v>214</v>
      </c>
      <c r="W40" s="778" t="s">
        <v>233</v>
      </c>
      <c r="X40" s="778" t="s">
        <v>242</v>
      </c>
      <c r="Y40" s="778" t="s">
        <v>250</v>
      </c>
      <c r="Z40" s="778" t="s">
        <v>258</v>
      </c>
      <c r="AA40" s="779" t="s">
        <v>265</v>
      </c>
      <c r="AC40" s="752" t="s">
        <v>1030</v>
      </c>
      <c r="AD40" s="780" t="s">
        <v>187</v>
      </c>
      <c r="AE40" s="780" t="s">
        <v>214</v>
      </c>
      <c r="AF40" s="780" t="s">
        <v>233</v>
      </c>
      <c r="AG40" s="780" t="s">
        <v>242</v>
      </c>
      <c r="AH40" s="780" t="s">
        <v>250</v>
      </c>
      <c r="AI40" s="780" t="s">
        <v>258</v>
      </c>
      <c r="AJ40" s="781" t="s">
        <v>265</v>
      </c>
      <c r="AL40" s="752" t="s">
        <v>1030</v>
      </c>
      <c r="AM40" s="778" t="s">
        <v>187</v>
      </c>
      <c r="AN40" s="778" t="s">
        <v>214</v>
      </c>
      <c r="AO40" s="778" t="s">
        <v>233</v>
      </c>
      <c r="AP40" s="778" t="s">
        <v>242</v>
      </c>
      <c r="AQ40" s="778" t="s">
        <v>250</v>
      </c>
      <c r="AR40" s="778" t="s">
        <v>258</v>
      </c>
      <c r="AS40" s="779" t="s">
        <v>265</v>
      </c>
      <c r="AU40" s="752" t="s">
        <v>1030</v>
      </c>
      <c r="AV40" s="778" t="s">
        <v>187</v>
      </c>
      <c r="AW40" s="778" t="s">
        <v>214</v>
      </c>
      <c r="AX40" s="778" t="s">
        <v>233</v>
      </c>
      <c r="AY40" s="778" t="s">
        <v>242</v>
      </c>
      <c r="AZ40" s="778" t="s">
        <v>250</v>
      </c>
      <c r="BA40" s="778" t="s">
        <v>258</v>
      </c>
      <c r="BB40" s="779" t="s">
        <v>265</v>
      </c>
    </row>
    <row r="41" spans="2:54" x14ac:dyDescent="0.25">
      <c r="B41" s="753" t="s">
        <v>186</v>
      </c>
      <c r="C41" s="754">
        <v>-25</v>
      </c>
      <c r="D41" s="755">
        <v>-29</v>
      </c>
      <c r="E41" s="755">
        <v>-32</v>
      </c>
      <c r="F41" s="755">
        <v>-31</v>
      </c>
      <c r="G41" s="755">
        <v>-28</v>
      </c>
      <c r="H41" s="755">
        <v>-27</v>
      </c>
      <c r="I41" s="756">
        <v>-35</v>
      </c>
      <c r="K41" s="753" t="s">
        <v>186</v>
      </c>
      <c r="L41" s="754">
        <v>-33</v>
      </c>
      <c r="M41" s="755">
        <v>-30</v>
      </c>
      <c r="N41" s="755">
        <v>-30</v>
      </c>
      <c r="O41" s="755">
        <v>-32</v>
      </c>
      <c r="P41" s="755">
        <v>-32</v>
      </c>
      <c r="Q41" s="755">
        <v>-34</v>
      </c>
      <c r="R41" s="756">
        <v>-33</v>
      </c>
      <c r="T41" s="757" t="s">
        <v>186</v>
      </c>
      <c r="U41" s="754">
        <v>-36</v>
      </c>
      <c r="V41" s="755">
        <v>-38</v>
      </c>
      <c r="W41" s="755">
        <v>-42</v>
      </c>
      <c r="X41" s="755">
        <v>-44</v>
      </c>
      <c r="Y41" s="755">
        <v>-47</v>
      </c>
      <c r="Z41" s="755">
        <v>-47</v>
      </c>
      <c r="AA41" s="756">
        <v>-48</v>
      </c>
      <c r="AC41" s="758" t="s">
        <v>186</v>
      </c>
      <c r="AD41" s="754">
        <v>-45</v>
      </c>
      <c r="AE41" s="755">
        <v>-47</v>
      </c>
      <c r="AF41" s="755">
        <v>-49</v>
      </c>
      <c r="AG41" s="755">
        <v>-51</v>
      </c>
      <c r="AH41" s="755">
        <v>-53</v>
      </c>
      <c r="AI41" s="755">
        <v>-48</v>
      </c>
      <c r="AJ41" s="756">
        <v>-55</v>
      </c>
      <c r="AL41" s="758" t="s">
        <v>186</v>
      </c>
      <c r="AM41" s="754">
        <v>-20</v>
      </c>
      <c r="AN41" s="755">
        <v>-24</v>
      </c>
      <c r="AO41" s="755">
        <v>-22</v>
      </c>
      <c r="AP41" s="755">
        <v>-22</v>
      </c>
      <c r="AQ41" s="755">
        <v>-26</v>
      </c>
      <c r="AR41" s="755">
        <v>-23</v>
      </c>
      <c r="AS41" s="756">
        <v>-27</v>
      </c>
      <c r="AU41" s="758" t="s">
        <v>186</v>
      </c>
      <c r="AV41" s="754">
        <v>-45</v>
      </c>
      <c r="AW41" s="755">
        <v>-43</v>
      </c>
      <c r="AX41" s="755">
        <v>-47</v>
      </c>
      <c r="AY41" s="755">
        <v>-45</v>
      </c>
      <c r="AZ41" s="755">
        <v>-46</v>
      </c>
      <c r="BA41" s="755">
        <v>-51</v>
      </c>
      <c r="BB41" s="756">
        <v>-50</v>
      </c>
    </row>
    <row r="42" spans="2:54" x14ac:dyDescent="0.25">
      <c r="B42" s="759" t="s">
        <v>213</v>
      </c>
      <c r="C42" s="760">
        <v>-25</v>
      </c>
      <c r="D42" s="761">
        <v>-26</v>
      </c>
      <c r="E42" s="761">
        <v>-29</v>
      </c>
      <c r="F42" s="761">
        <v>-29</v>
      </c>
      <c r="G42" s="761">
        <v>-27</v>
      </c>
      <c r="H42" s="761">
        <v>-33</v>
      </c>
      <c r="I42" s="762">
        <v>-32</v>
      </c>
      <c r="K42" s="759" t="s">
        <v>213</v>
      </c>
      <c r="L42" s="760">
        <v>-29</v>
      </c>
      <c r="M42" s="761">
        <v>-30</v>
      </c>
      <c r="N42" s="761">
        <v>-36</v>
      </c>
      <c r="O42" s="761">
        <v>-35</v>
      </c>
      <c r="P42" s="761">
        <v>-32</v>
      </c>
      <c r="Q42" s="761">
        <v>-36</v>
      </c>
      <c r="R42" s="762">
        <v>-33</v>
      </c>
      <c r="T42" s="763" t="s">
        <v>213</v>
      </c>
      <c r="U42" s="760">
        <v>-40</v>
      </c>
      <c r="V42" s="761">
        <v>-44</v>
      </c>
      <c r="W42" s="761">
        <v>-45</v>
      </c>
      <c r="X42" s="761">
        <v>-47</v>
      </c>
      <c r="Y42" s="761">
        <v>-48</v>
      </c>
      <c r="Z42" s="761">
        <v>-45</v>
      </c>
      <c r="AA42" s="762">
        <v>-46</v>
      </c>
      <c r="AC42" s="764" t="s">
        <v>213</v>
      </c>
      <c r="AD42" s="760">
        <v>-47</v>
      </c>
      <c r="AE42" s="761">
        <v>-50</v>
      </c>
      <c r="AF42" s="761">
        <v>-52</v>
      </c>
      <c r="AG42" s="761">
        <v>-52</v>
      </c>
      <c r="AH42" s="761">
        <v>-53</v>
      </c>
      <c r="AI42" s="761">
        <v>-49</v>
      </c>
      <c r="AJ42" s="762">
        <v>-53</v>
      </c>
      <c r="AL42" s="764" t="s">
        <v>213</v>
      </c>
      <c r="AM42" s="760">
        <v>-22</v>
      </c>
      <c r="AN42" s="761">
        <v>-21</v>
      </c>
      <c r="AO42" s="761">
        <v>-20</v>
      </c>
      <c r="AP42" s="761">
        <v>-23</v>
      </c>
      <c r="AQ42" s="761">
        <v>-24</v>
      </c>
      <c r="AR42" s="761">
        <v>-23</v>
      </c>
      <c r="AS42" s="762">
        <v>-26</v>
      </c>
      <c r="AU42" s="764" t="s">
        <v>213</v>
      </c>
      <c r="AV42" s="760">
        <v>-45</v>
      </c>
      <c r="AW42" s="761">
        <v>-47</v>
      </c>
      <c r="AX42" s="761">
        <v>-46</v>
      </c>
      <c r="AY42" s="761">
        <v>-49</v>
      </c>
      <c r="AZ42" s="761">
        <v>-47</v>
      </c>
      <c r="BA42" s="761">
        <v>-49</v>
      </c>
      <c r="BB42" s="762">
        <v>-52</v>
      </c>
    </row>
    <row r="43" spans="2:54" x14ac:dyDescent="0.25">
      <c r="B43" s="759" t="s">
        <v>232</v>
      </c>
      <c r="C43" s="765">
        <v>-23</v>
      </c>
      <c r="D43" s="766">
        <v>-24</v>
      </c>
      <c r="E43" s="766">
        <v>-27</v>
      </c>
      <c r="F43" s="766">
        <v>-28</v>
      </c>
      <c r="G43" s="766">
        <v>-28</v>
      </c>
      <c r="H43" s="766">
        <v>-30</v>
      </c>
      <c r="I43" s="767">
        <v>-32</v>
      </c>
      <c r="K43" s="759" t="s">
        <v>232</v>
      </c>
      <c r="L43" s="765">
        <v>-27</v>
      </c>
      <c r="M43" s="766">
        <v>-32</v>
      </c>
      <c r="N43" s="766">
        <v>-35</v>
      </c>
      <c r="O43" s="766">
        <v>-34</v>
      </c>
      <c r="P43" s="766">
        <v>-30</v>
      </c>
      <c r="Q43" s="766">
        <v>-33</v>
      </c>
      <c r="R43" s="767">
        <v>-30</v>
      </c>
      <c r="T43" s="763" t="s">
        <v>232</v>
      </c>
      <c r="U43" s="765">
        <v>-37</v>
      </c>
      <c r="V43" s="766">
        <v>-45</v>
      </c>
      <c r="W43" s="766">
        <v>-45</v>
      </c>
      <c r="X43" s="766">
        <v>-46</v>
      </c>
      <c r="Y43" s="766">
        <v>-46</v>
      </c>
      <c r="Z43" s="766">
        <v>-43</v>
      </c>
      <c r="AA43" s="767">
        <v>-46</v>
      </c>
      <c r="AC43" s="764" t="s">
        <v>232</v>
      </c>
      <c r="AD43" s="765">
        <v>-50</v>
      </c>
      <c r="AE43" s="766">
        <v>-49</v>
      </c>
      <c r="AF43" s="766">
        <v>-53</v>
      </c>
      <c r="AG43" s="766">
        <v>-53</v>
      </c>
      <c r="AH43" s="766">
        <v>-54</v>
      </c>
      <c r="AI43" s="766">
        <v>-51</v>
      </c>
      <c r="AJ43" s="767">
        <v>-52</v>
      </c>
      <c r="AL43" s="764" t="s">
        <v>232</v>
      </c>
      <c r="AM43" s="765">
        <v>-24</v>
      </c>
      <c r="AN43" s="766">
        <v>-20</v>
      </c>
      <c r="AO43" s="766">
        <v>-23</v>
      </c>
      <c r="AP43" s="766">
        <v>-21</v>
      </c>
      <c r="AQ43" s="766">
        <v>-22</v>
      </c>
      <c r="AR43" s="766">
        <v>-26</v>
      </c>
      <c r="AS43" s="767">
        <v>-29</v>
      </c>
      <c r="AU43" s="764" t="s">
        <v>232</v>
      </c>
      <c r="AV43" s="765">
        <v>-47</v>
      </c>
      <c r="AW43" s="766">
        <v>-49</v>
      </c>
      <c r="AX43" s="766">
        <v>-48</v>
      </c>
      <c r="AY43" s="766">
        <v>-48</v>
      </c>
      <c r="AZ43" s="766">
        <v>-48</v>
      </c>
      <c r="BA43" s="766">
        <v>-47</v>
      </c>
      <c r="BB43" s="767">
        <v>-50</v>
      </c>
    </row>
    <row r="44" spans="2:54" x14ac:dyDescent="0.25">
      <c r="B44" s="759" t="s">
        <v>215</v>
      </c>
      <c r="C44" s="765">
        <v>-28</v>
      </c>
      <c r="D44" s="766">
        <v>-25</v>
      </c>
      <c r="E44" s="766">
        <v>-23</v>
      </c>
      <c r="F44" s="766">
        <v>-24</v>
      </c>
      <c r="G44" s="766">
        <v>-28</v>
      </c>
      <c r="H44" s="766">
        <v>-25</v>
      </c>
      <c r="I44" s="767">
        <v>-29</v>
      </c>
      <c r="K44" s="759" t="s">
        <v>215</v>
      </c>
      <c r="L44" s="765">
        <v>-32</v>
      </c>
      <c r="M44" s="766">
        <v>-33</v>
      </c>
      <c r="N44" s="766">
        <v>-35</v>
      </c>
      <c r="O44" s="766">
        <v>-33</v>
      </c>
      <c r="P44" s="766">
        <v>-30</v>
      </c>
      <c r="Q44" s="766">
        <v>-28</v>
      </c>
      <c r="R44" s="767">
        <v>-30</v>
      </c>
      <c r="T44" s="763" t="s">
        <v>215</v>
      </c>
      <c r="U44" s="765">
        <v>-47</v>
      </c>
      <c r="V44" s="766">
        <v>-45</v>
      </c>
      <c r="W44" s="766">
        <v>-44</v>
      </c>
      <c r="X44" s="766">
        <v>-43</v>
      </c>
      <c r="Y44" s="766">
        <v>-44</v>
      </c>
      <c r="Z44" s="766">
        <v>-43</v>
      </c>
      <c r="AA44" s="767">
        <v>-46</v>
      </c>
      <c r="AC44" s="764" t="s">
        <v>215</v>
      </c>
      <c r="AD44" s="765">
        <v>-52</v>
      </c>
      <c r="AE44" s="766">
        <v>-51</v>
      </c>
      <c r="AF44" s="766">
        <v>-53</v>
      </c>
      <c r="AG44" s="766">
        <v>-52</v>
      </c>
      <c r="AH44" s="766">
        <v>-51</v>
      </c>
      <c r="AI44" s="766">
        <v>-48</v>
      </c>
      <c r="AJ44" s="767">
        <v>-50</v>
      </c>
      <c r="AL44" s="764" t="s">
        <v>215</v>
      </c>
      <c r="AM44" s="765">
        <v>-21</v>
      </c>
      <c r="AN44" s="766">
        <v>-21</v>
      </c>
      <c r="AO44" s="766">
        <v>-21</v>
      </c>
      <c r="AP44" s="766">
        <v>-20</v>
      </c>
      <c r="AQ44" s="766">
        <v>-21</v>
      </c>
      <c r="AR44" s="766">
        <v>-23</v>
      </c>
      <c r="AS44" s="767">
        <v>-27</v>
      </c>
      <c r="AU44" s="764" t="s">
        <v>215</v>
      </c>
      <c r="AV44" s="765">
        <v>-49</v>
      </c>
      <c r="AW44" s="766">
        <v>-49</v>
      </c>
      <c r="AX44" s="766">
        <v>-50</v>
      </c>
      <c r="AY44" s="766">
        <v>-48</v>
      </c>
      <c r="AZ44" s="766">
        <v>-47</v>
      </c>
      <c r="BA44" s="766">
        <v>-45</v>
      </c>
      <c r="BB44" s="767">
        <v>-49</v>
      </c>
    </row>
    <row r="45" spans="2:54" x14ac:dyDescent="0.25">
      <c r="B45" s="759" t="s">
        <v>249</v>
      </c>
      <c r="C45" s="765">
        <v>-23</v>
      </c>
      <c r="D45" s="766">
        <v>-26</v>
      </c>
      <c r="E45" s="766">
        <v>-23</v>
      </c>
      <c r="F45" s="766">
        <v>-26</v>
      </c>
      <c r="G45" s="766">
        <v>-22</v>
      </c>
      <c r="H45" s="766">
        <v>-24</v>
      </c>
      <c r="I45" s="767">
        <v>-28</v>
      </c>
      <c r="K45" s="759" t="s">
        <v>249</v>
      </c>
      <c r="L45" s="765">
        <v>-27</v>
      </c>
      <c r="M45" s="766">
        <v>-33</v>
      </c>
      <c r="N45" s="766">
        <v>-35</v>
      </c>
      <c r="O45" s="766">
        <v>-33</v>
      </c>
      <c r="P45" s="766">
        <v>-28</v>
      </c>
      <c r="Q45" s="766">
        <v>-27</v>
      </c>
      <c r="R45" s="767">
        <v>-26</v>
      </c>
      <c r="T45" s="763" t="s">
        <v>249</v>
      </c>
      <c r="U45" s="765">
        <v>-45</v>
      </c>
      <c r="V45" s="766">
        <v>-47</v>
      </c>
      <c r="W45" s="766">
        <v>-45</v>
      </c>
      <c r="X45" s="766">
        <v>-43</v>
      </c>
      <c r="Y45" s="766">
        <v>-43</v>
      </c>
      <c r="Z45" s="766">
        <v>-41</v>
      </c>
      <c r="AA45" s="767">
        <v>-43</v>
      </c>
      <c r="AC45" s="764" t="s">
        <v>249</v>
      </c>
      <c r="AD45" s="765">
        <v>-50</v>
      </c>
      <c r="AE45" s="766">
        <v>-50</v>
      </c>
      <c r="AF45" s="766">
        <v>-53</v>
      </c>
      <c r="AG45" s="766">
        <v>-51</v>
      </c>
      <c r="AH45" s="766">
        <v>-50</v>
      </c>
      <c r="AI45" s="766">
        <v>-45</v>
      </c>
      <c r="AJ45" s="767">
        <v>-50</v>
      </c>
      <c r="AL45" s="764" t="s">
        <v>249</v>
      </c>
      <c r="AM45" s="765">
        <v>-22</v>
      </c>
      <c r="AN45" s="766">
        <v>-23</v>
      </c>
      <c r="AO45" s="766">
        <v>-24</v>
      </c>
      <c r="AP45" s="766">
        <v>-24</v>
      </c>
      <c r="AQ45" s="766">
        <v>-21</v>
      </c>
      <c r="AR45" s="766">
        <v>-22</v>
      </c>
      <c r="AS45" s="767">
        <v>-26</v>
      </c>
      <c r="AU45" s="764" t="s">
        <v>249</v>
      </c>
      <c r="AV45" s="765">
        <v>-47</v>
      </c>
      <c r="AW45" s="766">
        <v>-46</v>
      </c>
      <c r="AX45" s="766">
        <v>-48</v>
      </c>
      <c r="AY45" s="766">
        <v>-46</v>
      </c>
      <c r="AZ45" s="766">
        <v>-43</v>
      </c>
      <c r="BA45" s="766">
        <v>-43</v>
      </c>
      <c r="BB45" s="767">
        <v>-46</v>
      </c>
    </row>
    <row r="46" spans="2:54" x14ac:dyDescent="0.25">
      <c r="B46" s="759" t="s">
        <v>257</v>
      </c>
      <c r="C46" s="765">
        <v>-23</v>
      </c>
      <c r="D46" s="766">
        <v>-25</v>
      </c>
      <c r="E46" s="766">
        <v>-21</v>
      </c>
      <c r="F46" s="766">
        <v>-18</v>
      </c>
      <c r="G46" s="766">
        <v>-23</v>
      </c>
      <c r="H46" s="766">
        <v>-28</v>
      </c>
      <c r="I46" s="767">
        <v>-29</v>
      </c>
      <c r="K46" s="759" t="s">
        <v>257</v>
      </c>
      <c r="L46" s="765">
        <v>-26</v>
      </c>
      <c r="M46" s="766">
        <v>-25</v>
      </c>
      <c r="N46" s="766">
        <v>-28</v>
      </c>
      <c r="O46" s="766">
        <v>-27</v>
      </c>
      <c r="P46" s="766">
        <v>-26</v>
      </c>
      <c r="Q46" s="766">
        <v>-23</v>
      </c>
      <c r="R46" s="767">
        <v>-22</v>
      </c>
      <c r="T46" s="763" t="s">
        <v>257</v>
      </c>
      <c r="U46" s="765">
        <v>-35</v>
      </c>
      <c r="V46" s="766">
        <v>-38</v>
      </c>
      <c r="W46" s="766">
        <v>-38</v>
      </c>
      <c r="X46" s="766">
        <v>-36</v>
      </c>
      <c r="Y46" s="766">
        <v>-41</v>
      </c>
      <c r="Z46" s="766">
        <v>-41</v>
      </c>
      <c r="AA46" s="767">
        <v>-42</v>
      </c>
      <c r="AC46" s="764" t="s">
        <v>257</v>
      </c>
      <c r="AD46" s="765">
        <v>-52</v>
      </c>
      <c r="AE46" s="766">
        <v>-50</v>
      </c>
      <c r="AF46" s="766">
        <v>-50</v>
      </c>
      <c r="AG46" s="766">
        <v>-49</v>
      </c>
      <c r="AH46" s="766">
        <v>-48</v>
      </c>
      <c r="AI46" s="766">
        <v>-46</v>
      </c>
      <c r="AJ46" s="767">
        <v>-47</v>
      </c>
      <c r="AL46" s="764" t="s">
        <v>257</v>
      </c>
      <c r="AM46" s="765">
        <v>-25</v>
      </c>
      <c r="AN46" s="766">
        <v>-27</v>
      </c>
      <c r="AO46" s="766">
        <v>-29</v>
      </c>
      <c r="AP46" s="766">
        <v>-26</v>
      </c>
      <c r="AQ46" s="766">
        <v>-26</v>
      </c>
      <c r="AR46" s="766">
        <v>-24</v>
      </c>
      <c r="AS46" s="767">
        <v>-25</v>
      </c>
      <c r="AU46" s="764" t="s">
        <v>257</v>
      </c>
      <c r="AV46" s="765">
        <v>-40</v>
      </c>
      <c r="AW46" s="766">
        <v>-41</v>
      </c>
      <c r="AX46" s="766">
        <v>-40</v>
      </c>
      <c r="AY46" s="766">
        <v>-39</v>
      </c>
      <c r="AZ46" s="766">
        <v>-38</v>
      </c>
      <c r="BA46" s="766">
        <v>-38</v>
      </c>
      <c r="BB46" s="767">
        <v>-44</v>
      </c>
    </row>
    <row r="47" spans="2:54" x14ac:dyDescent="0.25">
      <c r="B47" s="759" t="s">
        <v>264</v>
      </c>
      <c r="C47" s="765" t="s">
        <v>1048</v>
      </c>
      <c r="D47" s="766" t="s">
        <v>1048</v>
      </c>
      <c r="E47" s="766" t="s">
        <v>1048</v>
      </c>
      <c r="F47" s="766" t="s">
        <v>1048</v>
      </c>
      <c r="G47" s="766" t="s">
        <v>1048</v>
      </c>
      <c r="H47" s="766" t="s">
        <v>1048</v>
      </c>
      <c r="I47" s="767" t="s">
        <v>1048</v>
      </c>
      <c r="K47" s="759" t="s">
        <v>264</v>
      </c>
      <c r="L47" s="765">
        <v>-28</v>
      </c>
      <c r="M47" s="766">
        <v>-30</v>
      </c>
      <c r="N47" s="766">
        <v>-29</v>
      </c>
      <c r="O47" s="766">
        <v>-29</v>
      </c>
      <c r="P47" s="766">
        <v>-27</v>
      </c>
      <c r="Q47" s="766">
        <v>-25</v>
      </c>
      <c r="R47" s="767">
        <v>-27</v>
      </c>
      <c r="T47" s="763" t="s">
        <v>264</v>
      </c>
      <c r="U47" s="765">
        <v>0</v>
      </c>
      <c r="V47" s="766">
        <v>0</v>
      </c>
      <c r="W47" s="766">
        <v>0</v>
      </c>
      <c r="X47" s="766">
        <v>0</v>
      </c>
      <c r="Y47" s="766">
        <v>0</v>
      </c>
      <c r="Z47" s="766">
        <v>0</v>
      </c>
      <c r="AA47" s="767">
        <v>0</v>
      </c>
      <c r="AC47" s="764" t="s">
        <v>264</v>
      </c>
      <c r="AD47" s="765">
        <v>0</v>
      </c>
      <c r="AE47" s="766">
        <v>0</v>
      </c>
      <c r="AF47" s="766">
        <v>0</v>
      </c>
      <c r="AG47" s="766">
        <v>0</v>
      </c>
      <c r="AH47" s="766">
        <v>0</v>
      </c>
      <c r="AI47" s="766">
        <v>0</v>
      </c>
      <c r="AJ47" s="767">
        <v>0</v>
      </c>
      <c r="AL47" s="764" t="s">
        <v>264</v>
      </c>
      <c r="AM47" s="765">
        <v>0</v>
      </c>
      <c r="AN47" s="766">
        <v>0</v>
      </c>
      <c r="AO47" s="766">
        <v>0</v>
      </c>
      <c r="AP47" s="766">
        <v>0</v>
      </c>
      <c r="AQ47" s="766">
        <v>0</v>
      </c>
      <c r="AR47" s="766">
        <v>0</v>
      </c>
      <c r="AS47" s="767">
        <v>0</v>
      </c>
      <c r="AU47" s="764" t="s">
        <v>264</v>
      </c>
      <c r="AV47" s="765">
        <v>-37</v>
      </c>
      <c r="AW47" s="766">
        <v>-36</v>
      </c>
      <c r="AX47" s="766">
        <v>-38</v>
      </c>
      <c r="AY47" s="766">
        <v>-38</v>
      </c>
      <c r="AZ47" s="766">
        <v>-37</v>
      </c>
      <c r="BA47" s="766">
        <v>-35</v>
      </c>
      <c r="BB47" s="767">
        <v>-38</v>
      </c>
    </row>
    <row r="48" spans="2:54" x14ac:dyDescent="0.25">
      <c r="B48" s="759" t="s">
        <v>272</v>
      </c>
      <c r="C48" s="765" t="s">
        <v>1048</v>
      </c>
      <c r="D48" s="766" t="s">
        <v>1048</v>
      </c>
      <c r="E48" s="766" t="s">
        <v>1048</v>
      </c>
      <c r="F48" s="766" t="s">
        <v>1048</v>
      </c>
      <c r="G48" s="766" t="s">
        <v>1048</v>
      </c>
      <c r="H48" s="766" t="s">
        <v>1048</v>
      </c>
      <c r="I48" s="767" t="s">
        <v>1048</v>
      </c>
      <c r="K48" s="759" t="s">
        <v>272</v>
      </c>
      <c r="L48" s="765"/>
      <c r="M48" s="766"/>
      <c r="N48" s="766"/>
      <c r="O48" s="766"/>
      <c r="P48" s="766"/>
      <c r="Q48" s="766"/>
      <c r="R48" s="767"/>
      <c r="T48" s="763" t="s">
        <v>272</v>
      </c>
      <c r="U48" s="765"/>
      <c r="V48" s="766"/>
      <c r="W48" s="766"/>
      <c r="X48" s="766"/>
      <c r="Y48" s="766"/>
      <c r="Z48" s="766"/>
      <c r="AA48" s="767"/>
      <c r="AC48" s="764" t="s">
        <v>272</v>
      </c>
      <c r="AD48" s="765"/>
      <c r="AE48" s="766"/>
      <c r="AF48" s="766"/>
      <c r="AG48" s="766"/>
      <c r="AH48" s="766"/>
      <c r="AI48" s="766"/>
      <c r="AJ48" s="767"/>
      <c r="AL48" s="764" t="s">
        <v>272</v>
      </c>
      <c r="AM48" s="765"/>
      <c r="AN48" s="766"/>
      <c r="AO48" s="766"/>
      <c r="AP48" s="766"/>
      <c r="AQ48" s="766"/>
      <c r="AR48" s="766"/>
      <c r="AS48" s="767"/>
      <c r="AU48" s="764" t="s">
        <v>272</v>
      </c>
      <c r="AV48" s="765"/>
      <c r="AW48" s="766"/>
      <c r="AX48" s="766"/>
      <c r="AY48" s="766"/>
      <c r="AZ48" s="766"/>
      <c r="BA48" s="766"/>
      <c r="BB48" s="767"/>
    </row>
    <row r="49" spans="2:54" x14ac:dyDescent="0.25">
      <c r="B49" s="759" t="s">
        <v>278</v>
      </c>
      <c r="C49" s="765" t="s">
        <v>1048</v>
      </c>
      <c r="D49" s="766" t="s">
        <v>1048</v>
      </c>
      <c r="E49" s="766" t="s">
        <v>1048</v>
      </c>
      <c r="F49" s="766" t="s">
        <v>1048</v>
      </c>
      <c r="G49" s="766" t="s">
        <v>1048</v>
      </c>
      <c r="H49" s="766" t="s">
        <v>1048</v>
      </c>
      <c r="I49" s="767" t="s">
        <v>1048</v>
      </c>
      <c r="K49" s="759" t="s">
        <v>278</v>
      </c>
      <c r="L49" s="765" t="s">
        <v>1048</v>
      </c>
      <c r="M49" s="766" t="s">
        <v>1048</v>
      </c>
      <c r="N49" s="766" t="s">
        <v>1048</v>
      </c>
      <c r="O49" s="766" t="s">
        <v>1048</v>
      </c>
      <c r="P49" s="766" t="s">
        <v>1048</v>
      </c>
      <c r="Q49" s="766" t="s">
        <v>1048</v>
      </c>
      <c r="R49" s="767" t="s">
        <v>1048</v>
      </c>
      <c r="T49" s="763" t="s">
        <v>278</v>
      </c>
      <c r="U49" s="765" t="s">
        <v>1048</v>
      </c>
      <c r="V49" s="766" t="s">
        <v>1048</v>
      </c>
      <c r="W49" s="766" t="s">
        <v>1048</v>
      </c>
      <c r="X49" s="766" t="s">
        <v>1048</v>
      </c>
      <c r="Y49" s="766" t="s">
        <v>1048</v>
      </c>
      <c r="Z49" s="766" t="s">
        <v>1048</v>
      </c>
      <c r="AA49" s="767" t="s">
        <v>1048</v>
      </c>
      <c r="AC49" s="764" t="s">
        <v>278</v>
      </c>
      <c r="AD49" s="765" t="s">
        <v>1048</v>
      </c>
      <c r="AE49" s="766" t="s">
        <v>1048</v>
      </c>
      <c r="AF49" s="766" t="s">
        <v>1048</v>
      </c>
      <c r="AG49" s="766" t="s">
        <v>1048</v>
      </c>
      <c r="AH49" s="766" t="s">
        <v>1048</v>
      </c>
      <c r="AI49" s="766" t="s">
        <v>1048</v>
      </c>
      <c r="AJ49" s="767" t="s">
        <v>1048</v>
      </c>
      <c r="AL49" s="764" t="s">
        <v>278</v>
      </c>
      <c r="AM49" s="765" t="s">
        <v>1048</v>
      </c>
      <c r="AN49" s="766" t="s">
        <v>1048</v>
      </c>
      <c r="AO49" s="766" t="s">
        <v>1048</v>
      </c>
      <c r="AP49" s="766" t="s">
        <v>1048</v>
      </c>
      <c r="AQ49" s="766" t="s">
        <v>1048</v>
      </c>
      <c r="AR49" s="766" t="s">
        <v>1048</v>
      </c>
      <c r="AS49" s="767" t="s">
        <v>1048</v>
      </c>
      <c r="AU49" s="764" t="s">
        <v>278</v>
      </c>
      <c r="AV49" s="765" t="s">
        <v>1048</v>
      </c>
      <c r="AW49" s="766" t="s">
        <v>1048</v>
      </c>
      <c r="AX49" s="766" t="s">
        <v>1048</v>
      </c>
      <c r="AY49" s="766" t="s">
        <v>1048</v>
      </c>
      <c r="AZ49" s="766" t="s">
        <v>1048</v>
      </c>
      <c r="BA49" s="766" t="s">
        <v>1048</v>
      </c>
      <c r="BB49" s="767" t="s">
        <v>1048</v>
      </c>
    </row>
    <row r="50" spans="2:54" ht="15.75" thickBot="1" x14ac:dyDescent="0.3">
      <c r="B50" s="768" t="s">
        <v>284</v>
      </c>
      <c r="C50" s="769" t="s">
        <v>1048</v>
      </c>
      <c r="D50" s="770" t="s">
        <v>1048</v>
      </c>
      <c r="E50" s="770" t="s">
        <v>1048</v>
      </c>
      <c r="F50" s="770" t="s">
        <v>1048</v>
      </c>
      <c r="G50" s="770" t="s">
        <v>1048</v>
      </c>
      <c r="H50" s="770" t="s">
        <v>1048</v>
      </c>
      <c r="I50" s="771" t="s">
        <v>1048</v>
      </c>
      <c r="K50" s="768" t="s">
        <v>284</v>
      </c>
      <c r="L50" s="769" t="s">
        <v>1048</v>
      </c>
      <c r="M50" s="770" t="s">
        <v>1048</v>
      </c>
      <c r="N50" s="770" t="s">
        <v>1048</v>
      </c>
      <c r="O50" s="770" t="s">
        <v>1048</v>
      </c>
      <c r="P50" s="770" t="s">
        <v>1048</v>
      </c>
      <c r="Q50" s="770" t="s">
        <v>1048</v>
      </c>
      <c r="R50" s="771" t="s">
        <v>1048</v>
      </c>
      <c r="T50" s="772" t="s">
        <v>284</v>
      </c>
      <c r="U50" s="769" t="s">
        <v>1048</v>
      </c>
      <c r="V50" s="770" t="s">
        <v>1048</v>
      </c>
      <c r="W50" s="770" t="s">
        <v>1048</v>
      </c>
      <c r="X50" s="770" t="s">
        <v>1048</v>
      </c>
      <c r="Y50" s="770" t="s">
        <v>1048</v>
      </c>
      <c r="Z50" s="770" t="s">
        <v>1048</v>
      </c>
      <c r="AA50" s="771" t="s">
        <v>1048</v>
      </c>
      <c r="AC50" s="773" t="s">
        <v>284</v>
      </c>
      <c r="AD50" s="769" t="s">
        <v>1048</v>
      </c>
      <c r="AE50" s="770" t="s">
        <v>1048</v>
      </c>
      <c r="AF50" s="770" t="s">
        <v>1048</v>
      </c>
      <c r="AG50" s="770" t="s">
        <v>1048</v>
      </c>
      <c r="AH50" s="770" t="s">
        <v>1048</v>
      </c>
      <c r="AI50" s="770" t="s">
        <v>1048</v>
      </c>
      <c r="AJ50" s="771" t="s">
        <v>1048</v>
      </c>
      <c r="AL50" s="773" t="s">
        <v>284</v>
      </c>
      <c r="AM50" s="769" t="s">
        <v>1048</v>
      </c>
      <c r="AN50" s="770" t="s">
        <v>1048</v>
      </c>
      <c r="AO50" s="770" t="s">
        <v>1048</v>
      </c>
      <c r="AP50" s="770" t="s">
        <v>1048</v>
      </c>
      <c r="AQ50" s="770" t="s">
        <v>1048</v>
      </c>
      <c r="AR50" s="770" t="s">
        <v>1048</v>
      </c>
      <c r="AS50" s="771" t="s">
        <v>1048</v>
      </c>
      <c r="AU50" s="773" t="s">
        <v>284</v>
      </c>
      <c r="AV50" s="769" t="s">
        <v>1048</v>
      </c>
      <c r="AW50" s="770" t="s">
        <v>1048</v>
      </c>
      <c r="AX50" s="770" t="s">
        <v>1048</v>
      </c>
      <c r="AY50" s="770" t="s">
        <v>1048</v>
      </c>
      <c r="AZ50" s="770" t="s">
        <v>1048</v>
      </c>
      <c r="BA50" s="770" t="s">
        <v>1048</v>
      </c>
      <c r="BB50" s="771" t="s">
        <v>1048</v>
      </c>
    </row>
    <row r="51" spans="2:54" ht="15.75" thickBot="1" x14ac:dyDescent="0.3">
      <c r="B51" s="774"/>
      <c r="C51" s="775"/>
      <c r="D51" s="775"/>
      <c r="E51" s="775"/>
      <c r="F51" s="775"/>
      <c r="G51" s="775"/>
      <c r="H51" s="775"/>
      <c r="I51" s="775"/>
      <c r="K51" s="774"/>
      <c r="L51" s="775"/>
      <c r="M51" s="775"/>
      <c r="N51" s="775"/>
      <c r="O51" s="775"/>
      <c r="P51" s="775"/>
      <c r="Q51" s="775"/>
      <c r="R51" s="775"/>
      <c r="T51" s="776"/>
      <c r="U51" s="775"/>
      <c r="V51" s="775"/>
      <c r="W51" s="775"/>
      <c r="X51" s="775"/>
      <c r="Y51" s="775"/>
      <c r="Z51" s="775"/>
      <c r="AA51" s="775"/>
      <c r="AC51" s="777"/>
      <c r="AD51" s="775"/>
      <c r="AE51" s="775"/>
      <c r="AF51" s="775"/>
      <c r="AG51" s="775"/>
      <c r="AH51" s="775"/>
      <c r="AI51" s="775"/>
      <c r="AJ51" s="775"/>
      <c r="AL51" s="777"/>
      <c r="AM51" s="775"/>
      <c r="AN51" s="775"/>
      <c r="AO51" s="775"/>
      <c r="AP51" s="775"/>
      <c r="AQ51" s="775"/>
      <c r="AR51" s="775"/>
      <c r="AS51" s="775"/>
      <c r="AU51" s="777"/>
      <c r="AV51" s="775"/>
      <c r="AW51" s="775"/>
      <c r="AX51" s="775"/>
      <c r="AY51" s="775"/>
      <c r="AZ51" s="775"/>
      <c r="BA51" s="775"/>
      <c r="BB51" s="775"/>
    </row>
    <row r="52" spans="2:54" ht="15.75" thickBot="1" x14ac:dyDescent="0.3">
      <c r="B52" s="748" t="s">
        <v>1031</v>
      </c>
      <c r="C52" s="778" t="s">
        <v>187</v>
      </c>
      <c r="D52" s="778" t="s">
        <v>214</v>
      </c>
      <c r="E52" s="778" t="s">
        <v>233</v>
      </c>
      <c r="F52" s="778" t="s">
        <v>242</v>
      </c>
      <c r="G52" s="778" t="s">
        <v>250</v>
      </c>
      <c r="H52" s="778" t="s">
        <v>258</v>
      </c>
      <c r="I52" s="779" t="s">
        <v>265</v>
      </c>
      <c r="K52" s="748" t="s">
        <v>1031</v>
      </c>
      <c r="L52" s="778" t="s">
        <v>187</v>
      </c>
      <c r="M52" s="778" t="s">
        <v>214</v>
      </c>
      <c r="N52" s="778" t="s">
        <v>233</v>
      </c>
      <c r="O52" s="778" t="s">
        <v>242</v>
      </c>
      <c r="P52" s="778" t="s">
        <v>250</v>
      </c>
      <c r="Q52" s="778" t="s">
        <v>258</v>
      </c>
      <c r="R52" s="779" t="s">
        <v>265</v>
      </c>
      <c r="T52" s="751" t="s">
        <v>1031</v>
      </c>
      <c r="U52" s="778" t="s">
        <v>187</v>
      </c>
      <c r="V52" s="778" t="s">
        <v>214</v>
      </c>
      <c r="W52" s="778" t="s">
        <v>233</v>
      </c>
      <c r="X52" s="778" t="s">
        <v>242</v>
      </c>
      <c r="Y52" s="778" t="s">
        <v>250</v>
      </c>
      <c r="Z52" s="778" t="s">
        <v>258</v>
      </c>
      <c r="AA52" s="779" t="s">
        <v>265</v>
      </c>
      <c r="AC52" s="752" t="s">
        <v>1031</v>
      </c>
      <c r="AD52" s="778" t="s">
        <v>187</v>
      </c>
      <c r="AE52" s="778" t="s">
        <v>214</v>
      </c>
      <c r="AF52" s="778" t="s">
        <v>233</v>
      </c>
      <c r="AG52" s="778" t="s">
        <v>242</v>
      </c>
      <c r="AH52" s="778" t="s">
        <v>250</v>
      </c>
      <c r="AI52" s="778" t="s">
        <v>258</v>
      </c>
      <c r="AJ52" s="779" t="s">
        <v>265</v>
      </c>
      <c r="AL52" s="752" t="s">
        <v>1031</v>
      </c>
      <c r="AM52" s="778" t="s">
        <v>187</v>
      </c>
      <c r="AN52" s="778" t="s">
        <v>214</v>
      </c>
      <c r="AO52" s="778" t="s">
        <v>233</v>
      </c>
      <c r="AP52" s="778" t="s">
        <v>242</v>
      </c>
      <c r="AQ52" s="778" t="s">
        <v>250</v>
      </c>
      <c r="AR52" s="778" t="s">
        <v>258</v>
      </c>
      <c r="AS52" s="779" t="s">
        <v>265</v>
      </c>
      <c r="AU52" s="752" t="s">
        <v>1031</v>
      </c>
      <c r="AV52" s="778" t="s">
        <v>187</v>
      </c>
      <c r="AW52" s="778" t="s">
        <v>214</v>
      </c>
      <c r="AX52" s="778" t="s">
        <v>233</v>
      </c>
      <c r="AY52" s="778" t="s">
        <v>242</v>
      </c>
      <c r="AZ52" s="778" t="s">
        <v>250</v>
      </c>
      <c r="BA52" s="778" t="s">
        <v>258</v>
      </c>
      <c r="BB52" s="779" t="s">
        <v>265</v>
      </c>
    </row>
    <row r="53" spans="2:54" x14ac:dyDescent="0.25">
      <c r="B53" s="753" t="s">
        <v>186</v>
      </c>
      <c r="C53" s="754">
        <v>-41</v>
      </c>
      <c r="D53" s="755">
        <v>-32</v>
      </c>
      <c r="E53" s="755">
        <v>-30</v>
      </c>
      <c r="F53" s="755">
        <v>-32</v>
      </c>
      <c r="G53" s="755">
        <v>-33</v>
      </c>
      <c r="H53" s="755">
        <v>-40</v>
      </c>
      <c r="I53" s="756">
        <v>-43</v>
      </c>
      <c r="K53" s="753" t="s">
        <v>186</v>
      </c>
      <c r="L53" s="754">
        <v>-37</v>
      </c>
      <c r="M53" s="755">
        <v>-36</v>
      </c>
      <c r="N53" s="755">
        <v>-39</v>
      </c>
      <c r="O53" s="755">
        <v>-39</v>
      </c>
      <c r="P53" s="755">
        <v>-35</v>
      </c>
      <c r="Q53" s="755">
        <v>-37</v>
      </c>
      <c r="R53" s="756">
        <v>-43</v>
      </c>
      <c r="T53" s="757" t="s">
        <v>186</v>
      </c>
      <c r="U53" s="754">
        <v>-40</v>
      </c>
      <c r="V53" s="755">
        <v>-44</v>
      </c>
      <c r="W53" s="755">
        <v>-45</v>
      </c>
      <c r="X53" s="755">
        <v>-49</v>
      </c>
      <c r="Y53" s="755">
        <v>-46</v>
      </c>
      <c r="Z53" s="755">
        <v>-42</v>
      </c>
      <c r="AA53" s="756">
        <v>-54</v>
      </c>
      <c r="AC53" s="758" t="s">
        <v>186</v>
      </c>
      <c r="AD53" s="754">
        <v>-52</v>
      </c>
      <c r="AE53" s="755">
        <v>-58</v>
      </c>
      <c r="AF53" s="755">
        <v>-57</v>
      </c>
      <c r="AG53" s="755">
        <v>-58</v>
      </c>
      <c r="AH53" s="755">
        <v>-56</v>
      </c>
      <c r="AI53" s="755">
        <v>-54</v>
      </c>
      <c r="AJ53" s="756">
        <v>-53</v>
      </c>
      <c r="AL53" s="758" t="s">
        <v>186</v>
      </c>
      <c r="AM53" s="754">
        <v>-28</v>
      </c>
      <c r="AN53" s="755">
        <v>-24</v>
      </c>
      <c r="AO53" s="755">
        <v>-20</v>
      </c>
      <c r="AP53" s="755">
        <v>-23</v>
      </c>
      <c r="AQ53" s="755">
        <v>-23</v>
      </c>
      <c r="AR53" s="755">
        <v>-31</v>
      </c>
      <c r="AS53" s="756">
        <v>-28</v>
      </c>
      <c r="AU53" s="758" t="s">
        <v>186</v>
      </c>
      <c r="AV53" s="754">
        <v>-54</v>
      </c>
      <c r="AW53" s="755">
        <v>-58</v>
      </c>
      <c r="AX53" s="755">
        <v>-55</v>
      </c>
      <c r="AY53" s="755">
        <v>-52</v>
      </c>
      <c r="AZ53" s="755">
        <v>-49</v>
      </c>
      <c r="BA53" s="755">
        <v>-50</v>
      </c>
      <c r="BB53" s="756">
        <v>-52</v>
      </c>
    </row>
    <row r="54" spans="2:54" x14ac:dyDescent="0.25">
      <c r="B54" s="759" t="s">
        <v>213</v>
      </c>
      <c r="C54" s="760">
        <v>-33</v>
      </c>
      <c r="D54" s="761">
        <v>-35</v>
      </c>
      <c r="E54" s="761">
        <v>-33</v>
      </c>
      <c r="F54" s="761">
        <v>-30</v>
      </c>
      <c r="G54" s="761">
        <v>-33</v>
      </c>
      <c r="H54" s="761">
        <v>-39</v>
      </c>
      <c r="I54" s="762">
        <v>-41</v>
      </c>
      <c r="K54" s="759" t="s">
        <v>213</v>
      </c>
      <c r="L54" s="760">
        <v>-29</v>
      </c>
      <c r="M54" s="761">
        <v>-31</v>
      </c>
      <c r="N54" s="761">
        <v>-37</v>
      </c>
      <c r="O54" s="761">
        <v>-35</v>
      </c>
      <c r="P54" s="761">
        <v>-36</v>
      </c>
      <c r="Q54" s="761">
        <v>-36</v>
      </c>
      <c r="R54" s="762">
        <v>-41</v>
      </c>
      <c r="T54" s="763" t="s">
        <v>213</v>
      </c>
      <c r="U54" s="760">
        <v>-48</v>
      </c>
      <c r="V54" s="761">
        <v>-49</v>
      </c>
      <c r="W54" s="761">
        <v>-50</v>
      </c>
      <c r="X54" s="761">
        <v>-51</v>
      </c>
      <c r="Y54" s="761">
        <v>-51</v>
      </c>
      <c r="Z54" s="761">
        <v>-54</v>
      </c>
      <c r="AA54" s="762">
        <v>-56</v>
      </c>
      <c r="AC54" s="764" t="s">
        <v>213</v>
      </c>
      <c r="AD54" s="760">
        <v>-53</v>
      </c>
      <c r="AE54" s="761">
        <v>-58</v>
      </c>
      <c r="AF54" s="761">
        <v>-56</v>
      </c>
      <c r="AG54" s="761">
        <v>-55</v>
      </c>
      <c r="AH54" s="761">
        <v>-54</v>
      </c>
      <c r="AI54" s="761">
        <v>-54</v>
      </c>
      <c r="AJ54" s="762">
        <v>-56</v>
      </c>
      <c r="AL54" s="764" t="s">
        <v>213</v>
      </c>
      <c r="AM54" s="760">
        <v>-28</v>
      </c>
      <c r="AN54" s="761">
        <v>-27</v>
      </c>
      <c r="AO54" s="761">
        <v>-25</v>
      </c>
      <c r="AP54" s="761">
        <v>-24</v>
      </c>
      <c r="AQ54" s="761">
        <v>-28</v>
      </c>
      <c r="AR54" s="761">
        <v>-29</v>
      </c>
      <c r="AS54" s="762">
        <v>-34</v>
      </c>
      <c r="AU54" s="764" t="s">
        <v>213</v>
      </c>
      <c r="AV54" s="760">
        <v>-51</v>
      </c>
      <c r="AW54" s="761">
        <v>-55</v>
      </c>
      <c r="AX54" s="761">
        <v>-53</v>
      </c>
      <c r="AY54" s="761">
        <v>-51</v>
      </c>
      <c r="AZ54" s="761">
        <v>-50</v>
      </c>
      <c r="BA54" s="761">
        <v>-52</v>
      </c>
      <c r="BB54" s="762">
        <v>-56</v>
      </c>
    </row>
    <row r="55" spans="2:54" x14ac:dyDescent="0.25">
      <c r="B55" s="759" t="s">
        <v>232</v>
      </c>
      <c r="C55" s="765">
        <v>-29</v>
      </c>
      <c r="D55" s="766">
        <v>-31</v>
      </c>
      <c r="E55" s="766">
        <v>-30</v>
      </c>
      <c r="F55" s="766">
        <v>-31</v>
      </c>
      <c r="G55" s="766">
        <v>-32</v>
      </c>
      <c r="H55" s="766">
        <v>-37</v>
      </c>
      <c r="I55" s="767">
        <v>-40</v>
      </c>
      <c r="K55" s="759" t="s">
        <v>232</v>
      </c>
      <c r="L55" s="765">
        <v>-25</v>
      </c>
      <c r="M55" s="766">
        <v>-28</v>
      </c>
      <c r="N55" s="766">
        <v>-33</v>
      </c>
      <c r="O55" s="766">
        <v>-33</v>
      </c>
      <c r="P55" s="766">
        <v>-35</v>
      </c>
      <c r="Q55" s="766">
        <v>-35</v>
      </c>
      <c r="R55" s="767">
        <v>-39</v>
      </c>
      <c r="T55" s="763" t="s">
        <v>232</v>
      </c>
      <c r="U55" s="765">
        <v>-51</v>
      </c>
      <c r="V55" s="766">
        <v>-54</v>
      </c>
      <c r="W55" s="766">
        <v>-54</v>
      </c>
      <c r="X55" s="766">
        <v>-53</v>
      </c>
      <c r="Y55" s="766">
        <v>-52</v>
      </c>
      <c r="Z55" s="766">
        <v>-54</v>
      </c>
      <c r="AA55" s="767">
        <v>-56</v>
      </c>
      <c r="AC55" s="764" t="s">
        <v>232</v>
      </c>
      <c r="AD55" s="765">
        <v>-57</v>
      </c>
      <c r="AE55" s="766">
        <v>-55</v>
      </c>
      <c r="AF55" s="766">
        <v>-54</v>
      </c>
      <c r="AG55" s="766">
        <v>-58</v>
      </c>
      <c r="AH55" s="766">
        <v>-57</v>
      </c>
      <c r="AI55" s="766">
        <v>-53</v>
      </c>
      <c r="AJ55" s="767">
        <v>-56</v>
      </c>
      <c r="AL55" s="764" t="s">
        <v>232</v>
      </c>
      <c r="AM55" s="765">
        <v>-30</v>
      </c>
      <c r="AN55" s="766">
        <v>-30</v>
      </c>
      <c r="AO55" s="766">
        <v>-30</v>
      </c>
      <c r="AP55" s="766">
        <v>-29</v>
      </c>
      <c r="AQ55" s="766">
        <v>-29</v>
      </c>
      <c r="AR55" s="766">
        <v>-30</v>
      </c>
      <c r="AS55" s="767">
        <v>-32</v>
      </c>
      <c r="AU55" s="764" t="s">
        <v>232</v>
      </c>
      <c r="AV55" s="765">
        <v>-50</v>
      </c>
      <c r="AW55" s="766">
        <v>-52</v>
      </c>
      <c r="AX55" s="766">
        <v>-51</v>
      </c>
      <c r="AY55" s="766">
        <v>-51</v>
      </c>
      <c r="AZ55" s="766">
        <v>-50</v>
      </c>
      <c r="BA55" s="766">
        <v>-51</v>
      </c>
      <c r="BB55" s="767">
        <v>-55</v>
      </c>
    </row>
    <row r="56" spans="2:54" x14ac:dyDescent="0.25">
      <c r="B56" s="759" t="s">
        <v>215</v>
      </c>
      <c r="C56" s="765">
        <v>-23</v>
      </c>
      <c r="D56" s="766">
        <v>-26</v>
      </c>
      <c r="E56" s="766">
        <v>-26</v>
      </c>
      <c r="F56" s="766">
        <v>-29</v>
      </c>
      <c r="G56" s="766">
        <v>-29</v>
      </c>
      <c r="H56" s="766">
        <v>-35</v>
      </c>
      <c r="I56" s="767">
        <v>-38</v>
      </c>
      <c r="K56" s="759" t="s">
        <v>215</v>
      </c>
      <c r="L56" s="765">
        <v>-28</v>
      </c>
      <c r="M56" s="766">
        <v>-32</v>
      </c>
      <c r="N56" s="766">
        <v>-36</v>
      </c>
      <c r="O56" s="766">
        <v>-35</v>
      </c>
      <c r="P56" s="766">
        <v>-35</v>
      </c>
      <c r="Q56" s="766">
        <v>-33</v>
      </c>
      <c r="R56" s="767">
        <v>-38</v>
      </c>
      <c r="T56" s="763" t="s">
        <v>215</v>
      </c>
      <c r="U56" s="765">
        <v>-56</v>
      </c>
      <c r="V56" s="766">
        <v>-55</v>
      </c>
      <c r="W56" s="766">
        <v>-54</v>
      </c>
      <c r="X56" s="766">
        <v>-54</v>
      </c>
      <c r="Y56" s="766">
        <v>-54</v>
      </c>
      <c r="Z56" s="766">
        <v>-56</v>
      </c>
      <c r="AA56" s="767">
        <v>-57</v>
      </c>
      <c r="AC56" s="764" t="s">
        <v>215</v>
      </c>
      <c r="AD56" s="765">
        <v>-53</v>
      </c>
      <c r="AE56" s="766">
        <v>-55</v>
      </c>
      <c r="AF56" s="766">
        <v>-55</v>
      </c>
      <c r="AG56" s="766">
        <v>-57</v>
      </c>
      <c r="AH56" s="766">
        <v>-57</v>
      </c>
      <c r="AI56" s="766">
        <v>-55</v>
      </c>
      <c r="AJ56" s="767">
        <v>-55</v>
      </c>
      <c r="AL56" s="764" t="s">
        <v>215</v>
      </c>
      <c r="AM56" s="765">
        <v>-31</v>
      </c>
      <c r="AN56" s="766">
        <v>-30</v>
      </c>
      <c r="AO56" s="766">
        <v>-27</v>
      </c>
      <c r="AP56" s="766">
        <v>-28</v>
      </c>
      <c r="AQ56" s="766">
        <v>-31</v>
      </c>
      <c r="AR56" s="766">
        <v>-35</v>
      </c>
      <c r="AS56" s="767">
        <v>-35</v>
      </c>
      <c r="AU56" s="764" t="s">
        <v>215</v>
      </c>
      <c r="AV56" s="765">
        <v>-48</v>
      </c>
      <c r="AW56" s="766">
        <v>-49</v>
      </c>
      <c r="AX56" s="766">
        <v>-50</v>
      </c>
      <c r="AY56" s="766">
        <v>-50</v>
      </c>
      <c r="AZ56" s="766">
        <v>-51</v>
      </c>
      <c r="BA56" s="766">
        <v>-52</v>
      </c>
      <c r="BB56" s="767">
        <v>-53</v>
      </c>
    </row>
    <row r="57" spans="2:54" x14ac:dyDescent="0.25">
      <c r="B57" s="759" t="s">
        <v>249</v>
      </c>
      <c r="C57" s="765">
        <v>-27</v>
      </c>
      <c r="D57" s="766">
        <v>-27</v>
      </c>
      <c r="E57" s="766">
        <v>-27</v>
      </c>
      <c r="F57" s="766">
        <v>-27</v>
      </c>
      <c r="G57" s="766">
        <v>-29</v>
      </c>
      <c r="H57" s="766">
        <v>-37</v>
      </c>
      <c r="I57" s="767">
        <v>-39</v>
      </c>
      <c r="K57" s="759" t="s">
        <v>249</v>
      </c>
      <c r="L57" s="765">
        <v>-30</v>
      </c>
      <c r="M57" s="766">
        <v>-34</v>
      </c>
      <c r="N57" s="766">
        <v>-36</v>
      </c>
      <c r="O57" s="766">
        <v>-36</v>
      </c>
      <c r="P57" s="766">
        <v>-35</v>
      </c>
      <c r="Q57" s="766">
        <v>-34</v>
      </c>
      <c r="R57" s="767">
        <v>-38</v>
      </c>
      <c r="T57" s="763" t="s">
        <v>249</v>
      </c>
      <c r="U57" s="765">
        <v>-54</v>
      </c>
      <c r="V57" s="766">
        <v>-54</v>
      </c>
      <c r="W57" s="766">
        <v>-53</v>
      </c>
      <c r="X57" s="766">
        <v>-51</v>
      </c>
      <c r="Y57" s="766">
        <v>-50</v>
      </c>
      <c r="Z57" s="766">
        <v>-54</v>
      </c>
      <c r="AA57" s="767">
        <v>-55</v>
      </c>
      <c r="AC57" s="764" t="s">
        <v>249</v>
      </c>
      <c r="AD57" s="765">
        <v>-50</v>
      </c>
      <c r="AE57" s="766">
        <v>-55</v>
      </c>
      <c r="AF57" s="766">
        <v>-57</v>
      </c>
      <c r="AG57" s="766">
        <v>-56</v>
      </c>
      <c r="AH57" s="766">
        <v>-55</v>
      </c>
      <c r="AI57" s="766">
        <v>-56</v>
      </c>
      <c r="AJ57" s="767">
        <v>-52</v>
      </c>
      <c r="AL57" s="764" t="s">
        <v>249</v>
      </c>
      <c r="AM57" s="765">
        <v>-32</v>
      </c>
      <c r="AN57" s="766">
        <v>-35</v>
      </c>
      <c r="AO57" s="766">
        <v>-33</v>
      </c>
      <c r="AP57" s="766">
        <v>-31</v>
      </c>
      <c r="AQ57" s="766">
        <v>-31</v>
      </c>
      <c r="AR57" s="766">
        <v>-34</v>
      </c>
      <c r="AS57" s="767">
        <v>-32</v>
      </c>
      <c r="AU57" s="764" t="s">
        <v>249</v>
      </c>
      <c r="AV57" s="765">
        <v>-48</v>
      </c>
      <c r="AW57" s="766">
        <v>-50</v>
      </c>
      <c r="AX57" s="766">
        <v>-52</v>
      </c>
      <c r="AY57" s="766">
        <v>-50</v>
      </c>
      <c r="AZ57" s="766">
        <v>-49</v>
      </c>
      <c r="BA57" s="766">
        <v>-51</v>
      </c>
      <c r="BB57" s="767">
        <v>-52</v>
      </c>
    </row>
    <row r="58" spans="2:54" x14ac:dyDescent="0.25">
      <c r="B58" s="759" t="s">
        <v>257</v>
      </c>
      <c r="C58" s="765">
        <v>-29</v>
      </c>
      <c r="D58" s="766">
        <v>-27</v>
      </c>
      <c r="E58" s="766">
        <v>-25</v>
      </c>
      <c r="F58" s="766">
        <v>-25</v>
      </c>
      <c r="G58" s="766">
        <v>-34</v>
      </c>
      <c r="H58" s="766">
        <v>-35</v>
      </c>
      <c r="I58" s="767">
        <v>-40</v>
      </c>
      <c r="K58" s="759" t="s">
        <v>257</v>
      </c>
      <c r="L58" s="765">
        <v>-38</v>
      </c>
      <c r="M58" s="766">
        <v>-36</v>
      </c>
      <c r="N58" s="766">
        <v>-37</v>
      </c>
      <c r="O58" s="766">
        <v>-36</v>
      </c>
      <c r="P58" s="766">
        <v>-35</v>
      </c>
      <c r="Q58" s="766">
        <v>-37</v>
      </c>
      <c r="R58" s="767">
        <v>-39</v>
      </c>
      <c r="T58" s="763" t="s">
        <v>257</v>
      </c>
      <c r="U58" s="765">
        <v>-48</v>
      </c>
      <c r="V58" s="766">
        <v>-51</v>
      </c>
      <c r="W58" s="766">
        <v>-50</v>
      </c>
      <c r="X58" s="766">
        <v>-50</v>
      </c>
      <c r="Y58" s="766">
        <v>-51</v>
      </c>
      <c r="Z58" s="766">
        <v>-51</v>
      </c>
      <c r="AA58" s="767">
        <v>-54</v>
      </c>
      <c r="AC58" s="764" t="s">
        <v>257</v>
      </c>
      <c r="AD58" s="765">
        <v>-51</v>
      </c>
      <c r="AE58" s="766">
        <v>-56</v>
      </c>
      <c r="AF58" s="766">
        <v>-57</v>
      </c>
      <c r="AG58" s="766">
        <v>-56</v>
      </c>
      <c r="AH58" s="766">
        <v>-55</v>
      </c>
      <c r="AI58" s="766">
        <v>-53</v>
      </c>
      <c r="AJ58" s="767">
        <v>-56</v>
      </c>
      <c r="AL58" s="764" t="s">
        <v>257</v>
      </c>
      <c r="AM58" s="765">
        <v>-34</v>
      </c>
      <c r="AN58" s="766">
        <v>-33</v>
      </c>
      <c r="AO58" s="766">
        <v>-31</v>
      </c>
      <c r="AP58" s="766">
        <v>-29</v>
      </c>
      <c r="AQ58" s="766">
        <v>-27</v>
      </c>
      <c r="AR58" s="766">
        <v>-28</v>
      </c>
      <c r="AS58" s="767">
        <v>-29</v>
      </c>
      <c r="AU58" s="764" t="s">
        <v>257</v>
      </c>
      <c r="AV58" s="765">
        <v>-49</v>
      </c>
      <c r="AW58" s="766">
        <v>-49</v>
      </c>
      <c r="AX58" s="766">
        <v>-48</v>
      </c>
      <c r="AY58" s="766">
        <v>-47</v>
      </c>
      <c r="AZ58" s="766">
        <v>-48</v>
      </c>
      <c r="BA58" s="766">
        <v>-47</v>
      </c>
      <c r="BB58" s="767">
        <v>-49</v>
      </c>
    </row>
    <row r="59" spans="2:54" x14ac:dyDescent="0.25">
      <c r="B59" s="759" t="s">
        <v>264</v>
      </c>
      <c r="C59" s="765" t="s">
        <v>1048</v>
      </c>
      <c r="D59" s="766" t="s">
        <v>1048</v>
      </c>
      <c r="E59" s="766" t="s">
        <v>1048</v>
      </c>
      <c r="F59" s="766" t="s">
        <v>1048</v>
      </c>
      <c r="G59" s="766" t="s">
        <v>1048</v>
      </c>
      <c r="H59" s="766" t="s">
        <v>1048</v>
      </c>
      <c r="I59" s="767" t="s">
        <v>1048</v>
      </c>
      <c r="K59" s="759" t="s">
        <v>264</v>
      </c>
      <c r="L59" s="765" t="s">
        <v>1048</v>
      </c>
      <c r="M59" s="766" t="s">
        <v>1048</v>
      </c>
      <c r="N59" s="766" t="s">
        <v>1048</v>
      </c>
      <c r="O59" s="766" t="s">
        <v>1048</v>
      </c>
      <c r="P59" s="766" t="s">
        <v>1048</v>
      </c>
      <c r="Q59" s="766" t="s">
        <v>1048</v>
      </c>
      <c r="R59" s="767" t="s">
        <v>1048</v>
      </c>
      <c r="T59" s="763" t="s">
        <v>264</v>
      </c>
      <c r="U59" s="765" t="s">
        <v>1048</v>
      </c>
      <c r="V59" s="766" t="s">
        <v>1048</v>
      </c>
      <c r="W59" s="766" t="s">
        <v>1048</v>
      </c>
      <c r="X59" s="766" t="s">
        <v>1048</v>
      </c>
      <c r="Y59" s="766" t="s">
        <v>1048</v>
      </c>
      <c r="Z59" s="766" t="s">
        <v>1048</v>
      </c>
      <c r="AA59" s="767" t="s">
        <v>1048</v>
      </c>
      <c r="AC59" s="764" t="s">
        <v>264</v>
      </c>
      <c r="AD59" s="765" t="s">
        <v>1048</v>
      </c>
      <c r="AE59" s="766" t="s">
        <v>1048</v>
      </c>
      <c r="AF59" s="766" t="s">
        <v>1048</v>
      </c>
      <c r="AG59" s="766" t="s">
        <v>1048</v>
      </c>
      <c r="AH59" s="766" t="s">
        <v>1048</v>
      </c>
      <c r="AI59" s="766" t="s">
        <v>1048</v>
      </c>
      <c r="AJ59" s="767" t="s">
        <v>1048</v>
      </c>
      <c r="AL59" s="764" t="s">
        <v>264</v>
      </c>
      <c r="AM59" s="765" t="s">
        <v>1048</v>
      </c>
      <c r="AN59" s="766" t="s">
        <v>1048</v>
      </c>
      <c r="AO59" s="766" t="s">
        <v>1048</v>
      </c>
      <c r="AP59" s="766" t="s">
        <v>1048</v>
      </c>
      <c r="AQ59" s="766" t="s">
        <v>1048</v>
      </c>
      <c r="AR59" s="766" t="s">
        <v>1048</v>
      </c>
      <c r="AS59" s="767" t="s">
        <v>1048</v>
      </c>
      <c r="AU59" s="764" t="s">
        <v>264</v>
      </c>
      <c r="AV59" s="765" t="s">
        <v>1048</v>
      </c>
      <c r="AW59" s="766" t="s">
        <v>1048</v>
      </c>
      <c r="AX59" s="766" t="s">
        <v>1048</v>
      </c>
      <c r="AY59" s="766" t="s">
        <v>1048</v>
      </c>
      <c r="AZ59" s="766" t="s">
        <v>1048</v>
      </c>
      <c r="BA59" s="766" t="s">
        <v>1048</v>
      </c>
      <c r="BB59" s="767" t="s">
        <v>1048</v>
      </c>
    </row>
    <row r="60" spans="2:54" x14ac:dyDescent="0.25">
      <c r="B60" s="759" t="s">
        <v>272</v>
      </c>
      <c r="C60" s="765" t="s">
        <v>1048</v>
      </c>
      <c r="D60" s="766" t="s">
        <v>1048</v>
      </c>
      <c r="E60" s="766" t="s">
        <v>1048</v>
      </c>
      <c r="F60" s="766" t="s">
        <v>1048</v>
      </c>
      <c r="G60" s="766" t="s">
        <v>1048</v>
      </c>
      <c r="H60" s="766" t="s">
        <v>1048</v>
      </c>
      <c r="I60" s="767" t="s">
        <v>1048</v>
      </c>
      <c r="K60" s="759" t="s">
        <v>272</v>
      </c>
      <c r="L60" s="765" t="s">
        <v>1048</v>
      </c>
      <c r="M60" s="766" t="s">
        <v>1048</v>
      </c>
      <c r="N60" s="766" t="s">
        <v>1048</v>
      </c>
      <c r="O60" s="766" t="s">
        <v>1048</v>
      </c>
      <c r="P60" s="766" t="s">
        <v>1048</v>
      </c>
      <c r="Q60" s="766" t="s">
        <v>1048</v>
      </c>
      <c r="R60" s="767" t="s">
        <v>1048</v>
      </c>
      <c r="T60" s="763" t="s">
        <v>272</v>
      </c>
      <c r="U60" s="765" t="s">
        <v>1048</v>
      </c>
      <c r="V60" s="766" t="s">
        <v>1048</v>
      </c>
      <c r="W60" s="766" t="s">
        <v>1048</v>
      </c>
      <c r="X60" s="766" t="s">
        <v>1048</v>
      </c>
      <c r="Y60" s="766" t="s">
        <v>1048</v>
      </c>
      <c r="Z60" s="766" t="s">
        <v>1048</v>
      </c>
      <c r="AA60" s="767" t="s">
        <v>1048</v>
      </c>
      <c r="AC60" s="764" t="s">
        <v>272</v>
      </c>
      <c r="AD60" s="765" t="s">
        <v>1048</v>
      </c>
      <c r="AE60" s="766" t="s">
        <v>1048</v>
      </c>
      <c r="AF60" s="766" t="s">
        <v>1048</v>
      </c>
      <c r="AG60" s="766" t="s">
        <v>1048</v>
      </c>
      <c r="AH60" s="766" t="s">
        <v>1048</v>
      </c>
      <c r="AI60" s="766" t="s">
        <v>1048</v>
      </c>
      <c r="AJ60" s="767" t="s">
        <v>1048</v>
      </c>
      <c r="AL60" s="764" t="s">
        <v>272</v>
      </c>
      <c r="AM60" s="765" t="s">
        <v>1048</v>
      </c>
      <c r="AN60" s="766" t="s">
        <v>1048</v>
      </c>
      <c r="AO60" s="766" t="s">
        <v>1048</v>
      </c>
      <c r="AP60" s="766" t="s">
        <v>1048</v>
      </c>
      <c r="AQ60" s="766" t="s">
        <v>1048</v>
      </c>
      <c r="AR60" s="766" t="s">
        <v>1048</v>
      </c>
      <c r="AS60" s="767" t="s">
        <v>1048</v>
      </c>
      <c r="AU60" s="764" t="s">
        <v>272</v>
      </c>
      <c r="AV60" s="765" t="s">
        <v>1048</v>
      </c>
      <c r="AW60" s="766" t="s">
        <v>1048</v>
      </c>
      <c r="AX60" s="766" t="s">
        <v>1048</v>
      </c>
      <c r="AY60" s="766" t="s">
        <v>1048</v>
      </c>
      <c r="AZ60" s="766" t="s">
        <v>1048</v>
      </c>
      <c r="BA60" s="766" t="s">
        <v>1048</v>
      </c>
      <c r="BB60" s="767" t="s">
        <v>1048</v>
      </c>
    </row>
    <row r="61" spans="2:54" x14ac:dyDescent="0.25">
      <c r="B61" s="759" t="s">
        <v>278</v>
      </c>
      <c r="C61" s="765" t="s">
        <v>1048</v>
      </c>
      <c r="D61" s="766" t="s">
        <v>1048</v>
      </c>
      <c r="E61" s="766" t="s">
        <v>1048</v>
      </c>
      <c r="F61" s="766" t="s">
        <v>1048</v>
      </c>
      <c r="G61" s="766" t="s">
        <v>1048</v>
      </c>
      <c r="H61" s="766" t="s">
        <v>1048</v>
      </c>
      <c r="I61" s="767" t="s">
        <v>1048</v>
      </c>
      <c r="K61" s="759" t="s">
        <v>278</v>
      </c>
      <c r="L61" s="765" t="s">
        <v>1048</v>
      </c>
      <c r="M61" s="766" t="s">
        <v>1048</v>
      </c>
      <c r="N61" s="766" t="s">
        <v>1048</v>
      </c>
      <c r="O61" s="766" t="s">
        <v>1048</v>
      </c>
      <c r="P61" s="766" t="s">
        <v>1048</v>
      </c>
      <c r="Q61" s="766" t="s">
        <v>1048</v>
      </c>
      <c r="R61" s="767" t="s">
        <v>1048</v>
      </c>
      <c r="T61" s="763" t="s">
        <v>278</v>
      </c>
      <c r="U61" s="765" t="s">
        <v>1048</v>
      </c>
      <c r="V61" s="766" t="s">
        <v>1048</v>
      </c>
      <c r="W61" s="766" t="s">
        <v>1048</v>
      </c>
      <c r="X61" s="766" t="s">
        <v>1048</v>
      </c>
      <c r="Y61" s="766" t="s">
        <v>1048</v>
      </c>
      <c r="Z61" s="766" t="s">
        <v>1048</v>
      </c>
      <c r="AA61" s="767" t="s">
        <v>1048</v>
      </c>
      <c r="AC61" s="764" t="s">
        <v>278</v>
      </c>
      <c r="AD61" s="765" t="s">
        <v>1048</v>
      </c>
      <c r="AE61" s="766" t="s">
        <v>1048</v>
      </c>
      <c r="AF61" s="766" t="s">
        <v>1048</v>
      </c>
      <c r="AG61" s="766" t="s">
        <v>1048</v>
      </c>
      <c r="AH61" s="766" t="s">
        <v>1048</v>
      </c>
      <c r="AI61" s="766" t="s">
        <v>1048</v>
      </c>
      <c r="AJ61" s="767" t="s">
        <v>1048</v>
      </c>
      <c r="AL61" s="764" t="s">
        <v>278</v>
      </c>
      <c r="AM61" s="765" t="s">
        <v>1048</v>
      </c>
      <c r="AN61" s="766" t="s">
        <v>1048</v>
      </c>
      <c r="AO61" s="766" t="s">
        <v>1048</v>
      </c>
      <c r="AP61" s="766" t="s">
        <v>1048</v>
      </c>
      <c r="AQ61" s="766" t="s">
        <v>1048</v>
      </c>
      <c r="AR61" s="766" t="s">
        <v>1048</v>
      </c>
      <c r="AS61" s="767" t="s">
        <v>1048</v>
      </c>
      <c r="AU61" s="764" t="s">
        <v>278</v>
      </c>
      <c r="AV61" s="765" t="s">
        <v>1048</v>
      </c>
      <c r="AW61" s="766" t="s">
        <v>1048</v>
      </c>
      <c r="AX61" s="766" t="s">
        <v>1048</v>
      </c>
      <c r="AY61" s="766" t="s">
        <v>1048</v>
      </c>
      <c r="AZ61" s="766" t="s">
        <v>1048</v>
      </c>
      <c r="BA61" s="766" t="s">
        <v>1048</v>
      </c>
      <c r="BB61" s="767" t="s">
        <v>1048</v>
      </c>
    </row>
    <row r="62" spans="2:54" ht="15.75" thickBot="1" x14ac:dyDescent="0.3">
      <c r="B62" s="768" t="s">
        <v>284</v>
      </c>
      <c r="C62" s="769" t="s">
        <v>1048</v>
      </c>
      <c r="D62" s="770" t="s">
        <v>1048</v>
      </c>
      <c r="E62" s="770" t="s">
        <v>1048</v>
      </c>
      <c r="F62" s="770" t="s">
        <v>1048</v>
      </c>
      <c r="G62" s="770" t="s">
        <v>1048</v>
      </c>
      <c r="H62" s="770" t="s">
        <v>1048</v>
      </c>
      <c r="I62" s="771" t="s">
        <v>1048</v>
      </c>
      <c r="K62" s="768" t="s">
        <v>284</v>
      </c>
      <c r="L62" s="769" t="s">
        <v>1048</v>
      </c>
      <c r="M62" s="770" t="s">
        <v>1048</v>
      </c>
      <c r="N62" s="770" t="s">
        <v>1048</v>
      </c>
      <c r="O62" s="770" t="s">
        <v>1048</v>
      </c>
      <c r="P62" s="770" t="s">
        <v>1048</v>
      </c>
      <c r="Q62" s="770" t="s">
        <v>1048</v>
      </c>
      <c r="R62" s="771" t="s">
        <v>1048</v>
      </c>
      <c r="T62" s="772" t="s">
        <v>284</v>
      </c>
      <c r="U62" s="769" t="s">
        <v>1048</v>
      </c>
      <c r="V62" s="770" t="s">
        <v>1048</v>
      </c>
      <c r="W62" s="770" t="s">
        <v>1048</v>
      </c>
      <c r="X62" s="770" t="s">
        <v>1048</v>
      </c>
      <c r="Y62" s="770" t="s">
        <v>1048</v>
      </c>
      <c r="Z62" s="770" t="s">
        <v>1048</v>
      </c>
      <c r="AA62" s="771" t="s">
        <v>1048</v>
      </c>
      <c r="AC62" s="773" t="s">
        <v>284</v>
      </c>
      <c r="AD62" s="769" t="s">
        <v>1048</v>
      </c>
      <c r="AE62" s="770" t="s">
        <v>1048</v>
      </c>
      <c r="AF62" s="770" t="s">
        <v>1048</v>
      </c>
      <c r="AG62" s="770" t="s">
        <v>1048</v>
      </c>
      <c r="AH62" s="770" t="s">
        <v>1048</v>
      </c>
      <c r="AI62" s="770" t="s">
        <v>1048</v>
      </c>
      <c r="AJ62" s="771" t="s">
        <v>1048</v>
      </c>
      <c r="AL62" s="773" t="s">
        <v>284</v>
      </c>
      <c r="AM62" s="769" t="s">
        <v>1048</v>
      </c>
      <c r="AN62" s="770" t="s">
        <v>1048</v>
      </c>
      <c r="AO62" s="770" t="s">
        <v>1048</v>
      </c>
      <c r="AP62" s="770" t="s">
        <v>1048</v>
      </c>
      <c r="AQ62" s="770" t="s">
        <v>1048</v>
      </c>
      <c r="AR62" s="770" t="s">
        <v>1048</v>
      </c>
      <c r="AS62" s="771" t="s">
        <v>1048</v>
      </c>
      <c r="AU62" s="773" t="s">
        <v>284</v>
      </c>
      <c r="AV62" s="769" t="s">
        <v>1048</v>
      </c>
      <c r="AW62" s="770" t="s">
        <v>1048</v>
      </c>
      <c r="AX62" s="770" t="s">
        <v>1048</v>
      </c>
      <c r="AY62" s="770" t="s">
        <v>1048</v>
      </c>
      <c r="AZ62" s="770" t="s">
        <v>1048</v>
      </c>
      <c r="BA62" s="770" t="s">
        <v>1048</v>
      </c>
      <c r="BB62" s="771" t="s">
        <v>1048</v>
      </c>
    </row>
    <row r="63" spans="2:54" ht="15.75" thickBot="1" x14ac:dyDescent="0.3">
      <c r="B63" s="774"/>
      <c r="C63" s="775"/>
      <c r="D63" s="775"/>
      <c r="E63" s="775"/>
      <c r="F63" s="775"/>
      <c r="G63" s="775"/>
      <c r="H63" s="775"/>
      <c r="I63" s="775"/>
      <c r="K63" s="774"/>
      <c r="L63" s="775"/>
      <c r="M63" s="775"/>
      <c r="N63" s="775"/>
      <c r="O63" s="775"/>
      <c r="P63" s="775"/>
      <c r="Q63" s="775"/>
      <c r="R63" s="775"/>
      <c r="T63" s="776"/>
      <c r="U63" s="775"/>
      <c r="V63" s="775"/>
      <c r="W63" s="775"/>
      <c r="X63" s="775"/>
      <c r="Y63" s="775"/>
      <c r="Z63" s="775"/>
      <c r="AA63" s="775"/>
      <c r="AC63" s="777"/>
      <c r="AD63" s="775"/>
      <c r="AE63" s="775"/>
      <c r="AF63" s="775"/>
      <c r="AG63" s="775"/>
      <c r="AH63" s="775"/>
      <c r="AI63" s="775"/>
      <c r="AJ63" s="775"/>
      <c r="AL63" s="777"/>
      <c r="AM63" s="775"/>
      <c r="AN63" s="775"/>
      <c r="AO63" s="775"/>
      <c r="AP63" s="775"/>
      <c r="AQ63" s="775"/>
      <c r="AR63" s="775"/>
      <c r="AS63" s="775"/>
      <c r="AU63" s="777"/>
      <c r="AV63" s="775"/>
      <c r="AW63" s="775"/>
      <c r="AX63" s="775"/>
      <c r="AY63" s="775"/>
      <c r="AZ63" s="775"/>
      <c r="BA63" s="775"/>
      <c r="BB63" s="775"/>
    </row>
    <row r="64" spans="2:54" ht="15.75" thickBot="1" x14ac:dyDescent="0.3">
      <c r="B64" s="748" t="s">
        <v>1032</v>
      </c>
      <c r="C64" s="778" t="s">
        <v>187</v>
      </c>
      <c r="D64" s="778" t="s">
        <v>214</v>
      </c>
      <c r="E64" s="778" t="s">
        <v>233</v>
      </c>
      <c r="F64" s="778" t="s">
        <v>242</v>
      </c>
      <c r="G64" s="778" t="s">
        <v>250</v>
      </c>
      <c r="H64" s="778" t="s">
        <v>258</v>
      </c>
      <c r="I64" s="779" t="s">
        <v>265</v>
      </c>
      <c r="K64" s="748" t="s">
        <v>1032</v>
      </c>
      <c r="L64" s="778" t="s">
        <v>187</v>
      </c>
      <c r="M64" s="778" t="s">
        <v>214</v>
      </c>
      <c r="N64" s="778" t="s">
        <v>233</v>
      </c>
      <c r="O64" s="778" t="s">
        <v>242</v>
      </c>
      <c r="P64" s="778" t="s">
        <v>250</v>
      </c>
      <c r="Q64" s="778" t="s">
        <v>258</v>
      </c>
      <c r="R64" s="779" t="s">
        <v>265</v>
      </c>
      <c r="T64" s="751" t="s">
        <v>1032</v>
      </c>
      <c r="U64" s="778" t="s">
        <v>187</v>
      </c>
      <c r="V64" s="778" t="s">
        <v>214</v>
      </c>
      <c r="W64" s="778" t="s">
        <v>233</v>
      </c>
      <c r="X64" s="778" t="s">
        <v>242</v>
      </c>
      <c r="Y64" s="778" t="s">
        <v>250</v>
      </c>
      <c r="Z64" s="778" t="s">
        <v>258</v>
      </c>
      <c r="AA64" s="779" t="s">
        <v>265</v>
      </c>
      <c r="AC64" s="752" t="s">
        <v>1032</v>
      </c>
      <c r="AD64" s="778" t="s">
        <v>187</v>
      </c>
      <c r="AE64" s="778" t="s">
        <v>214</v>
      </c>
      <c r="AF64" s="778" t="s">
        <v>233</v>
      </c>
      <c r="AG64" s="778" t="s">
        <v>242</v>
      </c>
      <c r="AH64" s="778" t="s">
        <v>250</v>
      </c>
      <c r="AI64" s="778" t="s">
        <v>258</v>
      </c>
      <c r="AJ64" s="779" t="s">
        <v>265</v>
      </c>
      <c r="AL64" s="752" t="s">
        <v>1032</v>
      </c>
      <c r="AM64" s="778" t="s">
        <v>187</v>
      </c>
      <c r="AN64" s="778" t="s">
        <v>214</v>
      </c>
      <c r="AO64" s="778" t="s">
        <v>233</v>
      </c>
      <c r="AP64" s="778" t="s">
        <v>242</v>
      </c>
      <c r="AQ64" s="778" t="s">
        <v>250</v>
      </c>
      <c r="AR64" s="778" t="s">
        <v>258</v>
      </c>
      <c r="AS64" s="779" t="s">
        <v>265</v>
      </c>
      <c r="AU64" s="752" t="s">
        <v>1032</v>
      </c>
      <c r="AV64" s="778" t="s">
        <v>187</v>
      </c>
      <c r="AW64" s="778" t="s">
        <v>214</v>
      </c>
      <c r="AX64" s="778" t="s">
        <v>233</v>
      </c>
      <c r="AY64" s="778" t="s">
        <v>242</v>
      </c>
      <c r="AZ64" s="778" t="s">
        <v>250</v>
      </c>
      <c r="BA64" s="778" t="s">
        <v>258</v>
      </c>
      <c r="BB64" s="779" t="s">
        <v>265</v>
      </c>
    </row>
    <row r="65" spans="2:54" x14ac:dyDescent="0.25">
      <c r="B65" s="753" t="s">
        <v>186</v>
      </c>
      <c r="C65" s="754">
        <v>-38</v>
      </c>
      <c r="D65" s="755">
        <v>-29</v>
      </c>
      <c r="E65" s="755">
        <v>-27</v>
      </c>
      <c r="F65" s="755">
        <v>-29</v>
      </c>
      <c r="G65" s="755">
        <v>-30</v>
      </c>
      <c r="H65" s="755">
        <v>-37</v>
      </c>
      <c r="I65" s="756">
        <v>-40</v>
      </c>
      <c r="K65" s="753" t="s">
        <v>186</v>
      </c>
      <c r="L65" s="754">
        <v>-34</v>
      </c>
      <c r="M65" s="755">
        <v>-33</v>
      </c>
      <c r="N65" s="755">
        <v>-36</v>
      </c>
      <c r="O65" s="755">
        <v>-36</v>
      </c>
      <c r="P65" s="755">
        <v>-32</v>
      </c>
      <c r="Q65" s="755">
        <v>-34</v>
      </c>
      <c r="R65" s="756">
        <v>-40</v>
      </c>
      <c r="T65" s="757" t="s">
        <v>186</v>
      </c>
      <c r="U65" s="754">
        <v>-37</v>
      </c>
      <c r="V65" s="755">
        <v>-41</v>
      </c>
      <c r="W65" s="755">
        <v>-42</v>
      </c>
      <c r="X65" s="755">
        <v>-46</v>
      </c>
      <c r="Y65" s="755">
        <v>-43</v>
      </c>
      <c r="Z65" s="755">
        <v>-39</v>
      </c>
      <c r="AA65" s="756">
        <v>-51</v>
      </c>
      <c r="AC65" s="758" t="s">
        <v>186</v>
      </c>
      <c r="AD65" s="754">
        <v>-49</v>
      </c>
      <c r="AE65" s="755">
        <v>-55</v>
      </c>
      <c r="AF65" s="755">
        <v>-54</v>
      </c>
      <c r="AG65" s="755">
        <v>-55</v>
      </c>
      <c r="AH65" s="755">
        <v>-53</v>
      </c>
      <c r="AI65" s="755">
        <v>-51</v>
      </c>
      <c r="AJ65" s="756">
        <v>-50</v>
      </c>
      <c r="AL65" s="758" t="s">
        <v>186</v>
      </c>
      <c r="AM65" s="754">
        <v>-27</v>
      </c>
      <c r="AN65" s="755">
        <v>-23</v>
      </c>
      <c r="AO65" s="755">
        <v>-19</v>
      </c>
      <c r="AP65" s="755">
        <v>-22</v>
      </c>
      <c r="AQ65" s="755">
        <v>-22</v>
      </c>
      <c r="AR65" s="755">
        <v>-30</v>
      </c>
      <c r="AS65" s="756">
        <v>-27</v>
      </c>
      <c r="AU65" s="758" t="s">
        <v>186</v>
      </c>
      <c r="AV65" s="754">
        <v>-51</v>
      </c>
      <c r="AW65" s="755">
        <v>-55</v>
      </c>
      <c r="AX65" s="755">
        <v>-52</v>
      </c>
      <c r="AY65" s="755">
        <v>-49</v>
      </c>
      <c r="AZ65" s="755">
        <v>-46</v>
      </c>
      <c r="BA65" s="755">
        <v>-47</v>
      </c>
      <c r="BB65" s="756">
        <v>-49</v>
      </c>
    </row>
    <row r="66" spans="2:54" x14ac:dyDescent="0.25">
      <c r="B66" s="759" t="s">
        <v>213</v>
      </c>
      <c r="C66" s="760">
        <v>-30</v>
      </c>
      <c r="D66" s="761">
        <v>-32</v>
      </c>
      <c r="E66" s="761">
        <v>-30</v>
      </c>
      <c r="F66" s="761">
        <v>-27</v>
      </c>
      <c r="G66" s="761">
        <v>-30</v>
      </c>
      <c r="H66" s="761">
        <v>-36</v>
      </c>
      <c r="I66" s="762">
        <v>-38</v>
      </c>
      <c r="K66" s="759" t="s">
        <v>213</v>
      </c>
      <c r="L66" s="760">
        <v>-26</v>
      </c>
      <c r="M66" s="761">
        <v>-28</v>
      </c>
      <c r="N66" s="761">
        <v>-34</v>
      </c>
      <c r="O66" s="761">
        <v>-32</v>
      </c>
      <c r="P66" s="761">
        <v>-33</v>
      </c>
      <c r="Q66" s="761">
        <v>-33</v>
      </c>
      <c r="R66" s="762">
        <v>-38</v>
      </c>
      <c r="T66" s="763" t="s">
        <v>213</v>
      </c>
      <c r="U66" s="760">
        <v>-45</v>
      </c>
      <c r="V66" s="761">
        <v>-46</v>
      </c>
      <c r="W66" s="761">
        <v>-47</v>
      </c>
      <c r="X66" s="761">
        <v>-48</v>
      </c>
      <c r="Y66" s="761">
        <v>-48</v>
      </c>
      <c r="Z66" s="761">
        <v>-51</v>
      </c>
      <c r="AA66" s="762">
        <v>-53</v>
      </c>
      <c r="AC66" s="764" t="s">
        <v>213</v>
      </c>
      <c r="AD66" s="760">
        <v>-50</v>
      </c>
      <c r="AE66" s="761">
        <v>-55</v>
      </c>
      <c r="AF66" s="761">
        <v>-53</v>
      </c>
      <c r="AG66" s="761">
        <v>-52</v>
      </c>
      <c r="AH66" s="761">
        <v>-51</v>
      </c>
      <c r="AI66" s="761">
        <v>-51</v>
      </c>
      <c r="AJ66" s="762">
        <v>-53</v>
      </c>
      <c r="AL66" s="764" t="s">
        <v>213</v>
      </c>
      <c r="AM66" s="760">
        <v>-27</v>
      </c>
      <c r="AN66" s="761">
        <v>-26</v>
      </c>
      <c r="AO66" s="761">
        <v>-24</v>
      </c>
      <c r="AP66" s="761">
        <v>-23</v>
      </c>
      <c r="AQ66" s="761">
        <v>-27</v>
      </c>
      <c r="AR66" s="761">
        <v>-28</v>
      </c>
      <c r="AS66" s="762">
        <v>-33</v>
      </c>
      <c r="AU66" s="764" t="s">
        <v>213</v>
      </c>
      <c r="AV66" s="760">
        <v>-48</v>
      </c>
      <c r="AW66" s="761">
        <v>-52</v>
      </c>
      <c r="AX66" s="761">
        <v>-50</v>
      </c>
      <c r="AY66" s="761">
        <v>-48</v>
      </c>
      <c r="AZ66" s="761">
        <v>-47</v>
      </c>
      <c r="BA66" s="761">
        <v>-49</v>
      </c>
      <c r="BB66" s="762">
        <v>-53</v>
      </c>
    </row>
    <row r="67" spans="2:54" x14ac:dyDescent="0.25">
      <c r="B67" s="759" t="s">
        <v>232</v>
      </c>
      <c r="C67" s="765">
        <v>-26</v>
      </c>
      <c r="D67" s="766">
        <v>-28</v>
      </c>
      <c r="E67" s="766">
        <v>-27</v>
      </c>
      <c r="F67" s="766">
        <v>-28</v>
      </c>
      <c r="G67" s="766">
        <v>-29</v>
      </c>
      <c r="H67" s="766">
        <v>-34</v>
      </c>
      <c r="I67" s="767">
        <v>-37</v>
      </c>
      <c r="K67" s="759" t="s">
        <v>232</v>
      </c>
      <c r="L67" s="765">
        <v>-22</v>
      </c>
      <c r="M67" s="766">
        <v>-25</v>
      </c>
      <c r="N67" s="766">
        <v>-30</v>
      </c>
      <c r="O67" s="766">
        <v>-30</v>
      </c>
      <c r="P67" s="766">
        <v>-32</v>
      </c>
      <c r="Q67" s="766">
        <v>-32</v>
      </c>
      <c r="R67" s="767">
        <v>-36</v>
      </c>
      <c r="T67" s="763" t="s">
        <v>232</v>
      </c>
      <c r="U67" s="765">
        <v>-48</v>
      </c>
      <c r="V67" s="766">
        <v>-51</v>
      </c>
      <c r="W67" s="766">
        <v>-51</v>
      </c>
      <c r="X67" s="766">
        <v>-50</v>
      </c>
      <c r="Y67" s="766">
        <v>-49</v>
      </c>
      <c r="Z67" s="766">
        <v>-51</v>
      </c>
      <c r="AA67" s="767">
        <v>-53</v>
      </c>
      <c r="AC67" s="764" t="s">
        <v>232</v>
      </c>
      <c r="AD67" s="765">
        <v>-54</v>
      </c>
      <c r="AE67" s="766">
        <v>-52</v>
      </c>
      <c r="AF67" s="766">
        <v>-51</v>
      </c>
      <c r="AG67" s="766">
        <v>-55</v>
      </c>
      <c r="AH67" s="766">
        <v>-54</v>
      </c>
      <c r="AI67" s="766">
        <v>-50</v>
      </c>
      <c r="AJ67" s="767">
        <v>-53</v>
      </c>
      <c r="AL67" s="764" t="s">
        <v>232</v>
      </c>
      <c r="AM67" s="765">
        <v>-29</v>
      </c>
      <c r="AN67" s="766">
        <v>-29</v>
      </c>
      <c r="AO67" s="766">
        <v>-29</v>
      </c>
      <c r="AP67" s="766">
        <v>-28</v>
      </c>
      <c r="AQ67" s="766">
        <v>-28</v>
      </c>
      <c r="AR67" s="766">
        <v>-29</v>
      </c>
      <c r="AS67" s="767">
        <v>-31</v>
      </c>
      <c r="AU67" s="764" t="s">
        <v>232</v>
      </c>
      <c r="AV67" s="765">
        <v>-47</v>
      </c>
      <c r="AW67" s="766">
        <v>-49</v>
      </c>
      <c r="AX67" s="766">
        <v>-48</v>
      </c>
      <c r="AY67" s="766">
        <v>-48</v>
      </c>
      <c r="AZ67" s="766">
        <v>-47</v>
      </c>
      <c r="BA67" s="766">
        <v>-48</v>
      </c>
      <c r="BB67" s="767">
        <v>-52</v>
      </c>
    </row>
    <row r="68" spans="2:54" x14ac:dyDescent="0.25">
      <c r="B68" s="759" t="s">
        <v>215</v>
      </c>
      <c r="C68" s="765">
        <v>-20</v>
      </c>
      <c r="D68" s="766">
        <v>-23</v>
      </c>
      <c r="E68" s="766">
        <v>-23</v>
      </c>
      <c r="F68" s="766">
        <v>-26</v>
      </c>
      <c r="G68" s="766">
        <v>-26</v>
      </c>
      <c r="H68" s="766">
        <v>-32</v>
      </c>
      <c r="I68" s="767">
        <v>-35</v>
      </c>
      <c r="K68" s="759" t="s">
        <v>215</v>
      </c>
      <c r="L68" s="765">
        <v>-25</v>
      </c>
      <c r="M68" s="766">
        <v>-29</v>
      </c>
      <c r="N68" s="766">
        <v>-33</v>
      </c>
      <c r="O68" s="766">
        <v>-32</v>
      </c>
      <c r="P68" s="766">
        <v>-32</v>
      </c>
      <c r="Q68" s="766">
        <v>-30</v>
      </c>
      <c r="R68" s="767">
        <v>-35</v>
      </c>
      <c r="T68" s="763" t="s">
        <v>215</v>
      </c>
      <c r="U68" s="765">
        <v>-53</v>
      </c>
      <c r="V68" s="766">
        <v>-52</v>
      </c>
      <c r="W68" s="766">
        <v>-51</v>
      </c>
      <c r="X68" s="766">
        <v>-51</v>
      </c>
      <c r="Y68" s="766">
        <v>-51</v>
      </c>
      <c r="Z68" s="766">
        <v>-53</v>
      </c>
      <c r="AA68" s="767">
        <v>-54</v>
      </c>
      <c r="AC68" s="764" t="s">
        <v>215</v>
      </c>
      <c r="AD68" s="765">
        <v>-50</v>
      </c>
      <c r="AE68" s="766">
        <v>-52</v>
      </c>
      <c r="AF68" s="766">
        <v>-52</v>
      </c>
      <c r="AG68" s="766">
        <v>-54</v>
      </c>
      <c r="AH68" s="766">
        <v>-54</v>
      </c>
      <c r="AI68" s="766">
        <v>-52</v>
      </c>
      <c r="AJ68" s="767">
        <v>-52</v>
      </c>
      <c r="AL68" s="764" t="s">
        <v>215</v>
      </c>
      <c r="AM68" s="765">
        <v>-30</v>
      </c>
      <c r="AN68" s="766">
        <v>-29</v>
      </c>
      <c r="AO68" s="766">
        <v>-26</v>
      </c>
      <c r="AP68" s="766">
        <v>-27</v>
      </c>
      <c r="AQ68" s="766">
        <v>-30</v>
      </c>
      <c r="AR68" s="766">
        <v>-34</v>
      </c>
      <c r="AS68" s="767">
        <v>-34</v>
      </c>
      <c r="AU68" s="764" t="s">
        <v>215</v>
      </c>
      <c r="AV68" s="765">
        <v>-45</v>
      </c>
      <c r="AW68" s="766">
        <v>-46</v>
      </c>
      <c r="AX68" s="766">
        <v>-47</v>
      </c>
      <c r="AY68" s="766">
        <v>-47</v>
      </c>
      <c r="AZ68" s="766">
        <v>-48</v>
      </c>
      <c r="BA68" s="766">
        <v>-49</v>
      </c>
      <c r="BB68" s="767">
        <v>-50</v>
      </c>
    </row>
    <row r="69" spans="2:54" x14ac:dyDescent="0.25">
      <c r="B69" s="759" t="s">
        <v>249</v>
      </c>
      <c r="C69" s="765">
        <v>-24</v>
      </c>
      <c r="D69" s="766">
        <v>-24</v>
      </c>
      <c r="E69" s="766">
        <v>-24</v>
      </c>
      <c r="F69" s="766">
        <v>-24</v>
      </c>
      <c r="G69" s="766">
        <v>-26</v>
      </c>
      <c r="H69" s="766">
        <v>-34</v>
      </c>
      <c r="I69" s="767">
        <v>-36</v>
      </c>
      <c r="K69" s="759" t="s">
        <v>249</v>
      </c>
      <c r="L69" s="765">
        <v>-27</v>
      </c>
      <c r="M69" s="766">
        <v>-31</v>
      </c>
      <c r="N69" s="766">
        <v>-33</v>
      </c>
      <c r="O69" s="766">
        <v>-33</v>
      </c>
      <c r="P69" s="766">
        <v>-32</v>
      </c>
      <c r="Q69" s="766">
        <v>-31</v>
      </c>
      <c r="R69" s="767">
        <v>-35</v>
      </c>
      <c r="T69" s="763" t="s">
        <v>249</v>
      </c>
      <c r="U69" s="765">
        <v>-51</v>
      </c>
      <c r="V69" s="766">
        <v>-51</v>
      </c>
      <c r="W69" s="766">
        <v>-50</v>
      </c>
      <c r="X69" s="766">
        <v>-48</v>
      </c>
      <c r="Y69" s="766">
        <v>-47</v>
      </c>
      <c r="Z69" s="766">
        <v>-51</v>
      </c>
      <c r="AA69" s="767">
        <v>-52</v>
      </c>
      <c r="AC69" s="764" t="s">
        <v>249</v>
      </c>
      <c r="AD69" s="765">
        <v>-47</v>
      </c>
      <c r="AE69" s="766">
        <v>-52</v>
      </c>
      <c r="AF69" s="766">
        <v>-54</v>
      </c>
      <c r="AG69" s="766">
        <v>-53</v>
      </c>
      <c r="AH69" s="766">
        <v>-52</v>
      </c>
      <c r="AI69" s="766">
        <v>-53</v>
      </c>
      <c r="AJ69" s="767">
        <v>-49</v>
      </c>
      <c r="AL69" s="764" t="s">
        <v>249</v>
      </c>
      <c r="AM69" s="765">
        <v>-31</v>
      </c>
      <c r="AN69" s="766">
        <v>-34</v>
      </c>
      <c r="AO69" s="766">
        <v>-32</v>
      </c>
      <c r="AP69" s="766">
        <v>-30</v>
      </c>
      <c r="AQ69" s="766">
        <v>-30</v>
      </c>
      <c r="AR69" s="766">
        <v>-33</v>
      </c>
      <c r="AS69" s="767">
        <v>-31</v>
      </c>
      <c r="AU69" s="764" t="s">
        <v>249</v>
      </c>
      <c r="AV69" s="765">
        <v>-45</v>
      </c>
      <c r="AW69" s="766">
        <v>-47</v>
      </c>
      <c r="AX69" s="766">
        <v>-49</v>
      </c>
      <c r="AY69" s="766">
        <v>-47</v>
      </c>
      <c r="AZ69" s="766">
        <v>-46</v>
      </c>
      <c r="BA69" s="766">
        <v>-48</v>
      </c>
      <c r="BB69" s="767">
        <v>-49</v>
      </c>
    </row>
    <row r="70" spans="2:54" x14ac:dyDescent="0.25">
      <c r="B70" s="759" t="s">
        <v>257</v>
      </c>
      <c r="C70" s="765">
        <v>-26</v>
      </c>
      <c r="D70" s="766">
        <v>-24</v>
      </c>
      <c r="E70" s="766">
        <v>-22</v>
      </c>
      <c r="F70" s="766">
        <v>-22</v>
      </c>
      <c r="G70" s="766">
        <v>-31</v>
      </c>
      <c r="H70" s="766">
        <v>-32</v>
      </c>
      <c r="I70" s="767">
        <v>-37</v>
      </c>
      <c r="K70" s="759" t="s">
        <v>257</v>
      </c>
      <c r="L70" s="765">
        <v>-35</v>
      </c>
      <c r="M70" s="766">
        <v>-33</v>
      </c>
      <c r="N70" s="766">
        <v>-34</v>
      </c>
      <c r="O70" s="766">
        <v>-33</v>
      </c>
      <c r="P70" s="766">
        <v>-32</v>
      </c>
      <c r="Q70" s="766">
        <v>-34</v>
      </c>
      <c r="R70" s="767">
        <v>-36</v>
      </c>
      <c r="T70" s="763" t="s">
        <v>257</v>
      </c>
      <c r="U70" s="765">
        <v>-45</v>
      </c>
      <c r="V70" s="766">
        <v>-48</v>
      </c>
      <c r="W70" s="766">
        <v>-47</v>
      </c>
      <c r="X70" s="766">
        <v>-47</v>
      </c>
      <c r="Y70" s="766">
        <v>-48</v>
      </c>
      <c r="Z70" s="766">
        <v>-48</v>
      </c>
      <c r="AA70" s="767">
        <v>-51</v>
      </c>
      <c r="AC70" s="764" t="s">
        <v>257</v>
      </c>
      <c r="AD70" s="765">
        <v>-48</v>
      </c>
      <c r="AE70" s="766">
        <v>-53</v>
      </c>
      <c r="AF70" s="766">
        <v>-54</v>
      </c>
      <c r="AG70" s="766">
        <v>-53</v>
      </c>
      <c r="AH70" s="766">
        <v>-52</v>
      </c>
      <c r="AI70" s="766">
        <v>-50</v>
      </c>
      <c r="AJ70" s="767">
        <v>-53</v>
      </c>
      <c r="AL70" s="764" t="s">
        <v>257</v>
      </c>
      <c r="AM70" s="765">
        <v>-33</v>
      </c>
      <c r="AN70" s="766">
        <v>-32</v>
      </c>
      <c r="AO70" s="766">
        <v>-30</v>
      </c>
      <c r="AP70" s="766">
        <v>-28</v>
      </c>
      <c r="AQ70" s="766">
        <v>-26</v>
      </c>
      <c r="AR70" s="766">
        <v>-27</v>
      </c>
      <c r="AS70" s="767">
        <v>-28</v>
      </c>
      <c r="AU70" s="764" t="s">
        <v>257</v>
      </c>
      <c r="AV70" s="765">
        <v>-46</v>
      </c>
      <c r="AW70" s="766">
        <v>-46</v>
      </c>
      <c r="AX70" s="766">
        <v>-45</v>
      </c>
      <c r="AY70" s="766">
        <v>-44</v>
      </c>
      <c r="AZ70" s="766">
        <v>-45</v>
      </c>
      <c r="BA70" s="766">
        <v>-44</v>
      </c>
      <c r="BB70" s="767">
        <v>-46</v>
      </c>
    </row>
    <row r="71" spans="2:54" x14ac:dyDescent="0.25">
      <c r="B71" s="759" t="s">
        <v>264</v>
      </c>
      <c r="C71" s="765" t="s">
        <v>1048</v>
      </c>
      <c r="D71" s="766" t="s">
        <v>1048</v>
      </c>
      <c r="E71" s="766" t="s">
        <v>1048</v>
      </c>
      <c r="F71" s="766" t="s">
        <v>1048</v>
      </c>
      <c r="G71" s="766" t="s">
        <v>1048</v>
      </c>
      <c r="H71" s="766" t="s">
        <v>1048</v>
      </c>
      <c r="I71" s="767" t="s">
        <v>1048</v>
      </c>
      <c r="K71" s="759" t="s">
        <v>264</v>
      </c>
      <c r="L71" s="765" t="s">
        <v>1048</v>
      </c>
      <c r="M71" s="766" t="s">
        <v>1048</v>
      </c>
      <c r="N71" s="766" t="s">
        <v>1048</v>
      </c>
      <c r="O71" s="766" t="s">
        <v>1048</v>
      </c>
      <c r="P71" s="766" t="s">
        <v>1048</v>
      </c>
      <c r="Q71" s="766" t="s">
        <v>1048</v>
      </c>
      <c r="R71" s="767" t="s">
        <v>1048</v>
      </c>
      <c r="T71" s="763" t="s">
        <v>264</v>
      </c>
      <c r="U71" s="765" t="s">
        <v>1048</v>
      </c>
      <c r="V71" s="766" t="s">
        <v>1048</v>
      </c>
      <c r="W71" s="766" t="s">
        <v>1048</v>
      </c>
      <c r="X71" s="766" t="s">
        <v>1048</v>
      </c>
      <c r="Y71" s="766" t="s">
        <v>1048</v>
      </c>
      <c r="Z71" s="766" t="s">
        <v>1048</v>
      </c>
      <c r="AA71" s="767" t="s">
        <v>1048</v>
      </c>
      <c r="AC71" s="764" t="s">
        <v>264</v>
      </c>
      <c r="AD71" s="765" t="s">
        <v>1048</v>
      </c>
      <c r="AE71" s="766" t="s">
        <v>1048</v>
      </c>
      <c r="AF71" s="766" t="s">
        <v>1048</v>
      </c>
      <c r="AG71" s="766" t="s">
        <v>1048</v>
      </c>
      <c r="AH71" s="766" t="s">
        <v>1048</v>
      </c>
      <c r="AI71" s="766" t="s">
        <v>1048</v>
      </c>
      <c r="AJ71" s="767" t="s">
        <v>1048</v>
      </c>
      <c r="AL71" s="764" t="s">
        <v>264</v>
      </c>
      <c r="AM71" s="765" t="s">
        <v>1048</v>
      </c>
      <c r="AN71" s="766" t="s">
        <v>1048</v>
      </c>
      <c r="AO71" s="766" t="s">
        <v>1048</v>
      </c>
      <c r="AP71" s="766" t="s">
        <v>1048</v>
      </c>
      <c r="AQ71" s="766" t="s">
        <v>1048</v>
      </c>
      <c r="AR71" s="766" t="s">
        <v>1048</v>
      </c>
      <c r="AS71" s="767" t="s">
        <v>1048</v>
      </c>
      <c r="AU71" s="764" t="s">
        <v>264</v>
      </c>
      <c r="AV71" s="765" t="s">
        <v>1048</v>
      </c>
      <c r="AW71" s="766" t="s">
        <v>1048</v>
      </c>
      <c r="AX71" s="766" t="s">
        <v>1048</v>
      </c>
      <c r="AY71" s="766" t="s">
        <v>1048</v>
      </c>
      <c r="AZ71" s="766" t="s">
        <v>1048</v>
      </c>
      <c r="BA71" s="766" t="s">
        <v>1048</v>
      </c>
      <c r="BB71" s="767" t="s">
        <v>1048</v>
      </c>
    </row>
    <row r="72" spans="2:54" x14ac:dyDescent="0.25">
      <c r="B72" s="759" t="s">
        <v>272</v>
      </c>
      <c r="C72" s="765" t="s">
        <v>1048</v>
      </c>
      <c r="D72" s="766" t="s">
        <v>1048</v>
      </c>
      <c r="E72" s="766" t="s">
        <v>1048</v>
      </c>
      <c r="F72" s="766" t="s">
        <v>1048</v>
      </c>
      <c r="G72" s="766" t="s">
        <v>1048</v>
      </c>
      <c r="H72" s="766" t="s">
        <v>1048</v>
      </c>
      <c r="I72" s="767" t="s">
        <v>1048</v>
      </c>
      <c r="K72" s="759" t="s">
        <v>272</v>
      </c>
      <c r="L72" s="765" t="s">
        <v>1048</v>
      </c>
      <c r="M72" s="766" t="s">
        <v>1048</v>
      </c>
      <c r="N72" s="766" t="s">
        <v>1048</v>
      </c>
      <c r="O72" s="766" t="s">
        <v>1048</v>
      </c>
      <c r="P72" s="766" t="s">
        <v>1048</v>
      </c>
      <c r="Q72" s="766" t="s">
        <v>1048</v>
      </c>
      <c r="R72" s="767" t="s">
        <v>1048</v>
      </c>
      <c r="T72" s="763" t="s">
        <v>272</v>
      </c>
      <c r="U72" s="765" t="s">
        <v>1048</v>
      </c>
      <c r="V72" s="766" t="s">
        <v>1048</v>
      </c>
      <c r="W72" s="766" t="s">
        <v>1048</v>
      </c>
      <c r="X72" s="766" t="s">
        <v>1048</v>
      </c>
      <c r="Y72" s="766" t="s">
        <v>1048</v>
      </c>
      <c r="Z72" s="766" t="s">
        <v>1048</v>
      </c>
      <c r="AA72" s="767" t="s">
        <v>1048</v>
      </c>
      <c r="AC72" s="764" t="s">
        <v>272</v>
      </c>
      <c r="AD72" s="765" t="s">
        <v>1048</v>
      </c>
      <c r="AE72" s="766" t="s">
        <v>1048</v>
      </c>
      <c r="AF72" s="766" t="s">
        <v>1048</v>
      </c>
      <c r="AG72" s="766" t="s">
        <v>1048</v>
      </c>
      <c r="AH72" s="766" t="s">
        <v>1048</v>
      </c>
      <c r="AI72" s="766" t="s">
        <v>1048</v>
      </c>
      <c r="AJ72" s="767" t="s">
        <v>1048</v>
      </c>
      <c r="AL72" s="764" t="s">
        <v>272</v>
      </c>
      <c r="AM72" s="765" t="s">
        <v>1048</v>
      </c>
      <c r="AN72" s="766" t="s">
        <v>1048</v>
      </c>
      <c r="AO72" s="766" t="s">
        <v>1048</v>
      </c>
      <c r="AP72" s="766" t="s">
        <v>1048</v>
      </c>
      <c r="AQ72" s="766" t="s">
        <v>1048</v>
      </c>
      <c r="AR72" s="766" t="s">
        <v>1048</v>
      </c>
      <c r="AS72" s="767" t="s">
        <v>1048</v>
      </c>
      <c r="AU72" s="764" t="s">
        <v>272</v>
      </c>
      <c r="AV72" s="765" t="s">
        <v>1048</v>
      </c>
      <c r="AW72" s="766" t="s">
        <v>1048</v>
      </c>
      <c r="AX72" s="766" t="s">
        <v>1048</v>
      </c>
      <c r="AY72" s="766" t="s">
        <v>1048</v>
      </c>
      <c r="AZ72" s="766" t="s">
        <v>1048</v>
      </c>
      <c r="BA72" s="766" t="s">
        <v>1048</v>
      </c>
      <c r="BB72" s="767" t="s">
        <v>1048</v>
      </c>
    </row>
    <row r="73" spans="2:54" x14ac:dyDescent="0.25">
      <c r="B73" s="759" t="s">
        <v>278</v>
      </c>
      <c r="C73" s="765" t="s">
        <v>1048</v>
      </c>
      <c r="D73" s="766" t="s">
        <v>1048</v>
      </c>
      <c r="E73" s="766" t="s">
        <v>1048</v>
      </c>
      <c r="F73" s="766" t="s">
        <v>1048</v>
      </c>
      <c r="G73" s="766" t="s">
        <v>1048</v>
      </c>
      <c r="H73" s="766" t="s">
        <v>1048</v>
      </c>
      <c r="I73" s="767" t="s">
        <v>1048</v>
      </c>
      <c r="K73" s="759" t="s">
        <v>278</v>
      </c>
      <c r="L73" s="765" t="s">
        <v>1048</v>
      </c>
      <c r="M73" s="766" t="s">
        <v>1048</v>
      </c>
      <c r="N73" s="766" t="s">
        <v>1048</v>
      </c>
      <c r="O73" s="766" t="s">
        <v>1048</v>
      </c>
      <c r="P73" s="766" t="s">
        <v>1048</v>
      </c>
      <c r="Q73" s="766" t="s">
        <v>1048</v>
      </c>
      <c r="R73" s="767" t="s">
        <v>1048</v>
      </c>
      <c r="T73" s="763" t="s">
        <v>278</v>
      </c>
      <c r="U73" s="765" t="s">
        <v>1048</v>
      </c>
      <c r="V73" s="766" t="s">
        <v>1048</v>
      </c>
      <c r="W73" s="766" t="s">
        <v>1048</v>
      </c>
      <c r="X73" s="766" t="s">
        <v>1048</v>
      </c>
      <c r="Y73" s="766" t="s">
        <v>1048</v>
      </c>
      <c r="Z73" s="766" t="s">
        <v>1048</v>
      </c>
      <c r="AA73" s="767" t="s">
        <v>1048</v>
      </c>
      <c r="AC73" s="764" t="s">
        <v>278</v>
      </c>
      <c r="AD73" s="765" t="s">
        <v>1048</v>
      </c>
      <c r="AE73" s="766" t="s">
        <v>1048</v>
      </c>
      <c r="AF73" s="766" t="s">
        <v>1048</v>
      </c>
      <c r="AG73" s="766" t="s">
        <v>1048</v>
      </c>
      <c r="AH73" s="766" t="s">
        <v>1048</v>
      </c>
      <c r="AI73" s="766" t="s">
        <v>1048</v>
      </c>
      <c r="AJ73" s="767" t="s">
        <v>1048</v>
      </c>
      <c r="AL73" s="764" t="s">
        <v>278</v>
      </c>
      <c r="AM73" s="765" t="s">
        <v>1048</v>
      </c>
      <c r="AN73" s="766" t="s">
        <v>1048</v>
      </c>
      <c r="AO73" s="766" t="s">
        <v>1048</v>
      </c>
      <c r="AP73" s="766" t="s">
        <v>1048</v>
      </c>
      <c r="AQ73" s="766" t="s">
        <v>1048</v>
      </c>
      <c r="AR73" s="766" t="s">
        <v>1048</v>
      </c>
      <c r="AS73" s="767" t="s">
        <v>1048</v>
      </c>
      <c r="AU73" s="764" t="s">
        <v>278</v>
      </c>
      <c r="AV73" s="765" t="s">
        <v>1048</v>
      </c>
      <c r="AW73" s="766" t="s">
        <v>1048</v>
      </c>
      <c r="AX73" s="766" t="s">
        <v>1048</v>
      </c>
      <c r="AY73" s="766" t="s">
        <v>1048</v>
      </c>
      <c r="AZ73" s="766" t="s">
        <v>1048</v>
      </c>
      <c r="BA73" s="766" t="s">
        <v>1048</v>
      </c>
      <c r="BB73" s="767" t="s">
        <v>1048</v>
      </c>
    </row>
    <row r="74" spans="2:54" ht="15.75" thickBot="1" x14ac:dyDescent="0.3">
      <c r="B74" s="768" t="s">
        <v>284</v>
      </c>
      <c r="C74" s="769" t="s">
        <v>1048</v>
      </c>
      <c r="D74" s="770" t="s">
        <v>1048</v>
      </c>
      <c r="E74" s="770" t="s">
        <v>1048</v>
      </c>
      <c r="F74" s="770" t="s">
        <v>1048</v>
      </c>
      <c r="G74" s="770" t="s">
        <v>1048</v>
      </c>
      <c r="H74" s="770" t="s">
        <v>1048</v>
      </c>
      <c r="I74" s="771" t="s">
        <v>1048</v>
      </c>
      <c r="K74" s="768" t="s">
        <v>284</v>
      </c>
      <c r="L74" s="769" t="s">
        <v>1048</v>
      </c>
      <c r="M74" s="770" t="s">
        <v>1048</v>
      </c>
      <c r="N74" s="770" t="s">
        <v>1048</v>
      </c>
      <c r="O74" s="770" t="s">
        <v>1048</v>
      </c>
      <c r="P74" s="770" t="s">
        <v>1048</v>
      </c>
      <c r="Q74" s="770" t="s">
        <v>1048</v>
      </c>
      <c r="R74" s="771" t="s">
        <v>1048</v>
      </c>
      <c r="T74" s="772" t="s">
        <v>284</v>
      </c>
      <c r="U74" s="769" t="s">
        <v>1048</v>
      </c>
      <c r="V74" s="770" t="s">
        <v>1048</v>
      </c>
      <c r="W74" s="770" t="s">
        <v>1048</v>
      </c>
      <c r="X74" s="770" t="s">
        <v>1048</v>
      </c>
      <c r="Y74" s="770" t="s">
        <v>1048</v>
      </c>
      <c r="Z74" s="770" t="s">
        <v>1048</v>
      </c>
      <c r="AA74" s="771" t="s">
        <v>1048</v>
      </c>
      <c r="AC74" s="773" t="s">
        <v>284</v>
      </c>
      <c r="AD74" s="769" t="s">
        <v>1048</v>
      </c>
      <c r="AE74" s="770" t="s">
        <v>1048</v>
      </c>
      <c r="AF74" s="770" t="s">
        <v>1048</v>
      </c>
      <c r="AG74" s="770" t="s">
        <v>1048</v>
      </c>
      <c r="AH74" s="770" t="s">
        <v>1048</v>
      </c>
      <c r="AI74" s="770" t="s">
        <v>1048</v>
      </c>
      <c r="AJ74" s="771" t="s">
        <v>1048</v>
      </c>
      <c r="AL74" s="773" t="s">
        <v>284</v>
      </c>
      <c r="AM74" s="769" t="s">
        <v>1048</v>
      </c>
      <c r="AN74" s="770" t="s">
        <v>1048</v>
      </c>
      <c r="AO74" s="770" t="s">
        <v>1048</v>
      </c>
      <c r="AP74" s="770" t="s">
        <v>1048</v>
      </c>
      <c r="AQ74" s="770" t="s">
        <v>1048</v>
      </c>
      <c r="AR74" s="770" t="s">
        <v>1048</v>
      </c>
      <c r="AS74" s="771" t="s">
        <v>1048</v>
      </c>
      <c r="AU74" s="773" t="s">
        <v>284</v>
      </c>
      <c r="AV74" s="769" t="s">
        <v>1048</v>
      </c>
      <c r="AW74" s="770" t="s">
        <v>1048</v>
      </c>
      <c r="AX74" s="770" t="s">
        <v>1048</v>
      </c>
      <c r="AY74" s="770" t="s">
        <v>1048</v>
      </c>
      <c r="AZ74" s="770" t="s">
        <v>1048</v>
      </c>
      <c r="BA74" s="770" t="s">
        <v>1048</v>
      </c>
      <c r="BB74" s="771" t="s">
        <v>1048</v>
      </c>
    </row>
    <row r="75" spans="2:54" ht="15.75" thickBot="1" x14ac:dyDescent="0.3">
      <c r="B75" s="774"/>
      <c r="C75" s="775"/>
      <c r="D75" s="775"/>
      <c r="E75" s="775"/>
      <c r="F75" s="775"/>
      <c r="G75" s="775"/>
      <c r="H75" s="775"/>
      <c r="I75" s="775"/>
      <c r="K75" s="774"/>
      <c r="L75" s="775"/>
      <c r="M75" s="775"/>
      <c r="N75" s="775"/>
      <c r="O75" s="775"/>
      <c r="P75" s="775"/>
      <c r="Q75" s="775"/>
      <c r="R75" s="775"/>
      <c r="T75" s="776"/>
      <c r="U75" s="775"/>
      <c r="V75" s="775"/>
      <c r="W75" s="775"/>
      <c r="X75" s="775"/>
      <c r="Y75" s="775"/>
      <c r="Z75" s="775"/>
      <c r="AA75" s="775"/>
      <c r="AC75" s="777"/>
      <c r="AD75" s="775"/>
      <c r="AE75" s="775"/>
      <c r="AF75" s="775"/>
      <c r="AG75" s="775"/>
      <c r="AH75" s="775"/>
      <c r="AI75" s="775"/>
      <c r="AJ75" s="775"/>
      <c r="AL75" s="777"/>
      <c r="AM75" s="775"/>
      <c r="AN75" s="775"/>
      <c r="AO75" s="775"/>
      <c r="AP75" s="775"/>
      <c r="AQ75" s="775"/>
      <c r="AR75" s="775"/>
      <c r="AS75" s="775"/>
      <c r="AU75" s="777"/>
      <c r="AV75" s="775"/>
      <c r="AW75" s="775"/>
      <c r="AX75" s="775"/>
      <c r="AY75" s="775"/>
      <c r="AZ75" s="775"/>
      <c r="BA75" s="775"/>
      <c r="BB75" s="775"/>
    </row>
    <row r="76" spans="2:54" ht="15.75" thickBot="1" x14ac:dyDescent="0.3">
      <c r="B76" s="748" t="s">
        <v>1033</v>
      </c>
      <c r="C76" s="778" t="s">
        <v>187</v>
      </c>
      <c r="D76" s="778" t="s">
        <v>214</v>
      </c>
      <c r="E76" s="778" t="s">
        <v>233</v>
      </c>
      <c r="F76" s="778" t="s">
        <v>242</v>
      </c>
      <c r="G76" s="778" t="s">
        <v>250</v>
      </c>
      <c r="H76" s="778" t="s">
        <v>258</v>
      </c>
      <c r="I76" s="779" t="s">
        <v>265</v>
      </c>
      <c r="K76" s="748" t="s">
        <v>1033</v>
      </c>
      <c r="L76" s="778" t="s">
        <v>187</v>
      </c>
      <c r="M76" s="778" t="s">
        <v>214</v>
      </c>
      <c r="N76" s="778" t="s">
        <v>233</v>
      </c>
      <c r="O76" s="778" t="s">
        <v>242</v>
      </c>
      <c r="P76" s="778" t="s">
        <v>250</v>
      </c>
      <c r="Q76" s="778" t="s">
        <v>258</v>
      </c>
      <c r="R76" s="779" t="s">
        <v>265</v>
      </c>
      <c r="T76" s="751" t="s">
        <v>1033</v>
      </c>
      <c r="U76" s="778" t="s">
        <v>187</v>
      </c>
      <c r="V76" s="778" t="s">
        <v>214</v>
      </c>
      <c r="W76" s="778" t="s">
        <v>233</v>
      </c>
      <c r="X76" s="778" t="s">
        <v>242</v>
      </c>
      <c r="Y76" s="778" t="s">
        <v>250</v>
      </c>
      <c r="Z76" s="778" t="s">
        <v>258</v>
      </c>
      <c r="AA76" s="779" t="s">
        <v>265</v>
      </c>
      <c r="AC76" s="752" t="s">
        <v>1033</v>
      </c>
      <c r="AD76" s="778" t="s">
        <v>187</v>
      </c>
      <c r="AE76" s="778" t="s">
        <v>214</v>
      </c>
      <c r="AF76" s="778" t="s">
        <v>233</v>
      </c>
      <c r="AG76" s="778" t="s">
        <v>242</v>
      </c>
      <c r="AH76" s="778" t="s">
        <v>250</v>
      </c>
      <c r="AI76" s="778" t="s">
        <v>258</v>
      </c>
      <c r="AJ76" s="779" t="s">
        <v>265</v>
      </c>
      <c r="AL76" s="752" t="s">
        <v>1033</v>
      </c>
      <c r="AM76" s="778" t="s">
        <v>187</v>
      </c>
      <c r="AN76" s="778" t="s">
        <v>214</v>
      </c>
      <c r="AO76" s="778" t="s">
        <v>233</v>
      </c>
      <c r="AP76" s="778" t="s">
        <v>242</v>
      </c>
      <c r="AQ76" s="778" t="s">
        <v>250</v>
      </c>
      <c r="AR76" s="778" t="s">
        <v>258</v>
      </c>
      <c r="AS76" s="779" t="s">
        <v>265</v>
      </c>
      <c r="AU76" s="752" t="s">
        <v>1033</v>
      </c>
      <c r="AV76" s="778" t="s">
        <v>187</v>
      </c>
      <c r="AW76" s="778" t="s">
        <v>214</v>
      </c>
      <c r="AX76" s="778" t="s">
        <v>233</v>
      </c>
      <c r="AY76" s="778" t="s">
        <v>242</v>
      </c>
      <c r="AZ76" s="778" t="s">
        <v>250</v>
      </c>
      <c r="BA76" s="778" t="s">
        <v>258</v>
      </c>
      <c r="BB76" s="779" t="s">
        <v>265</v>
      </c>
    </row>
    <row r="77" spans="2:54" x14ac:dyDescent="0.25">
      <c r="B77" s="753" t="s">
        <v>186</v>
      </c>
      <c r="C77" s="754">
        <v>-42</v>
      </c>
      <c r="D77" s="755">
        <v>-40</v>
      </c>
      <c r="E77" s="755">
        <v>-35</v>
      </c>
      <c r="F77" s="755">
        <v>-35</v>
      </c>
      <c r="G77" s="755">
        <v>-35</v>
      </c>
      <c r="H77" s="755">
        <v>-38</v>
      </c>
      <c r="I77" s="756">
        <v>-40</v>
      </c>
      <c r="K77" s="753" t="s">
        <v>186</v>
      </c>
      <c r="L77" s="754">
        <v>-43</v>
      </c>
      <c r="M77" s="755">
        <v>-45</v>
      </c>
      <c r="N77" s="755">
        <v>-41</v>
      </c>
      <c r="O77" s="755">
        <v>-39</v>
      </c>
      <c r="P77" s="755">
        <v>-38</v>
      </c>
      <c r="Q77" s="755">
        <v>-40</v>
      </c>
      <c r="R77" s="756">
        <v>-44</v>
      </c>
      <c r="T77" s="757" t="s">
        <v>186</v>
      </c>
      <c r="U77" s="754">
        <v>-43</v>
      </c>
      <c r="V77" s="755">
        <v>-46</v>
      </c>
      <c r="W77" s="755">
        <v>-45</v>
      </c>
      <c r="X77" s="755">
        <v>-46</v>
      </c>
      <c r="Y77" s="755">
        <v>-43</v>
      </c>
      <c r="Z77" s="755">
        <v>-46</v>
      </c>
      <c r="AA77" s="756">
        <v>-47</v>
      </c>
      <c r="AC77" s="758" t="s">
        <v>186</v>
      </c>
      <c r="AD77" s="754">
        <v>-56</v>
      </c>
      <c r="AE77" s="755">
        <v>-55</v>
      </c>
      <c r="AF77" s="755">
        <v>-57</v>
      </c>
      <c r="AG77" s="755">
        <v>-55</v>
      </c>
      <c r="AH77" s="755">
        <v>-54</v>
      </c>
      <c r="AI77" s="755">
        <v>-52</v>
      </c>
      <c r="AJ77" s="756">
        <v>-55</v>
      </c>
      <c r="AL77" s="758" t="s">
        <v>186</v>
      </c>
      <c r="AM77" s="754"/>
      <c r="AN77" s="755"/>
      <c r="AO77" s="755">
        <v>-31</v>
      </c>
      <c r="AP77" s="755">
        <v>-27</v>
      </c>
      <c r="AQ77" s="755">
        <v>-28</v>
      </c>
      <c r="AR77" s="755">
        <v>-30</v>
      </c>
      <c r="AS77" s="756">
        <v>-34</v>
      </c>
      <c r="AU77" s="758" t="s">
        <v>186</v>
      </c>
      <c r="AV77" s="754">
        <v>-53</v>
      </c>
      <c r="AW77" s="755">
        <v>-50</v>
      </c>
      <c r="AX77" s="755">
        <v>-53</v>
      </c>
      <c r="AY77" s="755">
        <v>-54</v>
      </c>
      <c r="AZ77" s="755">
        <v>-51</v>
      </c>
      <c r="BA77" s="755">
        <v>-50</v>
      </c>
      <c r="BB77" s="756">
        <v>-55</v>
      </c>
    </row>
    <row r="78" spans="2:54" x14ac:dyDescent="0.25">
      <c r="B78" s="759" t="s">
        <v>213</v>
      </c>
      <c r="C78" s="760">
        <v>-32</v>
      </c>
      <c r="D78" s="761">
        <v>-35</v>
      </c>
      <c r="E78" s="761">
        <v>-33</v>
      </c>
      <c r="F78" s="761">
        <v>-32</v>
      </c>
      <c r="G78" s="761">
        <v>-36</v>
      </c>
      <c r="H78" s="761">
        <v>-38</v>
      </c>
      <c r="I78" s="762">
        <v>-40</v>
      </c>
      <c r="K78" s="759" t="s">
        <v>213</v>
      </c>
      <c r="L78" s="760">
        <v>-40</v>
      </c>
      <c r="M78" s="761">
        <v>-41</v>
      </c>
      <c r="N78" s="761">
        <v>-41</v>
      </c>
      <c r="O78" s="761">
        <v>-38</v>
      </c>
      <c r="P78" s="761">
        <v>-38</v>
      </c>
      <c r="Q78" s="761">
        <v>-38</v>
      </c>
      <c r="R78" s="762">
        <v>-43</v>
      </c>
      <c r="T78" s="763" t="s">
        <v>213</v>
      </c>
      <c r="U78" s="760">
        <v>-43</v>
      </c>
      <c r="V78" s="761">
        <v>-45</v>
      </c>
      <c r="W78" s="761">
        <v>-48</v>
      </c>
      <c r="X78" s="761">
        <v>-47</v>
      </c>
      <c r="Y78" s="761">
        <v>-46</v>
      </c>
      <c r="Z78" s="761">
        <v>-45</v>
      </c>
      <c r="AA78" s="762">
        <v>-47</v>
      </c>
      <c r="AC78" s="764" t="s">
        <v>213</v>
      </c>
      <c r="AD78" s="760">
        <v>-57</v>
      </c>
      <c r="AE78" s="761">
        <v>-58</v>
      </c>
      <c r="AF78" s="761">
        <v>-58</v>
      </c>
      <c r="AG78" s="761">
        <v>-58</v>
      </c>
      <c r="AH78" s="761">
        <v>-56</v>
      </c>
      <c r="AI78" s="761">
        <v>-55</v>
      </c>
      <c r="AJ78" s="762">
        <v>-55</v>
      </c>
      <c r="AL78" s="764" t="s">
        <v>213</v>
      </c>
      <c r="AM78" s="760"/>
      <c r="AN78" s="761"/>
      <c r="AO78" s="761">
        <v>-27</v>
      </c>
      <c r="AP78" s="761">
        <v>-27</v>
      </c>
      <c r="AQ78" s="761">
        <v>-27</v>
      </c>
      <c r="AR78" s="761">
        <v>-29</v>
      </c>
      <c r="AS78" s="762">
        <v>-32</v>
      </c>
      <c r="AU78" s="764" t="s">
        <v>213</v>
      </c>
      <c r="AV78" s="760">
        <v>-57</v>
      </c>
      <c r="AW78" s="761">
        <v>-54</v>
      </c>
      <c r="AX78" s="761">
        <v>-54</v>
      </c>
      <c r="AY78" s="761">
        <v>-56</v>
      </c>
      <c r="AZ78" s="761">
        <v>-53</v>
      </c>
      <c r="BA78" s="761">
        <v>-54</v>
      </c>
      <c r="BB78" s="762">
        <v>-54</v>
      </c>
    </row>
    <row r="79" spans="2:54" x14ac:dyDescent="0.25">
      <c r="B79" s="759" t="s">
        <v>232</v>
      </c>
      <c r="C79" s="765">
        <v>-32</v>
      </c>
      <c r="D79" s="766">
        <v>-32</v>
      </c>
      <c r="E79" s="766">
        <v>-33</v>
      </c>
      <c r="F79" s="766">
        <v>-33</v>
      </c>
      <c r="G79" s="766">
        <v>-34</v>
      </c>
      <c r="H79" s="766">
        <v>-36</v>
      </c>
      <c r="I79" s="767">
        <v>-42</v>
      </c>
      <c r="K79" s="759" t="s">
        <v>232</v>
      </c>
      <c r="L79" s="765">
        <v>-35</v>
      </c>
      <c r="M79" s="766">
        <v>-37</v>
      </c>
      <c r="N79" s="766">
        <v>-37</v>
      </c>
      <c r="O79" s="766">
        <v>-37</v>
      </c>
      <c r="P79" s="766">
        <v>-36</v>
      </c>
      <c r="Q79" s="766">
        <v>-37</v>
      </c>
      <c r="R79" s="767">
        <v>-40</v>
      </c>
      <c r="T79" s="763" t="s">
        <v>232</v>
      </c>
      <c r="U79" s="765">
        <v>-42</v>
      </c>
      <c r="V79" s="766">
        <v>-43</v>
      </c>
      <c r="W79" s="766">
        <v>-46</v>
      </c>
      <c r="X79" s="766">
        <v>-46</v>
      </c>
      <c r="Y79" s="766">
        <v>-45</v>
      </c>
      <c r="Z79" s="766">
        <v>-44</v>
      </c>
      <c r="AA79" s="767">
        <v>-45</v>
      </c>
      <c r="AC79" s="764" t="s">
        <v>232</v>
      </c>
      <c r="AD79" s="765">
        <v>-58</v>
      </c>
      <c r="AE79" s="766">
        <v>-56</v>
      </c>
      <c r="AF79" s="766">
        <v>-58</v>
      </c>
      <c r="AG79" s="766">
        <v>-57</v>
      </c>
      <c r="AH79" s="766">
        <v>-57</v>
      </c>
      <c r="AI79" s="766">
        <v>-57</v>
      </c>
      <c r="AJ79" s="767">
        <v>-55</v>
      </c>
      <c r="AL79" s="764" t="s">
        <v>232</v>
      </c>
      <c r="AM79" s="765"/>
      <c r="AN79" s="766"/>
      <c r="AO79" s="766">
        <v>-24</v>
      </c>
      <c r="AP79" s="766">
        <v>-23</v>
      </c>
      <c r="AQ79" s="766">
        <v>-25</v>
      </c>
      <c r="AR79" s="766">
        <v>-28</v>
      </c>
      <c r="AS79" s="767">
        <v>-32</v>
      </c>
      <c r="AU79" s="764" t="s">
        <v>232</v>
      </c>
      <c r="AV79" s="765">
        <v>-54</v>
      </c>
      <c r="AW79" s="766">
        <v>-52</v>
      </c>
      <c r="AX79" s="766">
        <v>-52</v>
      </c>
      <c r="AY79" s="766">
        <v>-54</v>
      </c>
      <c r="AZ79" s="766">
        <v>-52</v>
      </c>
      <c r="BA79" s="766">
        <v>-54</v>
      </c>
      <c r="BB79" s="767">
        <v>-52</v>
      </c>
    </row>
    <row r="80" spans="2:54" x14ac:dyDescent="0.25">
      <c r="B80" s="759" t="s">
        <v>215</v>
      </c>
      <c r="C80" s="765">
        <v>-30</v>
      </c>
      <c r="D80" s="766">
        <v>-32</v>
      </c>
      <c r="E80" s="766">
        <v>-29</v>
      </c>
      <c r="F80" s="766">
        <v>-29</v>
      </c>
      <c r="G80" s="766">
        <v>-33</v>
      </c>
      <c r="H80" s="766">
        <v>-37</v>
      </c>
      <c r="I80" s="767">
        <v>-41</v>
      </c>
      <c r="K80" s="759" t="s">
        <v>215</v>
      </c>
      <c r="L80" s="765">
        <v>-31</v>
      </c>
      <c r="M80" s="766">
        <v>-41</v>
      </c>
      <c r="N80" s="766">
        <v>-39</v>
      </c>
      <c r="O80" s="766">
        <v>-38</v>
      </c>
      <c r="P80" s="766">
        <v>-36</v>
      </c>
      <c r="Q80" s="766">
        <v>-40</v>
      </c>
      <c r="R80" s="767">
        <v>-43</v>
      </c>
      <c r="T80" s="763" t="s">
        <v>215</v>
      </c>
      <c r="U80" s="765">
        <v>-42</v>
      </c>
      <c r="V80" s="766">
        <v>-44</v>
      </c>
      <c r="W80" s="766">
        <v>-47</v>
      </c>
      <c r="X80" s="766">
        <v>-47</v>
      </c>
      <c r="Y80" s="766">
        <v>-46</v>
      </c>
      <c r="Z80" s="766">
        <v>-42</v>
      </c>
      <c r="AA80" s="767">
        <v>-45</v>
      </c>
      <c r="AC80" s="764" t="s">
        <v>215</v>
      </c>
      <c r="AD80" s="765">
        <v>-55</v>
      </c>
      <c r="AE80" s="766">
        <v>-56</v>
      </c>
      <c r="AF80" s="766">
        <v>-56</v>
      </c>
      <c r="AG80" s="766">
        <v>-60</v>
      </c>
      <c r="AH80" s="766">
        <v>-60</v>
      </c>
      <c r="AI80" s="766">
        <v>-57</v>
      </c>
      <c r="AJ80" s="767">
        <v>-54</v>
      </c>
      <c r="AL80" s="764" t="s">
        <v>215</v>
      </c>
      <c r="AM80" s="765"/>
      <c r="AN80" s="766">
        <v>-22</v>
      </c>
      <c r="AO80" s="766">
        <v>-26</v>
      </c>
      <c r="AP80" s="766">
        <v>-25</v>
      </c>
      <c r="AQ80" s="766">
        <v>-24</v>
      </c>
      <c r="AR80" s="766">
        <v>-30</v>
      </c>
      <c r="AS80" s="767">
        <v>-33</v>
      </c>
      <c r="AU80" s="764" t="s">
        <v>215</v>
      </c>
      <c r="AV80" s="765">
        <v>-50</v>
      </c>
      <c r="AW80" s="766">
        <v>-50</v>
      </c>
      <c r="AX80" s="766">
        <v>-51</v>
      </c>
      <c r="AY80" s="766">
        <v>-52</v>
      </c>
      <c r="AZ80" s="766">
        <v>-51</v>
      </c>
      <c r="BA80" s="766">
        <v>-54</v>
      </c>
      <c r="BB80" s="767">
        <v>-53</v>
      </c>
    </row>
    <row r="81" spans="2:54" x14ac:dyDescent="0.25">
      <c r="B81" s="759" t="s">
        <v>249</v>
      </c>
      <c r="C81" s="765">
        <v>-28</v>
      </c>
      <c r="D81" s="766">
        <v>-30</v>
      </c>
      <c r="E81" s="766">
        <v>-29</v>
      </c>
      <c r="F81" s="766">
        <v>-32</v>
      </c>
      <c r="G81" s="766">
        <v>-32</v>
      </c>
      <c r="H81" s="766">
        <v>-34</v>
      </c>
      <c r="I81" s="767">
        <v>-42</v>
      </c>
      <c r="K81" s="759" t="s">
        <v>249</v>
      </c>
      <c r="L81" s="765">
        <v>-30</v>
      </c>
      <c r="M81" s="766">
        <v>-35</v>
      </c>
      <c r="N81" s="766">
        <v>-36</v>
      </c>
      <c r="O81" s="766">
        <v>-36</v>
      </c>
      <c r="P81" s="766">
        <v>-34</v>
      </c>
      <c r="Q81" s="766">
        <v>-37</v>
      </c>
      <c r="R81" s="767">
        <v>-41</v>
      </c>
      <c r="T81" s="763" t="s">
        <v>249</v>
      </c>
      <c r="U81" s="765">
        <v>-40</v>
      </c>
      <c r="V81" s="766">
        <v>-41</v>
      </c>
      <c r="W81" s="766">
        <v>-41</v>
      </c>
      <c r="X81" s="766">
        <v>-41</v>
      </c>
      <c r="Y81" s="766">
        <v>-43</v>
      </c>
      <c r="Z81" s="766">
        <v>-43</v>
      </c>
      <c r="AA81" s="767">
        <v>-46</v>
      </c>
      <c r="AC81" s="764" t="s">
        <v>249</v>
      </c>
      <c r="AD81" s="765">
        <v>-51</v>
      </c>
      <c r="AE81" s="766">
        <v>-54</v>
      </c>
      <c r="AF81" s="766">
        <v>-54</v>
      </c>
      <c r="AG81" s="766">
        <v>-56</v>
      </c>
      <c r="AH81" s="766">
        <v>-57</v>
      </c>
      <c r="AI81" s="766">
        <v>-57</v>
      </c>
      <c r="AJ81" s="767">
        <v>-52</v>
      </c>
      <c r="AL81" s="764" t="s">
        <v>249</v>
      </c>
      <c r="AM81" s="765"/>
      <c r="AN81" s="766">
        <v>-26</v>
      </c>
      <c r="AO81" s="766">
        <v>-26</v>
      </c>
      <c r="AP81" s="766">
        <v>-24</v>
      </c>
      <c r="AQ81" s="766">
        <v>-23</v>
      </c>
      <c r="AR81" s="766">
        <v>-26</v>
      </c>
      <c r="AS81" s="767">
        <v>-30</v>
      </c>
      <c r="AU81" s="764" t="s">
        <v>249</v>
      </c>
      <c r="AV81" s="765">
        <v>-50</v>
      </c>
      <c r="AW81" s="766">
        <v>-49</v>
      </c>
      <c r="AX81" s="766">
        <v>-48</v>
      </c>
      <c r="AY81" s="766">
        <v>-47</v>
      </c>
      <c r="AZ81" s="766">
        <v>-46</v>
      </c>
      <c r="BA81" s="766">
        <v>-52</v>
      </c>
      <c r="BB81" s="767">
        <v>-51</v>
      </c>
    </row>
    <row r="82" spans="2:54" x14ac:dyDescent="0.25">
      <c r="B82" s="759" t="s">
        <v>257</v>
      </c>
      <c r="C82" s="765">
        <v>-29</v>
      </c>
      <c r="D82" s="766">
        <v>-30</v>
      </c>
      <c r="E82" s="766">
        <v>-29</v>
      </c>
      <c r="F82" s="766">
        <v>-32</v>
      </c>
      <c r="G82" s="766">
        <v>-35</v>
      </c>
      <c r="H82" s="766">
        <v>-33</v>
      </c>
      <c r="I82" s="767">
        <v>-37</v>
      </c>
      <c r="K82" s="759" t="s">
        <v>257</v>
      </c>
      <c r="L82" s="765">
        <v>-31</v>
      </c>
      <c r="M82" s="766">
        <v>-35</v>
      </c>
      <c r="N82" s="766">
        <v>-36</v>
      </c>
      <c r="O82" s="766">
        <v>-38</v>
      </c>
      <c r="P82" s="766">
        <v>-36</v>
      </c>
      <c r="Q82" s="766">
        <v>-34</v>
      </c>
      <c r="R82" s="767">
        <v>-38</v>
      </c>
      <c r="T82" s="763" t="s">
        <v>257</v>
      </c>
      <c r="U82" s="765">
        <v>-45</v>
      </c>
      <c r="V82" s="766">
        <v>-44</v>
      </c>
      <c r="W82" s="766">
        <v>-45</v>
      </c>
      <c r="X82" s="766">
        <v>-45</v>
      </c>
      <c r="Y82" s="766">
        <v>-44</v>
      </c>
      <c r="Z82" s="766">
        <v>-42</v>
      </c>
      <c r="AA82" s="767">
        <v>-46</v>
      </c>
      <c r="AC82" s="764" t="s">
        <v>257</v>
      </c>
      <c r="AD82" s="765">
        <v>-53</v>
      </c>
      <c r="AE82" s="766">
        <v>-55</v>
      </c>
      <c r="AF82" s="766">
        <v>-58</v>
      </c>
      <c r="AG82" s="766">
        <v>-58</v>
      </c>
      <c r="AH82" s="766">
        <v>-56</v>
      </c>
      <c r="AI82" s="766">
        <v>-55</v>
      </c>
      <c r="AJ82" s="767">
        <v>-52</v>
      </c>
      <c r="AL82" s="764" t="s">
        <v>257</v>
      </c>
      <c r="AM82" s="765"/>
      <c r="AN82" s="766">
        <v>-26</v>
      </c>
      <c r="AO82" s="766">
        <v>-24</v>
      </c>
      <c r="AP82" s="766">
        <v>-25</v>
      </c>
      <c r="AQ82" s="766">
        <v>-24</v>
      </c>
      <c r="AR82" s="766">
        <v>-23</v>
      </c>
      <c r="AS82" s="767">
        <v>-30</v>
      </c>
      <c r="AU82" s="764" t="s">
        <v>257</v>
      </c>
      <c r="AV82" s="765">
        <v>-50</v>
      </c>
      <c r="AW82" s="766">
        <v>-51</v>
      </c>
      <c r="AX82" s="766">
        <v>-50</v>
      </c>
      <c r="AY82" s="766">
        <v>-50</v>
      </c>
      <c r="AZ82" s="766">
        <v>-51</v>
      </c>
      <c r="BA82" s="766">
        <v>-50</v>
      </c>
      <c r="BB82" s="767">
        <v>-51</v>
      </c>
    </row>
    <row r="83" spans="2:54" x14ac:dyDescent="0.25">
      <c r="B83" s="759" t="s">
        <v>264</v>
      </c>
      <c r="C83" s="765">
        <v>-33</v>
      </c>
      <c r="D83" s="766">
        <v>-31</v>
      </c>
      <c r="E83" s="766">
        <v>-29</v>
      </c>
      <c r="F83" s="766">
        <v>-31</v>
      </c>
      <c r="G83" s="766">
        <v>-30</v>
      </c>
      <c r="H83" s="766">
        <v>-30</v>
      </c>
      <c r="I83" s="767">
        <v>-37</v>
      </c>
      <c r="K83" s="759" t="s">
        <v>264</v>
      </c>
      <c r="L83" s="765">
        <v>-35</v>
      </c>
      <c r="M83" s="766">
        <v>-36</v>
      </c>
      <c r="N83" s="766">
        <v>-35</v>
      </c>
      <c r="O83" s="766">
        <v>-35</v>
      </c>
      <c r="P83" s="766">
        <v>-38</v>
      </c>
      <c r="Q83" s="766">
        <v>-38</v>
      </c>
      <c r="R83" s="767">
        <v>-39</v>
      </c>
      <c r="T83" s="763" t="s">
        <v>264</v>
      </c>
      <c r="U83" s="765">
        <v>-44</v>
      </c>
      <c r="V83" s="766">
        <v>-46</v>
      </c>
      <c r="W83" s="766">
        <v>-46</v>
      </c>
      <c r="X83" s="766">
        <v>-45</v>
      </c>
      <c r="Y83" s="766">
        <v>-45</v>
      </c>
      <c r="Z83" s="766">
        <v>-47</v>
      </c>
      <c r="AA83" s="767">
        <v>-48</v>
      </c>
      <c r="AC83" s="764" t="s">
        <v>264</v>
      </c>
      <c r="AD83" s="765">
        <v>-55</v>
      </c>
      <c r="AE83" s="766">
        <v>-54</v>
      </c>
      <c r="AF83" s="766">
        <v>-53</v>
      </c>
      <c r="AG83" s="766">
        <v>-53</v>
      </c>
      <c r="AH83" s="766">
        <v>-52</v>
      </c>
      <c r="AI83" s="766">
        <v>-50</v>
      </c>
      <c r="AJ83" s="767">
        <v>-49</v>
      </c>
      <c r="AL83" s="764" t="s">
        <v>264</v>
      </c>
      <c r="AM83" s="765"/>
      <c r="AN83" s="766">
        <v>-31</v>
      </c>
      <c r="AO83" s="766">
        <v>-29</v>
      </c>
      <c r="AP83" s="766">
        <v>-30</v>
      </c>
      <c r="AQ83" s="766">
        <v>-30</v>
      </c>
      <c r="AR83" s="766">
        <v>-29</v>
      </c>
      <c r="AS83" s="767">
        <v>-32</v>
      </c>
      <c r="AU83" s="764" t="s">
        <v>264</v>
      </c>
      <c r="AV83" s="765">
        <v>-49</v>
      </c>
      <c r="AW83" s="766">
        <v>-48</v>
      </c>
      <c r="AX83" s="766">
        <v>-47</v>
      </c>
      <c r="AY83" s="766">
        <v>-46</v>
      </c>
      <c r="AZ83" s="766">
        <v>-46</v>
      </c>
      <c r="BA83" s="766">
        <v>-45</v>
      </c>
      <c r="BB83" s="767">
        <v>-46</v>
      </c>
    </row>
    <row r="84" spans="2:54" x14ac:dyDescent="0.25">
      <c r="B84" s="759" t="s">
        <v>272</v>
      </c>
      <c r="C84" s="765">
        <v>-30</v>
      </c>
      <c r="D84" s="766">
        <v>-27</v>
      </c>
      <c r="E84" s="766">
        <v>-27</v>
      </c>
      <c r="F84" s="766">
        <v>-35</v>
      </c>
      <c r="G84" s="766">
        <v>-39</v>
      </c>
      <c r="H84" s="766">
        <v>-38</v>
      </c>
      <c r="I84" s="767">
        <v>-39</v>
      </c>
      <c r="K84" s="759" t="s">
        <v>272</v>
      </c>
      <c r="L84" s="765">
        <v>-35</v>
      </c>
      <c r="M84" s="766">
        <v>-39</v>
      </c>
      <c r="N84" s="766">
        <v>-41</v>
      </c>
      <c r="O84" s="766">
        <v>-42</v>
      </c>
      <c r="P84" s="766">
        <v>-43</v>
      </c>
      <c r="Q84" s="766">
        <v>-43</v>
      </c>
      <c r="R84" s="767">
        <v>-40</v>
      </c>
      <c r="T84" s="763" t="s">
        <v>272</v>
      </c>
      <c r="U84" s="765">
        <v>-39</v>
      </c>
      <c r="V84" s="766">
        <v>-44</v>
      </c>
      <c r="W84" s="766">
        <v>-46</v>
      </c>
      <c r="X84" s="766">
        <v>-47</v>
      </c>
      <c r="Y84" s="766">
        <v>-47</v>
      </c>
      <c r="Z84" s="766">
        <v>-47</v>
      </c>
      <c r="AA84" s="767">
        <v>-46</v>
      </c>
      <c r="AC84" s="764" t="s">
        <v>272</v>
      </c>
      <c r="AD84" s="765">
        <v>-49</v>
      </c>
      <c r="AE84" s="766">
        <v>-52</v>
      </c>
      <c r="AF84" s="766">
        <v>-52</v>
      </c>
      <c r="AG84" s="766">
        <v>-51</v>
      </c>
      <c r="AH84" s="766">
        <v>-51</v>
      </c>
      <c r="AI84" s="766">
        <v>-50</v>
      </c>
      <c r="AJ84" s="767">
        <v>-53</v>
      </c>
      <c r="AL84" s="764" t="s">
        <v>272</v>
      </c>
      <c r="AM84" s="765"/>
      <c r="AN84" s="766">
        <v>-26</v>
      </c>
      <c r="AO84" s="766">
        <v>-25</v>
      </c>
      <c r="AP84" s="766">
        <v>-29</v>
      </c>
      <c r="AQ84" s="766">
        <v>-30</v>
      </c>
      <c r="AR84" s="766">
        <v>-34</v>
      </c>
      <c r="AS84" s="767">
        <v>-31</v>
      </c>
      <c r="AU84" s="764" t="s">
        <v>272</v>
      </c>
      <c r="AV84" s="765">
        <v>-45</v>
      </c>
      <c r="AW84" s="766">
        <v>-45</v>
      </c>
      <c r="AX84" s="766">
        <v>-46</v>
      </c>
      <c r="AY84" s="766">
        <v>-45</v>
      </c>
      <c r="AZ84" s="766">
        <v>-45</v>
      </c>
      <c r="BA84" s="766">
        <v>-45</v>
      </c>
      <c r="BB84" s="767">
        <v>-47</v>
      </c>
    </row>
    <row r="85" spans="2:54" x14ac:dyDescent="0.25">
      <c r="B85" s="759" t="s">
        <v>278</v>
      </c>
      <c r="C85" s="765">
        <v>-31</v>
      </c>
      <c r="D85" s="766">
        <v>-35</v>
      </c>
      <c r="E85" s="766">
        <v>-35</v>
      </c>
      <c r="F85" s="766">
        <v>-39</v>
      </c>
      <c r="G85" s="766">
        <v>-40</v>
      </c>
      <c r="H85" s="766">
        <v>-44</v>
      </c>
      <c r="I85" s="767">
        <v>-40</v>
      </c>
      <c r="K85" s="759" t="s">
        <v>278</v>
      </c>
      <c r="L85" s="765">
        <v>-33</v>
      </c>
      <c r="M85" s="766">
        <v>-32</v>
      </c>
      <c r="N85" s="766">
        <v>-38</v>
      </c>
      <c r="O85" s="766">
        <v>-41</v>
      </c>
      <c r="P85" s="766">
        <v>-45</v>
      </c>
      <c r="Q85" s="766">
        <v>-46</v>
      </c>
      <c r="R85" s="767">
        <v>-45</v>
      </c>
      <c r="T85" s="763" t="s">
        <v>278</v>
      </c>
      <c r="U85" s="765">
        <v>-42</v>
      </c>
      <c r="V85" s="766">
        <v>-40</v>
      </c>
      <c r="W85" s="766">
        <v>-38</v>
      </c>
      <c r="X85" s="766">
        <v>-39</v>
      </c>
      <c r="Y85" s="766">
        <v>-37</v>
      </c>
      <c r="Z85" s="766">
        <v>-39</v>
      </c>
      <c r="AA85" s="767">
        <v>-48</v>
      </c>
      <c r="AC85" s="764" t="s">
        <v>278</v>
      </c>
      <c r="AD85" s="765">
        <v>-46</v>
      </c>
      <c r="AE85" s="766">
        <v>-49</v>
      </c>
      <c r="AF85" s="766">
        <v>-48</v>
      </c>
      <c r="AG85" s="766">
        <v>-51</v>
      </c>
      <c r="AH85" s="766">
        <v>-48</v>
      </c>
      <c r="AI85" s="766">
        <v>-51</v>
      </c>
      <c r="AJ85" s="767">
        <v>-50</v>
      </c>
      <c r="AL85" s="764" t="s">
        <v>278</v>
      </c>
      <c r="AM85" s="765" t="s">
        <v>1048</v>
      </c>
      <c r="AN85" s="766">
        <v>-22</v>
      </c>
      <c r="AO85" s="766">
        <v>-24</v>
      </c>
      <c r="AP85" s="766">
        <v>-31</v>
      </c>
      <c r="AQ85" s="766">
        <v>-27</v>
      </c>
      <c r="AR85" s="766">
        <v>-32</v>
      </c>
      <c r="AS85" s="767">
        <v>-31</v>
      </c>
      <c r="AU85" s="764" t="s">
        <v>278</v>
      </c>
      <c r="AV85" s="765">
        <v>-43</v>
      </c>
      <c r="AW85" s="766">
        <v>-40</v>
      </c>
      <c r="AX85" s="766">
        <v>-41</v>
      </c>
      <c r="AY85" s="766">
        <v>-41</v>
      </c>
      <c r="AZ85" s="766">
        <v>-41</v>
      </c>
      <c r="BA85" s="766">
        <v>-45</v>
      </c>
      <c r="BB85" s="767">
        <v>-44</v>
      </c>
    </row>
    <row r="86" spans="2:54" ht="15.75" thickBot="1" x14ac:dyDescent="0.3">
      <c r="B86" s="768" t="s">
        <v>284</v>
      </c>
      <c r="C86" s="769" t="s">
        <v>1048</v>
      </c>
      <c r="D86" s="770" t="s">
        <v>1048</v>
      </c>
      <c r="E86" s="770" t="s">
        <v>1048</v>
      </c>
      <c r="F86" s="770" t="s">
        <v>1048</v>
      </c>
      <c r="G86" s="770" t="s">
        <v>1048</v>
      </c>
      <c r="H86" s="770" t="s">
        <v>1048</v>
      </c>
      <c r="I86" s="771" t="s">
        <v>1048</v>
      </c>
      <c r="K86" s="768" t="s">
        <v>284</v>
      </c>
      <c r="L86" s="769" t="s">
        <v>1048</v>
      </c>
      <c r="M86" s="770" t="s">
        <v>1048</v>
      </c>
      <c r="N86" s="770" t="s">
        <v>1048</v>
      </c>
      <c r="O86" s="770" t="s">
        <v>1048</v>
      </c>
      <c r="P86" s="770" t="s">
        <v>1048</v>
      </c>
      <c r="Q86" s="770" t="s">
        <v>1048</v>
      </c>
      <c r="R86" s="771" t="s">
        <v>1048</v>
      </c>
      <c r="T86" s="772" t="s">
        <v>284</v>
      </c>
      <c r="U86" s="769" t="s">
        <v>1048</v>
      </c>
      <c r="V86" s="770" t="s">
        <v>1048</v>
      </c>
      <c r="W86" s="770" t="s">
        <v>1048</v>
      </c>
      <c r="X86" s="770" t="s">
        <v>1048</v>
      </c>
      <c r="Y86" s="770" t="s">
        <v>1048</v>
      </c>
      <c r="Z86" s="770" t="s">
        <v>1048</v>
      </c>
      <c r="AA86" s="771" t="s">
        <v>1048</v>
      </c>
      <c r="AC86" s="773" t="s">
        <v>284</v>
      </c>
      <c r="AD86" s="769" t="s">
        <v>1048</v>
      </c>
      <c r="AE86" s="770" t="s">
        <v>1048</v>
      </c>
      <c r="AF86" s="770" t="s">
        <v>1048</v>
      </c>
      <c r="AG86" s="770" t="s">
        <v>1048</v>
      </c>
      <c r="AH86" s="770" t="s">
        <v>1048</v>
      </c>
      <c r="AI86" s="770" t="s">
        <v>1048</v>
      </c>
      <c r="AJ86" s="771" t="s">
        <v>1048</v>
      </c>
      <c r="AL86" s="773" t="s">
        <v>284</v>
      </c>
      <c r="AM86" s="769" t="s">
        <v>1048</v>
      </c>
      <c r="AN86" s="770" t="s">
        <v>1048</v>
      </c>
      <c r="AO86" s="770" t="s">
        <v>1048</v>
      </c>
      <c r="AP86" s="770" t="s">
        <v>1048</v>
      </c>
      <c r="AQ86" s="770" t="s">
        <v>1048</v>
      </c>
      <c r="AR86" s="770" t="s">
        <v>1048</v>
      </c>
      <c r="AS86" s="771" t="s">
        <v>1048</v>
      </c>
      <c r="AU86" s="773" t="s">
        <v>284</v>
      </c>
      <c r="AV86" s="769" t="s">
        <v>1048</v>
      </c>
      <c r="AW86" s="770" t="s">
        <v>1048</v>
      </c>
      <c r="AX86" s="770" t="s">
        <v>1048</v>
      </c>
      <c r="AY86" s="770" t="s">
        <v>1048</v>
      </c>
      <c r="AZ86" s="770" t="s">
        <v>1048</v>
      </c>
      <c r="BA86" s="770" t="s">
        <v>1048</v>
      </c>
      <c r="BB86" s="771" t="s">
        <v>1048</v>
      </c>
    </row>
    <row r="87" spans="2:54" ht="15.75" thickBot="1" x14ac:dyDescent="0.3">
      <c r="B87" s="774"/>
      <c r="C87" s="775"/>
      <c r="D87" s="775"/>
      <c r="E87" s="775"/>
      <c r="F87" s="775"/>
      <c r="G87" s="775"/>
      <c r="H87" s="775"/>
      <c r="I87" s="775"/>
      <c r="K87" s="774"/>
      <c r="L87" s="775"/>
      <c r="M87" s="775"/>
      <c r="N87" s="775"/>
      <c r="O87" s="775"/>
      <c r="P87" s="775"/>
      <c r="Q87" s="775"/>
      <c r="R87" s="775"/>
      <c r="T87" s="776"/>
      <c r="U87" s="775"/>
      <c r="V87" s="775"/>
      <c r="W87" s="775"/>
      <c r="X87" s="775"/>
      <c r="Y87" s="775"/>
      <c r="Z87" s="775"/>
      <c r="AA87" s="775"/>
      <c r="AC87" s="777"/>
      <c r="AD87" s="775"/>
      <c r="AE87" s="775"/>
      <c r="AF87" s="775"/>
      <c r="AG87" s="775"/>
      <c r="AH87" s="775"/>
      <c r="AI87" s="775"/>
      <c r="AJ87" s="775"/>
      <c r="AL87" s="777"/>
      <c r="AM87" s="775"/>
      <c r="AN87" s="775"/>
      <c r="AO87" s="775"/>
      <c r="AP87" s="775"/>
      <c r="AQ87" s="775"/>
      <c r="AR87" s="775"/>
      <c r="AS87" s="775"/>
      <c r="AU87" s="777"/>
      <c r="AV87" s="775"/>
      <c r="AW87" s="775"/>
      <c r="AX87" s="775"/>
      <c r="AY87" s="775"/>
      <c r="AZ87" s="775"/>
      <c r="BA87" s="775"/>
      <c r="BB87" s="775"/>
    </row>
    <row r="88" spans="2:54" ht="15.75" thickBot="1" x14ac:dyDescent="0.3">
      <c r="B88" s="748" t="s">
        <v>1034</v>
      </c>
      <c r="C88" s="778" t="s">
        <v>187</v>
      </c>
      <c r="D88" s="778" t="s">
        <v>214</v>
      </c>
      <c r="E88" s="778" t="s">
        <v>233</v>
      </c>
      <c r="F88" s="778" t="s">
        <v>242</v>
      </c>
      <c r="G88" s="778" t="s">
        <v>250</v>
      </c>
      <c r="H88" s="778" t="s">
        <v>258</v>
      </c>
      <c r="I88" s="779" t="s">
        <v>265</v>
      </c>
      <c r="K88" s="748" t="s">
        <v>1034</v>
      </c>
      <c r="L88" s="778" t="s">
        <v>187</v>
      </c>
      <c r="M88" s="778" t="s">
        <v>214</v>
      </c>
      <c r="N88" s="778" t="s">
        <v>233</v>
      </c>
      <c r="O88" s="778" t="s">
        <v>242</v>
      </c>
      <c r="P88" s="778" t="s">
        <v>250</v>
      </c>
      <c r="Q88" s="778" t="s">
        <v>258</v>
      </c>
      <c r="R88" s="779" t="s">
        <v>265</v>
      </c>
      <c r="T88" s="751" t="s">
        <v>1034</v>
      </c>
      <c r="U88" s="778" t="s">
        <v>187</v>
      </c>
      <c r="V88" s="778" t="s">
        <v>214</v>
      </c>
      <c r="W88" s="778" t="s">
        <v>233</v>
      </c>
      <c r="X88" s="778" t="s">
        <v>242</v>
      </c>
      <c r="Y88" s="778" t="s">
        <v>250</v>
      </c>
      <c r="Z88" s="778" t="s">
        <v>258</v>
      </c>
      <c r="AA88" s="779" t="s">
        <v>265</v>
      </c>
      <c r="AC88" s="752" t="s">
        <v>1034</v>
      </c>
      <c r="AD88" s="778" t="s">
        <v>187</v>
      </c>
      <c r="AE88" s="778" t="s">
        <v>214</v>
      </c>
      <c r="AF88" s="778" t="s">
        <v>233</v>
      </c>
      <c r="AG88" s="778" t="s">
        <v>242</v>
      </c>
      <c r="AH88" s="778" t="s">
        <v>250</v>
      </c>
      <c r="AI88" s="778" t="s">
        <v>258</v>
      </c>
      <c r="AJ88" s="779" t="s">
        <v>265</v>
      </c>
      <c r="AL88" s="752" t="s">
        <v>1034</v>
      </c>
      <c r="AM88" s="778" t="s">
        <v>187</v>
      </c>
      <c r="AN88" s="778" t="s">
        <v>214</v>
      </c>
      <c r="AO88" s="778" t="s">
        <v>233</v>
      </c>
      <c r="AP88" s="778" t="s">
        <v>242</v>
      </c>
      <c r="AQ88" s="778" t="s">
        <v>250</v>
      </c>
      <c r="AR88" s="778" t="s">
        <v>258</v>
      </c>
      <c r="AS88" s="779" t="s">
        <v>265</v>
      </c>
      <c r="AU88" s="752" t="s">
        <v>1034</v>
      </c>
      <c r="AV88" s="778" t="s">
        <v>187</v>
      </c>
      <c r="AW88" s="778" t="s">
        <v>214</v>
      </c>
      <c r="AX88" s="778" t="s">
        <v>233</v>
      </c>
      <c r="AY88" s="778" t="s">
        <v>242</v>
      </c>
      <c r="AZ88" s="778" t="s">
        <v>250</v>
      </c>
      <c r="BA88" s="778" t="s">
        <v>258</v>
      </c>
      <c r="BB88" s="779" t="s">
        <v>265</v>
      </c>
    </row>
    <row r="89" spans="2:54" x14ac:dyDescent="0.25">
      <c r="B89" s="753" t="s">
        <v>186</v>
      </c>
      <c r="C89" s="754">
        <v>-46</v>
      </c>
      <c r="D89" s="755">
        <v>-44</v>
      </c>
      <c r="E89" s="755">
        <v>-39</v>
      </c>
      <c r="F89" s="755">
        <v>-38</v>
      </c>
      <c r="G89" s="755">
        <v>-38</v>
      </c>
      <c r="H89" s="755">
        <v>-40</v>
      </c>
      <c r="I89" s="756">
        <v>-42</v>
      </c>
      <c r="K89" s="753" t="s">
        <v>186</v>
      </c>
      <c r="L89" s="754">
        <v>-47</v>
      </c>
      <c r="M89" s="755">
        <v>-49</v>
      </c>
      <c r="N89" s="755">
        <v>-45</v>
      </c>
      <c r="O89" s="755">
        <v>-42</v>
      </c>
      <c r="P89" s="755">
        <v>-41</v>
      </c>
      <c r="Q89" s="755">
        <v>-42</v>
      </c>
      <c r="R89" s="756">
        <v>-46</v>
      </c>
      <c r="T89" s="757" t="s">
        <v>186</v>
      </c>
      <c r="U89" s="754">
        <v>-47</v>
      </c>
      <c r="V89" s="755">
        <v>-50</v>
      </c>
      <c r="W89" s="755">
        <v>-49</v>
      </c>
      <c r="X89" s="755">
        <v>-49</v>
      </c>
      <c r="Y89" s="755">
        <v>-46</v>
      </c>
      <c r="Z89" s="755">
        <v>-48</v>
      </c>
      <c r="AA89" s="756">
        <v>-49</v>
      </c>
      <c r="AC89" s="758" t="s">
        <v>186</v>
      </c>
      <c r="AD89" s="754">
        <v>-60</v>
      </c>
      <c r="AE89" s="755">
        <v>-59</v>
      </c>
      <c r="AF89" s="755">
        <v>-61</v>
      </c>
      <c r="AG89" s="755">
        <v>-58</v>
      </c>
      <c r="AH89" s="755">
        <v>-57</v>
      </c>
      <c r="AI89" s="755">
        <v>-54</v>
      </c>
      <c r="AJ89" s="756">
        <v>-57</v>
      </c>
      <c r="AL89" s="758" t="s">
        <v>186</v>
      </c>
      <c r="AM89" s="754"/>
      <c r="AN89" s="755"/>
      <c r="AO89" s="755">
        <v>-34</v>
      </c>
      <c r="AP89" s="755">
        <v>-29</v>
      </c>
      <c r="AQ89" s="755">
        <v>-30</v>
      </c>
      <c r="AR89" s="755">
        <v>-32</v>
      </c>
      <c r="AS89" s="756">
        <v>-36</v>
      </c>
      <c r="AU89" s="758" t="s">
        <v>186</v>
      </c>
      <c r="AV89" s="754">
        <v>-57</v>
      </c>
      <c r="AW89" s="755">
        <v>-54</v>
      </c>
      <c r="AX89" s="755">
        <v>-57</v>
      </c>
      <c r="AY89" s="755">
        <v>-57</v>
      </c>
      <c r="AZ89" s="755">
        <v>-54</v>
      </c>
      <c r="BA89" s="755">
        <v>-52</v>
      </c>
      <c r="BB89" s="756">
        <v>-57</v>
      </c>
    </row>
    <row r="90" spans="2:54" x14ac:dyDescent="0.25">
      <c r="B90" s="759" t="s">
        <v>213</v>
      </c>
      <c r="C90" s="760">
        <v>-36</v>
      </c>
      <c r="D90" s="761">
        <v>-39</v>
      </c>
      <c r="E90" s="761">
        <v>-37</v>
      </c>
      <c r="F90" s="761">
        <v>-35</v>
      </c>
      <c r="G90" s="761">
        <v>-39</v>
      </c>
      <c r="H90" s="761">
        <v>-40</v>
      </c>
      <c r="I90" s="762">
        <v>-42</v>
      </c>
      <c r="K90" s="759" t="s">
        <v>213</v>
      </c>
      <c r="L90" s="760">
        <v>-44</v>
      </c>
      <c r="M90" s="761">
        <v>-45</v>
      </c>
      <c r="N90" s="761">
        <v>-45</v>
      </c>
      <c r="O90" s="761">
        <v>-41</v>
      </c>
      <c r="P90" s="761">
        <v>-41</v>
      </c>
      <c r="Q90" s="761">
        <v>-40</v>
      </c>
      <c r="R90" s="762">
        <v>-45</v>
      </c>
      <c r="T90" s="763" t="s">
        <v>213</v>
      </c>
      <c r="U90" s="760">
        <v>-47</v>
      </c>
      <c r="V90" s="761">
        <v>-49</v>
      </c>
      <c r="W90" s="761">
        <v>-52</v>
      </c>
      <c r="X90" s="761">
        <v>-50</v>
      </c>
      <c r="Y90" s="761">
        <v>-49</v>
      </c>
      <c r="Z90" s="761">
        <v>-47</v>
      </c>
      <c r="AA90" s="762">
        <v>-49</v>
      </c>
      <c r="AC90" s="764" t="s">
        <v>213</v>
      </c>
      <c r="AD90" s="760">
        <v>-61</v>
      </c>
      <c r="AE90" s="761">
        <v>-62</v>
      </c>
      <c r="AF90" s="761">
        <v>-62</v>
      </c>
      <c r="AG90" s="761">
        <v>-61</v>
      </c>
      <c r="AH90" s="761">
        <v>-59</v>
      </c>
      <c r="AI90" s="761">
        <v>-57</v>
      </c>
      <c r="AJ90" s="762">
        <v>-57</v>
      </c>
      <c r="AL90" s="764" t="s">
        <v>213</v>
      </c>
      <c r="AM90" s="760"/>
      <c r="AN90" s="761"/>
      <c r="AO90" s="761">
        <v>-30</v>
      </c>
      <c r="AP90" s="761">
        <v>-29</v>
      </c>
      <c r="AQ90" s="761">
        <v>-29</v>
      </c>
      <c r="AR90" s="761">
        <v>-31</v>
      </c>
      <c r="AS90" s="762">
        <v>-34</v>
      </c>
      <c r="AU90" s="764" t="s">
        <v>213</v>
      </c>
      <c r="AV90" s="760">
        <v>-61</v>
      </c>
      <c r="AW90" s="761">
        <v>-58</v>
      </c>
      <c r="AX90" s="761">
        <v>-58</v>
      </c>
      <c r="AY90" s="761">
        <v>-59</v>
      </c>
      <c r="AZ90" s="761">
        <v>-56</v>
      </c>
      <c r="BA90" s="761">
        <v>-56</v>
      </c>
      <c r="BB90" s="762">
        <v>-56</v>
      </c>
    </row>
    <row r="91" spans="2:54" x14ac:dyDescent="0.25">
      <c r="B91" s="759" t="s">
        <v>232</v>
      </c>
      <c r="C91" s="765">
        <v>-36</v>
      </c>
      <c r="D91" s="761">
        <v>-36</v>
      </c>
      <c r="E91" s="766">
        <v>-37</v>
      </c>
      <c r="F91" s="766">
        <v>-36</v>
      </c>
      <c r="G91" s="766">
        <v>-37</v>
      </c>
      <c r="H91" s="766">
        <v>-38</v>
      </c>
      <c r="I91" s="767">
        <v>-44</v>
      </c>
      <c r="K91" s="759" t="s">
        <v>232</v>
      </c>
      <c r="L91" s="765">
        <v>-39</v>
      </c>
      <c r="M91" s="766">
        <v>-41</v>
      </c>
      <c r="N91" s="766">
        <v>-41</v>
      </c>
      <c r="O91" s="766">
        <v>-40</v>
      </c>
      <c r="P91" s="766">
        <v>-39</v>
      </c>
      <c r="Q91" s="766">
        <v>-39</v>
      </c>
      <c r="R91" s="767">
        <v>-42</v>
      </c>
      <c r="T91" s="763" t="s">
        <v>232</v>
      </c>
      <c r="U91" s="765">
        <v>-46</v>
      </c>
      <c r="V91" s="766">
        <v>-47</v>
      </c>
      <c r="W91" s="766">
        <v>-50</v>
      </c>
      <c r="X91" s="766">
        <v>-49</v>
      </c>
      <c r="Y91" s="766">
        <v>-48</v>
      </c>
      <c r="Z91" s="766">
        <v>-46</v>
      </c>
      <c r="AA91" s="767">
        <v>-47</v>
      </c>
      <c r="AC91" s="764" t="s">
        <v>232</v>
      </c>
      <c r="AD91" s="765">
        <v>-62</v>
      </c>
      <c r="AE91" s="766">
        <v>-60</v>
      </c>
      <c r="AF91" s="766">
        <v>-62</v>
      </c>
      <c r="AG91" s="766">
        <v>-60</v>
      </c>
      <c r="AH91" s="766">
        <v>-60</v>
      </c>
      <c r="AI91" s="766">
        <v>-59</v>
      </c>
      <c r="AJ91" s="767">
        <v>-57</v>
      </c>
      <c r="AL91" s="764" t="s">
        <v>232</v>
      </c>
      <c r="AM91" s="765"/>
      <c r="AN91" s="766"/>
      <c r="AO91" s="766">
        <v>-27</v>
      </c>
      <c r="AP91" s="766">
        <v>-25</v>
      </c>
      <c r="AQ91" s="766">
        <v>-27</v>
      </c>
      <c r="AR91" s="766">
        <v>-30</v>
      </c>
      <c r="AS91" s="767">
        <v>-34</v>
      </c>
      <c r="AU91" s="764" t="s">
        <v>232</v>
      </c>
      <c r="AV91" s="765">
        <v>-58</v>
      </c>
      <c r="AW91" s="766">
        <v>-56</v>
      </c>
      <c r="AX91" s="766">
        <v>-56</v>
      </c>
      <c r="AY91" s="766">
        <v>-57</v>
      </c>
      <c r="AZ91" s="766">
        <v>-55</v>
      </c>
      <c r="BA91" s="766">
        <v>-56</v>
      </c>
      <c r="BB91" s="767">
        <v>-54</v>
      </c>
    </row>
    <row r="92" spans="2:54" x14ac:dyDescent="0.25">
      <c r="B92" s="759" t="s">
        <v>215</v>
      </c>
      <c r="C92" s="765">
        <v>-34</v>
      </c>
      <c r="D92" s="761">
        <v>-36</v>
      </c>
      <c r="E92" s="766">
        <v>-33</v>
      </c>
      <c r="F92" s="766">
        <v>-32</v>
      </c>
      <c r="G92" s="766">
        <v>-36</v>
      </c>
      <c r="H92" s="766">
        <v>-39</v>
      </c>
      <c r="I92" s="767">
        <v>-43</v>
      </c>
      <c r="K92" s="759" t="s">
        <v>215</v>
      </c>
      <c r="L92" s="765">
        <v>-35</v>
      </c>
      <c r="M92" s="766">
        <v>-45</v>
      </c>
      <c r="N92" s="766">
        <v>-43</v>
      </c>
      <c r="O92" s="766">
        <v>-41</v>
      </c>
      <c r="P92" s="766">
        <v>-39</v>
      </c>
      <c r="Q92" s="766">
        <v>-42</v>
      </c>
      <c r="R92" s="767">
        <v>-45</v>
      </c>
      <c r="T92" s="763" t="s">
        <v>215</v>
      </c>
      <c r="U92" s="765">
        <v>-46</v>
      </c>
      <c r="V92" s="766">
        <v>-48</v>
      </c>
      <c r="W92" s="766">
        <v>-51</v>
      </c>
      <c r="X92" s="766">
        <v>-50</v>
      </c>
      <c r="Y92" s="766">
        <v>-49</v>
      </c>
      <c r="Z92" s="766">
        <v>-44</v>
      </c>
      <c r="AA92" s="767">
        <v>-47</v>
      </c>
      <c r="AC92" s="764" t="s">
        <v>215</v>
      </c>
      <c r="AD92" s="765">
        <v>-59</v>
      </c>
      <c r="AE92" s="766">
        <v>-60</v>
      </c>
      <c r="AF92" s="766">
        <v>-60</v>
      </c>
      <c r="AG92" s="766">
        <v>-63</v>
      </c>
      <c r="AH92" s="766">
        <v>-63</v>
      </c>
      <c r="AI92" s="766">
        <v>-59</v>
      </c>
      <c r="AJ92" s="767">
        <v>-56</v>
      </c>
      <c r="AL92" s="764" t="s">
        <v>215</v>
      </c>
      <c r="AM92" s="765"/>
      <c r="AN92" s="766">
        <v>-25</v>
      </c>
      <c r="AO92" s="766">
        <v>-29</v>
      </c>
      <c r="AP92" s="766">
        <v>-27</v>
      </c>
      <c r="AQ92" s="766">
        <v>-26</v>
      </c>
      <c r="AR92" s="766">
        <v>-32</v>
      </c>
      <c r="AS92" s="767">
        <v>-35</v>
      </c>
      <c r="AU92" s="764" t="s">
        <v>215</v>
      </c>
      <c r="AV92" s="765">
        <v>-54</v>
      </c>
      <c r="AW92" s="766">
        <v>-54</v>
      </c>
      <c r="AX92" s="766">
        <v>-55</v>
      </c>
      <c r="AY92" s="766">
        <v>-55</v>
      </c>
      <c r="AZ92" s="766">
        <v>-54</v>
      </c>
      <c r="BA92" s="766">
        <v>-56</v>
      </c>
      <c r="BB92" s="767">
        <v>-55</v>
      </c>
    </row>
    <row r="93" spans="2:54" x14ac:dyDescent="0.25">
      <c r="B93" s="759" t="s">
        <v>249</v>
      </c>
      <c r="C93" s="765">
        <v>-32</v>
      </c>
      <c r="D93" s="766">
        <v>-34</v>
      </c>
      <c r="E93" s="766">
        <v>-33</v>
      </c>
      <c r="F93" s="766">
        <v>-35</v>
      </c>
      <c r="G93" s="766">
        <v>-35</v>
      </c>
      <c r="H93" s="766">
        <v>-36</v>
      </c>
      <c r="I93" s="767">
        <v>-44</v>
      </c>
      <c r="K93" s="759" t="s">
        <v>249</v>
      </c>
      <c r="L93" s="765">
        <v>-34</v>
      </c>
      <c r="M93" s="766">
        <v>-39</v>
      </c>
      <c r="N93" s="766">
        <v>-40</v>
      </c>
      <c r="O93" s="766">
        <v>-39</v>
      </c>
      <c r="P93" s="766">
        <v>-37</v>
      </c>
      <c r="Q93" s="766">
        <v>-39</v>
      </c>
      <c r="R93" s="767">
        <v>-43</v>
      </c>
      <c r="T93" s="763" t="s">
        <v>249</v>
      </c>
      <c r="U93" s="765">
        <v>-44</v>
      </c>
      <c r="V93" s="766">
        <v>-45</v>
      </c>
      <c r="W93" s="766">
        <v>-45</v>
      </c>
      <c r="X93" s="766">
        <v>-44</v>
      </c>
      <c r="Y93" s="766">
        <v>-46</v>
      </c>
      <c r="Z93" s="766">
        <v>-45</v>
      </c>
      <c r="AA93" s="767">
        <v>-48</v>
      </c>
      <c r="AC93" s="764" t="s">
        <v>249</v>
      </c>
      <c r="AD93" s="765">
        <v>-55</v>
      </c>
      <c r="AE93" s="766">
        <v>-58</v>
      </c>
      <c r="AF93" s="766">
        <v>-58</v>
      </c>
      <c r="AG93" s="766">
        <v>-59</v>
      </c>
      <c r="AH93" s="766">
        <v>-60</v>
      </c>
      <c r="AI93" s="766">
        <v>-59</v>
      </c>
      <c r="AJ93" s="767">
        <v>-54</v>
      </c>
      <c r="AL93" s="764" t="s">
        <v>249</v>
      </c>
      <c r="AM93" s="765"/>
      <c r="AN93" s="766">
        <v>-29</v>
      </c>
      <c r="AO93" s="766">
        <v>-29</v>
      </c>
      <c r="AP93" s="766">
        <v>-26</v>
      </c>
      <c r="AQ93" s="766">
        <v>-25</v>
      </c>
      <c r="AR93" s="766">
        <v>-28</v>
      </c>
      <c r="AS93" s="767">
        <v>-32</v>
      </c>
      <c r="AU93" s="764" t="s">
        <v>249</v>
      </c>
      <c r="AV93" s="765">
        <v>-54</v>
      </c>
      <c r="AW93" s="766">
        <v>-53</v>
      </c>
      <c r="AX93" s="766">
        <v>-52</v>
      </c>
      <c r="AY93" s="766">
        <v>-50</v>
      </c>
      <c r="AZ93" s="766">
        <v>-49</v>
      </c>
      <c r="BA93" s="766">
        <v>-54</v>
      </c>
      <c r="BB93" s="767">
        <v>-53</v>
      </c>
    </row>
    <row r="94" spans="2:54" x14ac:dyDescent="0.25">
      <c r="B94" s="759" t="s">
        <v>257</v>
      </c>
      <c r="C94" s="765">
        <v>-33</v>
      </c>
      <c r="D94" s="766">
        <v>-34</v>
      </c>
      <c r="E94" s="766">
        <v>-33</v>
      </c>
      <c r="F94" s="766">
        <v>-35</v>
      </c>
      <c r="G94" s="766">
        <v>-38</v>
      </c>
      <c r="H94" s="766">
        <v>-35</v>
      </c>
      <c r="I94" s="767">
        <v>-39</v>
      </c>
      <c r="K94" s="759" t="s">
        <v>257</v>
      </c>
      <c r="L94" s="765">
        <v>-35</v>
      </c>
      <c r="M94" s="766">
        <v>-39</v>
      </c>
      <c r="N94" s="766">
        <v>-40</v>
      </c>
      <c r="O94" s="766">
        <v>-41</v>
      </c>
      <c r="P94" s="766">
        <v>-39</v>
      </c>
      <c r="Q94" s="766">
        <v>-36</v>
      </c>
      <c r="R94" s="767">
        <v>-40</v>
      </c>
      <c r="T94" s="763" t="s">
        <v>257</v>
      </c>
      <c r="U94" s="765">
        <v>-49</v>
      </c>
      <c r="V94" s="766">
        <v>-48</v>
      </c>
      <c r="W94" s="766">
        <v>-49</v>
      </c>
      <c r="X94" s="766">
        <v>-48</v>
      </c>
      <c r="Y94" s="766">
        <v>-47</v>
      </c>
      <c r="Z94" s="766">
        <v>-44</v>
      </c>
      <c r="AA94" s="767">
        <v>-48</v>
      </c>
      <c r="AC94" s="764" t="s">
        <v>257</v>
      </c>
      <c r="AD94" s="765">
        <v>-57</v>
      </c>
      <c r="AE94" s="766">
        <v>-59</v>
      </c>
      <c r="AF94" s="766">
        <v>-62</v>
      </c>
      <c r="AG94" s="766">
        <v>-61</v>
      </c>
      <c r="AH94" s="766">
        <v>-59</v>
      </c>
      <c r="AI94" s="766">
        <v>-57</v>
      </c>
      <c r="AJ94" s="767">
        <v>-54</v>
      </c>
      <c r="AL94" s="764" t="s">
        <v>257</v>
      </c>
      <c r="AM94" s="765"/>
      <c r="AN94" s="766">
        <v>-29</v>
      </c>
      <c r="AO94" s="766">
        <v>-27</v>
      </c>
      <c r="AP94" s="766">
        <v>-27</v>
      </c>
      <c r="AQ94" s="766">
        <v>-26</v>
      </c>
      <c r="AR94" s="766">
        <v>-25</v>
      </c>
      <c r="AS94" s="767">
        <v>-32</v>
      </c>
      <c r="AU94" s="764" t="s">
        <v>257</v>
      </c>
      <c r="AV94" s="765">
        <v>-54</v>
      </c>
      <c r="AW94" s="766">
        <v>-55</v>
      </c>
      <c r="AX94" s="766">
        <v>-54</v>
      </c>
      <c r="AY94" s="766">
        <v>-53</v>
      </c>
      <c r="AZ94" s="766">
        <v>-54</v>
      </c>
      <c r="BA94" s="766">
        <v>-52</v>
      </c>
      <c r="BB94" s="767">
        <v>-53</v>
      </c>
    </row>
    <row r="95" spans="2:54" x14ac:dyDescent="0.25">
      <c r="B95" s="759" t="s">
        <v>264</v>
      </c>
      <c r="C95" s="765">
        <v>-37</v>
      </c>
      <c r="D95" s="766">
        <v>-35</v>
      </c>
      <c r="E95" s="766">
        <v>-33</v>
      </c>
      <c r="F95" s="766">
        <v>-34</v>
      </c>
      <c r="G95" s="766">
        <v>-33</v>
      </c>
      <c r="H95" s="766">
        <v>-32</v>
      </c>
      <c r="I95" s="767">
        <v>-39</v>
      </c>
      <c r="K95" s="759" t="s">
        <v>264</v>
      </c>
      <c r="L95" s="765">
        <v>-39</v>
      </c>
      <c r="M95" s="766">
        <v>-40</v>
      </c>
      <c r="N95" s="766">
        <v>-39</v>
      </c>
      <c r="O95" s="766">
        <v>-38</v>
      </c>
      <c r="P95" s="766">
        <v>-41</v>
      </c>
      <c r="Q95" s="766">
        <v>-40</v>
      </c>
      <c r="R95" s="767">
        <v>-41</v>
      </c>
      <c r="T95" s="763" t="s">
        <v>264</v>
      </c>
      <c r="U95" s="765">
        <v>-48</v>
      </c>
      <c r="V95" s="766">
        <v>-50</v>
      </c>
      <c r="W95" s="766">
        <v>-50</v>
      </c>
      <c r="X95" s="766">
        <v>-48</v>
      </c>
      <c r="Y95" s="766">
        <v>-48</v>
      </c>
      <c r="Z95" s="766">
        <v>-49</v>
      </c>
      <c r="AA95" s="767">
        <v>-50</v>
      </c>
      <c r="AC95" s="764" t="s">
        <v>264</v>
      </c>
      <c r="AD95" s="765">
        <v>-59</v>
      </c>
      <c r="AE95" s="766">
        <v>-58</v>
      </c>
      <c r="AF95" s="766">
        <v>-57</v>
      </c>
      <c r="AG95" s="766">
        <v>-56</v>
      </c>
      <c r="AH95" s="766">
        <v>-55</v>
      </c>
      <c r="AI95" s="766">
        <v>-52</v>
      </c>
      <c r="AJ95" s="767">
        <v>-51</v>
      </c>
      <c r="AL95" s="764" t="s">
        <v>264</v>
      </c>
      <c r="AM95" s="765"/>
      <c r="AN95" s="766">
        <v>-34</v>
      </c>
      <c r="AO95" s="766">
        <v>-32</v>
      </c>
      <c r="AP95" s="766">
        <v>-32</v>
      </c>
      <c r="AQ95" s="766">
        <v>-32</v>
      </c>
      <c r="AR95" s="766">
        <v>-31</v>
      </c>
      <c r="AS95" s="767">
        <v>-34</v>
      </c>
      <c r="AU95" s="764" t="s">
        <v>264</v>
      </c>
      <c r="AV95" s="765">
        <v>-53</v>
      </c>
      <c r="AW95" s="766">
        <v>-52</v>
      </c>
      <c r="AX95" s="766">
        <v>-51</v>
      </c>
      <c r="AY95" s="766">
        <v>-49</v>
      </c>
      <c r="AZ95" s="766">
        <v>-49</v>
      </c>
      <c r="BA95" s="766">
        <v>-47</v>
      </c>
      <c r="BB95" s="767">
        <v>-48</v>
      </c>
    </row>
    <row r="96" spans="2:54" x14ac:dyDescent="0.25">
      <c r="B96" s="759" t="s">
        <v>272</v>
      </c>
      <c r="C96" s="765">
        <v>-34</v>
      </c>
      <c r="D96" s="766">
        <v>-31</v>
      </c>
      <c r="E96" s="766">
        <v>-31</v>
      </c>
      <c r="F96" s="766">
        <v>-38</v>
      </c>
      <c r="G96" s="766">
        <v>-42</v>
      </c>
      <c r="H96" s="766">
        <v>-40</v>
      </c>
      <c r="I96" s="767">
        <v>-41</v>
      </c>
      <c r="K96" s="759" t="s">
        <v>272</v>
      </c>
      <c r="L96" s="765">
        <v>-39</v>
      </c>
      <c r="M96" s="766">
        <v>-43</v>
      </c>
      <c r="N96" s="766">
        <v>-45</v>
      </c>
      <c r="O96" s="766">
        <v>-45</v>
      </c>
      <c r="P96" s="766">
        <v>-46</v>
      </c>
      <c r="Q96" s="766">
        <v>-45</v>
      </c>
      <c r="R96" s="767">
        <v>-42</v>
      </c>
      <c r="T96" s="763" t="s">
        <v>272</v>
      </c>
      <c r="U96" s="765">
        <v>-43</v>
      </c>
      <c r="V96" s="766">
        <v>-48</v>
      </c>
      <c r="W96" s="766">
        <v>-50</v>
      </c>
      <c r="X96" s="766">
        <v>-50</v>
      </c>
      <c r="Y96" s="766">
        <v>-50</v>
      </c>
      <c r="Z96" s="766">
        <v>-49</v>
      </c>
      <c r="AA96" s="767">
        <v>-48</v>
      </c>
      <c r="AC96" s="764" t="s">
        <v>272</v>
      </c>
      <c r="AD96" s="765">
        <v>-53</v>
      </c>
      <c r="AE96" s="766">
        <v>-56</v>
      </c>
      <c r="AF96" s="766">
        <v>-56</v>
      </c>
      <c r="AG96" s="766">
        <v>-54</v>
      </c>
      <c r="AH96" s="766">
        <v>-54</v>
      </c>
      <c r="AI96" s="766">
        <v>-52</v>
      </c>
      <c r="AJ96" s="767">
        <v>-55</v>
      </c>
      <c r="AL96" s="764" t="s">
        <v>272</v>
      </c>
      <c r="AM96" s="765"/>
      <c r="AN96" s="766">
        <v>-29</v>
      </c>
      <c r="AO96" s="766">
        <v>-28</v>
      </c>
      <c r="AP96" s="766">
        <v>-31</v>
      </c>
      <c r="AQ96" s="766">
        <v>-32</v>
      </c>
      <c r="AR96" s="766">
        <v>-36</v>
      </c>
      <c r="AS96" s="767">
        <v>-33</v>
      </c>
      <c r="AU96" s="764" t="s">
        <v>272</v>
      </c>
      <c r="AV96" s="765">
        <v>-49</v>
      </c>
      <c r="AW96" s="766">
        <v>-49</v>
      </c>
      <c r="AX96" s="766">
        <v>-50</v>
      </c>
      <c r="AY96" s="766">
        <v>-48</v>
      </c>
      <c r="AZ96" s="766">
        <v>-48</v>
      </c>
      <c r="BA96" s="766">
        <v>-47</v>
      </c>
      <c r="BB96" s="767">
        <v>-49</v>
      </c>
    </row>
    <row r="97" spans="2:54" x14ac:dyDescent="0.25">
      <c r="B97" s="759" t="s">
        <v>278</v>
      </c>
      <c r="C97" s="765">
        <v>-35</v>
      </c>
      <c r="D97" s="766">
        <v>-39</v>
      </c>
      <c r="E97" s="766">
        <v>-39</v>
      </c>
      <c r="F97" s="766">
        <v>-42</v>
      </c>
      <c r="G97" s="766">
        <v>-43</v>
      </c>
      <c r="H97" s="766">
        <v>-46</v>
      </c>
      <c r="I97" s="767">
        <v>-42</v>
      </c>
      <c r="K97" s="759" t="s">
        <v>278</v>
      </c>
      <c r="L97" s="765">
        <v>-37</v>
      </c>
      <c r="M97" s="766">
        <v>-36</v>
      </c>
      <c r="N97" s="766">
        <v>-42</v>
      </c>
      <c r="O97" s="766">
        <v>-44</v>
      </c>
      <c r="P97" s="766">
        <v>-48</v>
      </c>
      <c r="Q97" s="766">
        <v>-48</v>
      </c>
      <c r="R97" s="767">
        <v>-47</v>
      </c>
      <c r="T97" s="763" t="s">
        <v>278</v>
      </c>
      <c r="U97" s="765">
        <v>-46</v>
      </c>
      <c r="V97" s="766">
        <v>-44</v>
      </c>
      <c r="W97" s="766">
        <v>-42</v>
      </c>
      <c r="X97" s="766">
        <v>-42</v>
      </c>
      <c r="Y97" s="766">
        <v>-40</v>
      </c>
      <c r="Z97" s="766">
        <v>-41</v>
      </c>
      <c r="AA97" s="767">
        <v>-50</v>
      </c>
      <c r="AC97" s="764" t="s">
        <v>278</v>
      </c>
      <c r="AD97" s="765">
        <v>-50</v>
      </c>
      <c r="AE97" s="766">
        <v>-53</v>
      </c>
      <c r="AF97" s="766">
        <v>-52</v>
      </c>
      <c r="AG97" s="766">
        <v>-54</v>
      </c>
      <c r="AH97" s="766">
        <v>-51</v>
      </c>
      <c r="AI97" s="766">
        <v>-53</v>
      </c>
      <c r="AJ97" s="767">
        <v>-52</v>
      </c>
      <c r="AL97" s="764" t="s">
        <v>278</v>
      </c>
      <c r="AM97" s="765" t="s">
        <v>1048</v>
      </c>
      <c r="AN97" s="766">
        <v>-25</v>
      </c>
      <c r="AO97" s="766">
        <v>-27</v>
      </c>
      <c r="AP97" s="766">
        <v>-33</v>
      </c>
      <c r="AQ97" s="766">
        <v>-29</v>
      </c>
      <c r="AR97" s="766">
        <v>-34</v>
      </c>
      <c r="AS97" s="767">
        <v>-33</v>
      </c>
      <c r="AU97" s="764" t="s">
        <v>278</v>
      </c>
      <c r="AV97" s="765">
        <v>-47</v>
      </c>
      <c r="AW97" s="766">
        <v>-44</v>
      </c>
      <c r="AX97" s="766">
        <v>-45</v>
      </c>
      <c r="AY97" s="766">
        <v>-44</v>
      </c>
      <c r="AZ97" s="766">
        <v>-44</v>
      </c>
      <c r="BA97" s="766">
        <v>-47</v>
      </c>
      <c r="BB97" s="767">
        <v>-46</v>
      </c>
    </row>
    <row r="98" spans="2:54" ht="15.75" thickBot="1" x14ac:dyDescent="0.3">
      <c r="B98" s="768" t="s">
        <v>284</v>
      </c>
      <c r="C98" s="769" t="s">
        <v>1048</v>
      </c>
      <c r="D98" s="770" t="s">
        <v>1048</v>
      </c>
      <c r="E98" s="770" t="s">
        <v>1048</v>
      </c>
      <c r="F98" s="770" t="s">
        <v>1048</v>
      </c>
      <c r="G98" s="770" t="s">
        <v>1048</v>
      </c>
      <c r="H98" s="770" t="s">
        <v>1048</v>
      </c>
      <c r="I98" s="771" t="s">
        <v>1048</v>
      </c>
      <c r="K98" s="768" t="s">
        <v>284</v>
      </c>
      <c r="L98" s="769" t="s">
        <v>1048</v>
      </c>
      <c r="M98" s="770" t="s">
        <v>1048</v>
      </c>
      <c r="N98" s="770" t="s">
        <v>1048</v>
      </c>
      <c r="O98" s="770" t="s">
        <v>1048</v>
      </c>
      <c r="P98" s="770" t="s">
        <v>1048</v>
      </c>
      <c r="Q98" s="770" t="s">
        <v>1048</v>
      </c>
      <c r="R98" s="771" t="s">
        <v>1048</v>
      </c>
      <c r="T98" s="772" t="s">
        <v>284</v>
      </c>
      <c r="U98" s="769" t="s">
        <v>1048</v>
      </c>
      <c r="V98" s="770" t="s">
        <v>1048</v>
      </c>
      <c r="W98" s="770" t="s">
        <v>1048</v>
      </c>
      <c r="X98" s="770" t="s">
        <v>1048</v>
      </c>
      <c r="Y98" s="770" t="s">
        <v>1048</v>
      </c>
      <c r="Z98" s="770" t="s">
        <v>1048</v>
      </c>
      <c r="AA98" s="771" t="s">
        <v>1048</v>
      </c>
      <c r="AC98" s="773" t="s">
        <v>284</v>
      </c>
      <c r="AD98" s="769" t="s">
        <v>1048</v>
      </c>
      <c r="AE98" s="770" t="s">
        <v>1048</v>
      </c>
      <c r="AF98" s="770" t="s">
        <v>1048</v>
      </c>
      <c r="AG98" s="770" t="s">
        <v>1048</v>
      </c>
      <c r="AH98" s="770" t="s">
        <v>1048</v>
      </c>
      <c r="AI98" s="770" t="s">
        <v>1048</v>
      </c>
      <c r="AJ98" s="771" t="s">
        <v>1048</v>
      </c>
      <c r="AL98" s="773" t="s">
        <v>284</v>
      </c>
      <c r="AM98" s="769" t="s">
        <v>1048</v>
      </c>
      <c r="AN98" s="770" t="s">
        <v>1048</v>
      </c>
      <c r="AO98" s="770" t="s">
        <v>1048</v>
      </c>
      <c r="AP98" s="770" t="s">
        <v>1048</v>
      </c>
      <c r="AQ98" s="770" t="s">
        <v>1048</v>
      </c>
      <c r="AR98" s="770" t="s">
        <v>1048</v>
      </c>
      <c r="AS98" s="771" t="s">
        <v>1048</v>
      </c>
      <c r="AU98" s="773" t="s">
        <v>284</v>
      </c>
      <c r="AV98" s="769" t="s">
        <v>1048</v>
      </c>
      <c r="AW98" s="770" t="s">
        <v>1048</v>
      </c>
      <c r="AX98" s="770" t="s">
        <v>1048</v>
      </c>
      <c r="AY98" s="770" t="s">
        <v>1048</v>
      </c>
      <c r="AZ98" s="770" t="s">
        <v>1048</v>
      </c>
      <c r="BA98" s="770" t="s">
        <v>1048</v>
      </c>
      <c r="BB98" s="771" t="s">
        <v>1048</v>
      </c>
    </row>
    <row r="99" spans="2:54" ht="15.75" thickBot="1" x14ac:dyDescent="0.3">
      <c r="B99" s="774"/>
      <c r="C99" s="775"/>
      <c r="D99" s="775"/>
      <c r="E99" s="775"/>
      <c r="F99" s="775"/>
      <c r="G99" s="775"/>
      <c r="H99" s="775"/>
      <c r="I99" s="775"/>
      <c r="K99" s="774"/>
      <c r="L99" s="775"/>
      <c r="M99" s="775"/>
      <c r="N99" s="775"/>
      <c r="O99" s="775"/>
      <c r="P99" s="775"/>
      <c r="Q99" s="775"/>
      <c r="R99" s="775"/>
      <c r="T99" s="776"/>
      <c r="U99" s="775"/>
      <c r="V99" s="775"/>
      <c r="W99" s="775"/>
      <c r="X99" s="775"/>
      <c r="Y99" s="775"/>
      <c r="Z99" s="775"/>
      <c r="AA99" s="775"/>
      <c r="AC99" s="777"/>
      <c r="AD99" s="775"/>
      <c r="AE99" s="775"/>
      <c r="AF99" s="775"/>
      <c r="AG99" s="775"/>
      <c r="AH99" s="775"/>
      <c r="AI99" s="775"/>
      <c r="AJ99" s="775"/>
      <c r="AL99" s="777"/>
      <c r="AM99" s="775"/>
      <c r="AN99" s="775"/>
      <c r="AO99" s="775"/>
      <c r="AP99" s="775"/>
      <c r="AQ99" s="775"/>
      <c r="AR99" s="775"/>
      <c r="AS99" s="775"/>
      <c r="AU99" s="777"/>
      <c r="AV99" s="775"/>
      <c r="AW99" s="775"/>
      <c r="AX99" s="775"/>
      <c r="AY99" s="775"/>
      <c r="AZ99" s="775"/>
      <c r="BA99" s="775"/>
      <c r="BB99" s="775"/>
    </row>
    <row r="100" spans="2:54" ht="15.75" thickBot="1" x14ac:dyDescent="0.3">
      <c r="B100" s="748" t="s">
        <v>1035</v>
      </c>
      <c r="C100" s="778" t="s">
        <v>187</v>
      </c>
      <c r="D100" s="778" t="s">
        <v>214</v>
      </c>
      <c r="E100" s="778" t="s">
        <v>233</v>
      </c>
      <c r="F100" s="778" t="s">
        <v>242</v>
      </c>
      <c r="G100" s="778" t="s">
        <v>250</v>
      </c>
      <c r="H100" s="778" t="s">
        <v>258</v>
      </c>
      <c r="I100" s="779" t="s">
        <v>265</v>
      </c>
      <c r="K100" s="748" t="s">
        <v>1035</v>
      </c>
      <c r="L100" s="778" t="s">
        <v>187</v>
      </c>
      <c r="M100" s="778" t="s">
        <v>214</v>
      </c>
      <c r="N100" s="778" t="s">
        <v>233</v>
      </c>
      <c r="O100" s="778" t="s">
        <v>242</v>
      </c>
      <c r="P100" s="778" t="s">
        <v>250</v>
      </c>
      <c r="Q100" s="778" t="s">
        <v>258</v>
      </c>
      <c r="R100" s="779" t="s">
        <v>265</v>
      </c>
      <c r="T100" s="751" t="s">
        <v>1035</v>
      </c>
      <c r="U100" s="778" t="s">
        <v>187</v>
      </c>
      <c r="V100" s="778" t="s">
        <v>214</v>
      </c>
      <c r="W100" s="778" t="s">
        <v>233</v>
      </c>
      <c r="X100" s="778" t="s">
        <v>242</v>
      </c>
      <c r="Y100" s="778" t="s">
        <v>250</v>
      </c>
      <c r="Z100" s="778" t="s">
        <v>258</v>
      </c>
      <c r="AA100" s="779" t="s">
        <v>265</v>
      </c>
      <c r="AC100" s="752" t="s">
        <v>1035</v>
      </c>
      <c r="AD100" s="778" t="s">
        <v>187</v>
      </c>
      <c r="AE100" s="778" t="s">
        <v>214</v>
      </c>
      <c r="AF100" s="778" t="s">
        <v>233</v>
      </c>
      <c r="AG100" s="778" t="s">
        <v>242</v>
      </c>
      <c r="AH100" s="778" t="s">
        <v>250</v>
      </c>
      <c r="AI100" s="778" t="s">
        <v>258</v>
      </c>
      <c r="AJ100" s="779" t="s">
        <v>265</v>
      </c>
      <c r="AL100" s="752" t="s">
        <v>1035</v>
      </c>
      <c r="AM100" s="778" t="s">
        <v>187</v>
      </c>
      <c r="AN100" s="778" t="s">
        <v>214</v>
      </c>
      <c r="AO100" s="778" t="s">
        <v>233</v>
      </c>
      <c r="AP100" s="778" t="s">
        <v>242</v>
      </c>
      <c r="AQ100" s="778" t="s">
        <v>250</v>
      </c>
      <c r="AR100" s="778" t="s">
        <v>258</v>
      </c>
      <c r="AS100" s="779" t="s">
        <v>265</v>
      </c>
      <c r="AU100" s="752" t="s">
        <v>1035</v>
      </c>
      <c r="AV100" s="778" t="s">
        <v>187</v>
      </c>
      <c r="AW100" s="778" t="s">
        <v>214</v>
      </c>
      <c r="AX100" s="778" t="s">
        <v>233</v>
      </c>
      <c r="AY100" s="778" t="s">
        <v>242</v>
      </c>
      <c r="AZ100" s="778" t="s">
        <v>250</v>
      </c>
      <c r="BA100" s="778" t="s">
        <v>258</v>
      </c>
      <c r="BB100" s="779" t="s">
        <v>265</v>
      </c>
    </row>
    <row r="101" spans="2:54" x14ac:dyDescent="0.25">
      <c r="B101" s="753" t="s">
        <v>186</v>
      </c>
      <c r="C101" s="754">
        <v>-20</v>
      </c>
      <c r="D101" s="755">
        <v>-18</v>
      </c>
      <c r="E101" s="755">
        <v>-18</v>
      </c>
      <c r="F101" s="755">
        <v>-15</v>
      </c>
      <c r="G101" s="755">
        <v>-18</v>
      </c>
      <c r="H101" s="755">
        <v>-18</v>
      </c>
      <c r="I101" s="756">
        <v>-20</v>
      </c>
      <c r="K101" s="753" t="s">
        <v>186</v>
      </c>
      <c r="L101" s="754">
        <v>-29</v>
      </c>
      <c r="M101" s="755">
        <v>-25</v>
      </c>
      <c r="N101" s="755">
        <v>-20</v>
      </c>
      <c r="O101" s="755">
        <v>-20</v>
      </c>
      <c r="P101" s="755">
        <v>-20</v>
      </c>
      <c r="Q101" s="755">
        <v>-19</v>
      </c>
      <c r="R101" s="756">
        <v>-18</v>
      </c>
      <c r="T101" s="757" t="s">
        <v>186</v>
      </c>
      <c r="U101" s="754">
        <v>-33</v>
      </c>
      <c r="V101" s="755">
        <v>-34</v>
      </c>
      <c r="W101" s="755">
        <v>-32</v>
      </c>
      <c r="X101" s="755">
        <v>-26</v>
      </c>
      <c r="Y101" s="755">
        <v>-25</v>
      </c>
      <c r="Z101" s="755">
        <v>-28</v>
      </c>
      <c r="AA101" s="756">
        <v>-33</v>
      </c>
      <c r="AC101" s="758" t="s">
        <v>186</v>
      </c>
      <c r="AD101" s="754">
        <v>-42</v>
      </c>
      <c r="AE101" s="755">
        <v>-42</v>
      </c>
      <c r="AF101" s="755">
        <v>-38</v>
      </c>
      <c r="AG101" s="755">
        <v>-41</v>
      </c>
      <c r="AH101" s="755">
        <v>-38</v>
      </c>
      <c r="AI101" s="755">
        <v>-39</v>
      </c>
      <c r="AJ101" s="756">
        <v>-42</v>
      </c>
      <c r="AL101" s="758" t="s">
        <v>186</v>
      </c>
      <c r="AM101" s="754"/>
      <c r="AN101" s="755"/>
      <c r="AO101" s="755">
        <v>-24</v>
      </c>
      <c r="AP101" s="755">
        <v>-23</v>
      </c>
      <c r="AQ101" s="755">
        <v>-20</v>
      </c>
      <c r="AR101" s="755">
        <v>-21</v>
      </c>
      <c r="AS101" s="756">
        <v>-22</v>
      </c>
      <c r="AU101" s="758" t="s">
        <v>186</v>
      </c>
      <c r="AV101" s="754">
        <v>-40</v>
      </c>
      <c r="AW101" s="755">
        <v>-36</v>
      </c>
      <c r="AX101" s="755">
        <v>-38</v>
      </c>
      <c r="AY101" s="755">
        <v>-36</v>
      </c>
      <c r="AZ101" s="755">
        <v>-29</v>
      </c>
      <c r="BA101" s="755">
        <v>-33</v>
      </c>
      <c r="BB101" s="756">
        <v>-44</v>
      </c>
    </row>
    <row r="102" spans="2:54" x14ac:dyDescent="0.25">
      <c r="B102" s="759" t="s">
        <v>213</v>
      </c>
      <c r="C102" s="760">
        <v>-18</v>
      </c>
      <c r="D102" s="761">
        <v>-23</v>
      </c>
      <c r="E102" s="761">
        <v>-25</v>
      </c>
      <c r="F102" s="761">
        <v>-19</v>
      </c>
      <c r="G102" s="761">
        <v>-18</v>
      </c>
      <c r="H102" s="761">
        <v>-19</v>
      </c>
      <c r="I102" s="762">
        <v>-24</v>
      </c>
      <c r="K102" s="759" t="s">
        <v>213</v>
      </c>
      <c r="L102" s="760">
        <v>-22</v>
      </c>
      <c r="M102" s="761">
        <v>-20</v>
      </c>
      <c r="N102" s="761">
        <v>-18</v>
      </c>
      <c r="O102" s="761">
        <v>-18</v>
      </c>
      <c r="P102" s="761">
        <v>-18</v>
      </c>
      <c r="Q102" s="761">
        <v>-17</v>
      </c>
      <c r="R102" s="762">
        <v>-20</v>
      </c>
      <c r="T102" s="763" t="s">
        <v>213</v>
      </c>
      <c r="U102" s="760">
        <v>-32</v>
      </c>
      <c r="V102" s="761">
        <v>-32</v>
      </c>
      <c r="W102" s="761">
        <v>-32</v>
      </c>
      <c r="X102" s="761">
        <v>-33</v>
      </c>
      <c r="Y102" s="761">
        <v>-32</v>
      </c>
      <c r="Z102" s="761">
        <v>-32</v>
      </c>
      <c r="AA102" s="762">
        <v>-34</v>
      </c>
      <c r="AC102" s="764" t="s">
        <v>213</v>
      </c>
      <c r="AD102" s="760">
        <v>-37</v>
      </c>
      <c r="AE102" s="761">
        <v>-37</v>
      </c>
      <c r="AF102" s="761">
        <v>-35</v>
      </c>
      <c r="AG102" s="761">
        <v>-39</v>
      </c>
      <c r="AH102" s="761">
        <v>-37</v>
      </c>
      <c r="AI102" s="761">
        <v>-44</v>
      </c>
      <c r="AJ102" s="762">
        <v>-41</v>
      </c>
      <c r="AL102" s="764" t="s">
        <v>213</v>
      </c>
      <c r="AM102" s="760"/>
      <c r="AN102" s="761"/>
      <c r="AO102" s="761">
        <v>-24</v>
      </c>
      <c r="AP102" s="761">
        <v>-20</v>
      </c>
      <c r="AQ102" s="761">
        <v>-20</v>
      </c>
      <c r="AR102" s="761">
        <v>-21</v>
      </c>
      <c r="AS102" s="762">
        <v>-22</v>
      </c>
      <c r="AU102" s="764" t="s">
        <v>213</v>
      </c>
      <c r="AV102" s="760">
        <v>-43</v>
      </c>
      <c r="AW102" s="761">
        <v>-39</v>
      </c>
      <c r="AX102" s="761">
        <v>-39</v>
      </c>
      <c r="AY102" s="761">
        <v>-38</v>
      </c>
      <c r="AZ102" s="761">
        <v>-40</v>
      </c>
      <c r="BA102" s="761">
        <v>-34</v>
      </c>
      <c r="BB102" s="762">
        <v>-46</v>
      </c>
    </row>
    <row r="103" spans="2:54" x14ac:dyDescent="0.25">
      <c r="B103" s="759" t="s">
        <v>232</v>
      </c>
      <c r="C103" s="765">
        <v>-15</v>
      </c>
      <c r="D103" s="766">
        <v>-17</v>
      </c>
      <c r="E103" s="766">
        <v>-25</v>
      </c>
      <c r="F103" s="766">
        <v>-22</v>
      </c>
      <c r="G103" s="766">
        <v>-16</v>
      </c>
      <c r="H103" s="766">
        <v>-22</v>
      </c>
      <c r="I103" s="767">
        <v>-25</v>
      </c>
      <c r="K103" s="759" t="s">
        <v>232</v>
      </c>
      <c r="L103" s="765">
        <v>-17</v>
      </c>
      <c r="M103" s="766">
        <v>-16</v>
      </c>
      <c r="N103" s="766">
        <v>-15</v>
      </c>
      <c r="O103" s="766">
        <v>-17</v>
      </c>
      <c r="P103" s="766">
        <v>-18</v>
      </c>
      <c r="Q103" s="766">
        <v>-15</v>
      </c>
      <c r="R103" s="767">
        <v>-16</v>
      </c>
      <c r="T103" s="763" t="s">
        <v>232</v>
      </c>
      <c r="U103" s="765">
        <v>-29</v>
      </c>
      <c r="V103" s="766">
        <v>-27</v>
      </c>
      <c r="W103" s="766">
        <v>-29</v>
      </c>
      <c r="X103" s="766">
        <v>-30</v>
      </c>
      <c r="Y103" s="766">
        <v>-33</v>
      </c>
      <c r="Z103" s="766">
        <v>-34</v>
      </c>
      <c r="AA103" s="767">
        <v>-31</v>
      </c>
      <c r="AC103" s="764" t="s">
        <v>232</v>
      </c>
      <c r="AD103" s="765">
        <v>-40</v>
      </c>
      <c r="AE103" s="766">
        <v>-37</v>
      </c>
      <c r="AF103" s="766">
        <v>-36</v>
      </c>
      <c r="AG103" s="766">
        <v>-36</v>
      </c>
      <c r="AH103" s="766">
        <v>-41</v>
      </c>
      <c r="AI103" s="766">
        <v>-42</v>
      </c>
      <c r="AJ103" s="767">
        <v>-45</v>
      </c>
      <c r="AL103" s="764" t="s">
        <v>232</v>
      </c>
      <c r="AM103" s="765"/>
      <c r="AN103" s="766"/>
      <c r="AO103" s="766">
        <v>-20</v>
      </c>
      <c r="AP103" s="766">
        <v>-19</v>
      </c>
      <c r="AQ103" s="766">
        <v>-20</v>
      </c>
      <c r="AR103" s="766">
        <v>-21</v>
      </c>
      <c r="AS103" s="767">
        <v>-23</v>
      </c>
      <c r="AU103" s="764" t="s">
        <v>232</v>
      </c>
      <c r="AV103" s="765">
        <v>-38</v>
      </c>
      <c r="AW103" s="766">
        <v>-35</v>
      </c>
      <c r="AX103" s="766">
        <v>-38</v>
      </c>
      <c r="AY103" s="766">
        <v>-36</v>
      </c>
      <c r="AZ103" s="766">
        <v>-38</v>
      </c>
      <c r="BA103" s="766">
        <v>-39</v>
      </c>
      <c r="BB103" s="767">
        <v>-44</v>
      </c>
    </row>
    <row r="104" spans="2:54" x14ac:dyDescent="0.25">
      <c r="B104" s="759" t="s">
        <v>215</v>
      </c>
      <c r="C104" s="765">
        <v>-11</v>
      </c>
      <c r="D104" s="766">
        <v>-13</v>
      </c>
      <c r="E104" s="766">
        <v>-19</v>
      </c>
      <c r="F104" s="766">
        <v>-18</v>
      </c>
      <c r="G104" s="766">
        <v>-17</v>
      </c>
      <c r="H104" s="766">
        <v>-19</v>
      </c>
      <c r="I104" s="767">
        <v>-23</v>
      </c>
      <c r="K104" s="759" t="s">
        <v>215</v>
      </c>
      <c r="L104" s="765">
        <v>-20</v>
      </c>
      <c r="M104" s="766">
        <v>-17</v>
      </c>
      <c r="N104" s="766">
        <v>-19</v>
      </c>
      <c r="O104" s="766">
        <v>-18</v>
      </c>
      <c r="P104" s="766">
        <v>-18</v>
      </c>
      <c r="Q104" s="766">
        <v>-15</v>
      </c>
      <c r="R104" s="767">
        <v>-15</v>
      </c>
      <c r="T104" s="763" t="s">
        <v>215</v>
      </c>
      <c r="U104" s="765">
        <v>-28</v>
      </c>
      <c r="V104" s="766">
        <v>-30</v>
      </c>
      <c r="W104" s="766">
        <v>-29</v>
      </c>
      <c r="X104" s="766">
        <v>-30</v>
      </c>
      <c r="Y104" s="766">
        <v>-33</v>
      </c>
      <c r="Z104" s="766">
        <v>-32</v>
      </c>
      <c r="AA104" s="767">
        <v>-38</v>
      </c>
      <c r="AC104" s="764" t="s">
        <v>215</v>
      </c>
      <c r="AD104" s="765">
        <v>-43</v>
      </c>
      <c r="AE104" s="766">
        <v>-42</v>
      </c>
      <c r="AF104" s="766">
        <v>-45</v>
      </c>
      <c r="AG104" s="766">
        <v>-44</v>
      </c>
      <c r="AH104" s="766">
        <v>-41</v>
      </c>
      <c r="AI104" s="766">
        <v>-41</v>
      </c>
      <c r="AJ104" s="767">
        <v>-45</v>
      </c>
      <c r="AL104" s="764" t="s">
        <v>215</v>
      </c>
      <c r="AM104" s="765"/>
      <c r="AN104" s="766">
        <v>-19</v>
      </c>
      <c r="AO104" s="766">
        <v>-20</v>
      </c>
      <c r="AP104" s="766">
        <v>-20</v>
      </c>
      <c r="AQ104" s="766">
        <v>-20</v>
      </c>
      <c r="AR104" s="766">
        <v>-20</v>
      </c>
      <c r="AS104" s="767">
        <v>-22</v>
      </c>
      <c r="AU104" s="764" t="s">
        <v>215</v>
      </c>
      <c r="AV104" s="765">
        <v>-30</v>
      </c>
      <c r="AW104" s="766">
        <v>-33</v>
      </c>
      <c r="AX104" s="766">
        <v>-35</v>
      </c>
      <c r="AY104" s="766">
        <v>-34</v>
      </c>
      <c r="AZ104" s="766">
        <v>-36</v>
      </c>
      <c r="BA104" s="766">
        <v>-37</v>
      </c>
      <c r="BB104" s="767">
        <v>-43</v>
      </c>
    </row>
    <row r="105" spans="2:54" x14ac:dyDescent="0.25">
      <c r="B105" s="759" t="s">
        <v>249</v>
      </c>
      <c r="C105" s="765">
        <v>-17</v>
      </c>
      <c r="D105" s="766">
        <v>-15</v>
      </c>
      <c r="E105" s="766">
        <v>-14</v>
      </c>
      <c r="F105" s="766">
        <v>-13</v>
      </c>
      <c r="G105" s="766">
        <v>-11</v>
      </c>
      <c r="H105" s="766">
        <v>-20</v>
      </c>
      <c r="I105" s="767">
        <v>-29</v>
      </c>
      <c r="K105" s="759" t="s">
        <v>249</v>
      </c>
      <c r="L105" s="765">
        <v>-19</v>
      </c>
      <c r="M105" s="766">
        <v>-18</v>
      </c>
      <c r="N105" s="766">
        <v>-17</v>
      </c>
      <c r="O105" s="766">
        <v>-20</v>
      </c>
      <c r="P105" s="766">
        <v>-23</v>
      </c>
      <c r="Q105" s="766">
        <v>-17</v>
      </c>
      <c r="R105" s="767">
        <v>-16</v>
      </c>
      <c r="T105" s="763" t="s">
        <v>249</v>
      </c>
      <c r="U105" s="765">
        <v>-26</v>
      </c>
      <c r="V105" s="766">
        <v>-30</v>
      </c>
      <c r="W105" s="766">
        <v>-32</v>
      </c>
      <c r="X105" s="766">
        <v>-30</v>
      </c>
      <c r="Y105" s="766">
        <v>-33</v>
      </c>
      <c r="Z105" s="766">
        <v>-30</v>
      </c>
      <c r="AA105" s="767">
        <v>-35</v>
      </c>
      <c r="AC105" s="764" t="s">
        <v>249</v>
      </c>
      <c r="AD105" s="765">
        <v>-38</v>
      </c>
      <c r="AE105" s="766">
        <v>-37</v>
      </c>
      <c r="AF105" s="766">
        <v>-39</v>
      </c>
      <c r="AG105" s="766">
        <v>-37</v>
      </c>
      <c r="AH105" s="766">
        <v>-42</v>
      </c>
      <c r="AI105" s="766">
        <v>-39</v>
      </c>
      <c r="AJ105" s="767">
        <v>-42</v>
      </c>
      <c r="AL105" s="764" t="s">
        <v>249</v>
      </c>
      <c r="AM105" s="765"/>
      <c r="AN105" s="766">
        <v>-22</v>
      </c>
      <c r="AO105" s="766">
        <v>-20</v>
      </c>
      <c r="AP105" s="766">
        <v>-19</v>
      </c>
      <c r="AQ105" s="766">
        <v>-19</v>
      </c>
      <c r="AR105" s="766">
        <v>-21</v>
      </c>
      <c r="AS105" s="767">
        <v>-24</v>
      </c>
      <c r="AU105" s="764" t="s">
        <v>249</v>
      </c>
      <c r="AV105" s="765">
        <v>-33</v>
      </c>
      <c r="AW105" s="766">
        <v>-31</v>
      </c>
      <c r="AX105" s="766">
        <v>-30</v>
      </c>
      <c r="AY105" s="766">
        <v>-37</v>
      </c>
      <c r="AZ105" s="766">
        <v>-41</v>
      </c>
      <c r="BA105" s="766">
        <v>-36</v>
      </c>
      <c r="BB105" s="767">
        <v>-42</v>
      </c>
    </row>
    <row r="106" spans="2:54" x14ac:dyDescent="0.25">
      <c r="B106" s="759" t="s">
        <v>257</v>
      </c>
      <c r="C106" s="765">
        <v>-16</v>
      </c>
      <c r="D106" s="766">
        <v>-14</v>
      </c>
      <c r="E106" s="766">
        <v>-18</v>
      </c>
      <c r="F106" s="766">
        <v>-17</v>
      </c>
      <c r="G106" s="766">
        <v>-16</v>
      </c>
      <c r="H106" s="766">
        <v>-21</v>
      </c>
      <c r="I106" s="767">
        <v>-25</v>
      </c>
      <c r="K106" s="759" t="s">
        <v>257</v>
      </c>
      <c r="L106" s="765">
        <v>-20</v>
      </c>
      <c r="M106" s="766">
        <v>-18</v>
      </c>
      <c r="N106" s="766">
        <v>-18</v>
      </c>
      <c r="O106" s="766">
        <v>-18</v>
      </c>
      <c r="P106" s="766">
        <v>-18</v>
      </c>
      <c r="Q106" s="766">
        <v>-19</v>
      </c>
      <c r="R106" s="767">
        <v>-17</v>
      </c>
      <c r="T106" s="763" t="s">
        <v>257</v>
      </c>
      <c r="U106" s="765">
        <v>-27</v>
      </c>
      <c r="V106" s="766">
        <v>-26</v>
      </c>
      <c r="W106" s="766">
        <v>-29</v>
      </c>
      <c r="X106" s="766">
        <v>-29</v>
      </c>
      <c r="Y106" s="766">
        <v>-27</v>
      </c>
      <c r="Z106" s="766">
        <v>-29</v>
      </c>
      <c r="AA106" s="767">
        <v>-30</v>
      </c>
      <c r="AC106" s="764" t="s">
        <v>257</v>
      </c>
      <c r="AD106" s="765">
        <v>-43</v>
      </c>
      <c r="AE106" s="766">
        <v>-42</v>
      </c>
      <c r="AF106" s="766">
        <v>-43</v>
      </c>
      <c r="AG106" s="766">
        <v>-43</v>
      </c>
      <c r="AH106" s="766">
        <v>-46</v>
      </c>
      <c r="AI106" s="766">
        <v>-42</v>
      </c>
      <c r="AJ106" s="767">
        <v>-42</v>
      </c>
      <c r="AL106" s="764" t="s">
        <v>257</v>
      </c>
      <c r="AM106" s="765"/>
      <c r="AN106" s="766">
        <v>-21</v>
      </c>
      <c r="AO106" s="766">
        <v>-20</v>
      </c>
      <c r="AP106" s="766">
        <v>-19</v>
      </c>
      <c r="AQ106" s="766">
        <v>-19</v>
      </c>
      <c r="AR106" s="766">
        <v>-21</v>
      </c>
      <c r="AS106" s="767">
        <v>-25</v>
      </c>
      <c r="AU106" s="764" t="s">
        <v>257</v>
      </c>
      <c r="AV106" s="765">
        <v>-28</v>
      </c>
      <c r="AW106" s="766">
        <v>-25</v>
      </c>
      <c r="AX106" s="766">
        <v>-26</v>
      </c>
      <c r="AY106" s="766">
        <v>-33</v>
      </c>
      <c r="AZ106" s="766">
        <v>-35</v>
      </c>
      <c r="BA106" s="766">
        <v>-35</v>
      </c>
      <c r="BB106" s="767">
        <v>-38</v>
      </c>
    </row>
    <row r="107" spans="2:54" x14ac:dyDescent="0.25">
      <c r="B107" s="759" t="s">
        <v>264</v>
      </c>
      <c r="C107" s="765">
        <v>-19</v>
      </c>
      <c r="D107" s="766">
        <v>-16</v>
      </c>
      <c r="E107" s="766">
        <v>-21</v>
      </c>
      <c r="F107" s="766">
        <v>-18</v>
      </c>
      <c r="G107" s="766">
        <v>-17</v>
      </c>
      <c r="H107" s="766">
        <v>-17</v>
      </c>
      <c r="I107" s="767">
        <v>-23</v>
      </c>
      <c r="K107" s="759" t="s">
        <v>264</v>
      </c>
      <c r="L107" s="765">
        <v>-24</v>
      </c>
      <c r="M107" s="766">
        <v>-27</v>
      </c>
      <c r="N107" s="766">
        <v>-26</v>
      </c>
      <c r="O107" s="766">
        <v>-27</v>
      </c>
      <c r="P107" s="766">
        <v>-25</v>
      </c>
      <c r="Q107" s="766">
        <v>-25</v>
      </c>
      <c r="R107" s="767">
        <v>-25</v>
      </c>
      <c r="T107" s="763" t="s">
        <v>264</v>
      </c>
      <c r="U107" s="765">
        <v>-30</v>
      </c>
      <c r="V107" s="766">
        <v>-29</v>
      </c>
      <c r="W107" s="766">
        <v>-29</v>
      </c>
      <c r="X107" s="766">
        <v>-33</v>
      </c>
      <c r="Y107" s="766">
        <v>-31</v>
      </c>
      <c r="Z107" s="766">
        <v>-28</v>
      </c>
      <c r="AA107" s="767">
        <v>-30</v>
      </c>
      <c r="AC107" s="764" t="s">
        <v>264</v>
      </c>
      <c r="AD107" s="765">
        <v>-41</v>
      </c>
      <c r="AE107" s="766">
        <v>-39</v>
      </c>
      <c r="AF107" s="766">
        <v>-38</v>
      </c>
      <c r="AG107" s="766">
        <v>-45</v>
      </c>
      <c r="AH107" s="766">
        <v>-48</v>
      </c>
      <c r="AI107" s="766">
        <v>-45</v>
      </c>
      <c r="AJ107" s="767">
        <v>-47</v>
      </c>
      <c r="AL107" s="764" t="s">
        <v>264</v>
      </c>
      <c r="AM107" s="765"/>
      <c r="AN107" s="766">
        <v>-24</v>
      </c>
      <c r="AO107" s="766">
        <v>-23</v>
      </c>
      <c r="AP107" s="766">
        <v>-22</v>
      </c>
      <c r="AQ107" s="766">
        <v>-22</v>
      </c>
      <c r="AR107" s="766">
        <v>-22</v>
      </c>
      <c r="AS107" s="767">
        <v>-22</v>
      </c>
      <c r="AU107" s="764" t="s">
        <v>264</v>
      </c>
      <c r="AV107" s="765">
        <v>-28</v>
      </c>
      <c r="AW107" s="766">
        <v>-33</v>
      </c>
      <c r="AX107" s="766">
        <v>-33</v>
      </c>
      <c r="AY107" s="766">
        <v>-32</v>
      </c>
      <c r="AZ107" s="766">
        <v>-35</v>
      </c>
      <c r="BA107" s="766">
        <v>-36</v>
      </c>
      <c r="BB107" s="767">
        <v>-40</v>
      </c>
    </row>
    <row r="108" spans="2:54" x14ac:dyDescent="0.25">
      <c r="B108" s="759" t="s">
        <v>272</v>
      </c>
      <c r="C108" s="765">
        <v>-19</v>
      </c>
      <c r="D108" s="766">
        <v>-18</v>
      </c>
      <c r="E108" s="766">
        <v>-20</v>
      </c>
      <c r="F108" s="766">
        <v>-22</v>
      </c>
      <c r="G108" s="766">
        <v>-25</v>
      </c>
      <c r="H108" s="766">
        <v>-22</v>
      </c>
      <c r="I108" s="767">
        <v>-21</v>
      </c>
      <c r="K108" s="759" t="s">
        <v>272</v>
      </c>
      <c r="L108" s="765">
        <v>-30</v>
      </c>
      <c r="M108" s="766">
        <v>-36</v>
      </c>
      <c r="N108" s="766">
        <v>-38</v>
      </c>
      <c r="O108" s="766">
        <v>-36</v>
      </c>
      <c r="P108" s="766">
        <v>-35</v>
      </c>
      <c r="Q108" s="766">
        <v>-36</v>
      </c>
      <c r="R108" s="767">
        <v>-32</v>
      </c>
      <c r="T108" s="763" t="s">
        <v>272</v>
      </c>
      <c r="U108" s="765">
        <v>-27</v>
      </c>
      <c r="V108" s="766">
        <v>-27</v>
      </c>
      <c r="W108" s="766">
        <v>-26</v>
      </c>
      <c r="X108" s="766">
        <v>-25</v>
      </c>
      <c r="Y108" s="766">
        <v>-26</v>
      </c>
      <c r="Z108" s="766">
        <v>-27</v>
      </c>
      <c r="AA108" s="767">
        <v>-27</v>
      </c>
      <c r="AC108" s="764" t="s">
        <v>272</v>
      </c>
      <c r="AD108" s="765">
        <v>-37</v>
      </c>
      <c r="AE108" s="766">
        <v>-38</v>
      </c>
      <c r="AF108" s="766">
        <v>-40</v>
      </c>
      <c r="AG108" s="766">
        <v>-41</v>
      </c>
      <c r="AH108" s="766">
        <v>-41</v>
      </c>
      <c r="AI108" s="766">
        <v>-44</v>
      </c>
      <c r="AJ108" s="767">
        <v>-41</v>
      </c>
      <c r="AL108" s="764" t="s">
        <v>272</v>
      </c>
      <c r="AM108" s="765"/>
      <c r="AN108" s="766">
        <v>-24</v>
      </c>
      <c r="AO108" s="766">
        <v>-23</v>
      </c>
      <c r="AP108" s="766">
        <v>-23</v>
      </c>
      <c r="AQ108" s="766">
        <v>-26</v>
      </c>
      <c r="AR108" s="766">
        <v>-24</v>
      </c>
      <c r="AS108" s="767">
        <v>-23</v>
      </c>
      <c r="AU108" s="764" t="s">
        <v>272</v>
      </c>
      <c r="AV108" s="765">
        <v>-28</v>
      </c>
      <c r="AW108" s="766">
        <v>-27</v>
      </c>
      <c r="AX108" s="766">
        <v>-29</v>
      </c>
      <c r="AY108" s="766">
        <v>-29</v>
      </c>
      <c r="AZ108" s="766">
        <v>-33</v>
      </c>
      <c r="BA108" s="766">
        <v>-41</v>
      </c>
      <c r="BB108" s="767">
        <v>-39</v>
      </c>
    </row>
    <row r="109" spans="2:54" x14ac:dyDescent="0.25">
      <c r="B109" s="759" t="s">
        <v>278</v>
      </c>
      <c r="C109" s="765">
        <v>-23</v>
      </c>
      <c r="D109" s="766">
        <v>-20</v>
      </c>
      <c r="E109" s="766">
        <v>-20</v>
      </c>
      <c r="F109" s="766">
        <v>-20</v>
      </c>
      <c r="G109" s="766">
        <v>-20</v>
      </c>
      <c r="H109" s="766">
        <v>-24</v>
      </c>
      <c r="I109" s="767">
        <v>-24</v>
      </c>
      <c r="K109" s="759" t="s">
        <v>278</v>
      </c>
      <c r="L109" s="765">
        <v>-25</v>
      </c>
      <c r="M109" s="766">
        <v>-30</v>
      </c>
      <c r="N109" s="766">
        <v>-31</v>
      </c>
      <c r="O109" s="766">
        <v>-36</v>
      </c>
      <c r="P109" s="766">
        <v>-33</v>
      </c>
      <c r="Q109" s="766">
        <v>-41</v>
      </c>
      <c r="R109" s="767">
        <v>-42</v>
      </c>
      <c r="T109" s="763" t="s">
        <v>278</v>
      </c>
      <c r="U109" s="765">
        <v>-27</v>
      </c>
      <c r="V109" s="766">
        <v>-28</v>
      </c>
      <c r="W109" s="766">
        <v>-31</v>
      </c>
      <c r="X109" s="766">
        <v>-31</v>
      </c>
      <c r="Y109" s="766">
        <v>-31</v>
      </c>
      <c r="Z109" s="766">
        <v>-34</v>
      </c>
      <c r="AA109" s="767">
        <v>-31</v>
      </c>
      <c r="AC109" s="764" t="s">
        <v>278</v>
      </c>
      <c r="AD109" s="765">
        <v>-40</v>
      </c>
      <c r="AE109" s="766">
        <v>-38</v>
      </c>
      <c r="AF109" s="766">
        <v>-37</v>
      </c>
      <c r="AG109" s="766">
        <v>-36</v>
      </c>
      <c r="AH109" s="766">
        <v>-39</v>
      </c>
      <c r="AI109" s="766">
        <v>-46</v>
      </c>
      <c r="AJ109" s="767">
        <v>-47</v>
      </c>
      <c r="AL109" s="764" t="s">
        <v>278</v>
      </c>
      <c r="AM109" s="765"/>
      <c r="AN109" s="766">
        <v>-24</v>
      </c>
      <c r="AO109" s="766">
        <v>-23</v>
      </c>
      <c r="AP109" s="766">
        <v>-24</v>
      </c>
      <c r="AQ109" s="766">
        <v>-26</v>
      </c>
      <c r="AR109" s="766">
        <v>-29</v>
      </c>
      <c r="AS109" s="767">
        <v>-27</v>
      </c>
      <c r="AU109" s="764" t="s">
        <v>278</v>
      </c>
      <c r="AV109" s="765">
        <v>-27</v>
      </c>
      <c r="AW109" s="766">
        <v>-28</v>
      </c>
      <c r="AX109" s="766">
        <v>-27</v>
      </c>
      <c r="AY109" s="766">
        <v>-29</v>
      </c>
      <c r="AZ109" s="766">
        <v>-32</v>
      </c>
      <c r="BA109" s="766">
        <v>-33</v>
      </c>
      <c r="BB109" s="767">
        <v>-30</v>
      </c>
    </row>
    <row r="110" spans="2:54" ht="15.75" thickBot="1" x14ac:dyDescent="0.3">
      <c r="B110" s="768" t="s">
        <v>284</v>
      </c>
      <c r="C110" s="769" t="s">
        <v>1048</v>
      </c>
      <c r="D110" s="770" t="s">
        <v>1048</v>
      </c>
      <c r="E110" s="770" t="s">
        <v>1048</v>
      </c>
      <c r="F110" s="770" t="s">
        <v>1048</v>
      </c>
      <c r="G110" s="770" t="s">
        <v>1048</v>
      </c>
      <c r="H110" s="770" t="s">
        <v>1048</v>
      </c>
      <c r="I110" s="771" t="s">
        <v>1048</v>
      </c>
      <c r="K110" s="768" t="s">
        <v>284</v>
      </c>
      <c r="L110" s="769" t="s">
        <v>1048</v>
      </c>
      <c r="M110" s="770" t="s">
        <v>1048</v>
      </c>
      <c r="N110" s="770" t="s">
        <v>1048</v>
      </c>
      <c r="O110" s="770" t="s">
        <v>1048</v>
      </c>
      <c r="P110" s="770" t="s">
        <v>1048</v>
      </c>
      <c r="Q110" s="770" t="s">
        <v>1048</v>
      </c>
      <c r="R110" s="771" t="s">
        <v>1048</v>
      </c>
      <c r="T110" s="772" t="s">
        <v>284</v>
      </c>
      <c r="U110" s="769" t="s">
        <v>1048</v>
      </c>
      <c r="V110" s="770" t="s">
        <v>1048</v>
      </c>
      <c r="W110" s="770" t="s">
        <v>1048</v>
      </c>
      <c r="X110" s="770" t="s">
        <v>1048</v>
      </c>
      <c r="Y110" s="770" t="s">
        <v>1048</v>
      </c>
      <c r="Z110" s="770" t="s">
        <v>1048</v>
      </c>
      <c r="AA110" s="771" t="s">
        <v>1048</v>
      </c>
      <c r="AC110" s="773" t="s">
        <v>284</v>
      </c>
      <c r="AD110" s="769" t="s">
        <v>1048</v>
      </c>
      <c r="AE110" s="770" t="s">
        <v>1048</v>
      </c>
      <c r="AF110" s="770" t="s">
        <v>1048</v>
      </c>
      <c r="AG110" s="770" t="s">
        <v>1048</v>
      </c>
      <c r="AH110" s="770" t="s">
        <v>1048</v>
      </c>
      <c r="AI110" s="770" t="s">
        <v>1048</v>
      </c>
      <c r="AJ110" s="771" t="s">
        <v>1048</v>
      </c>
      <c r="AL110" s="773" t="s">
        <v>284</v>
      </c>
      <c r="AM110" s="769" t="s">
        <v>1048</v>
      </c>
      <c r="AN110" s="770" t="s">
        <v>1048</v>
      </c>
      <c r="AO110" s="770" t="s">
        <v>1048</v>
      </c>
      <c r="AP110" s="770" t="s">
        <v>1048</v>
      </c>
      <c r="AQ110" s="770" t="s">
        <v>1048</v>
      </c>
      <c r="AR110" s="770" t="s">
        <v>1048</v>
      </c>
      <c r="AS110" s="771" t="s">
        <v>1048</v>
      </c>
      <c r="AU110" s="773" t="s">
        <v>284</v>
      </c>
      <c r="AV110" s="769" t="s">
        <v>1048</v>
      </c>
      <c r="AW110" s="770" t="s">
        <v>1048</v>
      </c>
      <c r="AX110" s="770" t="s">
        <v>1048</v>
      </c>
      <c r="AY110" s="770" t="s">
        <v>1048</v>
      </c>
      <c r="AZ110" s="770" t="s">
        <v>1048</v>
      </c>
      <c r="BA110" s="770" t="s">
        <v>1048</v>
      </c>
      <c r="BB110" s="771" t="s">
        <v>1048</v>
      </c>
    </row>
    <row r="111" spans="2:54" ht="15.75" thickBot="1" x14ac:dyDescent="0.3">
      <c r="B111" s="774"/>
      <c r="C111" s="775"/>
      <c r="D111" s="775"/>
      <c r="E111" s="775"/>
      <c r="F111" s="775"/>
      <c r="G111" s="775"/>
      <c r="H111" s="775"/>
      <c r="I111" s="775"/>
      <c r="K111" s="774"/>
      <c r="L111" s="775"/>
      <c r="M111" s="775"/>
      <c r="N111" s="775"/>
      <c r="O111" s="775"/>
      <c r="P111" s="775"/>
      <c r="Q111" s="775"/>
      <c r="R111" s="775"/>
      <c r="T111" s="776"/>
      <c r="U111" s="775"/>
      <c r="V111" s="775"/>
      <c r="W111" s="775"/>
      <c r="X111" s="775"/>
      <c r="Y111" s="775"/>
      <c r="Z111" s="775"/>
      <c r="AA111" s="775"/>
      <c r="AC111" s="777"/>
      <c r="AD111" s="775"/>
      <c r="AE111" s="775"/>
      <c r="AF111" s="775"/>
      <c r="AG111" s="775"/>
      <c r="AH111" s="775"/>
      <c r="AI111" s="775"/>
      <c r="AJ111" s="775"/>
      <c r="AL111" s="777"/>
      <c r="AM111" s="775"/>
      <c r="AN111" s="775"/>
      <c r="AO111" s="775"/>
      <c r="AP111" s="775"/>
      <c r="AQ111" s="775"/>
      <c r="AR111" s="775"/>
      <c r="AS111" s="775"/>
      <c r="AU111" s="777"/>
      <c r="AV111" s="775"/>
      <c r="AW111" s="775"/>
      <c r="AX111" s="775"/>
      <c r="AY111" s="775"/>
      <c r="AZ111" s="775"/>
      <c r="BA111" s="775"/>
      <c r="BB111" s="775"/>
    </row>
    <row r="112" spans="2:54" ht="15.75" thickBot="1" x14ac:dyDescent="0.3">
      <c r="B112" s="748" t="s">
        <v>1036</v>
      </c>
      <c r="C112" s="778" t="s">
        <v>187</v>
      </c>
      <c r="D112" s="778" t="s">
        <v>214</v>
      </c>
      <c r="E112" s="778" t="s">
        <v>233</v>
      </c>
      <c r="F112" s="778" t="s">
        <v>242</v>
      </c>
      <c r="G112" s="778" t="s">
        <v>250</v>
      </c>
      <c r="H112" s="778" t="s">
        <v>258</v>
      </c>
      <c r="I112" s="779" t="s">
        <v>265</v>
      </c>
      <c r="K112" s="748" t="s">
        <v>1036</v>
      </c>
      <c r="L112" s="778" t="s">
        <v>187</v>
      </c>
      <c r="M112" s="778" t="s">
        <v>214</v>
      </c>
      <c r="N112" s="778" t="s">
        <v>233</v>
      </c>
      <c r="O112" s="778" t="s">
        <v>242</v>
      </c>
      <c r="P112" s="778" t="s">
        <v>250</v>
      </c>
      <c r="Q112" s="778" t="s">
        <v>258</v>
      </c>
      <c r="R112" s="779" t="s">
        <v>265</v>
      </c>
      <c r="T112" s="751" t="s">
        <v>1036</v>
      </c>
      <c r="U112" s="778" t="s">
        <v>187</v>
      </c>
      <c r="V112" s="778" t="s">
        <v>214</v>
      </c>
      <c r="W112" s="778" t="s">
        <v>233</v>
      </c>
      <c r="X112" s="778" t="s">
        <v>242</v>
      </c>
      <c r="Y112" s="778" t="s">
        <v>250</v>
      </c>
      <c r="Z112" s="778" t="s">
        <v>258</v>
      </c>
      <c r="AA112" s="779" t="s">
        <v>265</v>
      </c>
      <c r="AC112" s="752" t="s">
        <v>1036</v>
      </c>
      <c r="AD112" s="778" t="s">
        <v>187</v>
      </c>
      <c r="AE112" s="778" t="s">
        <v>214</v>
      </c>
      <c r="AF112" s="778" t="s">
        <v>233</v>
      </c>
      <c r="AG112" s="778" t="s">
        <v>242</v>
      </c>
      <c r="AH112" s="778" t="s">
        <v>250</v>
      </c>
      <c r="AI112" s="778" t="s">
        <v>258</v>
      </c>
      <c r="AJ112" s="779" t="s">
        <v>265</v>
      </c>
      <c r="AL112" s="752" t="s">
        <v>1036</v>
      </c>
      <c r="AM112" s="778" t="s">
        <v>187</v>
      </c>
      <c r="AN112" s="778" t="s">
        <v>214</v>
      </c>
      <c r="AO112" s="778" t="s">
        <v>233</v>
      </c>
      <c r="AP112" s="778" t="s">
        <v>242</v>
      </c>
      <c r="AQ112" s="778" t="s">
        <v>250</v>
      </c>
      <c r="AR112" s="778" t="s">
        <v>258</v>
      </c>
      <c r="AS112" s="779" t="s">
        <v>265</v>
      </c>
      <c r="AU112" s="752" t="s">
        <v>1036</v>
      </c>
      <c r="AV112" s="778" t="s">
        <v>187</v>
      </c>
      <c r="AW112" s="778" t="s">
        <v>214</v>
      </c>
      <c r="AX112" s="778" t="s">
        <v>233</v>
      </c>
      <c r="AY112" s="778" t="s">
        <v>242</v>
      </c>
      <c r="AZ112" s="778" t="s">
        <v>250</v>
      </c>
      <c r="BA112" s="778" t="s">
        <v>258</v>
      </c>
      <c r="BB112" s="779" t="s">
        <v>265</v>
      </c>
    </row>
    <row r="113" spans="2:54" x14ac:dyDescent="0.25">
      <c r="B113" s="753" t="s">
        <v>186</v>
      </c>
      <c r="C113" s="754">
        <v>-17</v>
      </c>
      <c r="D113" s="755">
        <v>-15</v>
      </c>
      <c r="E113" s="755">
        <v>-13</v>
      </c>
      <c r="F113" s="755">
        <v>-12</v>
      </c>
      <c r="G113" s="755">
        <v>-15</v>
      </c>
      <c r="H113" s="755">
        <v>-16</v>
      </c>
      <c r="I113" s="756">
        <v>-19</v>
      </c>
      <c r="K113" s="753" t="s">
        <v>186</v>
      </c>
      <c r="L113" s="754">
        <v>-17</v>
      </c>
      <c r="M113" s="755">
        <v>-15</v>
      </c>
      <c r="N113" s="755">
        <v>-13</v>
      </c>
      <c r="O113" s="755">
        <v>-12</v>
      </c>
      <c r="P113" s="755">
        <v>-12</v>
      </c>
      <c r="Q113" s="755">
        <v>-13</v>
      </c>
      <c r="R113" s="756">
        <v>-15</v>
      </c>
      <c r="T113" s="757" t="s">
        <v>186</v>
      </c>
      <c r="U113" s="754">
        <v>-25</v>
      </c>
      <c r="V113" s="755">
        <v>-24</v>
      </c>
      <c r="W113" s="755">
        <v>-23</v>
      </c>
      <c r="X113" s="755">
        <v>-20</v>
      </c>
      <c r="Y113" s="755">
        <v>-21</v>
      </c>
      <c r="Z113" s="755">
        <v>-21</v>
      </c>
      <c r="AA113" s="756">
        <v>-21</v>
      </c>
      <c r="AC113" s="758" t="s">
        <v>186</v>
      </c>
      <c r="AD113" s="754">
        <v>-29</v>
      </c>
      <c r="AE113" s="755">
        <v>-26</v>
      </c>
      <c r="AF113" s="755">
        <v>-30</v>
      </c>
      <c r="AG113" s="755">
        <v>-27</v>
      </c>
      <c r="AH113" s="755">
        <v>-25</v>
      </c>
      <c r="AI113" s="755">
        <v>-30</v>
      </c>
      <c r="AJ113" s="756">
        <v>-26</v>
      </c>
      <c r="AL113" s="758" t="s">
        <v>186</v>
      </c>
      <c r="AM113" s="754"/>
      <c r="AN113" s="755"/>
      <c r="AO113" s="755">
        <v>-20</v>
      </c>
      <c r="AP113" s="755">
        <v>-19</v>
      </c>
      <c r="AQ113" s="755">
        <v>-17</v>
      </c>
      <c r="AR113" s="755">
        <v>-17</v>
      </c>
      <c r="AS113" s="756">
        <v>-20</v>
      </c>
      <c r="AU113" s="758" t="s">
        <v>186</v>
      </c>
      <c r="AV113" s="754">
        <v>-30</v>
      </c>
      <c r="AW113" s="755">
        <v>-27</v>
      </c>
      <c r="AX113" s="755">
        <v>-25</v>
      </c>
      <c r="AY113" s="755">
        <v>-23</v>
      </c>
      <c r="AZ113" s="755">
        <v>-22</v>
      </c>
      <c r="BA113" s="755">
        <v>-23</v>
      </c>
      <c r="BB113" s="756">
        <v>-23</v>
      </c>
    </row>
    <row r="114" spans="2:54" x14ac:dyDescent="0.25">
      <c r="B114" s="759" t="s">
        <v>213</v>
      </c>
      <c r="C114" s="760">
        <v>-12</v>
      </c>
      <c r="D114" s="761">
        <v>-12</v>
      </c>
      <c r="E114" s="761">
        <v>-14</v>
      </c>
      <c r="F114" s="761">
        <v>-15</v>
      </c>
      <c r="G114" s="761">
        <v>-12</v>
      </c>
      <c r="H114" s="761">
        <v>-13</v>
      </c>
      <c r="I114" s="762">
        <v>-17</v>
      </c>
      <c r="K114" s="759" t="s">
        <v>213</v>
      </c>
      <c r="L114" s="760">
        <v>-15</v>
      </c>
      <c r="M114" s="761">
        <v>-14</v>
      </c>
      <c r="N114" s="761">
        <v>-15</v>
      </c>
      <c r="O114" s="761">
        <v>-16</v>
      </c>
      <c r="P114" s="761">
        <v>-17</v>
      </c>
      <c r="Q114" s="761">
        <v>-11</v>
      </c>
      <c r="R114" s="762">
        <v>-14</v>
      </c>
      <c r="T114" s="763" t="s">
        <v>213</v>
      </c>
      <c r="U114" s="760">
        <v>-22</v>
      </c>
      <c r="V114" s="761">
        <v>-19</v>
      </c>
      <c r="W114" s="761">
        <v>-18</v>
      </c>
      <c r="X114" s="761">
        <v>-18</v>
      </c>
      <c r="Y114" s="761">
        <v>-20</v>
      </c>
      <c r="Z114" s="761">
        <v>-22</v>
      </c>
      <c r="AA114" s="762">
        <v>-22</v>
      </c>
      <c r="AC114" s="764" t="s">
        <v>213</v>
      </c>
      <c r="AD114" s="760">
        <v>-30</v>
      </c>
      <c r="AE114" s="761">
        <v>-28</v>
      </c>
      <c r="AF114" s="761">
        <v>-30</v>
      </c>
      <c r="AG114" s="761">
        <v>-28</v>
      </c>
      <c r="AH114" s="761">
        <v>-26</v>
      </c>
      <c r="AI114" s="761">
        <v>-30</v>
      </c>
      <c r="AJ114" s="762">
        <v>-30</v>
      </c>
      <c r="AL114" s="764" t="s">
        <v>213</v>
      </c>
      <c r="AM114" s="760"/>
      <c r="AN114" s="761"/>
      <c r="AO114" s="761">
        <v>-16</v>
      </c>
      <c r="AP114" s="761">
        <v>-16</v>
      </c>
      <c r="AQ114" s="761">
        <v>-16</v>
      </c>
      <c r="AR114" s="761">
        <v>-17</v>
      </c>
      <c r="AS114" s="762">
        <v>-18</v>
      </c>
      <c r="AU114" s="764" t="s">
        <v>213</v>
      </c>
      <c r="AV114" s="760">
        <v>-24</v>
      </c>
      <c r="AW114" s="761">
        <v>-24</v>
      </c>
      <c r="AX114" s="761">
        <v>-24</v>
      </c>
      <c r="AY114" s="761">
        <v>-25</v>
      </c>
      <c r="AZ114" s="761">
        <v>-27</v>
      </c>
      <c r="BA114" s="761">
        <v>-25</v>
      </c>
      <c r="BB114" s="762">
        <v>-28</v>
      </c>
    </row>
    <row r="115" spans="2:54" x14ac:dyDescent="0.25">
      <c r="B115" s="759" t="s">
        <v>232</v>
      </c>
      <c r="C115" s="765">
        <v>-13</v>
      </c>
      <c r="D115" s="766">
        <v>-10</v>
      </c>
      <c r="E115" s="766">
        <v>-10</v>
      </c>
      <c r="F115" s="766">
        <v>-11</v>
      </c>
      <c r="G115" s="766">
        <v>-10</v>
      </c>
      <c r="H115" s="766">
        <v>-14</v>
      </c>
      <c r="I115" s="767">
        <v>-19</v>
      </c>
      <c r="K115" s="759" t="s">
        <v>232</v>
      </c>
      <c r="L115" s="765">
        <v>-13</v>
      </c>
      <c r="M115" s="766">
        <v>-12</v>
      </c>
      <c r="N115" s="766">
        <v>-9</v>
      </c>
      <c r="O115" s="766">
        <v>-12</v>
      </c>
      <c r="P115" s="766">
        <v>-14</v>
      </c>
      <c r="Q115" s="766">
        <v>-12</v>
      </c>
      <c r="R115" s="767">
        <v>-11</v>
      </c>
      <c r="T115" s="763" t="s">
        <v>232</v>
      </c>
      <c r="U115" s="765">
        <v>-23</v>
      </c>
      <c r="V115" s="766">
        <v>-22</v>
      </c>
      <c r="W115" s="766">
        <v>-23</v>
      </c>
      <c r="X115" s="766">
        <v>-22</v>
      </c>
      <c r="Y115" s="766">
        <v>-20</v>
      </c>
      <c r="Z115" s="766">
        <v>-21</v>
      </c>
      <c r="AA115" s="767">
        <v>-20</v>
      </c>
      <c r="AC115" s="764" t="s">
        <v>232</v>
      </c>
      <c r="AD115" s="765">
        <v>-29</v>
      </c>
      <c r="AE115" s="766">
        <v>-28</v>
      </c>
      <c r="AF115" s="766">
        <v>-29</v>
      </c>
      <c r="AG115" s="766">
        <v>-26</v>
      </c>
      <c r="AH115" s="766">
        <v>-30</v>
      </c>
      <c r="AI115" s="766">
        <v>-28</v>
      </c>
      <c r="AJ115" s="767">
        <v>-28</v>
      </c>
      <c r="AL115" s="764" t="s">
        <v>232</v>
      </c>
      <c r="AM115" s="765"/>
      <c r="AN115" s="766"/>
      <c r="AO115" s="766">
        <v>-16</v>
      </c>
      <c r="AP115" s="766">
        <v>-15</v>
      </c>
      <c r="AQ115" s="766">
        <v>-16</v>
      </c>
      <c r="AR115" s="766">
        <v>-17</v>
      </c>
      <c r="AS115" s="767">
        <v>-19</v>
      </c>
      <c r="AU115" s="764" t="s">
        <v>232</v>
      </c>
      <c r="AV115" s="765">
        <v>-29</v>
      </c>
      <c r="AW115" s="766">
        <v>-25</v>
      </c>
      <c r="AX115" s="766">
        <v>-25</v>
      </c>
      <c r="AY115" s="766">
        <v>-29</v>
      </c>
      <c r="AZ115" s="766">
        <v>-25</v>
      </c>
      <c r="BA115" s="766">
        <v>-25</v>
      </c>
      <c r="BB115" s="767">
        <v>-25</v>
      </c>
    </row>
    <row r="116" spans="2:54" x14ac:dyDescent="0.25">
      <c r="B116" s="759" t="s">
        <v>215</v>
      </c>
      <c r="C116" s="765">
        <v>-10</v>
      </c>
      <c r="D116" s="766">
        <v>-9</v>
      </c>
      <c r="E116" s="766">
        <v>-9</v>
      </c>
      <c r="F116" s="766">
        <v>-10</v>
      </c>
      <c r="G116" s="766">
        <v>-9</v>
      </c>
      <c r="H116" s="766">
        <v>-13</v>
      </c>
      <c r="I116" s="767">
        <v>-17</v>
      </c>
      <c r="K116" s="759" t="s">
        <v>215</v>
      </c>
      <c r="L116" s="765">
        <v>-12</v>
      </c>
      <c r="M116" s="766">
        <v>-10</v>
      </c>
      <c r="N116" s="766">
        <v>-9</v>
      </c>
      <c r="O116" s="766">
        <v>-10</v>
      </c>
      <c r="P116" s="766">
        <v>-12</v>
      </c>
      <c r="Q116" s="766">
        <v>-10</v>
      </c>
      <c r="R116" s="767">
        <v>-14</v>
      </c>
      <c r="T116" s="763" t="s">
        <v>215</v>
      </c>
      <c r="U116" s="765">
        <v>-21</v>
      </c>
      <c r="V116" s="766">
        <v>-20</v>
      </c>
      <c r="W116" s="766">
        <v>-21</v>
      </c>
      <c r="X116" s="766">
        <v>-19</v>
      </c>
      <c r="Y116" s="766">
        <v>-22</v>
      </c>
      <c r="Z116" s="766">
        <v>-21</v>
      </c>
      <c r="AA116" s="767">
        <v>-22</v>
      </c>
      <c r="AC116" s="764" t="s">
        <v>215</v>
      </c>
      <c r="AD116" s="765">
        <v>-30</v>
      </c>
      <c r="AE116" s="766">
        <v>-29</v>
      </c>
      <c r="AF116" s="766">
        <v>-30</v>
      </c>
      <c r="AG116" s="766">
        <v>-28</v>
      </c>
      <c r="AH116" s="766">
        <v>-29</v>
      </c>
      <c r="AI116" s="766">
        <v>-29</v>
      </c>
      <c r="AJ116" s="767">
        <v>-29</v>
      </c>
      <c r="AL116" s="764" t="s">
        <v>215</v>
      </c>
      <c r="AM116" s="765"/>
      <c r="AN116" s="766">
        <v>-17</v>
      </c>
      <c r="AO116" s="766">
        <v>-17</v>
      </c>
      <c r="AP116" s="766">
        <v>-17</v>
      </c>
      <c r="AQ116" s="766">
        <v>-16</v>
      </c>
      <c r="AR116" s="766">
        <v>-16</v>
      </c>
      <c r="AS116" s="767">
        <v>-17</v>
      </c>
      <c r="AU116" s="764" t="s">
        <v>215</v>
      </c>
      <c r="AV116" s="765">
        <v>-23</v>
      </c>
      <c r="AW116" s="766">
        <v>-27</v>
      </c>
      <c r="AX116" s="766">
        <v>-25</v>
      </c>
      <c r="AY116" s="766">
        <v>-25</v>
      </c>
      <c r="AZ116" s="766">
        <v>-28</v>
      </c>
      <c r="BA116" s="766">
        <v>-26</v>
      </c>
      <c r="BB116" s="767">
        <v>-30</v>
      </c>
    </row>
    <row r="117" spans="2:54" x14ac:dyDescent="0.25">
      <c r="B117" s="759" t="s">
        <v>249</v>
      </c>
      <c r="C117" s="765">
        <v>-10</v>
      </c>
      <c r="D117" s="766">
        <v>-11</v>
      </c>
      <c r="E117" s="766">
        <v>-10</v>
      </c>
      <c r="F117" s="766">
        <v>-10</v>
      </c>
      <c r="G117" s="766">
        <v>-9</v>
      </c>
      <c r="H117" s="766">
        <v>-11</v>
      </c>
      <c r="I117" s="767">
        <v>-13</v>
      </c>
      <c r="K117" s="759" t="s">
        <v>249</v>
      </c>
      <c r="L117" s="765">
        <v>-12</v>
      </c>
      <c r="M117" s="766">
        <v>-10</v>
      </c>
      <c r="N117" s="766">
        <v>-8</v>
      </c>
      <c r="O117" s="766">
        <v>-8</v>
      </c>
      <c r="P117" s="766">
        <v>-8</v>
      </c>
      <c r="Q117" s="766">
        <v>-10</v>
      </c>
      <c r="R117" s="767">
        <v>-9</v>
      </c>
      <c r="T117" s="763" t="s">
        <v>249</v>
      </c>
      <c r="U117" s="765">
        <v>-22</v>
      </c>
      <c r="V117" s="766">
        <v>-20</v>
      </c>
      <c r="W117" s="766">
        <v>-18</v>
      </c>
      <c r="X117" s="766">
        <v>-17</v>
      </c>
      <c r="Y117" s="766">
        <v>-18</v>
      </c>
      <c r="Z117" s="766">
        <v>-24</v>
      </c>
      <c r="AA117" s="767">
        <v>-25</v>
      </c>
      <c r="AC117" s="764" t="s">
        <v>249</v>
      </c>
      <c r="AD117" s="765">
        <v>-29</v>
      </c>
      <c r="AE117" s="766">
        <v>-27</v>
      </c>
      <c r="AF117" s="766">
        <v>-26</v>
      </c>
      <c r="AG117" s="766">
        <v>-24</v>
      </c>
      <c r="AH117" s="766">
        <v>-26</v>
      </c>
      <c r="AI117" s="766">
        <v>-30</v>
      </c>
      <c r="AJ117" s="767">
        <v>-28</v>
      </c>
      <c r="AL117" s="764" t="s">
        <v>249</v>
      </c>
      <c r="AM117" s="765"/>
      <c r="AN117" s="766">
        <v>-18</v>
      </c>
      <c r="AO117" s="766">
        <v>-16</v>
      </c>
      <c r="AP117" s="766">
        <v>-15</v>
      </c>
      <c r="AQ117" s="766">
        <v>-18</v>
      </c>
      <c r="AR117" s="766">
        <v>-19</v>
      </c>
      <c r="AS117" s="767">
        <v>-20</v>
      </c>
      <c r="AU117" s="764" t="s">
        <v>249</v>
      </c>
      <c r="AV117" s="765">
        <v>-23</v>
      </c>
      <c r="AW117" s="766">
        <v>-22</v>
      </c>
      <c r="AX117" s="766">
        <v>-21</v>
      </c>
      <c r="AY117" s="766">
        <v>-23</v>
      </c>
      <c r="AZ117" s="766">
        <v>-25</v>
      </c>
      <c r="BA117" s="766">
        <v>-24</v>
      </c>
      <c r="BB117" s="767">
        <v>-27</v>
      </c>
    </row>
    <row r="118" spans="2:54" x14ac:dyDescent="0.25">
      <c r="B118" s="759" t="s">
        <v>257</v>
      </c>
      <c r="C118" s="765">
        <v>-12</v>
      </c>
      <c r="D118" s="766">
        <v>-10</v>
      </c>
      <c r="E118" s="766">
        <v>-8</v>
      </c>
      <c r="F118" s="766">
        <v>-8</v>
      </c>
      <c r="G118" s="766">
        <v>-7</v>
      </c>
      <c r="H118" s="766">
        <v>-9</v>
      </c>
      <c r="I118" s="767">
        <v>-11</v>
      </c>
      <c r="K118" s="759" t="s">
        <v>257</v>
      </c>
      <c r="L118" s="765">
        <v>-12</v>
      </c>
      <c r="M118" s="766">
        <v>-12</v>
      </c>
      <c r="N118" s="766">
        <v>-12</v>
      </c>
      <c r="O118" s="766">
        <v>-12</v>
      </c>
      <c r="P118" s="766">
        <v>-9</v>
      </c>
      <c r="Q118" s="766">
        <v>-11</v>
      </c>
      <c r="R118" s="767">
        <v>-9</v>
      </c>
      <c r="T118" s="763" t="s">
        <v>257</v>
      </c>
      <c r="U118" s="765">
        <v>-20</v>
      </c>
      <c r="V118" s="766">
        <v>-21</v>
      </c>
      <c r="W118" s="766">
        <v>-19</v>
      </c>
      <c r="X118" s="766">
        <v>-18</v>
      </c>
      <c r="Y118" s="766">
        <v>-18</v>
      </c>
      <c r="Z118" s="766">
        <v>-22</v>
      </c>
      <c r="AA118" s="767">
        <v>-21</v>
      </c>
      <c r="AC118" s="764" t="s">
        <v>257</v>
      </c>
      <c r="AD118" s="765">
        <v>-31</v>
      </c>
      <c r="AE118" s="766">
        <v>-30</v>
      </c>
      <c r="AF118" s="766">
        <v>-31</v>
      </c>
      <c r="AG118" s="766">
        <v>-31</v>
      </c>
      <c r="AH118" s="766">
        <v>-29</v>
      </c>
      <c r="AI118" s="766">
        <v>-32</v>
      </c>
      <c r="AJ118" s="767">
        <v>-35</v>
      </c>
      <c r="AL118" s="764" t="s">
        <v>257</v>
      </c>
      <c r="AM118" s="765"/>
      <c r="AN118" s="766">
        <v>-17</v>
      </c>
      <c r="AO118" s="766">
        <v>-15</v>
      </c>
      <c r="AP118" s="766">
        <v>-14</v>
      </c>
      <c r="AQ118" s="766">
        <v>-14</v>
      </c>
      <c r="AR118" s="766">
        <v>-18</v>
      </c>
      <c r="AS118" s="767">
        <v>-19</v>
      </c>
      <c r="AU118" s="764" t="s">
        <v>257</v>
      </c>
      <c r="AV118" s="765">
        <v>-23</v>
      </c>
      <c r="AW118" s="766">
        <v>-22</v>
      </c>
      <c r="AX118" s="766">
        <v>-22</v>
      </c>
      <c r="AY118" s="766">
        <v>-22</v>
      </c>
      <c r="AZ118" s="766">
        <v>-25</v>
      </c>
      <c r="BA118" s="766">
        <v>-27</v>
      </c>
      <c r="BB118" s="767">
        <v>-24</v>
      </c>
    </row>
    <row r="119" spans="2:54" x14ac:dyDescent="0.25">
      <c r="B119" s="759" t="s">
        <v>264</v>
      </c>
      <c r="C119" s="765">
        <v>-13</v>
      </c>
      <c r="D119" s="766">
        <v>-13</v>
      </c>
      <c r="E119" s="766">
        <v>-12</v>
      </c>
      <c r="F119" s="766">
        <v>-12</v>
      </c>
      <c r="G119" s="766">
        <v>-12</v>
      </c>
      <c r="H119" s="766">
        <v>-10</v>
      </c>
      <c r="I119" s="767">
        <v>-11</v>
      </c>
      <c r="K119" s="759" t="s">
        <v>264</v>
      </c>
      <c r="L119" s="765">
        <v>-15</v>
      </c>
      <c r="M119" s="766">
        <v>-15</v>
      </c>
      <c r="N119" s="766">
        <v>-13</v>
      </c>
      <c r="O119" s="766">
        <v>-13</v>
      </c>
      <c r="P119" s="766">
        <v>-14</v>
      </c>
      <c r="Q119" s="766">
        <v>-14</v>
      </c>
      <c r="R119" s="767">
        <v>-15</v>
      </c>
      <c r="T119" s="763" t="s">
        <v>264</v>
      </c>
      <c r="U119" s="765">
        <v>-20</v>
      </c>
      <c r="V119" s="766">
        <v>-22</v>
      </c>
      <c r="W119" s="766">
        <v>-20</v>
      </c>
      <c r="X119" s="766">
        <v>-18</v>
      </c>
      <c r="Y119" s="766">
        <v>-18</v>
      </c>
      <c r="Z119" s="766">
        <v>-18</v>
      </c>
      <c r="AA119" s="767">
        <v>-19</v>
      </c>
      <c r="AC119" s="764" t="s">
        <v>264</v>
      </c>
      <c r="AD119" s="765">
        <v>-31</v>
      </c>
      <c r="AE119" s="766">
        <v>-32</v>
      </c>
      <c r="AF119" s="766">
        <v>-31</v>
      </c>
      <c r="AG119" s="766">
        <v>-29</v>
      </c>
      <c r="AH119" s="766">
        <v>-28</v>
      </c>
      <c r="AI119" s="766">
        <v>-33</v>
      </c>
      <c r="AJ119" s="767">
        <v>-35</v>
      </c>
      <c r="AL119" s="764" t="s">
        <v>264</v>
      </c>
      <c r="AM119" s="765"/>
      <c r="AN119" s="766">
        <v>-20</v>
      </c>
      <c r="AO119" s="766">
        <v>-19</v>
      </c>
      <c r="AP119" s="766">
        <v>-18</v>
      </c>
      <c r="AQ119" s="766">
        <v>-18</v>
      </c>
      <c r="AR119" s="766">
        <v>-18</v>
      </c>
      <c r="AS119" s="767">
        <v>-18</v>
      </c>
      <c r="AU119" s="764" t="s">
        <v>264</v>
      </c>
      <c r="AV119" s="765">
        <v>-26</v>
      </c>
      <c r="AW119" s="766">
        <v>-25</v>
      </c>
      <c r="AX119" s="766">
        <v>-25</v>
      </c>
      <c r="AY119" s="766">
        <v>-25</v>
      </c>
      <c r="AZ119" s="766">
        <v>-25</v>
      </c>
      <c r="BA119" s="766">
        <v>-27</v>
      </c>
      <c r="BB119" s="767">
        <v>-26</v>
      </c>
    </row>
    <row r="120" spans="2:54" x14ac:dyDescent="0.25">
      <c r="B120" s="759" t="s">
        <v>272</v>
      </c>
      <c r="C120" s="765">
        <v>-16</v>
      </c>
      <c r="D120" s="766">
        <v>-16</v>
      </c>
      <c r="E120" s="766">
        <v>-16</v>
      </c>
      <c r="F120" s="766">
        <v>-17</v>
      </c>
      <c r="G120" s="766">
        <v>-17</v>
      </c>
      <c r="H120" s="766">
        <v>-17</v>
      </c>
      <c r="I120" s="767">
        <v>-17</v>
      </c>
      <c r="K120" s="759" t="s">
        <v>272</v>
      </c>
      <c r="L120" s="765">
        <v>-14</v>
      </c>
      <c r="M120" s="766">
        <v>-15</v>
      </c>
      <c r="N120" s="766">
        <v>-16</v>
      </c>
      <c r="O120" s="766">
        <v>-13</v>
      </c>
      <c r="P120" s="766">
        <v>-15</v>
      </c>
      <c r="Q120" s="766">
        <v>-12</v>
      </c>
      <c r="R120" s="767">
        <v>-16</v>
      </c>
      <c r="T120" s="763" t="s">
        <v>272</v>
      </c>
      <c r="U120" s="765">
        <v>-21</v>
      </c>
      <c r="V120" s="766">
        <v>-18</v>
      </c>
      <c r="W120" s="766">
        <v>-17</v>
      </c>
      <c r="X120" s="766">
        <v>-19</v>
      </c>
      <c r="Y120" s="766">
        <v>-21</v>
      </c>
      <c r="Z120" s="766">
        <v>-21</v>
      </c>
      <c r="AA120" s="767">
        <v>-21</v>
      </c>
      <c r="AC120" s="764" t="s">
        <v>272</v>
      </c>
      <c r="AD120" s="765">
        <v>-31</v>
      </c>
      <c r="AE120" s="766">
        <v>-32</v>
      </c>
      <c r="AF120" s="766">
        <v>-30</v>
      </c>
      <c r="AG120" s="766">
        <v>-30</v>
      </c>
      <c r="AH120" s="766">
        <v>-30</v>
      </c>
      <c r="AI120" s="766">
        <v>-28</v>
      </c>
      <c r="AJ120" s="767">
        <v>-28</v>
      </c>
      <c r="AL120" s="764" t="s">
        <v>272</v>
      </c>
      <c r="AM120" s="765"/>
      <c r="AN120" s="766">
        <v>-20</v>
      </c>
      <c r="AO120" s="766">
        <v>-19</v>
      </c>
      <c r="AP120" s="766">
        <v>-18</v>
      </c>
      <c r="AQ120" s="766">
        <v>-19</v>
      </c>
      <c r="AR120" s="766">
        <v>-21</v>
      </c>
      <c r="AS120" s="767">
        <v>-20</v>
      </c>
      <c r="AU120" s="764" t="s">
        <v>272</v>
      </c>
      <c r="AV120" s="765">
        <v>-22</v>
      </c>
      <c r="AW120" s="766">
        <v>-23</v>
      </c>
      <c r="AX120" s="766">
        <v>-25</v>
      </c>
      <c r="AY120" s="766">
        <v>-22</v>
      </c>
      <c r="AZ120" s="766">
        <v>-28</v>
      </c>
      <c r="BA120" s="766">
        <v>-32</v>
      </c>
      <c r="BB120" s="767">
        <v>-28</v>
      </c>
    </row>
    <row r="121" spans="2:54" x14ac:dyDescent="0.25">
      <c r="B121" s="759" t="s">
        <v>278</v>
      </c>
      <c r="C121" s="765">
        <v>-17</v>
      </c>
      <c r="D121" s="766">
        <v>-17</v>
      </c>
      <c r="E121" s="766">
        <v>-17</v>
      </c>
      <c r="F121" s="766">
        <v>-17</v>
      </c>
      <c r="G121" s="766">
        <v>-16</v>
      </c>
      <c r="H121" s="766">
        <v>-17</v>
      </c>
      <c r="I121" s="767">
        <v>-19</v>
      </c>
      <c r="K121" s="759" t="s">
        <v>278</v>
      </c>
      <c r="L121" s="765">
        <v>-16</v>
      </c>
      <c r="M121" s="766">
        <v>-18</v>
      </c>
      <c r="N121" s="766">
        <v>-22</v>
      </c>
      <c r="O121" s="766">
        <v>-24</v>
      </c>
      <c r="P121" s="766">
        <v>-24</v>
      </c>
      <c r="Q121" s="766">
        <v>-24</v>
      </c>
      <c r="R121" s="767">
        <v>-26</v>
      </c>
      <c r="T121" s="763" t="s">
        <v>278</v>
      </c>
      <c r="U121" s="765">
        <v>-22</v>
      </c>
      <c r="V121" s="766">
        <v>-21</v>
      </c>
      <c r="W121" s="766">
        <v>-20</v>
      </c>
      <c r="X121" s="766">
        <v>-20</v>
      </c>
      <c r="Y121" s="766">
        <v>-20</v>
      </c>
      <c r="Z121" s="766">
        <v>-20</v>
      </c>
      <c r="AA121" s="767">
        <v>-21</v>
      </c>
      <c r="AC121" s="764" t="s">
        <v>278</v>
      </c>
      <c r="AD121" s="765">
        <v>-30</v>
      </c>
      <c r="AE121" s="766">
        <v>-29</v>
      </c>
      <c r="AF121" s="766">
        <v>-28</v>
      </c>
      <c r="AG121" s="766">
        <v>-29</v>
      </c>
      <c r="AH121" s="766">
        <v>-28</v>
      </c>
      <c r="AI121" s="766">
        <v>-29</v>
      </c>
      <c r="AJ121" s="767">
        <v>-28</v>
      </c>
      <c r="AL121" s="764" t="s">
        <v>278</v>
      </c>
      <c r="AM121" s="765"/>
      <c r="AN121" s="766">
        <v>-20</v>
      </c>
      <c r="AO121" s="766">
        <v>-19</v>
      </c>
      <c r="AP121" s="766">
        <v>-18</v>
      </c>
      <c r="AQ121" s="766">
        <v>-18</v>
      </c>
      <c r="AR121" s="766">
        <v>-19</v>
      </c>
      <c r="AS121" s="767">
        <v>-21</v>
      </c>
      <c r="AU121" s="764" t="s">
        <v>278</v>
      </c>
      <c r="AV121" s="765">
        <v>-23</v>
      </c>
      <c r="AW121" s="766">
        <v>-22</v>
      </c>
      <c r="AX121" s="766">
        <v>-28</v>
      </c>
      <c r="AY121" s="766">
        <v>-27</v>
      </c>
      <c r="AZ121" s="766">
        <v>-25</v>
      </c>
      <c r="BA121" s="766">
        <v>-25</v>
      </c>
      <c r="BB121" s="767">
        <v>-25</v>
      </c>
    </row>
    <row r="122" spans="2:54" ht="15.75" thickBot="1" x14ac:dyDescent="0.3">
      <c r="B122" s="768" t="s">
        <v>284</v>
      </c>
      <c r="C122" s="769" t="s">
        <v>1048</v>
      </c>
      <c r="D122" s="770" t="s">
        <v>1048</v>
      </c>
      <c r="E122" s="770" t="s">
        <v>1048</v>
      </c>
      <c r="F122" s="770" t="s">
        <v>1048</v>
      </c>
      <c r="G122" s="770" t="s">
        <v>1048</v>
      </c>
      <c r="H122" s="770" t="s">
        <v>1048</v>
      </c>
      <c r="I122" s="771" t="s">
        <v>1048</v>
      </c>
      <c r="K122" s="768" t="s">
        <v>284</v>
      </c>
      <c r="L122" s="769" t="s">
        <v>1048</v>
      </c>
      <c r="M122" s="770" t="s">
        <v>1048</v>
      </c>
      <c r="N122" s="770" t="s">
        <v>1048</v>
      </c>
      <c r="O122" s="770" t="s">
        <v>1048</v>
      </c>
      <c r="P122" s="770" t="s">
        <v>1048</v>
      </c>
      <c r="Q122" s="770" t="s">
        <v>1048</v>
      </c>
      <c r="R122" s="771" t="s">
        <v>1048</v>
      </c>
      <c r="T122" s="772" t="s">
        <v>284</v>
      </c>
      <c r="U122" s="769" t="s">
        <v>1048</v>
      </c>
      <c r="V122" s="770" t="s">
        <v>1048</v>
      </c>
      <c r="W122" s="770" t="s">
        <v>1048</v>
      </c>
      <c r="X122" s="770" t="s">
        <v>1048</v>
      </c>
      <c r="Y122" s="770" t="s">
        <v>1048</v>
      </c>
      <c r="Z122" s="770" t="s">
        <v>1048</v>
      </c>
      <c r="AA122" s="771" t="s">
        <v>1048</v>
      </c>
      <c r="AC122" s="773" t="s">
        <v>284</v>
      </c>
      <c r="AD122" s="769" t="s">
        <v>1048</v>
      </c>
      <c r="AE122" s="770" t="s">
        <v>1048</v>
      </c>
      <c r="AF122" s="770" t="s">
        <v>1048</v>
      </c>
      <c r="AG122" s="770" t="s">
        <v>1048</v>
      </c>
      <c r="AH122" s="770" t="s">
        <v>1048</v>
      </c>
      <c r="AI122" s="770" t="s">
        <v>1048</v>
      </c>
      <c r="AJ122" s="771" t="s">
        <v>1048</v>
      </c>
      <c r="AL122" s="773" t="s">
        <v>284</v>
      </c>
      <c r="AM122" s="769" t="s">
        <v>1048</v>
      </c>
      <c r="AN122" s="770" t="s">
        <v>1048</v>
      </c>
      <c r="AO122" s="770" t="s">
        <v>1048</v>
      </c>
      <c r="AP122" s="770" t="s">
        <v>1048</v>
      </c>
      <c r="AQ122" s="770" t="s">
        <v>1048</v>
      </c>
      <c r="AR122" s="770" t="s">
        <v>1048</v>
      </c>
      <c r="AS122" s="771" t="s">
        <v>1048</v>
      </c>
      <c r="AU122" s="773" t="s">
        <v>284</v>
      </c>
      <c r="AV122" s="769" t="s">
        <v>1048</v>
      </c>
      <c r="AW122" s="770" t="s">
        <v>1048</v>
      </c>
      <c r="AX122" s="770" t="s">
        <v>1048</v>
      </c>
      <c r="AY122" s="770" t="s">
        <v>1048</v>
      </c>
      <c r="AZ122" s="770" t="s">
        <v>1048</v>
      </c>
      <c r="BA122" s="770" t="s">
        <v>1048</v>
      </c>
      <c r="BB122" s="771" t="s">
        <v>1048</v>
      </c>
    </row>
    <row r="123" spans="2:54" ht="15.75" thickBot="1" x14ac:dyDescent="0.3">
      <c r="B123" s="774"/>
      <c r="C123" s="775"/>
      <c r="D123" s="775"/>
      <c r="E123" s="775"/>
      <c r="F123" s="775"/>
      <c r="G123" s="775"/>
      <c r="H123" s="775"/>
      <c r="I123" s="775"/>
      <c r="K123" s="774"/>
      <c r="L123" s="775"/>
      <c r="M123" s="775"/>
      <c r="N123" s="775"/>
      <c r="O123" s="775"/>
      <c r="P123" s="775"/>
      <c r="Q123" s="775"/>
      <c r="R123" s="775"/>
      <c r="T123" s="776"/>
      <c r="U123" s="775"/>
      <c r="V123" s="775"/>
      <c r="W123" s="775"/>
      <c r="X123" s="775"/>
      <c r="Y123" s="775"/>
      <c r="Z123" s="775"/>
      <c r="AA123" s="775"/>
      <c r="AC123" s="777"/>
      <c r="AD123" s="775"/>
      <c r="AE123" s="775"/>
      <c r="AF123" s="775"/>
      <c r="AG123" s="775"/>
      <c r="AH123" s="775"/>
      <c r="AI123" s="775"/>
      <c r="AJ123" s="775"/>
      <c r="AL123" s="777"/>
      <c r="AM123" s="775"/>
      <c r="AN123" s="775"/>
      <c r="AO123" s="775"/>
      <c r="AP123" s="775"/>
      <c r="AQ123" s="775"/>
      <c r="AR123" s="775"/>
      <c r="AS123" s="775"/>
      <c r="AU123" s="777"/>
      <c r="AV123" s="775"/>
      <c r="AW123" s="775"/>
      <c r="AX123" s="775"/>
      <c r="AY123" s="775"/>
      <c r="AZ123" s="775"/>
      <c r="BA123" s="775"/>
      <c r="BB123" s="775"/>
    </row>
    <row r="124" spans="2:54" ht="15.75" thickBot="1" x14ac:dyDescent="0.3">
      <c r="B124" s="748" t="s">
        <v>1037</v>
      </c>
      <c r="C124" s="778" t="s">
        <v>187</v>
      </c>
      <c r="D124" s="778" t="s">
        <v>214</v>
      </c>
      <c r="E124" s="778" t="s">
        <v>233</v>
      </c>
      <c r="F124" s="778" t="s">
        <v>242</v>
      </c>
      <c r="G124" s="778" t="s">
        <v>250</v>
      </c>
      <c r="H124" s="778" t="s">
        <v>258</v>
      </c>
      <c r="I124" s="779" t="s">
        <v>265</v>
      </c>
      <c r="K124" s="748" t="s">
        <v>1037</v>
      </c>
      <c r="L124" s="778" t="s">
        <v>187</v>
      </c>
      <c r="M124" s="778" t="s">
        <v>214</v>
      </c>
      <c r="N124" s="778" t="s">
        <v>233</v>
      </c>
      <c r="O124" s="778" t="s">
        <v>242</v>
      </c>
      <c r="P124" s="778" t="s">
        <v>250</v>
      </c>
      <c r="Q124" s="778" t="s">
        <v>258</v>
      </c>
      <c r="R124" s="779" t="s">
        <v>265</v>
      </c>
      <c r="T124" s="751" t="s">
        <v>1037</v>
      </c>
      <c r="U124" s="778" t="s">
        <v>187</v>
      </c>
      <c r="V124" s="778" t="s">
        <v>214</v>
      </c>
      <c r="W124" s="778" t="s">
        <v>233</v>
      </c>
      <c r="X124" s="778" t="s">
        <v>242</v>
      </c>
      <c r="Y124" s="778" t="s">
        <v>250</v>
      </c>
      <c r="Z124" s="778" t="s">
        <v>258</v>
      </c>
      <c r="AA124" s="779" t="s">
        <v>265</v>
      </c>
      <c r="AC124" s="752" t="s">
        <v>1037</v>
      </c>
      <c r="AD124" s="778" t="s">
        <v>187</v>
      </c>
      <c r="AE124" s="778" t="s">
        <v>214</v>
      </c>
      <c r="AF124" s="778" t="s">
        <v>233</v>
      </c>
      <c r="AG124" s="778" t="s">
        <v>242</v>
      </c>
      <c r="AH124" s="778" t="s">
        <v>250</v>
      </c>
      <c r="AI124" s="778" t="s">
        <v>258</v>
      </c>
      <c r="AJ124" s="779" t="s">
        <v>265</v>
      </c>
      <c r="AL124" s="752" t="s">
        <v>1037</v>
      </c>
      <c r="AM124" s="778" t="s">
        <v>187</v>
      </c>
      <c r="AN124" s="778" t="s">
        <v>214</v>
      </c>
      <c r="AO124" s="778" t="s">
        <v>233</v>
      </c>
      <c r="AP124" s="778" t="s">
        <v>242</v>
      </c>
      <c r="AQ124" s="778" t="s">
        <v>250</v>
      </c>
      <c r="AR124" s="778" t="s">
        <v>258</v>
      </c>
      <c r="AS124" s="779" t="s">
        <v>265</v>
      </c>
      <c r="AU124" s="752" t="s">
        <v>1037</v>
      </c>
      <c r="AV124" s="778" t="s">
        <v>187</v>
      </c>
      <c r="AW124" s="778" t="s">
        <v>214</v>
      </c>
      <c r="AX124" s="778" t="s">
        <v>233</v>
      </c>
      <c r="AY124" s="778" t="s">
        <v>242</v>
      </c>
      <c r="AZ124" s="778" t="s">
        <v>250</v>
      </c>
      <c r="BA124" s="778" t="s">
        <v>258</v>
      </c>
      <c r="BB124" s="779" t="s">
        <v>265</v>
      </c>
    </row>
    <row r="125" spans="2:54" x14ac:dyDescent="0.25">
      <c r="B125" s="753" t="s">
        <v>186</v>
      </c>
      <c r="C125" s="754">
        <v>-12</v>
      </c>
      <c r="D125" s="755">
        <v>-8</v>
      </c>
      <c r="E125" s="755">
        <v>-6</v>
      </c>
      <c r="F125" s="755">
        <v>-5</v>
      </c>
      <c r="G125" s="755">
        <v>-5</v>
      </c>
      <c r="H125" s="755">
        <v>-8</v>
      </c>
      <c r="I125" s="756">
        <v>-10</v>
      </c>
      <c r="K125" s="753" t="s">
        <v>186</v>
      </c>
      <c r="L125" s="754">
        <v>-14</v>
      </c>
      <c r="M125" s="755">
        <v>-13</v>
      </c>
      <c r="N125" s="755">
        <v>-11</v>
      </c>
      <c r="O125" s="755">
        <v>-11</v>
      </c>
      <c r="P125" s="755">
        <v>-10</v>
      </c>
      <c r="Q125" s="755">
        <v>-10</v>
      </c>
      <c r="R125" s="756">
        <v>-10</v>
      </c>
      <c r="T125" s="757" t="s">
        <v>186</v>
      </c>
      <c r="U125" s="754">
        <v>-22</v>
      </c>
      <c r="V125" s="755">
        <v>-20</v>
      </c>
      <c r="W125" s="755">
        <v>-18</v>
      </c>
      <c r="X125" s="755">
        <v>-16</v>
      </c>
      <c r="Y125" s="755">
        <v>-13</v>
      </c>
      <c r="Z125" s="755">
        <v>-13</v>
      </c>
      <c r="AA125" s="756">
        <v>-13</v>
      </c>
      <c r="AC125" s="758" t="s">
        <v>186</v>
      </c>
      <c r="AD125" s="754">
        <v>-24</v>
      </c>
      <c r="AE125" s="755">
        <v>-25</v>
      </c>
      <c r="AF125" s="755">
        <v>-25</v>
      </c>
      <c r="AG125" s="755">
        <v>-23</v>
      </c>
      <c r="AH125" s="755">
        <v>-24</v>
      </c>
      <c r="AI125" s="755">
        <v>-22</v>
      </c>
      <c r="AJ125" s="756">
        <v>-25</v>
      </c>
      <c r="AL125" s="758" t="s">
        <v>186</v>
      </c>
      <c r="AM125" s="754"/>
      <c r="AN125" s="755"/>
      <c r="AO125" s="755">
        <v>-16</v>
      </c>
      <c r="AP125" s="755">
        <v>-15</v>
      </c>
      <c r="AQ125" s="755">
        <v>-13</v>
      </c>
      <c r="AR125" s="755">
        <v>-13</v>
      </c>
      <c r="AS125" s="756">
        <v>-16</v>
      </c>
      <c r="AU125" s="758" t="s">
        <v>186</v>
      </c>
      <c r="AV125" s="754">
        <v>-23</v>
      </c>
      <c r="AW125" s="755">
        <v>-22</v>
      </c>
      <c r="AX125" s="755">
        <v>-20</v>
      </c>
      <c r="AY125" s="755">
        <v>-18</v>
      </c>
      <c r="AZ125" s="755">
        <v>-18</v>
      </c>
      <c r="BA125" s="755">
        <v>-20</v>
      </c>
      <c r="BB125" s="756">
        <v>-21</v>
      </c>
    </row>
    <row r="126" spans="2:54" x14ac:dyDescent="0.25">
      <c r="B126" s="759" t="s">
        <v>213</v>
      </c>
      <c r="C126" s="760">
        <v>-11</v>
      </c>
      <c r="D126" s="761">
        <v>-8</v>
      </c>
      <c r="E126" s="761">
        <v>-5</v>
      </c>
      <c r="F126" s="761">
        <v>-5</v>
      </c>
      <c r="G126" s="761">
        <v>-8</v>
      </c>
      <c r="H126" s="761">
        <v>-12</v>
      </c>
      <c r="I126" s="762">
        <v>-16</v>
      </c>
      <c r="K126" s="759" t="s">
        <v>213</v>
      </c>
      <c r="L126" s="760">
        <v>-12</v>
      </c>
      <c r="M126" s="761">
        <v>-11</v>
      </c>
      <c r="N126" s="761">
        <v>-11</v>
      </c>
      <c r="O126" s="761">
        <v>-10</v>
      </c>
      <c r="P126" s="761">
        <v>-12</v>
      </c>
      <c r="Q126" s="761">
        <v>-9</v>
      </c>
      <c r="R126" s="762">
        <v>-10</v>
      </c>
      <c r="T126" s="763" t="s">
        <v>213</v>
      </c>
      <c r="U126" s="760">
        <v>-19</v>
      </c>
      <c r="V126" s="761">
        <v>-18</v>
      </c>
      <c r="W126" s="761">
        <v>-17</v>
      </c>
      <c r="X126" s="761">
        <v>-15</v>
      </c>
      <c r="Y126" s="761">
        <v>-15</v>
      </c>
      <c r="Z126" s="761">
        <v>-17</v>
      </c>
      <c r="AA126" s="762">
        <v>-17</v>
      </c>
      <c r="AC126" s="764" t="s">
        <v>213</v>
      </c>
      <c r="AD126" s="760">
        <v>-27</v>
      </c>
      <c r="AE126" s="761">
        <v>-24</v>
      </c>
      <c r="AF126" s="761">
        <v>-24</v>
      </c>
      <c r="AG126" s="761">
        <v>-22</v>
      </c>
      <c r="AH126" s="761">
        <v>-22</v>
      </c>
      <c r="AI126" s="761">
        <v>-24</v>
      </c>
      <c r="AJ126" s="762">
        <v>-25</v>
      </c>
      <c r="AL126" s="764" t="s">
        <v>213</v>
      </c>
      <c r="AM126" s="760"/>
      <c r="AN126" s="761"/>
      <c r="AO126" s="761">
        <v>-12</v>
      </c>
      <c r="AP126" s="761">
        <v>-12</v>
      </c>
      <c r="AQ126" s="761">
        <v>-12</v>
      </c>
      <c r="AR126" s="761">
        <v>-13</v>
      </c>
      <c r="AS126" s="762">
        <v>-14</v>
      </c>
      <c r="AU126" s="764" t="s">
        <v>213</v>
      </c>
      <c r="AV126" s="760">
        <v>-21</v>
      </c>
      <c r="AW126" s="761">
        <v>-19</v>
      </c>
      <c r="AX126" s="761">
        <v>-24</v>
      </c>
      <c r="AY126" s="761">
        <v>-20</v>
      </c>
      <c r="AZ126" s="761">
        <v>-18</v>
      </c>
      <c r="BA126" s="761">
        <v>-19</v>
      </c>
      <c r="BB126" s="762">
        <v>-20</v>
      </c>
    </row>
    <row r="127" spans="2:54" x14ac:dyDescent="0.25">
      <c r="B127" s="759" t="s">
        <v>232</v>
      </c>
      <c r="C127" s="765">
        <v>-10</v>
      </c>
      <c r="D127" s="766">
        <v>-7</v>
      </c>
      <c r="E127" s="766">
        <v>-5</v>
      </c>
      <c r="F127" s="766">
        <v>-4</v>
      </c>
      <c r="G127" s="766">
        <v>-6</v>
      </c>
      <c r="H127" s="766">
        <v>-13</v>
      </c>
      <c r="I127" s="767">
        <v>-17</v>
      </c>
      <c r="K127" s="759" t="s">
        <v>232</v>
      </c>
      <c r="L127" s="765">
        <v>-11</v>
      </c>
      <c r="M127" s="766">
        <v>-11</v>
      </c>
      <c r="N127" s="766">
        <v>-8</v>
      </c>
      <c r="O127" s="766">
        <v>-9</v>
      </c>
      <c r="P127" s="766">
        <v>-9</v>
      </c>
      <c r="Q127" s="766">
        <v>-8</v>
      </c>
      <c r="R127" s="767">
        <v>-9</v>
      </c>
      <c r="T127" s="763" t="s">
        <v>232</v>
      </c>
      <c r="U127" s="765">
        <v>-19</v>
      </c>
      <c r="V127" s="766">
        <v>-18</v>
      </c>
      <c r="W127" s="766">
        <v>-16</v>
      </c>
      <c r="X127" s="766">
        <v>-16</v>
      </c>
      <c r="Y127" s="766">
        <v>-15</v>
      </c>
      <c r="Z127" s="766">
        <v>-16</v>
      </c>
      <c r="AA127" s="767">
        <v>-19</v>
      </c>
      <c r="AC127" s="764" t="s">
        <v>232</v>
      </c>
      <c r="AD127" s="765">
        <v>-25</v>
      </c>
      <c r="AE127" s="766">
        <v>-24</v>
      </c>
      <c r="AF127" s="766">
        <v>-23</v>
      </c>
      <c r="AG127" s="766">
        <v>-20</v>
      </c>
      <c r="AH127" s="766">
        <v>-20</v>
      </c>
      <c r="AI127" s="766">
        <v>-22</v>
      </c>
      <c r="AJ127" s="767">
        <v>-23</v>
      </c>
      <c r="AL127" s="764" t="s">
        <v>232</v>
      </c>
      <c r="AM127" s="765"/>
      <c r="AN127" s="766"/>
      <c r="AO127" s="766">
        <v>-12</v>
      </c>
      <c r="AP127" s="766">
        <v>-11</v>
      </c>
      <c r="AQ127" s="766">
        <v>-12</v>
      </c>
      <c r="AR127" s="766">
        <v>-13</v>
      </c>
      <c r="AS127" s="767">
        <v>-13</v>
      </c>
      <c r="AU127" s="764" t="s">
        <v>232</v>
      </c>
      <c r="AV127" s="765">
        <v>-19</v>
      </c>
      <c r="AW127" s="766">
        <v>-21</v>
      </c>
      <c r="AX127" s="766">
        <v>-20</v>
      </c>
      <c r="AY127" s="766">
        <v>-17</v>
      </c>
      <c r="AZ127" s="766">
        <v>-21</v>
      </c>
      <c r="BA127" s="766">
        <v>-18</v>
      </c>
      <c r="BB127" s="767">
        <v>-20</v>
      </c>
    </row>
    <row r="128" spans="2:54" x14ac:dyDescent="0.25">
      <c r="B128" s="759" t="s">
        <v>215</v>
      </c>
      <c r="C128" s="765">
        <v>-9</v>
      </c>
      <c r="D128" s="766">
        <v>-7</v>
      </c>
      <c r="E128" s="766">
        <v>-5</v>
      </c>
      <c r="F128" s="766">
        <v>-5</v>
      </c>
      <c r="G128" s="766">
        <v>-8</v>
      </c>
      <c r="H128" s="766">
        <v>-10</v>
      </c>
      <c r="I128" s="767">
        <v>-15</v>
      </c>
      <c r="K128" s="759" t="s">
        <v>215</v>
      </c>
      <c r="L128" s="765">
        <v>-10</v>
      </c>
      <c r="M128" s="766">
        <v>-8</v>
      </c>
      <c r="N128" s="766">
        <v>-6</v>
      </c>
      <c r="O128" s="766">
        <v>-6</v>
      </c>
      <c r="P128" s="766">
        <v>-6</v>
      </c>
      <c r="Q128" s="766">
        <v>-7</v>
      </c>
      <c r="R128" s="767">
        <v>-7</v>
      </c>
      <c r="T128" s="763" t="s">
        <v>215</v>
      </c>
      <c r="U128" s="765">
        <v>-18</v>
      </c>
      <c r="V128" s="766">
        <v>-17</v>
      </c>
      <c r="W128" s="766">
        <v>-16</v>
      </c>
      <c r="X128" s="766">
        <v>-14</v>
      </c>
      <c r="Y128" s="766">
        <v>-16</v>
      </c>
      <c r="Z128" s="766">
        <v>-15</v>
      </c>
      <c r="AA128" s="767">
        <v>-20</v>
      </c>
      <c r="AC128" s="764" t="s">
        <v>215</v>
      </c>
      <c r="AD128" s="765">
        <v>-24</v>
      </c>
      <c r="AE128" s="766">
        <v>-22</v>
      </c>
      <c r="AF128" s="766">
        <v>-19</v>
      </c>
      <c r="AG128" s="766">
        <v>-18</v>
      </c>
      <c r="AH128" s="766">
        <v>-19</v>
      </c>
      <c r="AI128" s="766">
        <v>-24</v>
      </c>
      <c r="AJ128" s="767">
        <v>-24</v>
      </c>
      <c r="AL128" s="764" t="s">
        <v>215</v>
      </c>
      <c r="AM128" s="765"/>
      <c r="AN128" s="766">
        <v>-13</v>
      </c>
      <c r="AO128" s="766">
        <v>-13</v>
      </c>
      <c r="AP128" s="766">
        <v>-13</v>
      </c>
      <c r="AQ128" s="766">
        <v>-12</v>
      </c>
      <c r="AR128" s="766">
        <v>-12</v>
      </c>
      <c r="AS128" s="767">
        <v>-15</v>
      </c>
      <c r="AU128" s="764" t="s">
        <v>215</v>
      </c>
      <c r="AV128" s="765">
        <v>-20</v>
      </c>
      <c r="AW128" s="766">
        <v>-26</v>
      </c>
      <c r="AX128" s="766">
        <v>-24</v>
      </c>
      <c r="AY128" s="766">
        <v>-23</v>
      </c>
      <c r="AZ128" s="766">
        <v>-22</v>
      </c>
      <c r="BA128" s="766">
        <v>-27</v>
      </c>
      <c r="BB128" s="767">
        <v>-24</v>
      </c>
    </row>
    <row r="129" spans="2:54" x14ac:dyDescent="0.25">
      <c r="B129" s="759" t="s">
        <v>249</v>
      </c>
      <c r="C129" s="765">
        <v>-9</v>
      </c>
      <c r="D129" s="766">
        <v>-6</v>
      </c>
      <c r="E129" s="766">
        <v>-5</v>
      </c>
      <c r="F129" s="766">
        <v>-5</v>
      </c>
      <c r="G129" s="766">
        <v>-6</v>
      </c>
      <c r="H129" s="766">
        <v>-6</v>
      </c>
      <c r="I129" s="767">
        <v>-11</v>
      </c>
      <c r="K129" s="759" t="s">
        <v>249</v>
      </c>
      <c r="L129" s="765">
        <v>-8</v>
      </c>
      <c r="M129" s="766">
        <v>-8</v>
      </c>
      <c r="N129" s="766">
        <v>-6</v>
      </c>
      <c r="O129" s="766">
        <v>-6</v>
      </c>
      <c r="P129" s="766">
        <v>-3</v>
      </c>
      <c r="Q129" s="766">
        <v>-6</v>
      </c>
      <c r="R129" s="767">
        <v>-6</v>
      </c>
      <c r="T129" s="763" t="s">
        <v>249</v>
      </c>
      <c r="U129" s="765">
        <v>-18</v>
      </c>
      <c r="V129" s="766">
        <v>-17</v>
      </c>
      <c r="W129" s="766">
        <v>-15</v>
      </c>
      <c r="X129" s="766">
        <v>-15</v>
      </c>
      <c r="Y129" s="766">
        <v>-14</v>
      </c>
      <c r="Z129" s="766">
        <v>-18</v>
      </c>
      <c r="AA129" s="767">
        <v>-18</v>
      </c>
      <c r="AC129" s="764" t="s">
        <v>249</v>
      </c>
      <c r="AD129" s="765">
        <v>-24</v>
      </c>
      <c r="AE129" s="766">
        <v>-22</v>
      </c>
      <c r="AF129" s="766">
        <v>-22</v>
      </c>
      <c r="AG129" s="766">
        <v>-20</v>
      </c>
      <c r="AH129" s="766">
        <v>-17</v>
      </c>
      <c r="AI129" s="766">
        <v>-21</v>
      </c>
      <c r="AJ129" s="767">
        <v>-21</v>
      </c>
      <c r="AL129" s="764" t="s">
        <v>249</v>
      </c>
      <c r="AM129" s="765"/>
      <c r="AN129" s="766">
        <v>-14</v>
      </c>
      <c r="AO129" s="766">
        <v>-12</v>
      </c>
      <c r="AP129" s="766">
        <v>-11</v>
      </c>
      <c r="AQ129" s="766">
        <v>-14</v>
      </c>
      <c r="AR129" s="766">
        <v>-15</v>
      </c>
      <c r="AS129" s="767">
        <v>-16</v>
      </c>
      <c r="AU129" s="764" t="s">
        <v>249</v>
      </c>
      <c r="AV129" s="765">
        <v>-21</v>
      </c>
      <c r="AW129" s="766">
        <v>-19</v>
      </c>
      <c r="AX129" s="766">
        <v>-21</v>
      </c>
      <c r="AY129" s="766">
        <v>-22</v>
      </c>
      <c r="AZ129" s="766">
        <v>-20</v>
      </c>
      <c r="BA129" s="766">
        <v>-22</v>
      </c>
      <c r="BB129" s="767">
        <v>-20</v>
      </c>
    </row>
    <row r="130" spans="2:54" x14ac:dyDescent="0.25">
      <c r="B130" s="759" t="s">
        <v>257</v>
      </c>
      <c r="C130" s="765">
        <v>-7</v>
      </c>
      <c r="D130" s="766">
        <v>-6</v>
      </c>
      <c r="E130" s="766">
        <v>-4</v>
      </c>
      <c r="F130" s="766">
        <v>-3</v>
      </c>
      <c r="G130" s="766">
        <v>-3</v>
      </c>
      <c r="H130" s="766">
        <v>-7</v>
      </c>
      <c r="I130" s="767">
        <v>-9</v>
      </c>
      <c r="K130" s="759" t="s">
        <v>257</v>
      </c>
      <c r="L130" s="765">
        <v>-8</v>
      </c>
      <c r="M130" s="766">
        <v>-8</v>
      </c>
      <c r="N130" s="766">
        <v>-8</v>
      </c>
      <c r="O130" s="766">
        <v>-7</v>
      </c>
      <c r="P130" s="766">
        <v>-6</v>
      </c>
      <c r="Q130" s="766">
        <v>-6</v>
      </c>
      <c r="R130" s="767">
        <v>-6</v>
      </c>
      <c r="T130" s="763" t="s">
        <v>257</v>
      </c>
      <c r="U130" s="765">
        <v>-16</v>
      </c>
      <c r="V130" s="766">
        <v>-20</v>
      </c>
      <c r="W130" s="766">
        <v>-18</v>
      </c>
      <c r="X130" s="766">
        <v>-17</v>
      </c>
      <c r="Y130" s="766">
        <v>-15</v>
      </c>
      <c r="Z130" s="766">
        <v>-14</v>
      </c>
      <c r="AA130" s="767">
        <v>-17</v>
      </c>
      <c r="AC130" s="764" t="s">
        <v>257</v>
      </c>
      <c r="AD130" s="765">
        <v>-23</v>
      </c>
      <c r="AE130" s="766">
        <v>-22</v>
      </c>
      <c r="AF130" s="766">
        <v>-22</v>
      </c>
      <c r="AG130" s="766">
        <v>-25</v>
      </c>
      <c r="AH130" s="766">
        <v>-23</v>
      </c>
      <c r="AI130" s="766">
        <v>-26</v>
      </c>
      <c r="AJ130" s="767">
        <v>-27</v>
      </c>
      <c r="AL130" s="764" t="s">
        <v>257</v>
      </c>
      <c r="AM130" s="765"/>
      <c r="AN130" s="766">
        <v>-13</v>
      </c>
      <c r="AO130" s="766">
        <v>-12</v>
      </c>
      <c r="AP130" s="766">
        <v>-12</v>
      </c>
      <c r="AQ130" s="766">
        <v>-10</v>
      </c>
      <c r="AR130" s="766">
        <v>-14</v>
      </c>
      <c r="AS130" s="767">
        <v>-17</v>
      </c>
      <c r="AU130" s="764" t="s">
        <v>257</v>
      </c>
      <c r="AV130" s="765">
        <v>-19</v>
      </c>
      <c r="AW130" s="766">
        <v>-17</v>
      </c>
      <c r="AX130" s="766">
        <v>-16</v>
      </c>
      <c r="AY130" s="766">
        <v>-16</v>
      </c>
      <c r="AZ130" s="766">
        <v>-19</v>
      </c>
      <c r="BA130" s="766">
        <v>-23</v>
      </c>
      <c r="BB130" s="767">
        <v>-25</v>
      </c>
    </row>
    <row r="131" spans="2:54" x14ac:dyDescent="0.25">
      <c r="B131" s="759" t="s">
        <v>264</v>
      </c>
      <c r="C131" s="765">
        <v>-7</v>
      </c>
      <c r="D131" s="766">
        <v>-9</v>
      </c>
      <c r="E131" s="766">
        <v>-9</v>
      </c>
      <c r="F131" s="766">
        <v>-8</v>
      </c>
      <c r="G131" s="766">
        <v>-9</v>
      </c>
      <c r="H131" s="766">
        <v>-8</v>
      </c>
      <c r="I131" s="767">
        <v>-9</v>
      </c>
      <c r="K131" s="759" t="s">
        <v>264</v>
      </c>
      <c r="L131" s="765">
        <v>-13</v>
      </c>
      <c r="M131" s="766">
        <v>-13</v>
      </c>
      <c r="N131" s="766">
        <v>-11</v>
      </c>
      <c r="O131" s="766">
        <v>-12</v>
      </c>
      <c r="P131" s="766">
        <v>-13</v>
      </c>
      <c r="Q131" s="766">
        <v>-11</v>
      </c>
      <c r="R131" s="767">
        <v>-14</v>
      </c>
      <c r="T131" s="763" t="s">
        <v>264</v>
      </c>
      <c r="U131" s="765">
        <v>-17</v>
      </c>
      <c r="V131" s="766">
        <v>-16</v>
      </c>
      <c r="W131" s="766">
        <v>-16</v>
      </c>
      <c r="X131" s="766">
        <v>-15</v>
      </c>
      <c r="Y131" s="766">
        <v>-16</v>
      </c>
      <c r="Z131" s="766">
        <v>-15</v>
      </c>
      <c r="AA131" s="767">
        <v>-17</v>
      </c>
      <c r="AC131" s="764" t="s">
        <v>264</v>
      </c>
      <c r="AD131" s="765">
        <v>-25</v>
      </c>
      <c r="AE131" s="766">
        <v>-27</v>
      </c>
      <c r="AF131" s="766">
        <v>-26</v>
      </c>
      <c r="AG131" s="766">
        <v>-26</v>
      </c>
      <c r="AH131" s="766">
        <v>-25</v>
      </c>
      <c r="AI131" s="766">
        <v>-29</v>
      </c>
      <c r="AJ131" s="767">
        <v>-28</v>
      </c>
      <c r="AL131" s="764" t="s">
        <v>264</v>
      </c>
      <c r="AM131" s="765"/>
      <c r="AN131" s="766">
        <v>-16</v>
      </c>
      <c r="AO131" s="766">
        <v>-15</v>
      </c>
      <c r="AP131" s="766">
        <v>-14</v>
      </c>
      <c r="AQ131" s="766">
        <v>-14</v>
      </c>
      <c r="AR131" s="766">
        <v>-14</v>
      </c>
      <c r="AS131" s="767">
        <v>-14</v>
      </c>
      <c r="AU131" s="764" t="s">
        <v>264</v>
      </c>
      <c r="AV131" s="765">
        <v>-21</v>
      </c>
      <c r="AW131" s="766">
        <v>-26</v>
      </c>
      <c r="AX131" s="766">
        <v>-24</v>
      </c>
      <c r="AY131" s="766">
        <v>-25</v>
      </c>
      <c r="AZ131" s="766">
        <v>-23</v>
      </c>
      <c r="BA131" s="766">
        <v>-22</v>
      </c>
      <c r="BB131" s="767">
        <v>-26</v>
      </c>
    </row>
    <row r="132" spans="2:54" x14ac:dyDescent="0.25">
      <c r="B132" s="759" t="s">
        <v>272</v>
      </c>
      <c r="C132" s="765">
        <v>-10</v>
      </c>
      <c r="D132" s="766">
        <v>-12</v>
      </c>
      <c r="E132" s="766">
        <v>-11</v>
      </c>
      <c r="F132" s="766">
        <v>-12</v>
      </c>
      <c r="G132" s="766">
        <v>-10</v>
      </c>
      <c r="H132" s="766">
        <v>-10</v>
      </c>
      <c r="I132" s="767">
        <v>-10</v>
      </c>
      <c r="K132" s="759" t="s">
        <v>272</v>
      </c>
      <c r="L132" s="765">
        <v>-11</v>
      </c>
      <c r="M132" s="766">
        <v>-9</v>
      </c>
      <c r="N132" s="766">
        <v>-11</v>
      </c>
      <c r="O132" s="766">
        <v>-10</v>
      </c>
      <c r="P132" s="766">
        <v>-11</v>
      </c>
      <c r="Q132" s="766">
        <v>-10</v>
      </c>
      <c r="R132" s="767">
        <v>-12</v>
      </c>
      <c r="T132" s="763" t="s">
        <v>272</v>
      </c>
      <c r="U132" s="765">
        <v>-18</v>
      </c>
      <c r="V132" s="766">
        <v>-17</v>
      </c>
      <c r="W132" s="766">
        <v>-16</v>
      </c>
      <c r="X132" s="766">
        <v>-17</v>
      </c>
      <c r="Y132" s="766">
        <v>-19</v>
      </c>
      <c r="Z132" s="766">
        <v>-17</v>
      </c>
      <c r="AA132" s="767">
        <v>-18</v>
      </c>
      <c r="AC132" s="764" t="s">
        <v>272</v>
      </c>
      <c r="AD132" s="765">
        <v>-25</v>
      </c>
      <c r="AE132" s="766">
        <v>-23</v>
      </c>
      <c r="AF132" s="766">
        <v>-22</v>
      </c>
      <c r="AG132" s="766">
        <v>-22</v>
      </c>
      <c r="AH132" s="766">
        <v>-23</v>
      </c>
      <c r="AI132" s="766">
        <v>-25</v>
      </c>
      <c r="AJ132" s="767">
        <v>-24</v>
      </c>
      <c r="AL132" s="764" t="s">
        <v>272</v>
      </c>
      <c r="AM132" s="765"/>
      <c r="AN132" s="766">
        <v>-16</v>
      </c>
      <c r="AO132" s="766">
        <v>-15</v>
      </c>
      <c r="AP132" s="766">
        <v>-14</v>
      </c>
      <c r="AQ132" s="766">
        <v>-15</v>
      </c>
      <c r="AR132" s="766">
        <v>-17</v>
      </c>
      <c r="AS132" s="767">
        <v>-17</v>
      </c>
      <c r="AU132" s="764" t="s">
        <v>272</v>
      </c>
      <c r="AV132" s="765">
        <v>-20</v>
      </c>
      <c r="AW132" s="766">
        <v>-20</v>
      </c>
      <c r="AX132" s="766">
        <v>-23</v>
      </c>
      <c r="AY132" s="766">
        <v>-22</v>
      </c>
      <c r="AZ132" s="766">
        <v>-24</v>
      </c>
      <c r="BA132" s="766">
        <v>-25</v>
      </c>
      <c r="BB132" s="767">
        <v>-22</v>
      </c>
    </row>
    <row r="133" spans="2:54" x14ac:dyDescent="0.25">
      <c r="B133" s="759" t="s">
        <v>278</v>
      </c>
      <c r="C133" s="765">
        <v>-11</v>
      </c>
      <c r="D133" s="766">
        <v>-9</v>
      </c>
      <c r="E133" s="766">
        <v>-10</v>
      </c>
      <c r="F133" s="766">
        <v>-9</v>
      </c>
      <c r="G133" s="766">
        <v>-10</v>
      </c>
      <c r="H133" s="766">
        <v>-12</v>
      </c>
      <c r="I133" s="767">
        <v>-14</v>
      </c>
      <c r="K133" s="759" t="s">
        <v>278</v>
      </c>
      <c r="L133" s="765">
        <v>-14</v>
      </c>
      <c r="M133" s="766">
        <v>-12</v>
      </c>
      <c r="N133" s="766">
        <v>-12</v>
      </c>
      <c r="O133" s="766">
        <v>-16</v>
      </c>
      <c r="P133" s="766">
        <v>-17</v>
      </c>
      <c r="Q133" s="766">
        <v>-15</v>
      </c>
      <c r="R133" s="767">
        <v>-14</v>
      </c>
      <c r="T133" s="763" t="s">
        <v>278</v>
      </c>
      <c r="U133" s="765">
        <v>-19</v>
      </c>
      <c r="V133" s="766">
        <v>-18</v>
      </c>
      <c r="W133" s="766">
        <v>-17</v>
      </c>
      <c r="X133" s="766">
        <v>-17</v>
      </c>
      <c r="Y133" s="766">
        <v>-17</v>
      </c>
      <c r="Z133" s="766">
        <v>-16</v>
      </c>
      <c r="AA133" s="767">
        <v>-17</v>
      </c>
      <c r="AC133" s="764" t="s">
        <v>278</v>
      </c>
      <c r="AD133" s="765">
        <v>-25</v>
      </c>
      <c r="AE133" s="766">
        <v>-24</v>
      </c>
      <c r="AF133" s="766">
        <v>-24</v>
      </c>
      <c r="AG133" s="766">
        <v>-24</v>
      </c>
      <c r="AH133" s="766">
        <v>-23</v>
      </c>
      <c r="AI133" s="766">
        <v>-24</v>
      </c>
      <c r="AJ133" s="767">
        <v>-25</v>
      </c>
      <c r="AL133" s="764" t="s">
        <v>278</v>
      </c>
      <c r="AM133" s="765"/>
      <c r="AN133" s="766">
        <v>-16</v>
      </c>
      <c r="AO133" s="766">
        <v>-15</v>
      </c>
      <c r="AP133" s="766">
        <v>-14</v>
      </c>
      <c r="AQ133" s="766">
        <v>-14</v>
      </c>
      <c r="AR133" s="766">
        <v>-15</v>
      </c>
      <c r="AS133" s="767">
        <v>-17</v>
      </c>
      <c r="AU133" s="764" t="s">
        <v>278</v>
      </c>
      <c r="AV133" s="765">
        <v>-21</v>
      </c>
      <c r="AW133" s="766">
        <v>-20</v>
      </c>
      <c r="AX133" s="766">
        <v>-20</v>
      </c>
      <c r="AY133" s="766">
        <v>-19</v>
      </c>
      <c r="AZ133" s="766">
        <v>-21</v>
      </c>
      <c r="BA133" s="766">
        <v>-20</v>
      </c>
      <c r="BB133" s="767">
        <v>-21</v>
      </c>
    </row>
    <row r="134" spans="2:54" ht="15.75" thickBot="1" x14ac:dyDescent="0.3">
      <c r="B134" s="768" t="s">
        <v>284</v>
      </c>
      <c r="C134" s="769" t="s">
        <v>1048</v>
      </c>
      <c r="D134" s="770" t="s">
        <v>1048</v>
      </c>
      <c r="E134" s="770" t="s">
        <v>1048</v>
      </c>
      <c r="F134" s="770" t="s">
        <v>1048</v>
      </c>
      <c r="G134" s="770" t="s">
        <v>1048</v>
      </c>
      <c r="H134" s="770" t="s">
        <v>1048</v>
      </c>
      <c r="I134" s="771" t="s">
        <v>1048</v>
      </c>
      <c r="K134" s="768" t="s">
        <v>284</v>
      </c>
      <c r="L134" s="769" t="s">
        <v>1048</v>
      </c>
      <c r="M134" s="770" t="s">
        <v>1048</v>
      </c>
      <c r="N134" s="770" t="s">
        <v>1048</v>
      </c>
      <c r="O134" s="770" t="s">
        <v>1048</v>
      </c>
      <c r="P134" s="770" t="s">
        <v>1048</v>
      </c>
      <c r="Q134" s="770" t="s">
        <v>1048</v>
      </c>
      <c r="R134" s="771" t="s">
        <v>1048</v>
      </c>
      <c r="T134" s="772" t="s">
        <v>284</v>
      </c>
      <c r="U134" s="769" t="s">
        <v>1048</v>
      </c>
      <c r="V134" s="770" t="s">
        <v>1048</v>
      </c>
      <c r="W134" s="770" t="s">
        <v>1048</v>
      </c>
      <c r="X134" s="770" t="s">
        <v>1048</v>
      </c>
      <c r="Y134" s="770" t="s">
        <v>1048</v>
      </c>
      <c r="Z134" s="770" t="s">
        <v>1048</v>
      </c>
      <c r="AA134" s="771" t="s">
        <v>1048</v>
      </c>
      <c r="AC134" s="773" t="s">
        <v>284</v>
      </c>
      <c r="AD134" s="769" t="s">
        <v>1048</v>
      </c>
      <c r="AE134" s="770" t="s">
        <v>1048</v>
      </c>
      <c r="AF134" s="770" t="s">
        <v>1048</v>
      </c>
      <c r="AG134" s="770" t="s">
        <v>1048</v>
      </c>
      <c r="AH134" s="770" t="s">
        <v>1048</v>
      </c>
      <c r="AI134" s="770" t="s">
        <v>1048</v>
      </c>
      <c r="AJ134" s="771" t="s">
        <v>1048</v>
      </c>
      <c r="AL134" s="773" t="s">
        <v>284</v>
      </c>
      <c r="AM134" s="769" t="s">
        <v>1048</v>
      </c>
      <c r="AN134" s="770" t="s">
        <v>1048</v>
      </c>
      <c r="AO134" s="770" t="s">
        <v>1048</v>
      </c>
      <c r="AP134" s="770" t="s">
        <v>1048</v>
      </c>
      <c r="AQ134" s="770" t="s">
        <v>1048</v>
      </c>
      <c r="AR134" s="770" t="s">
        <v>1048</v>
      </c>
      <c r="AS134" s="771" t="s">
        <v>1048</v>
      </c>
      <c r="AU134" s="773" t="s">
        <v>284</v>
      </c>
      <c r="AV134" s="769" t="s">
        <v>1048</v>
      </c>
      <c r="AW134" s="770" t="s">
        <v>1048</v>
      </c>
      <c r="AX134" s="770" t="s">
        <v>1048</v>
      </c>
      <c r="AY134" s="770" t="s">
        <v>1048</v>
      </c>
      <c r="AZ134" s="770" t="s">
        <v>1048</v>
      </c>
      <c r="BA134" s="770" t="s">
        <v>1048</v>
      </c>
      <c r="BB134" s="771" t="s">
        <v>1048</v>
      </c>
    </row>
    <row r="135" spans="2:54" ht="15.75" thickBot="1" x14ac:dyDescent="0.3">
      <c r="B135" s="774"/>
      <c r="C135" s="775"/>
      <c r="D135" s="775"/>
      <c r="E135" s="775"/>
      <c r="F135" s="775"/>
      <c r="G135" s="775"/>
      <c r="H135" s="775"/>
      <c r="I135" s="775"/>
      <c r="K135" s="774"/>
      <c r="L135" s="775"/>
      <c r="M135" s="775"/>
      <c r="N135" s="775"/>
      <c r="O135" s="775"/>
      <c r="P135" s="775"/>
      <c r="Q135" s="775"/>
      <c r="R135" s="775"/>
      <c r="T135" s="776"/>
      <c r="U135" s="775"/>
      <c r="V135" s="775"/>
      <c r="W135" s="775"/>
      <c r="X135" s="775"/>
      <c r="Y135" s="775"/>
      <c r="Z135" s="775"/>
      <c r="AA135" s="775"/>
      <c r="AC135" s="777"/>
      <c r="AD135" s="775"/>
      <c r="AE135" s="775"/>
      <c r="AF135" s="775"/>
      <c r="AG135" s="775"/>
      <c r="AH135" s="775"/>
      <c r="AI135" s="775"/>
      <c r="AJ135" s="775"/>
      <c r="AL135" s="777"/>
      <c r="AM135" s="775"/>
      <c r="AN135" s="775"/>
      <c r="AO135" s="775"/>
      <c r="AP135" s="775"/>
      <c r="AQ135" s="775"/>
      <c r="AR135" s="775"/>
      <c r="AS135" s="775"/>
      <c r="AU135" s="777"/>
      <c r="AV135" s="775"/>
      <c r="AW135" s="775"/>
      <c r="AX135" s="775"/>
      <c r="AY135" s="775"/>
      <c r="AZ135" s="775"/>
      <c r="BA135" s="775"/>
      <c r="BB135" s="775"/>
    </row>
    <row r="136" spans="2:54" ht="15.75" thickBot="1" x14ac:dyDescent="0.3">
      <c r="B136" s="748" t="s">
        <v>1038</v>
      </c>
      <c r="C136" s="778" t="s">
        <v>187</v>
      </c>
      <c r="D136" s="778" t="s">
        <v>214</v>
      </c>
      <c r="E136" s="778" t="s">
        <v>233</v>
      </c>
      <c r="F136" s="778" t="s">
        <v>242</v>
      </c>
      <c r="G136" s="778" t="s">
        <v>250</v>
      </c>
      <c r="H136" s="778" t="s">
        <v>258</v>
      </c>
      <c r="I136" s="779" t="s">
        <v>265</v>
      </c>
      <c r="K136" s="748" t="s">
        <v>1038</v>
      </c>
      <c r="L136" s="778" t="s">
        <v>187</v>
      </c>
      <c r="M136" s="778" t="s">
        <v>214</v>
      </c>
      <c r="N136" s="778" t="s">
        <v>233</v>
      </c>
      <c r="O136" s="778" t="s">
        <v>242</v>
      </c>
      <c r="P136" s="778" t="s">
        <v>250</v>
      </c>
      <c r="Q136" s="778" t="s">
        <v>258</v>
      </c>
      <c r="R136" s="779" t="s">
        <v>265</v>
      </c>
      <c r="T136" s="751" t="s">
        <v>1038</v>
      </c>
      <c r="U136" s="778" t="s">
        <v>187</v>
      </c>
      <c r="V136" s="778" t="s">
        <v>214</v>
      </c>
      <c r="W136" s="778" t="s">
        <v>233</v>
      </c>
      <c r="X136" s="778" t="s">
        <v>242</v>
      </c>
      <c r="Y136" s="778" t="s">
        <v>250</v>
      </c>
      <c r="Z136" s="778" t="s">
        <v>258</v>
      </c>
      <c r="AA136" s="779" t="s">
        <v>265</v>
      </c>
      <c r="AC136" s="752" t="s">
        <v>1038</v>
      </c>
      <c r="AD136" s="778" t="s">
        <v>187</v>
      </c>
      <c r="AE136" s="778" t="s">
        <v>214</v>
      </c>
      <c r="AF136" s="778" t="s">
        <v>233</v>
      </c>
      <c r="AG136" s="778" t="s">
        <v>242</v>
      </c>
      <c r="AH136" s="778" t="s">
        <v>250</v>
      </c>
      <c r="AI136" s="778" t="s">
        <v>258</v>
      </c>
      <c r="AJ136" s="779" t="s">
        <v>265</v>
      </c>
      <c r="AL136" s="752" t="s">
        <v>1038</v>
      </c>
      <c r="AM136" s="778" t="s">
        <v>187</v>
      </c>
      <c r="AN136" s="778" t="s">
        <v>214</v>
      </c>
      <c r="AO136" s="778" t="s">
        <v>233</v>
      </c>
      <c r="AP136" s="778" t="s">
        <v>242</v>
      </c>
      <c r="AQ136" s="778" t="s">
        <v>250</v>
      </c>
      <c r="AR136" s="778" t="s">
        <v>258</v>
      </c>
      <c r="AS136" s="779" t="s">
        <v>265</v>
      </c>
      <c r="AU136" s="752" t="s">
        <v>1038</v>
      </c>
      <c r="AV136" s="778" t="s">
        <v>187</v>
      </c>
      <c r="AW136" s="778" t="s">
        <v>214</v>
      </c>
      <c r="AX136" s="778" t="s">
        <v>233</v>
      </c>
      <c r="AY136" s="778" t="s">
        <v>242</v>
      </c>
      <c r="AZ136" s="778" t="s">
        <v>250</v>
      </c>
      <c r="BA136" s="778" t="s">
        <v>258</v>
      </c>
      <c r="BB136" s="779" t="s">
        <v>265</v>
      </c>
    </row>
    <row r="137" spans="2:54" x14ac:dyDescent="0.25">
      <c r="B137" s="753" t="s">
        <v>186</v>
      </c>
      <c r="C137" s="754">
        <v>-33</v>
      </c>
      <c r="D137" s="755">
        <v>-28</v>
      </c>
      <c r="E137" s="755">
        <v>-24</v>
      </c>
      <c r="F137" s="755">
        <v>-31</v>
      </c>
      <c r="G137" s="755">
        <v>-34</v>
      </c>
      <c r="H137" s="755">
        <v>-36</v>
      </c>
      <c r="I137" s="756">
        <v>-40</v>
      </c>
      <c r="K137" s="753" t="s">
        <v>186</v>
      </c>
      <c r="L137" s="754">
        <v>-29</v>
      </c>
      <c r="M137" s="755">
        <v>-30</v>
      </c>
      <c r="N137" s="755">
        <v>-30</v>
      </c>
      <c r="O137" s="755">
        <v>-29</v>
      </c>
      <c r="P137" s="755">
        <v>-32</v>
      </c>
      <c r="Q137" s="755">
        <v>-31</v>
      </c>
      <c r="R137" s="756">
        <v>-33</v>
      </c>
      <c r="T137" s="757" t="s">
        <v>186</v>
      </c>
      <c r="U137" s="754">
        <v>-37</v>
      </c>
      <c r="V137" s="755">
        <v>-35</v>
      </c>
      <c r="W137" s="755">
        <v>-38</v>
      </c>
      <c r="X137" s="755">
        <v>-44</v>
      </c>
      <c r="Y137" s="755">
        <v>-47</v>
      </c>
      <c r="Z137" s="755">
        <v>-43</v>
      </c>
      <c r="AA137" s="756">
        <v>-45</v>
      </c>
      <c r="AC137" s="758" t="s">
        <v>186</v>
      </c>
      <c r="AD137" s="754">
        <v>-40</v>
      </c>
      <c r="AE137" s="755">
        <v>-41</v>
      </c>
      <c r="AF137" s="755">
        <v>-47</v>
      </c>
      <c r="AG137" s="755">
        <v>-47</v>
      </c>
      <c r="AH137" s="755">
        <v>-53</v>
      </c>
      <c r="AI137" s="755">
        <v>-51</v>
      </c>
      <c r="AJ137" s="756">
        <v>-48</v>
      </c>
      <c r="AL137" s="758" t="s">
        <v>186</v>
      </c>
      <c r="AM137" s="754"/>
      <c r="AN137" s="755"/>
      <c r="AO137" s="755">
        <v>-30</v>
      </c>
      <c r="AP137" s="755">
        <v>-27</v>
      </c>
      <c r="AQ137" s="755">
        <v>-29</v>
      </c>
      <c r="AR137" s="755">
        <v>-33</v>
      </c>
      <c r="AS137" s="756">
        <v>-36</v>
      </c>
      <c r="AU137" s="758" t="s">
        <v>186</v>
      </c>
      <c r="AV137" s="754">
        <v>-40</v>
      </c>
      <c r="AW137" s="755">
        <v>-38</v>
      </c>
      <c r="AX137" s="755">
        <v>-43</v>
      </c>
      <c r="AY137" s="755">
        <v>-47</v>
      </c>
      <c r="AZ137" s="755">
        <v>-48</v>
      </c>
      <c r="BA137" s="755">
        <v>-51</v>
      </c>
      <c r="BB137" s="756">
        <v>-50</v>
      </c>
    </row>
    <row r="138" spans="2:54" x14ac:dyDescent="0.25">
      <c r="B138" s="759" t="s">
        <v>213</v>
      </c>
      <c r="C138" s="760">
        <v>-27</v>
      </c>
      <c r="D138" s="761">
        <v>-22</v>
      </c>
      <c r="E138" s="761">
        <v>-20</v>
      </c>
      <c r="F138" s="761">
        <v>-28</v>
      </c>
      <c r="G138" s="761">
        <v>-32</v>
      </c>
      <c r="H138" s="761">
        <v>-34</v>
      </c>
      <c r="I138" s="762">
        <v>-37</v>
      </c>
      <c r="K138" s="759" t="s">
        <v>213</v>
      </c>
      <c r="L138" s="760">
        <v>-33</v>
      </c>
      <c r="M138" s="761">
        <v>-27</v>
      </c>
      <c r="N138" s="761">
        <v>-30</v>
      </c>
      <c r="O138" s="761">
        <v>-30</v>
      </c>
      <c r="P138" s="761">
        <v>-30</v>
      </c>
      <c r="Q138" s="761">
        <v>-32</v>
      </c>
      <c r="R138" s="762">
        <v>-32</v>
      </c>
      <c r="T138" s="763" t="s">
        <v>213</v>
      </c>
      <c r="U138" s="760">
        <v>-37</v>
      </c>
      <c r="V138" s="761">
        <v>-40</v>
      </c>
      <c r="W138" s="761">
        <v>-44</v>
      </c>
      <c r="X138" s="761">
        <v>-45</v>
      </c>
      <c r="Y138" s="761">
        <v>-47</v>
      </c>
      <c r="Z138" s="761">
        <v>-48</v>
      </c>
      <c r="AA138" s="762">
        <v>-47</v>
      </c>
      <c r="AC138" s="764" t="s">
        <v>213</v>
      </c>
      <c r="AD138" s="760">
        <v>-50</v>
      </c>
      <c r="AE138" s="761">
        <v>-46</v>
      </c>
      <c r="AF138" s="761">
        <v>-43</v>
      </c>
      <c r="AG138" s="761">
        <v>-45</v>
      </c>
      <c r="AH138" s="761">
        <v>-51</v>
      </c>
      <c r="AI138" s="761">
        <v>-52</v>
      </c>
      <c r="AJ138" s="762">
        <v>-46</v>
      </c>
      <c r="AL138" s="764" t="s">
        <v>213</v>
      </c>
      <c r="AM138" s="760"/>
      <c r="AN138" s="761"/>
      <c r="AO138" s="761">
        <v>-32</v>
      </c>
      <c r="AP138" s="761">
        <v>-30</v>
      </c>
      <c r="AQ138" s="761">
        <v>-27</v>
      </c>
      <c r="AR138" s="761">
        <v>-33</v>
      </c>
      <c r="AS138" s="762">
        <v>-34</v>
      </c>
      <c r="AU138" s="764" t="s">
        <v>213</v>
      </c>
      <c r="AV138" s="760">
        <v>-43</v>
      </c>
      <c r="AW138" s="761">
        <v>-45</v>
      </c>
      <c r="AX138" s="761">
        <v>-45</v>
      </c>
      <c r="AY138" s="761">
        <v>-47</v>
      </c>
      <c r="AZ138" s="761">
        <v>-47</v>
      </c>
      <c r="BA138" s="761">
        <v>-51</v>
      </c>
      <c r="BB138" s="762">
        <v>-54</v>
      </c>
    </row>
    <row r="139" spans="2:54" x14ac:dyDescent="0.25">
      <c r="B139" s="759" t="s">
        <v>232</v>
      </c>
      <c r="C139" s="765">
        <v>-22</v>
      </c>
      <c r="D139" s="766">
        <v>-21</v>
      </c>
      <c r="E139" s="766">
        <v>-19</v>
      </c>
      <c r="F139" s="766">
        <v>-25</v>
      </c>
      <c r="G139" s="766">
        <v>-29</v>
      </c>
      <c r="H139" s="766">
        <v>-31</v>
      </c>
      <c r="I139" s="767">
        <v>-35</v>
      </c>
      <c r="K139" s="759" t="s">
        <v>232</v>
      </c>
      <c r="L139" s="765">
        <v>-29</v>
      </c>
      <c r="M139" s="766">
        <v>-33</v>
      </c>
      <c r="N139" s="766">
        <v>-30</v>
      </c>
      <c r="O139" s="766">
        <v>-33</v>
      </c>
      <c r="P139" s="766">
        <v>-28</v>
      </c>
      <c r="Q139" s="766">
        <v>-31</v>
      </c>
      <c r="R139" s="767">
        <v>-33</v>
      </c>
      <c r="T139" s="763" t="s">
        <v>232</v>
      </c>
      <c r="U139" s="765">
        <v>-37</v>
      </c>
      <c r="V139" s="766">
        <v>-40</v>
      </c>
      <c r="W139" s="766">
        <v>-42</v>
      </c>
      <c r="X139" s="766">
        <v>-45</v>
      </c>
      <c r="Y139" s="766">
        <v>-45</v>
      </c>
      <c r="Z139" s="766">
        <v>-46</v>
      </c>
      <c r="AA139" s="767">
        <v>-46</v>
      </c>
      <c r="AC139" s="764" t="s">
        <v>232</v>
      </c>
      <c r="AD139" s="765">
        <v>-46</v>
      </c>
      <c r="AE139" s="766">
        <v>-44</v>
      </c>
      <c r="AF139" s="766">
        <v>-42</v>
      </c>
      <c r="AG139" s="766">
        <v>-46</v>
      </c>
      <c r="AH139" s="766">
        <v>-49</v>
      </c>
      <c r="AI139" s="766">
        <v>-50</v>
      </c>
      <c r="AJ139" s="767">
        <v>-46</v>
      </c>
      <c r="AL139" s="764" t="s">
        <v>232</v>
      </c>
      <c r="AM139" s="765"/>
      <c r="AN139" s="766"/>
      <c r="AO139" s="766">
        <v>-28</v>
      </c>
      <c r="AP139" s="766">
        <v>-28</v>
      </c>
      <c r="AQ139" s="766">
        <v>-28</v>
      </c>
      <c r="AR139" s="766">
        <v>-31</v>
      </c>
      <c r="AS139" s="767">
        <v>-33</v>
      </c>
      <c r="AU139" s="764" t="s">
        <v>232</v>
      </c>
      <c r="AV139" s="765">
        <v>-39</v>
      </c>
      <c r="AW139" s="766">
        <v>-45</v>
      </c>
      <c r="AX139" s="766">
        <v>-43</v>
      </c>
      <c r="AY139" s="766">
        <v>-45</v>
      </c>
      <c r="AZ139" s="766">
        <v>-45</v>
      </c>
      <c r="BA139" s="766">
        <v>-50</v>
      </c>
      <c r="BB139" s="767">
        <v>-52</v>
      </c>
    </row>
    <row r="140" spans="2:54" x14ac:dyDescent="0.25">
      <c r="B140" s="759" t="s">
        <v>215</v>
      </c>
      <c r="C140" s="765">
        <v>-17</v>
      </c>
      <c r="D140" s="766">
        <v>-17</v>
      </c>
      <c r="E140" s="766">
        <v>-21</v>
      </c>
      <c r="F140" s="766">
        <v>-22</v>
      </c>
      <c r="G140" s="766">
        <v>-27</v>
      </c>
      <c r="H140" s="766">
        <v>-28</v>
      </c>
      <c r="I140" s="767">
        <v>-33</v>
      </c>
      <c r="K140" s="759" t="s">
        <v>215</v>
      </c>
      <c r="L140" s="765">
        <v>-24</v>
      </c>
      <c r="M140" s="766">
        <v>-28</v>
      </c>
      <c r="N140" s="766">
        <v>-26</v>
      </c>
      <c r="O140" s="766">
        <v>-32</v>
      </c>
      <c r="P140" s="766">
        <v>-32</v>
      </c>
      <c r="Q140" s="766">
        <v>-32</v>
      </c>
      <c r="R140" s="767">
        <v>-32</v>
      </c>
      <c r="T140" s="763" t="s">
        <v>215</v>
      </c>
      <c r="U140" s="765">
        <v>-40</v>
      </c>
      <c r="V140" s="766">
        <v>-42</v>
      </c>
      <c r="W140" s="766">
        <v>-46</v>
      </c>
      <c r="X140" s="766">
        <v>-45</v>
      </c>
      <c r="Y140" s="766">
        <v>-46</v>
      </c>
      <c r="Z140" s="766">
        <v>-48</v>
      </c>
      <c r="AA140" s="767">
        <v>-50</v>
      </c>
      <c r="AC140" s="764" t="s">
        <v>215</v>
      </c>
      <c r="AD140" s="765">
        <v>-42</v>
      </c>
      <c r="AE140" s="766">
        <v>-41</v>
      </c>
      <c r="AF140" s="766">
        <v>-45</v>
      </c>
      <c r="AG140" s="766">
        <v>-44</v>
      </c>
      <c r="AH140" s="766">
        <v>-48</v>
      </c>
      <c r="AI140" s="766">
        <v>-48</v>
      </c>
      <c r="AJ140" s="767">
        <v>-52</v>
      </c>
      <c r="AL140" s="764" t="s">
        <v>215</v>
      </c>
      <c r="AM140" s="765"/>
      <c r="AN140" s="766">
        <v>-25</v>
      </c>
      <c r="AO140" s="766">
        <v>-24</v>
      </c>
      <c r="AP140" s="766">
        <v>-24</v>
      </c>
      <c r="AQ140" s="766">
        <v>-25</v>
      </c>
      <c r="AR140" s="766">
        <v>-28</v>
      </c>
      <c r="AS140" s="767">
        <v>-30</v>
      </c>
      <c r="AU140" s="764" t="s">
        <v>215</v>
      </c>
      <c r="AV140" s="765">
        <v>-42</v>
      </c>
      <c r="AW140" s="766">
        <v>-42</v>
      </c>
      <c r="AX140" s="766">
        <v>-43</v>
      </c>
      <c r="AY140" s="766">
        <v>-43</v>
      </c>
      <c r="AZ140" s="766">
        <v>-45</v>
      </c>
      <c r="BA140" s="766">
        <v>-52</v>
      </c>
      <c r="BB140" s="767">
        <v>-50</v>
      </c>
    </row>
    <row r="141" spans="2:54" x14ac:dyDescent="0.25">
      <c r="B141" s="759" t="s">
        <v>249</v>
      </c>
      <c r="C141" s="765">
        <v>-20</v>
      </c>
      <c r="D141" s="766">
        <v>-18</v>
      </c>
      <c r="E141" s="766">
        <v>-20</v>
      </c>
      <c r="F141" s="766">
        <v>-20</v>
      </c>
      <c r="G141" s="766">
        <v>-22</v>
      </c>
      <c r="H141" s="766">
        <v>-27</v>
      </c>
      <c r="I141" s="767">
        <v>-31</v>
      </c>
      <c r="K141" s="759" t="s">
        <v>249</v>
      </c>
      <c r="L141" s="765">
        <v>-26</v>
      </c>
      <c r="M141" s="766">
        <v>-24</v>
      </c>
      <c r="N141" s="766">
        <v>-27</v>
      </c>
      <c r="O141" s="766">
        <v>-26</v>
      </c>
      <c r="P141" s="766">
        <v>-27</v>
      </c>
      <c r="Q141" s="766">
        <v>-33</v>
      </c>
      <c r="R141" s="767">
        <v>-30</v>
      </c>
      <c r="T141" s="763" t="s">
        <v>249</v>
      </c>
      <c r="U141" s="765">
        <v>-37</v>
      </c>
      <c r="V141" s="766">
        <v>-42</v>
      </c>
      <c r="W141" s="766">
        <v>-43</v>
      </c>
      <c r="X141" s="766">
        <v>-44</v>
      </c>
      <c r="Y141" s="766">
        <v>-45</v>
      </c>
      <c r="Z141" s="766">
        <v>-45</v>
      </c>
      <c r="AA141" s="767">
        <v>-48</v>
      </c>
      <c r="AC141" s="764" t="s">
        <v>249</v>
      </c>
      <c r="AD141" s="765">
        <v>-41</v>
      </c>
      <c r="AE141" s="766">
        <v>-42</v>
      </c>
      <c r="AF141" s="766">
        <v>-42</v>
      </c>
      <c r="AG141" s="766">
        <v>-42</v>
      </c>
      <c r="AH141" s="766">
        <v>-44</v>
      </c>
      <c r="AI141" s="766">
        <v>-44</v>
      </c>
      <c r="AJ141" s="767">
        <v>-50</v>
      </c>
      <c r="AL141" s="764" t="s">
        <v>249</v>
      </c>
      <c r="AM141" s="765"/>
      <c r="AN141" s="766">
        <v>-22</v>
      </c>
      <c r="AO141" s="766">
        <v>-22</v>
      </c>
      <c r="AP141" s="766">
        <v>-22</v>
      </c>
      <c r="AQ141" s="766">
        <v>-24</v>
      </c>
      <c r="AR141" s="766">
        <v>-25</v>
      </c>
      <c r="AS141" s="767">
        <v>-30</v>
      </c>
      <c r="AU141" s="764" t="s">
        <v>249</v>
      </c>
      <c r="AV141" s="765">
        <v>-46</v>
      </c>
      <c r="AW141" s="766">
        <v>-46</v>
      </c>
      <c r="AX141" s="766">
        <v>-45</v>
      </c>
      <c r="AY141" s="766">
        <v>-45</v>
      </c>
      <c r="AZ141" s="766">
        <v>-44</v>
      </c>
      <c r="BA141" s="766">
        <v>-49</v>
      </c>
      <c r="BB141" s="767">
        <v>-52</v>
      </c>
    </row>
    <row r="142" spans="2:54" x14ac:dyDescent="0.25">
      <c r="B142" s="759" t="s">
        <v>257</v>
      </c>
      <c r="C142" s="765">
        <v>-17</v>
      </c>
      <c r="D142" s="766">
        <v>-18</v>
      </c>
      <c r="E142" s="766">
        <v>-16</v>
      </c>
      <c r="F142" s="766">
        <v>-16</v>
      </c>
      <c r="G142" s="766">
        <v>-23</v>
      </c>
      <c r="H142" s="766">
        <v>-29</v>
      </c>
      <c r="I142" s="767">
        <v>-28</v>
      </c>
      <c r="K142" s="759" t="s">
        <v>257</v>
      </c>
      <c r="L142" s="765">
        <v>-22</v>
      </c>
      <c r="M142" s="766">
        <v>-24</v>
      </c>
      <c r="N142" s="766">
        <v>-23</v>
      </c>
      <c r="O142" s="766">
        <v>-27</v>
      </c>
      <c r="P142" s="766">
        <v>-26</v>
      </c>
      <c r="Q142" s="766">
        <v>-27</v>
      </c>
      <c r="R142" s="767">
        <v>-31</v>
      </c>
      <c r="T142" s="763" t="s">
        <v>257</v>
      </c>
      <c r="U142" s="765">
        <v>-36</v>
      </c>
      <c r="V142" s="766">
        <v>-42</v>
      </c>
      <c r="W142" s="766">
        <v>-41</v>
      </c>
      <c r="X142" s="766">
        <v>-44</v>
      </c>
      <c r="Y142" s="766">
        <v>-43</v>
      </c>
      <c r="Z142" s="766">
        <v>-44</v>
      </c>
      <c r="AA142" s="767">
        <v>-46</v>
      </c>
      <c r="AC142" s="764" t="s">
        <v>257</v>
      </c>
      <c r="AD142" s="765">
        <v>-47</v>
      </c>
      <c r="AE142" s="766">
        <v>-45</v>
      </c>
      <c r="AF142" s="766">
        <v>-44</v>
      </c>
      <c r="AG142" s="766">
        <v>-44</v>
      </c>
      <c r="AH142" s="766">
        <v>-44</v>
      </c>
      <c r="AI142" s="766">
        <v>-45</v>
      </c>
      <c r="AJ142" s="767">
        <v>-49</v>
      </c>
      <c r="AL142" s="764" t="s">
        <v>257</v>
      </c>
      <c r="AM142" s="765"/>
      <c r="AN142" s="766">
        <v>-20</v>
      </c>
      <c r="AO142" s="766">
        <v>-23</v>
      </c>
      <c r="AP142" s="766">
        <v>-22</v>
      </c>
      <c r="AQ142" s="766">
        <v>-22</v>
      </c>
      <c r="AR142" s="766">
        <v>-23</v>
      </c>
      <c r="AS142" s="767">
        <v>-28</v>
      </c>
      <c r="AU142" s="764" t="s">
        <v>257</v>
      </c>
      <c r="AV142" s="765">
        <v>-41</v>
      </c>
      <c r="AW142" s="766">
        <v>-42</v>
      </c>
      <c r="AX142" s="766">
        <v>-41</v>
      </c>
      <c r="AY142" s="766">
        <v>-41</v>
      </c>
      <c r="AZ142" s="766">
        <v>-41</v>
      </c>
      <c r="BA142" s="766">
        <v>-44</v>
      </c>
      <c r="BB142" s="767">
        <v>-48</v>
      </c>
    </row>
    <row r="143" spans="2:54" x14ac:dyDescent="0.25">
      <c r="B143" s="759" t="s">
        <v>264</v>
      </c>
      <c r="C143" s="765">
        <v>-20</v>
      </c>
      <c r="D143" s="766">
        <v>-19</v>
      </c>
      <c r="E143" s="766">
        <v>-21</v>
      </c>
      <c r="F143" s="766">
        <v>-25</v>
      </c>
      <c r="G143" s="766">
        <v>-26</v>
      </c>
      <c r="H143" s="766">
        <v>-29</v>
      </c>
      <c r="I143" s="767">
        <v>-30</v>
      </c>
      <c r="K143" s="759" t="s">
        <v>264</v>
      </c>
      <c r="L143" s="765">
        <v>-25</v>
      </c>
      <c r="M143" s="766">
        <v>-23</v>
      </c>
      <c r="N143" s="766">
        <v>-21</v>
      </c>
      <c r="O143" s="766">
        <v>-27</v>
      </c>
      <c r="P143" s="766">
        <v>-28</v>
      </c>
      <c r="Q143" s="766">
        <v>-27</v>
      </c>
      <c r="R143" s="767">
        <v>-34</v>
      </c>
      <c r="T143" s="763" t="s">
        <v>264</v>
      </c>
      <c r="U143" s="765">
        <v>-34</v>
      </c>
      <c r="V143" s="766">
        <v>-39</v>
      </c>
      <c r="W143" s="766">
        <v>-38</v>
      </c>
      <c r="X143" s="766">
        <v>-38</v>
      </c>
      <c r="Y143" s="766">
        <v>-38</v>
      </c>
      <c r="Z143" s="766">
        <v>-38</v>
      </c>
      <c r="AA143" s="767">
        <v>-37</v>
      </c>
      <c r="AC143" s="764" t="s">
        <v>264</v>
      </c>
      <c r="AD143" s="765">
        <v>-38</v>
      </c>
      <c r="AE143" s="766">
        <v>-40</v>
      </c>
      <c r="AF143" s="766">
        <v>-41</v>
      </c>
      <c r="AG143" s="766">
        <v>-41</v>
      </c>
      <c r="AH143" s="766">
        <v>-43</v>
      </c>
      <c r="AI143" s="766">
        <v>-48</v>
      </c>
      <c r="AJ143" s="767">
        <v>-46</v>
      </c>
      <c r="AL143" s="764" t="s">
        <v>264</v>
      </c>
      <c r="AM143" s="765"/>
      <c r="AN143" s="766">
        <v>-22</v>
      </c>
      <c r="AO143" s="766">
        <v>-24</v>
      </c>
      <c r="AP143" s="766">
        <v>-22</v>
      </c>
      <c r="AQ143" s="766">
        <v>-24</v>
      </c>
      <c r="AR143" s="766">
        <v>-25</v>
      </c>
      <c r="AS143" s="767">
        <v>-24</v>
      </c>
      <c r="AU143" s="764" t="s">
        <v>264</v>
      </c>
      <c r="AV143" s="765">
        <v>-39</v>
      </c>
      <c r="AW143" s="766">
        <v>-38</v>
      </c>
      <c r="AX143" s="766">
        <v>-40</v>
      </c>
      <c r="AY143" s="766">
        <v>-39</v>
      </c>
      <c r="AZ143" s="766">
        <v>-40</v>
      </c>
      <c r="BA143" s="766">
        <v>-43</v>
      </c>
      <c r="BB143" s="767">
        <v>-44</v>
      </c>
    </row>
    <row r="144" spans="2:54" x14ac:dyDescent="0.25">
      <c r="B144" s="759" t="s">
        <v>272</v>
      </c>
      <c r="C144" s="765">
        <v>-21</v>
      </c>
      <c r="D144" s="766">
        <v>-23</v>
      </c>
      <c r="E144" s="766">
        <v>-22</v>
      </c>
      <c r="F144" s="766">
        <v>-22</v>
      </c>
      <c r="G144" s="766">
        <v>-23</v>
      </c>
      <c r="H144" s="766">
        <v>-31</v>
      </c>
      <c r="I144" s="767">
        <v>-30</v>
      </c>
      <c r="K144" s="759" t="s">
        <v>272</v>
      </c>
      <c r="L144" s="765">
        <v>-28</v>
      </c>
      <c r="M144" s="766">
        <v>-33</v>
      </c>
      <c r="N144" s="766">
        <v>-34</v>
      </c>
      <c r="O144" s="766">
        <v>-36</v>
      </c>
      <c r="P144" s="766">
        <v>-34</v>
      </c>
      <c r="Q144" s="766">
        <v>-38</v>
      </c>
      <c r="R144" s="767">
        <v>-35</v>
      </c>
      <c r="T144" s="763" t="s">
        <v>272</v>
      </c>
      <c r="U144" s="765">
        <v>-30</v>
      </c>
      <c r="V144" s="766">
        <v>-30</v>
      </c>
      <c r="W144" s="766">
        <v>-32</v>
      </c>
      <c r="X144" s="766">
        <v>-33</v>
      </c>
      <c r="Y144" s="766">
        <v>-33</v>
      </c>
      <c r="Z144" s="766">
        <v>-33</v>
      </c>
      <c r="AA144" s="767">
        <v>-35</v>
      </c>
      <c r="AC144" s="764" t="s">
        <v>272</v>
      </c>
      <c r="AD144" s="765">
        <v>-42</v>
      </c>
      <c r="AE144" s="766">
        <v>-41</v>
      </c>
      <c r="AF144" s="766">
        <v>-43</v>
      </c>
      <c r="AG144" s="766">
        <v>-44</v>
      </c>
      <c r="AH144" s="766">
        <v>-44</v>
      </c>
      <c r="AI144" s="766">
        <v>-44</v>
      </c>
      <c r="AJ144" s="767">
        <v>-47</v>
      </c>
      <c r="AL144" s="764" t="s">
        <v>272</v>
      </c>
      <c r="AM144" s="765"/>
      <c r="AN144" s="766">
        <v>-27</v>
      </c>
      <c r="AO144" s="766">
        <v>-26</v>
      </c>
      <c r="AP144" s="766">
        <v>-25</v>
      </c>
      <c r="AQ144" s="766">
        <v>-27</v>
      </c>
      <c r="AR144" s="766">
        <v>-31</v>
      </c>
      <c r="AS144" s="767">
        <v>-32</v>
      </c>
      <c r="AU144" s="764" t="s">
        <v>272</v>
      </c>
      <c r="AV144" s="765">
        <v>-41</v>
      </c>
      <c r="AW144" s="766">
        <v>-40</v>
      </c>
      <c r="AX144" s="766">
        <v>-39</v>
      </c>
      <c r="AY144" s="766">
        <v>-39</v>
      </c>
      <c r="AZ144" s="766">
        <v>-37</v>
      </c>
      <c r="BA144" s="766">
        <v>-39</v>
      </c>
      <c r="BB144" s="767">
        <v>-42</v>
      </c>
    </row>
    <row r="145" spans="2:54" x14ac:dyDescent="0.25">
      <c r="B145" s="759" t="s">
        <v>278</v>
      </c>
      <c r="C145" s="765">
        <v>-25</v>
      </c>
      <c r="D145" s="766">
        <v>-24</v>
      </c>
      <c r="E145" s="766">
        <v>-24</v>
      </c>
      <c r="F145" s="766">
        <v>-26</v>
      </c>
      <c r="G145" s="766">
        <v>-32</v>
      </c>
      <c r="H145" s="766">
        <v>-35</v>
      </c>
      <c r="I145" s="767">
        <v>-38</v>
      </c>
      <c r="K145" s="759" t="s">
        <v>278</v>
      </c>
      <c r="L145" s="765">
        <v>-35</v>
      </c>
      <c r="M145" s="766">
        <v>-33</v>
      </c>
      <c r="N145" s="766">
        <v>-34</v>
      </c>
      <c r="O145" s="766">
        <v>-34</v>
      </c>
      <c r="P145" s="766">
        <v>-37</v>
      </c>
      <c r="Q145" s="766">
        <v>-37</v>
      </c>
      <c r="R145" s="767">
        <v>-38</v>
      </c>
      <c r="T145" s="763" t="s">
        <v>278</v>
      </c>
      <c r="U145" s="765">
        <v>-30</v>
      </c>
      <c r="V145" s="766">
        <v>-28</v>
      </c>
      <c r="W145" s="766">
        <v>-33</v>
      </c>
      <c r="X145" s="766">
        <v>-34</v>
      </c>
      <c r="Y145" s="766">
        <v>-39</v>
      </c>
      <c r="Z145" s="766">
        <v>-39</v>
      </c>
      <c r="AA145" s="767">
        <v>-38</v>
      </c>
      <c r="AC145" s="764" t="s">
        <v>278</v>
      </c>
      <c r="AD145" s="765">
        <v>-38</v>
      </c>
      <c r="AE145" s="766">
        <v>-37</v>
      </c>
      <c r="AF145" s="766">
        <v>-36</v>
      </c>
      <c r="AG145" s="766">
        <v>-37</v>
      </c>
      <c r="AH145" s="766">
        <v>-42</v>
      </c>
      <c r="AI145" s="766">
        <v>-42</v>
      </c>
      <c r="AJ145" s="767">
        <v>-44</v>
      </c>
      <c r="AL145" s="764" t="s">
        <v>278</v>
      </c>
      <c r="AM145" s="765"/>
      <c r="AN145" s="766">
        <v>-25</v>
      </c>
      <c r="AO145" s="766">
        <v>-25</v>
      </c>
      <c r="AP145" s="766">
        <v>-27</v>
      </c>
      <c r="AQ145" s="766">
        <v>-28</v>
      </c>
      <c r="AR145" s="766">
        <v>-31</v>
      </c>
      <c r="AS145" s="767">
        <v>-32</v>
      </c>
      <c r="AU145" s="764" t="s">
        <v>278</v>
      </c>
      <c r="AV145" s="765">
        <v>-30</v>
      </c>
      <c r="AW145" s="766">
        <v>-31</v>
      </c>
      <c r="AX145" s="766">
        <v>-34</v>
      </c>
      <c r="AY145" s="766">
        <v>-37</v>
      </c>
      <c r="AZ145" s="766">
        <v>-42</v>
      </c>
      <c r="BA145" s="766">
        <v>-45</v>
      </c>
      <c r="BB145" s="767">
        <v>-46</v>
      </c>
    </row>
    <row r="146" spans="2:54" ht="15.75" thickBot="1" x14ac:dyDescent="0.3">
      <c r="B146" s="768" t="s">
        <v>284</v>
      </c>
      <c r="C146" s="769" t="s">
        <v>1048</v>
      </c>
      <c r="D146" s="770" t="s">
        <v>1048</v>
      </c>
      <c r="E146" s="770" t="s">
        <v>1048</v>
      </c>
      <c r="F146" s="770" t="s">
        <v>1048</v>
      </c>
      <c r="G146" s="770" t="s">
        <v>1048</v>
      </c>
      <c r="H146" s="770" t="s">
        <v>1048</v>
      </c>
      <c r="I146" s="771" t="s">
        <v>1048</v>
      </c>
      <c r="K146" s="768" t="s">
        <v>284</v>
      </c>
      <c r="L146" s="769" t="s">
        <v>1048</v>
      </c>
      <c r="M146" s="770" t="s">
        <v>1048</v>
      </c>
      <c r="N146" s="770" t="s">
        <v>1048</v>
      </c>
      <c r="O146" s="770" t="s">
        <v>1048</v>
      </c>
      <c r="P146" s="770" t="s">
        <v>1048</v>
      </c>
      <c r="Q146" s="770" t="s">
        <v>1048</v>
      </c>
      <c r="R146" s="771" t="s">
        <v>1048</v>
      </c>
      <c r="T146" s="772" t="s">
        <v>284</v>
      </c>
      <c r="U146" s="769" t="s">
        <v>1048</v>
      </c>
      <c r="V146" s="770" t="s">
        <v>1048</v>
      </c>
      <c r="W146" s="770" t="s">
        <v>1048</v>
      </c>
      <c r="X146" s="770" t="s">
        <v>1048</v>
      </c>
      <c r="Y146" s="770" t="s">
        <v>1048</v>
      </c>
      <c r="Z146" s="770" t="s">
        <v>1048</v>
      </c>
      <c r="AA146" s="771" t="s">
        <v>1048</v>
      </c>
      <c r="AC146" s="773" t="s">
        <v>284</v>
      </c>
      <c r="AD146" s="769" t="s">
        <v>1048</v>
      </c>
      <c r="AE146" s="770" t="s">
        <v>1048</v>
      </c>
      <c r="AF146" s="770" t="s">
        <v>1048</v>
      </c>
      <c r="AG146" s="770" t="s">
        <v>1048</v>
      </c>
      <c r="AH146" s="770" t="s">
        <v>1048</v>
      </c>
      <c r="AI146" s="770" t="s">
        <v>1048</v>
      </c>
      <c r="AJ146" s="771" t="s">
        <v>1048</v>
      </c>
      <c r="AL146" s="773" t="s">
        <v>284</v>
      </c>
      <c r="AM146" s="769" t="s">
        <v>1048</v>
      </c>
      <c r="AN146" s="770" t="s">
        <v>1048</v>
      </c>
      <c r="AO146" s="770" t="s">
        <v>1048</v>
      </c>
      <c r="AP146" s="770" t="s">
        <v>1048</v>
      </c>
      <c r="AQ146" s="770" t="s">
        <v>1048</v>
      </c>
      <c r="AR146" s="770" t="s">
        <v>1048</v>
      </c>
      <c r="AS146" s="771" t="s">
        <v>1048</v>
      </c>
      <c r="AU146" s="773" t="s">
        <v>284</v>
      </c>
      <c r="AV146" s="769" t="s">
        <v>1048</v>
      </c>
      <c r="AW146" s="770" t="s">
        <v>1048</v>
      </c>
      <c r="AX146" s="770" t="s">
        <v>1048</v>
      </c>
      <c r="AY146" s="770" t="s">
        <v>1048</v>
      </c>
      <c r="AZ146" s="770" t="s">
        <v>1048</v>
      </c>
      <c r="BA146" s="770" t="s">
        <v>1048</v>
      </c>
      <c r="BB146" s="771" t="s">
        <v>1048</v>
      </c>
    </row>
    <row r="147" spans="2:54" ht="15.75" thickBot="1" x14ac:dyDescent="0.3">
      <c r="B147" s="774"/>
      <c r="C147" s="775"/>
      <c r="D147" s="775"/>
      <c r="E147" s="775"/>
      <c r="F147" s="775"/>
      <c r="G147" s="775"/>
      <c r="H147" s="775"/>
      <c r="I147" s="775"/>
      <c r="K147" s="774"/>
      <c r="L147" s="775"/>
      <c r="M147" s="775"/>
      <c r="N147" s="775"/>
      <c r="O147" s="775"/>
      <c r="P147" s="775"/>
      <c r="Q147" s="775"/>
      <c r="R147" s="775"/>
      <c r="T147" s="776"/>
      <c r="U147" s="775"/>
      <c r="V147" s="775"/>
      <c r="W147" s="775"/>
      <c r="X147" s="775"/>
      <c r="Y147" s="775"/>
      <c r="Z147" s="775"/>
      <c r="AA147" s="775"/>
      <c r="AC147" s="777"/>
      <c r="AD147" s="775"/>
      <c r="AE147" s="775"/>
      <c r="AF147" s="775"/>
      <c r="AG147" s="775"/>
      <c r="AH147" s="775"/>
      <c r="AI147" s="775"/>
      <c r="AJ147" s="775"/>
      <c r="AL147" s="777"/>
      <c r="AM147" s="775"/>
      <c r="AN147" s="775"/>
      <c r="AO147" s="775"/>
      <c r="AP147" s="775"/>
      <c r="AQ147" s="775"/>
      <c r="AR147" s="775"/>
      <c r="AS147" s="775"/>
      <c r="AU147" s="777"/>
      <c r="AV147" s="775"/>
      <c r="AW147" s="775"/>
      <c r="AX147" s="775"/>
      <c r="AY147" s="775"/>
      <c r="AZ147" s="775"/>
      <c r="BA147" s="775"/>
      <c r="BB147" s="775"/>
    </row>
    <row r="148" spans="2:54" ht="15.75" thickBot="1" x14ac:dyDescent="0.3">
      <c r="B148" s="748" t="s">
        <v>1039</v>
      </c>
      <c r="C148" s="778" t="s">
        <v>187</v>
      </c>
      <c r="D148" s="778" t="s">
        <v>214</v>
      </c>
      <c r="E148" s="778" t="s">
        <v>233</v>
      </c>
      <c r="F148" s="778" t="s">
        <v>242</v>
      </c>
      <c r="G148" s="778" t="s">
        <v>250</v>
      </c>
      <c r="H148" s="778" t="s">
        <v>258</v>
      </c>
      <c r="I148" s="779" t="s">
        <v>265</v>
      </c>
      <c r="K148" s="748" t="s">
        <v>1039</v>
      </c>
      <c r="L148" s="778" t="s">
        <v>187</v>
      </c>
      <c r="M148" s="778" t="s">
        <v>214</v>
      </c>
      <c r="N148" s="778" t="s">
        <v>233</v>
      </c>
      <c r="O148" s="778" t="s">
        <v>242</v>
      </c>
      <c r="P148" s="778" t="s">
        <v>250</v>
      </c>
      <c r="Q148" s="778" t="s">
        <v>258</v>
      </c>
      <c r="R148" s="779" t="s">
        <v>265</v>
      </c>
      <c r="T148" s="751" t="s">
        <v>1039</v>
      </c>
      <c r="U148" s="778" t="s">
        <v>187</v>
      </c>
      <c r="V148" s="778" t="s">
        <v>214</v>
      </c>
      <c r="W148" s="778" t="s">
        <v>233</v>
      </c>
      <c r="X148" s="778" t="s">
        <v>242</v>
      </c>
      <c r="Y148" s="778" t="s">
        <v>250</v>
      </c>
      <c r="Z148" s="778" t="s">
        <v>258</v>
      </c>
      <c r="AA148" s="779" t="s">
        <v>265</v>
      </c>
      <c r="AC148" s="752" t="s">
        <v>1039</v>
      </c>
      <c r="AD148" s="778" t="s">
        <v>187</v>
      </c>
      <c r="AE148" s="778" t="s">
        <v>214</v>
      </c>
      <c r="AF148" s="778" t="s">
        <v>233</v>
      </c>
      <c r="AG148" s="778" t="s">
        <v>242</v>
      </c>
      <c r="AH148" s="778" t="s">
        <v>250</v>
      </c>
      <c r="AI148" s="778" t="s">
        <v>258</v>
      </c>
      <c r="AJ148" s="779" t="s">
        <v>265</v>
      </c>
      <c r="AL148" s="752" t="s">
        <v>1039</v>
      </c>
      <c r="AM148" s="778" t="s">
        <v>187</v>
      </c>
      <c r="AN148" s="778" t="s">
        <v>214</v>
      </c>
      <c r="AO148" s="778" t="s">
        <v>233</v>
      </c>
      <c r="AP148" s="778" t="s">
        <v>242</v>
      </c>
      <c r="AQ148" s="778" t="s">
        <v>250</v>
      </c>
      <c r="AR148" s="778" t="s">
        <v>258</v>
      </c>
      <c r="AS148" s="779" t="s">
        <v>265</v>
      </c>
      <c r="AU148" s="752" t="s">
        <v>1039</v>
      </c>
      <c r="AV148" s="778" t="s">
        <v>187</v>
      </c>
      <c r="AW148" s="778" t="s">
        <v>214</v>
      </c>
      <c r="AX148" s="778" t="s">
        <v>233</v>
      </c>
      <c r="AY148" s="778" t="s">
        <v>242</v>
      </c>
      <c r="AZ148" s="778" t="s">
        <v>250</v>
      </c>
      <c r="BA148" s="778" t="s">
        <v>258</v>
      </c>
      <c r="BB148" s="779" t="s">
        <v>265</v>
      </c>
    </row>
    <row r="149" spans="2:54" x14ac:dyDescent="0.25">
      <c r="B149" s="753" t="s">
        <v>186</v>
      </c>
      <c r="C149" s="754">
        <v>-36</v>
      </c>
      <c r="D149" s="755">
        <v>-31</v>
      </c>
      <c r="E149" s="755">
        <v>-27</v>
      </c>
      <c r="F149" s="755">
        <v>-33</v>
      </c>
      <c r="G149" s="755">
        <v>-36</v>
      </c>
      <c r="H149" s="755">
        <v>-36</v>
      </c>
      <c r="I149" s="756">
        <v>-40</v>
      </c>
      <c r="K149" s="753" t="s">
        <v>186</v>
      </c>
      <c r="L149" s="754">
        <v>-32</v>
      </c>
      <c r="M149" s="755">
        <v>-33</v>
      </c>
      <c r="N149" s="755">
        <v>-33</v>
      </c>
      <c r="O149" s="755">
        <v>-31</v>
      </c>
      <c r="P149" s="755">
        <v>-34</v>
      </c>
      <c r="Q149" s="755">
        <v>-31</v>
      </c>
      <c r="R149" s="756">
        <v>-33</v>
      </c>
      <c r="T149" s="757" t="s">
        <v>186</v>
      </c>
      <c r="U149" s="754">
        <v>-40</v>
      </c>
      <c r="V149" s="755">
        <v>-38</v>
      </c>
      <c r="W149" s="755">
        <v>-41</v>
      </c>
      <c r="X149" s="755">
        <v>-46</v>
      </c>
      <c r="Y149" s="755">
        <v>-49</v>
      </c>
      <c r="Z149" s="755">
        <v>-43</v>
      </c>
      <c r="AA149" s="756">
        <v>-45</v>
      </c>
      <c r="AC149" s="758" t="s">
        <v>186</v>
      </c>
      <c r="AD149" s="754">
        <v>-43</v>
      </c>
      <c r="AE149" s="755">
        <v>-44</v>
      </c>
      <c r="AF149" s="755">
        <v>-50</v>
      </c>
      <c r="AG149" s="755">
        <v>-49</v>
      </c>
      <c r="AH149" s="755">
        <v>-55</v>
      </c>
      <c r="AI149" s="755">
        <v>-51</v>
      </c>
      <c r="AJ149" s="756">
        <v>-48</v>
      </c>
      <c r="AL149" s="758" t="s">
        <v>186</v>
      </c>
      <c r="AM149" s="754"/>
      <c r="AN149" s="755"/>
      <c r="AO149" s="755">
        <v>-33</v>
      </c>
      <c r="AP149" s="755">
        <v>-29</v>
      </c>
      <c r="AQ149" s="755">
        <v>-31</v>
      </c>
      <c r="AR149" s="755">
        <v>-33</v>
      </c>
      <c r="AS149" s="756">
        <v>-36</v>
      </c>
      <c r="AU149" s="758" t="s">
        <v>186</v>
      </c>
      <c r="AV149" s="754">
        <v>-43</v>
      </c>
      <c r="AW149" s="755">
        <v>-41</v>
      </c>
      <c r="AX149" s="755">
        <v>-46</v>
      </c>
      <c r="AY149" s="755">
        <v>-49</v>
      </c>
      <c r="AZ149" s="755">
        <v>-50</v>
      </c>
      <c r="BA149" s="755">
        <v>-51</v>
      </c>
      <c r="BB149" s="756">
        <v>-50</v>
      </c>
    </row>
    <row r="150" spans="2:54" x14ac:dyDescent="0.25">
      <c r="B150" s="759" t="s">
        <v>213</v>
      </c>
      <c r="C150" s="760">
        <v>-30</v>
      </c>
      <c r="D150" s="761">
        <v>-25</v>
      </c>
      <c r="E150" s="761">
        <v>-23</v>
      </c>
      <c r="F150" s="761">
        <v>-30</v>
      </c>
      <c r="G150" s="761">
        <v>-34</v>
      </c>
      <c r="H150" s="761">
        <v>-34</v>
      </c>
      <c r="I150" s="762">
        <v>-37</v>
      </c>
      <c r="K150" s="759" t="s">
        <v>213</v>
      </c>
      <c r="L150" s="760">
        <v>-36</v>
      </c>
      <c r="M150" s="761">
        <v>-30</v>
      </c>
      <c r="N150" s="761">
        <v>-33</v>
      </c>
      <c r="O150" s="761">
        <v>-32</v>
      </c>
      <c r="P150" s="761">
        <v>-32</v>
      </c>
      <c r="Q150" s="761">
        <v>-32</v>
      </c>
      <c r="R150" s="762">
        <v>-32</v>
      </c>
      <c r="T150" s="763" t="s">
        <v>213</v>
      </c>
      <c r="U150" s="760">
        <v>-40</v>
      </c>
      <c r="V150" s="761">
        <v>-43</v>
      </c>
      <c r="W150" s="761">
        <v>-47</v>
      </c>
      <c r="X150" s="761">
        <v>-47</v>
      </c>
      <c r="Y150" s="761">
        <v>-49</v>
      </c>
      <c r="Z150" s="761">
        <v>-48</v>
      </c>
      <c r="AA150" s="762">
        <v>-47</v>
      </c>
      <c r="AC150" s="764" t="s">
        <v>213</v>
      </c>
      <c r="AD150" s="760">
        <v>-53</v>
      </c>
      <c r="AE150" s="761">
        <v>-49</v>
      </c>
      <c r="AF150" s="761">
        <v>-46</v>
      </c>
      <c r="AG150" s="761">
        <v>-47</v>
      </c>
      <c r="AH150" s="761">
        <v>-53</v>
      </c>
      <c r="AI150" s="761">
        <v>-52</v>
      </c>
      <c r="AJ150" s="762">
        <v>-46</v>
      </c>
      <c r="AL150" s="764" t="s">
        <v>213</v>
      </c>
      <c r="AM150" s="760"/>
      <c r="AN150" s="761"/>
      <c r="AO150" s="761">
        <v>-35</v>
      </c>
      <c r="AP150" s="761">
        <v>-32</v>
      </c>
      <c r="AQ150" s="761">
        <v>-29</v>
      </c>
      <c r="AR150" s="761">
        <v>-33</v>
      </c>
      <c r="AS150" s="762">
        <v>-34</v>
      </c>
      <c r="AU150" s="764" t="s">
        <v>213</v>
      </c>
      <c r="AV150" s="760">
        <v>-46</v>
      </c>
      <c r="AW150" s="761">
        <v>-48</v>
      </c>
      <c r="AX150" s="761">
        <v>-48</v>
      </c>
      <c r="AY150" s="761">
        <v>-49</v>
      </c>
      <c r="AZ150" s="761">
        <v>-49</v>
      </c>
      <c r="BA150" s="761">
        <v>-51</v>
      </c>
      <c r="BB150" s="762">
        <v>-54</v>
      </c>
    </row>
    <row r="151" spans="2:54" x14ac:dyDescent="0.25">
      <c r="B151" s="759" t="s">
        <v>232</v>
      </c>
      <c r="C151" s="765">
        <v>-25</v>
      </c>
      <c r="D151" s="766">
        <v>-24</v>
      </c>
      <c r="E151" s="766">
        <v>-22</v>
      </c>
      <c r="F151" s="766">
        <v>-27</v>
      </c>
      <c r="G151" s="766">
        <v>-31</v>
      </c>
      <c r="H151" s="766">
        <v>-31</v>
      </c>
      <c r="I151" s="767">
        <v>-35</v>
      </c>
      <c r="K151" s="759" t="s">
        <v>232</v>
      </c>
      <c r="L151" s="765">
        <v>-32</v>
      </c>
      <c r="M151" s="766">
        <v>-36</v>
      </c>
      <c r="N151" s="766">
        <v>-33</v>
      </c>
      <c r="O151" s="766">
        <v>-35</v>
      </c>
      <c r="P151" s="766">
        <v>-30</v>
      </c>
      <c r="Q151" s="766">
        <v>-31</v>
      </c>
      <c r="R151" s="767">
        <v>-33</v>
      </c>
      <c r="T151" s="763" t="s">
        <v>232</v>
      </c>
      <c r="U151" s="765">
        <v>-40</v>
      </c>
      <c r="V151" s="766">
        <v>-43</v>
      </c>
      <c r="W151" s="766">
        <v>-45</v>
      </c>
      <c r="X151" s="766">
        <v>-47</v>
      </c>
      <c r="Y151" s="766">
        <v>-47</v>
      </c>
      <c r="Z151" s="766">
        <v>-46</v>
      </c>
      <c r="AA151" s="767">
        <v>-46</v>
      </c>
      <c r="AC151" s="764" t="s">
        <v>232</v>
      </c>
      <c r="AD151" s="765">
        <v>-49</v>
      </c>
      <c r="AE151" s="766">
        <v>-47</v>
      </c>
      <c r="AF151" s="766">
        <v>-45</v>
      </c>
      <c r="AG151" s="766">
        <v>-48</v>
      </c>
      <c r="AH151" s="766">
        <v>-51</v>
      </c>
      <c r="AI151" s="766">
        <v>-50</v>
      </c>
      <c r="AJ151" s="767">
        <v>-46</v>
      </c>
      <c r="AL151" s="764" t="s">
        <v>232</v>
      </c>
      <c r="AM151" s="765"/>
      <c r="AN151" s="766"/>
      <c r="AO151" s="766">
        <v>-31</v>
      </c>
      <c r="AP151" s="766">
        <v>-30</v>
      </c>
      <c r="AQ151" s="766">
        <v>-30</v>
      </c>
      <c r="AR151" s="766">
        <v>-31</v>
      </c>
      <c r="AS151" s="767">
        <v>-33</v>
      </c>
      <c r="AU151" s="764" t="s">
        <v>232</v>
      </c>
      <c r="AV151" s="765">
        <v>-42</v>
      </c>
      <c r="AW151" s="766">
        <v>-48</v>
      </c>
      <c r="AX151" s="766">
        <v>-46</v>
      </c>
      <c r="AY151" s="766">
        <v>-47</v>
      </c>
      <c r="AZ151" s="766">
        <v>-47</v>
      </c>
      <c r="BA151" s="766">
        <v>-50</v>
      </c>
      <c r="BB151" s="767">
        <v>-52</v>
      </c>
    </row>
    <row r="152" spans="2:54" x14ac:dyDescent="0.25">
      <c r="B152" s="759" t="s">
        <v>215</v>
      </c>
      <c r="C152" s="765">
        <v>-20</v>
      </c>
      <c r="D152" s="766">
        <v>-20</v>
      </c>
      <c r="E152" s="766">
        <v>-24</v>
      </c>
      <c r="F152" s="766">
        <v>-24</v>
      </c>
      <c r="G152" s="766">
        <v>-29</v>
      </c>
      <c r="H152" s="766">
        <v>-28</v>
      </c>
      <c r="I152" s="767">
        <v>-33</v>
      </c>
      <c r="K152" s="759" t="s">
        <v>215</v>
      </c>
      <c r="L152" s="765">
        <v>-27</v>
      </c>
      <c r="M152" s="766">
        <v>-31</v>
      </c>
      <c r="N152" s="766">
        <v>-29</v>
      </c>
      <c r="O152" s="766">
        <v>-34</v>
      </c>
      <c r="P152" s="766">
        <v>-34</v>
      </c>
      <c r="Q152" s="766">
        <v>-32</v>
      </c>
      <c r="R152" s="767">
        <v>-32</v>
      </c>
      <c r="T152" s="763" t="s">
        <v>215</v>
      </c>
      <c r="U152" s="765">
        <v>-43</v>
      </c>
      <c r="V152" s="766">
        <v>-45</v>
      </c>
      <c r="W152" s="766">
        <v>-49</v>
      </c>
      <c r="X152" s="766">
        <v>-47</v>
      </c>
      <c r="Y152" s="766">
        <v>-48</v>
      </c>
      <c r="Z152" s="766">
        <v>-48</v>
      </c>
      <c r="AA152" s="767">
        <v>-50</v>
      </c>
      <c r="AC152" s="764" t="s">
        <v>215</v>
      </c>
      <c r="AD152" s="765">
        <v>-45</v>
      </c>
      <c r="AE152" s="766">
        <v>-44</v>
      </c>
      <c r="AF152" s="766">
        <v>-48</v>
      </c>
      <c r="AG152" s="766">
        <v>-46</v>
      </c>
      <c r="AH152" s="766">
        <v>-50</v>
      </c>
      <c r="AI152" s="766">
        <v>-48</v>
      </c>
      <c r="AJ152" s="767">
        <v>-52</v>
      </c>
      <c r="AL152" s="764" t="s">
        <v>215</v>
      </c>
      <c r="AM152" s="765"/>
      <c r="AN152" s="766">
        <v>-28</v>
      </c>
      <c r="AO152" s="766">
        <v>-27</v>
      </c>
      <c r="AP152" s="766">
        <v>-26</v>
      </c>
      <c r="AQ152" s="766">
        <v>-27</v>
      </c>
      <c r="AR152" s="766">
        <v>-28</v>
      </c>
      <c r="AS152" s="767">
        <v>-30</v>
      </c>
      <c r="AU152" s="764" t="s">
        <v>215</v>
      </c>
      <c r="AV152" s="765">
        <v>-45</v>
      </c>
      <c r="AW152" s="766">
        <v>-45</v>
      </c>
      <c r="AX152" s="766">
        <v>-46</v>
      </c>
      <c r="AY152" s="766">
        <v>-45</v>
      </c>
      <c r="AZ152" s="766">
        <v>-47</v>
      </c>
      <c r="BA152" s="766">
        <v>-52</v>
      </c>
      <c r="BB152" s="767">
        <v>-50</v>
      </c>
    </row>
    <row r="153" spans="2:54" x14ac:dyDescent="0.25">
      <c r="B153" s="759" t="s">
        <v>249</v>
      </c>
      <c r="C153" s="765">
        <v>-23</v>
      </c>
      <c r="D153" s="766">
        <v>-21</v>
      </c>
      <c r="E153" s="766">
        <v>-23</v>
      </c>
      <c r="F153" s="766">
        <v>-22</v>
      </c>
      <c r="G153" s="766">
        <v>-24</v>
      </c>
      <c r="H153" s="766">
        <v>-27</v>
      </c>
      <c r="I153" s="767">
        <v>-31</v>
      </c>
      <c r="K153" s="759" t="s">
        <v>249</v>
      </c>
      <c r="L153" s="765">
        <v>-29</v>
      </c>
      <c r="M153" s="766">
        <v>-27</v>
      </c>
      <c r="N153" s="766">
        <v>-30</v>
      </c>
      <c r="O153" s="766">
        <v>-28</v>
      </c>
      <c r="P153" s="766">
        <v>-29</v>
      </c>
      <c r="Q153" s="766">
        <v>-33</v>
      </c>
      <c r="R153" s="767">
        <v>-30</v>
      </c>
      <c r="T153" s="763" t="s">
        <v>249</v>
      </c>
      <c r="U153" s="765">
        <v>-40</v>
      </c>
      <c r="V153" s="766">
        <v>-45</v>
      </c>
      <c r="W153" s="766">
        <v>-46</v>
      </c>
      <c r="X153" s="766">
        <v>-46</v>
      </c>
      <c r="Y153" s="766">
        <v>-47</v>
      </c>
      <c r="Z153" s="766">
        <v>-45</v>
      </c>
      <c r="AA153" s="767">
        <v>-48</v>
      </c>
      <c r="AC153" s="764" t="s">
        <v>249</v>
      </c>
      <c r="AD153" s="765">
        <v>-44</v>
      </c>
      <c r="AE153" s="766">
        <v>-45</v>
      </c>
      <c r="AF153" s="766">
        <v>-45</v>
      </c>
      <c r="AG153" s="766">
        <v>-44</v>
      </c>
      <c r="AH153" s="766">
        <v>-46</v>
      </c>
      <c r="AI153" s="766">
        <v>-44</v>
      </c>
      <c r="AJ153" s="767">
        <v>-50</v>
      </c>
      <c r="AL153" s="764" t="s">
        <v>249</v>
      </c>
      <c r="AM153" s="765"/>
      <c r="AN153" s="766">
        <v>-25</v>
      </c>
      <c r="AO153" s="766">
        <v>-25</v>
      </c>
      <c r="AP153" s="766">
        <v>-24</v>
      </c>
      <c r="AQ153" s="766">
        <v>-26</v>
      </c>
      <c r="AR153" s="766">
        <v>-25</v>
      </c>
      <c r="AS153" s="767">
        <v>-30</v>
      </c>
      <c r="AU153" s="764" t="s">
        <v>249</v>
      </c>
      <c r="AV153" s="765">
        <v>-49</v>
      </c>
      <c r="AW153" s="766">
        <v>-49</v>
      </c>
      <c r="AX153" s="766">
        <v>-48</v>
      </c>
      <c r="AY153" s="766">
        <v>-47</v>
      </c>
      <c r="AZ153" s="766">
        <v>-46</v>
      </c>
      <c r="BA153" s="766">
        <v>-49</v>
      </c>
      <c r="BB153" s="767">
        <v>-52</v>
      </c>
    </row>
    <row r="154" spans="2:54" x14ac:dyDescent="0.25">
      <c r="B154" s="759" t="s">
        <v>257</v>
      </c>
      <c r="C154" s="765">
        <v>-20</v>
      </c>
      <c r="D154" s="766">
        <v>-21</v>
      </c>
      <c r="E154" s="766">
        <v>-19</v>
      </c>
      <c r="F154" s="766">
        <v>-18</v>
      </c>
      <c r="G154" s="766">
        <v>-25</v>
      </c>
      <c r="H154" s="766">
        <v>-29</v>
      </c>
      <c r="I154" s="767">
        <v>-28</v>
      </c>
      <c r="K154" s="759" t="s">
        <v>257</v>
      </c>
      <c r="L154" s="765">
        <v>-25</v>
      </c>
      <c r="M154" s="766">
        <v>-27</v>
      </c>
      <c r="N154" s="766">
        <v>-26</v>
      </c>
      <c r="O154" s="766">
        <v>-29</v>
      </c>
      <c r="P154" s="766">
        <v>-28</v>
      </c>
      <c r="Q154" s="766">
        <v>-27</v>
      </c>
      <c r="R154" s="767">
        <v>-31</v>
      </c>
      <c r="T154" s="763" t="s">
        <v>257</v>
      </c>
      <c r="U154" s="765">
        <v>-39</v>
      </c>
      <c r="V154" s="766">
        <v>-45</v>
      </c>
      <c r="W154" s="766">
        <v>-44</v>
      </c>
      <c r="X154" s="766">
        <v>-46</v>
      </c>
      <c r="Y154" s="766">
        <v>-45</v>
      </c>
      <c r="Z154" s="766">
        <v>-44</v>
      </c>
      <c r="AA154" s="767">
        <v>-46</v>
      </c>
      <c r="AC154" s="764" t="s">
        <v>257</v>
      </c>
      <c r="AD154" s="765">
        <v>-50</v>
      </c>
      <c r="AE154" s="766">
        <v>-48</v>
      </c>
      <c r="AF154" s="766">
        <v>-47</v>
      </c>
      <c r="AG154" s="766">
        <v>-46</v>
      </c>
      <c r="AH154" s="766">
        <v>-46</v>
      </c>
      <c r="AI154" s="766">
        <v>-45</v>
      </c>
      <c r="AJ154" s="767">
        <v>-49</v>
      </c>
      <c r="AL154" s="764" t="s">
        <v>257</v>
      </c>
      <c r="AM154" s="765"/>
      <c r="AN154" s="766">
        <v>-23</v>
      </c>
      <c r="AO154" s="766">
        <v>-26</v>
      </c>
      <c r="AP154" s="766">
        <v>-24</v>
      </c>
      <c r="AQ154" s="766">
        <v>-24</v>
      </c>
      <c r="AR154" s="766">
        <v>-23</v>
      </c>
      <c r="AS154" s="767">
        <v>-28</v>
      </c>
      <c r="AU154" s="764" t="s">
        <v>257</v>
      </c>
      <c r="AV154" s="765">
        <v>-44</v>
      </c>
      <c r="AW154" s="766">
        <v>-45</v>
      </c>
      <c r="AX154" s="766">
        <v>-44</v>
      </c>
      <c r="AY154" s="766">
        <v>-43</v>
      </c>
      <c r="AZ154" s="766">
        <v>-43</v>
      </c>
      <c r="BA154" s="766">
        <v>-44</v>
      </c>
      <c r="BB154" s="767">
        <v>-48</v>
      </c>
    </row>
    <row r="155" spans="2:54" x14ac:dyDescent="0.25">
      <c r="B155" s="759" t="s">
        <v>264</v>
      </c>
      <c r="C155" s="765">
        <v>-23</v>
      </c>
      <c r="D155" s="766">
        <v>-22</v>
      </c>
      <c r="E155" s="766">
        <v>-24</v>
      </c>
      <c r="F155" s="766">
        <v>-27</v>
      </c>
      <c r="G155" s="766">
        <v>-28</v>
      </c>
      <c r="H155" s="766">
        <v>-29</v>
      </c>
      <c r="I155" s="767">
        <v>-30</v>
      </c>
      <c r="K155" s="759" t="s">
        <v>264</v>
      </c>
      <c r="L155" s="765">
        <v>-28</v>
      </c>
      <c r="M155" s="766">
        <v>-26</v>
      </c>
      <c r="N155" s="766">
        <v>-24</v>
      </c>
      <c r="O155" s="766">
        <v>-29</v>
      </c>
      <c r="P155" s="766">
        <v>-30</v>
      </c>
      <c r="Q155" s="766">
        <v>-27</v>
      </c>
      <c r="R155" s="767">
        <v>-34</v>
      </c>
      <c r="T155" s="763" t="s">
        <v>264</v>
      </c>
      <c r="U155" s="765">
        <v>-37</v>
      </c>
      <c r="V155" s="766">
        <v>-42</v>
      </c>
      <c r="W155" s="766">
        <v>-41</v>
      </c>
      <c r="X155" s="766">
        <v>-40</v>
      </c>
      <c r="Y155" s="766">
        <v>-40</v>
      </c>
      <c r="Z155" s="766">
        <v>-38</v>
      </c>
      <c r="AA155" s="767">
        <v>-37</v>
      </c>
      <c r="AC155" s="764" t="s">
        <v>264</v>
      </c>
      <c r="AD155" s="765">
        <v>-41</v>
      </c>
      <c r="AE155" s="766">
        <v>-43</v>
      </c>
      <c r="AF155" s="766">
        <v>-44</v>
      </c>
      <c r="AG155" s="766">
        <v>-43</v>
      </c>
      <c r="AH155" s="766">
        <v>-45</v>
      </c>
      <c r="AI155" s="766">
        <v>-48</v>
      </c>
      <c r="AJ155" s="767">
        <v>-46</v>
      </c>
      <c r="AL155" s="764" t="s">
        <v>264</v>
      </c>
      <c r="AM155" s="765"/>
      <c r="AN155" s="766">
        <v>-25</v>
      </c>
      <c r="AO155" s="766">
        <v>-27</v>
      </c>
      <c r="AP155" s="766">
        <v>-24</v>
      </c>
      <c r="AQ155" s="766">
        <v>-26</v>
      </c>
      <c r="AR155" s="766">
        <v>-25</v>
      </c>
      <c r="AS155" s="767">
        <v>-24</v>
      </c>
      <c r="AU155" s="764" t="s">
        <v>264</v>
      </c>
      <c r="AV155" s="765">
        <v>-42</v>
      </c>
      <c r="AW155" s="766">
        <v>-41</v>
      </c>
      <c r="AX155" s="766">
        <v>-43</v>
      </c>
      <c r="AY155" s="766">
        <v>-41</v>
      </c>
      <c r="AZ155" s="766">
        <v>-42</v>
      </c>
      <c r="BA155" s="766">
        <v>-43</v>
      </c>
      <c r="BB155" s="767">
        <v>-44</v>
      </c>
    </row>
    <row r="156" spans="2:54" x14ac:dyDescent="0.25">
      <c r="B156" s="759" t="s">
        <v>272</v>
      </c>
      <c r="C156" s="765">
        <v>-24</v>
      </c>
      <c r="D156" s="766">
        <v>-26</v>
      </c>
      <c r="E156" s="766">
        <v>-25</v>
      </c>
      <c r="F156" s="766">
        <v>-24</v>
      </c>
      <c r="G156" s="766">
        <v>-25</v>
      </c>
      <c r="H156" s="766">
        <v>-31</v>
      </c>
      <c r="I156" s="767">
        <v>-30</v>
      </c>
      <c r="K156" s="759" t="s">
        <v>272</v>
      </c>
      <c r="L156" s="765">
        <v>-31</v>
      </c>
      <c r="M156" s="766">
        <v>-36</v>
      </c>
      <c r="N156" s="766">
        <v>-37</v>
      </c>
      <c r="O156" s="766">
        <v>-38</v>
      </c>
      <c r="P156" s="766">
        <v>-36</v>
      </c>
      <c r="Q156" s="766">
        <v>-38</v>
      </c>
      <c r="R156" s="767">
        <v>-35</v>
      </c>
      <c r="T156" s="763" t="s">
        <v>272</v>
      </c>
      <c r="U156" s="765">
        <v>-33</v>
      </c>
      <c r="V156" s="766">
        <v>-33</v>
      </c>
      <c r="W156" s="766">
        <v>-35</v>
      </c>
      <c r="X156" s="766">
        <v>-35</v>
      </c>
      <c r="Y156" s="766">
        <v>-35</v>
      </c>
      <c r="Z156" s="766">
        <v>-33</v>
      </c>
      <c r="AA156" s="767">
        <v>-35</v>
      </c>
      <c r="AC156" s="764" t="s">
        <v>272</v>
      </c>
      <c r="AD156" s="765">
        <v>-45</v>
      </c>
      <c r="AE156" s="766">
        <v>-44</v>
      </c>
      <c r="AF156" s="766">
        <v>-46</v>
      </c>
      <c r="AG156" s="766">
        <v>-46</v>
      </c>
      <c r="AH156" s="766">
        <v>-46</v>
      </c>
      <c r="AI156" s="766">
        <v>-44</v>
      </c>
      <c r="AJ156" s="767">
        <v>-47</v>
      </c>
      <c r="AL156" s="764" t="s">
        <v>272</v>
      </c>
      <c r="AM156" s="765"/>
      <c r="AN156" s="766">
        <v>-30</v>
      </c>
      <c r="AO156" s="766">
        <v>-29</v>
      </c>
      <c r="AP156" s="766">
        <v>-27</v>
      </c>
      <c r="AQ156" s="766">
        <v>-29</v>
      </c>
      <c r="AR156" s="766">
        <v>-31</v>
      </c>
      <c r="AS156" s="767">
        <v>-32</v>
      </c>
      <c r="AU156" s="764" t="s">
        <v>272</v>
      </c>
      <c r="AV156" s="765">
        <v>-44</v>
      </c>
      <c r="AW156" s="766">
        <v>-43</v>
      </c>
      <c r="AX156" s="766">
        <v>-42</v>
      </c>
      <c r="AY156" s="766">
        <v>-41</v>
      </c>
      <c r="AZ156" s="766">
        <v>-39</v>
      </c>
      <c r="BA156" s="766">
        <v>-39</v>
      </c>
      <c r="BB156" s="767">
        <v>-42</v>
      </c>
    </row>
    <row r="157" spans="2:54" x14ac:dyDescent="0.25">
      <c r="B157" s="759" t="s">
        <v>278</v>
      </c>
      <c r="C157" s="765">
        <v>-28</v>
      </c>
      <c r="D157" s="766">
        <v>-27</v>
      </c>
      <c r="E157" s="766">
        <v>-27</v>
      </c>
      <c r="F157" s="766">
        <v>-28</v>
      </c>
      <c r="G157" s="766">
        <v>-34</v>
      </c>
      <c r="H157" s="766">
        <v>-35</v>
      </c>
      <c r="I157" s="767">
        <v>-38</v>
      </c>
      <c r="K157" s="759" t="s">
        <v>278</v>
      </c>
      <c r="L157" s="765">
        <v>-38</v>
      </c>
      <c r="M157" s="766">
        <v>-36</v>
      </c>
      <c r="N157" s="766">
        <v>-37</v>
      </c>
      <c r="O157" s="766">
        <v>-36</v>
      </c>
      <c r="P157" s="766">
        <v>-39</v>
      </c>
      <c r="Q157" s="766">
        <v>-37</v>
      </c>
      <c r="R157" s="767">
        <v>-38</v>
      </c>
      <c r="T157" s="763" t="s">
        <v>278</v>
      </c>
      <c r="U157" s="765">
        <v>-33</v>
      </c>
      <c r="V157" s="766">
        <v>-31</v>
      </c>
      <c r="W157" s="766">
        <v>-36</v>
      </c>
      <c r="X157" s="766">
        <v>-36</v>
      </c>
      <c r="Y157" s="766">
        <v>-41</v>
      </c>
      <c r="Z157" s="766">
        <v>-39</v>
      </c>
      <c r="AA157" s="767">
        <v>-38</v>
      </c>
      <c r="AC157" s="764" t="s">
        <v>278</v>
      </c>
      <c r="AD157" s="765">
        <v>-41</v>
      </c>
      <c r="AE157" s="766">
        <v>-40</v>
      </c>
      <c r="AF157" s="766">
        <v>-39</v>
      </c>
      <c r="AG157" s="766">
        <v>-39</v>
      </c>
      <c r="AH157" s="766">
        <v>-44</v>
      </c>
      <c r="AI157" s="766">
        <v>-42</v>
      </c>
      <c r="AJ157" s="767">
        <v>-44</v>
      </c>
      <c r="AL157" s="764" t="s">
        <v>278</v>
      </c>
      <c r="AM157" s="765"/>
      <c r="AN157" s="766">
        <v>-28</v>
      </c>
      <c r="AO157" s="766">
        <v>-28</v>
      </c>
      <c r="AP157" s="766">
        <v>-29</v>
      </c>
      <c r="AQ157" s="766">
        <v>-30</v>
      </c>
      <c r="AR157" s="766">
        <v>-31</v>
      </c>
      <c r="AS157" s="767">
        <v>-32</v>
      </c>
      <c r="AU157" s="764" t="s">
        <v>278</v>
      </c>
      <c r="AV157" s="765">
        <v>-33</v>
      </c>
      <c r="AW157" s="766">
        <v>-34</v>
      </c>
      <c r="AX157" s="766">
        <v>-37</v>
      </c>
      <c r="AY157" s="766">
        <v>-39</v>
      </c>
      <c r="AZ157" s="766">
        <v>-44</v>
      </c>
      <c r="BA157" s="766">
        <v>-45</v>
      </c>
      <c r="BB157" s="767">
        <v>-46</v>
      </c>
    </row>
    <row r="158" spans="2:54" ht="15.75" thickBot="1" x14ac:dyDescent="0.3">
      <c r="B158" s="768" t="s">
        <v>284</v>
      </c>
      <c r="C158" s="769" t="s">
        <v>1048</v>
      </c>
      <c r="D158" s="770" t="s">
        <v>1048</v>
      </c>
      <c r="E158" s="770" t="s">
        <v>1048</v>
      </c>
      <c r="F158" s="770" t="s">
        <v>1048</v>
      </c>
      <c r="G158" s="770" t="s">
        <v>1048</v>
      </c>
      <c r="H158" s="770" t="s">
        <v>1048</v>
      </c>
      <c r="I158" s="771" t="s">
        <v>1048</v>
      </c>
      <c r="K158" s="768" t="s">
        <v>284</v>
      </c>
      <c r="L158" s="769" t="s">
        <v>1048</v>
      </c>
      <c r="M158" s="770" t="s">
        <v>1048</v>
      </c>
      <c r="N158" s="770" t="s">
        <v>1048</v>
      </c>
      <c r="O158" s="770" t="s">
        <v>1048</v>
      </c>
      <c r="P158" s="770" t="s">
        <v>1048</v>
      </c>
      <c r="Q158" s="770" t="s">
        <v>1048</v>
      </c>
      <c r="R158" s="771" t="s">
        <v>1048</v>
      </c>
      <c r="T158" s="772" t="s">
        <v>284</v>
      </c>
      <c r="U158" s="769" t="s">
        <v>1048</v>
      </c>
      <c r="V158" s="770" t="s">
        <v>1048</v>
      </c>
      <c r="W158" s="770" t="s">
        <v>1048</v>
      </c>
      <c r="X158" s="770" t="s">
        <v>1048</v>
      </c>
      <c r="Y158" s="770" t="s">
        <v>1048</v>
      </c>
      <c r="Z158" s="770" t="s">
        <v>1048</v>
      </c>
      <c r="AA158" s="771" t="s">
        <v>1048</v>
      </c>
      <c r="AC158" s="773" t="s">
        <v>284</v>
      </c>
      <c r="AD158" s="769" t="s">
        <v>1048</v>
      </c>
      <c r="AE158" s="770" t="s">
        <v>1048</v>
      </c>
      <c r="AF158" s="770" t="s">
        <v>1048</v>
      </c>
      <c r="AG158" s="770" t="s">
        <v>1048</v>
      </c>
      <c r="AH158" s="770" t="s">
        <v>1048</v>
      </c>
      <c r="AI158" s="770" t="s">
        <v>1048</v>
      </c>
      <c r="AJ158" s="771" t="s">
        <v>1048</v>
      </c>
      <c r="AL158" s="773" t="s">
        <v>284</v>
      </c>
      <c r="AM158" s="769" t="s">
        <v>1048</v>
      </c>
      <c r="AN158" s="770" t="s">
        <v>1048</v>
      </c>
      <c r="AO158" s="770" t="s">
        <v>1048</v>
      </c>
      <c r="AP158" s="770" t="s">
        <v>1048</v>
      </c>
      <c r="AQ158" s="770" t="s">
        <v>1048</v>
      </c>
      <c r="AR158" s="770" t="s">
        <v>1048</v>
      </c>
      <c r="AS158" s="771" t="s">
        <v>1048</v>
      </c>
      <c r="AU158" s="773" t="s">
        <v>284</v>
      </c>
      <c r="AV158" s="769" t="s">
        <v>1048</v>
      </c>
      <c r="AW158" s="770" t="s">
        <v>1048</v>
      </c>
      <c r="AX158" s="770" t="s">
        <v>1048</v>
      </c>
      <c r="AY158" s="770" t="s">
        <v>1048</v>
      </c>
      <c r="AZ158" s="770" t="s">
        <v>1048</v>
      </c>
      <c r="BA158" s="770" t="s">
        <v>1048</v>
      </c>
      <c r="BB158" s="771" t="s">
        <v>1048</v>
      </c>
    </row>
    <row r="159" spans="2:54" ht="15.75" thickBot="1" x14ac:dyDescent="0.3">
      <c r="B159" s="774"/>
      <c r="C159" s="775"/>
      <c r="D159" s="775"/>
      <c r="E159" s="775"/>
      <c r="F159" s="775"/>
      <c r="G159" s="775"/>
      <c r="H159" s="775"/>
      <c r="I159" s="775"/>
      <c r="K159" s="774"/>
      <c r="L159" s="775"/>
      <c r="M159" s="775"/>
      <c r="N159" s="775"/>
      <c r="O159" s="775"/>
      <c r="P159" s="775"/>
      <c r="Q159" s="775"/>
      <c r="R159" s="775"/>
      <c r="T159" s="776"/>
      <c r="U159" s="775"/>
      <c r="V159" s="775"/>
      <c r="W159" s="775"/>
      <c r="X159" s="775"/>
      <c r="Y159" s="775"/>
      <c r="Z159" s="775"/>
      <c r="AA159" s="775"/>
      <c r="AC159" s="777"/>
      <c r="AD159" s="775"/>
      <c r="AE159" s="775"/>
      <c r="AF159" s="775"/>
      <c r="AG159" s="775"/>
      <c r="AH159" s="775"/>
      <c r="AI159" s="775"/>
      <c r="AJ159" s="775"/>
      <c r="AL159" s="777"/>
      <c r="AM159" s="775"/>
      <c r="AN159" s="775"/>
      <c r="AO159" s="775"/>
      <c r="AP159" s="775"/>
      <c r="AQ159" s="775"/>
      <c r="AR159" s="775"/>
      <c r="AS159" s="775"/>
      <c r="AU159" s="777"/>
      <c r="AV159" s="775"/>
      <c r="AW159" s="775"/>
      <c r="AX159" s="775"/>
      <c r="AY159" s="775"/>
      <c r="AZ159" s="775"/>
      <c r="BA159" s="775"/>
      <c r="BB159" s="775"/>
    </row>
    <row r="160" spans="2:54" ht="15.75" thickBot="1" x14ac:dyDescent="0.3">
      <c r="B160" s="748" t="s">
        <v>1040</v>
      </c>
      <c r="C160" s="778" t="s">
        <v>187</v>
      </c>
      <c r="D160" s="778" t="s">
        <v>214</v>
      </c>
      <c r="E160" s="778" t="s">
        <v>233</v>
      </c>
      <c r="F160" s="778" t="s">
        <v>242</v>
      </c>
      <c r="G160" s="778" t="s">
        <v>250</v>
      </c>
      <c r="H160" s="778" t="s">
        <v>258</v>
      </c>
      <c r="I160" s="779" t="s">
        <v>265</v>
      </c>
      <c r="K160" s="748" t="s">
        <v>1040</v>
      </c>
      <c r="L160" s="778" t="s">
        <v>187</v>
      </c>
      <c r="M160" s="778" t="s">
        <v>214</v>
      </c>
      <c r="N160" s="778" t="s">
        <v>233</v>
      </c>
      <c r="O160" s="778" t="s">
        <v>242</v>
      </c>
      <c r="P160" s="778" t="s">
        <v>250</v>
      </c>
      <c r="Q160" s="778" t="s">
        <v>258</v>
      </c>
      <c r="R160" s="779" t="s">
        <v>265</v>
      </c>
      <c r="T160" s="751" t="s">
        <v>1040</v>
      </c>
      <c r="U160" s="778" t="s">
        <v>187</v>
      </c>
      <c r="V160" s="778" t="s">
        <v>214</v>
      </c>
      <c r="W160" s="778" t="s">
        <v>233</v>
      </c>
      <c r="X160" s="778" t="s">
        <v>242</v>
      </c>
      <c r="Y160" s="778" t="s">
        <v>250</v>
      </c>
      <c r="Z160" s="778" t="s">
        <v>258</v>
      </c>
      <c r="AA160" s="779" t="s">
        <v>265</v>
      </c>
      <c r="AC160" s="752" t="s">
        <v>1040</v>
      </c>
      <c r="AD160" s="778" t="s">
        <v>187</v>
      </c>
      <c r="AE160" s="778" t="s">
        <v>214</v>
      </c>
      <c r="AF160" s="778" t="s">
        <v>233</v>
      </c>
      <c r="AG160" s="778" t="s">
        <v>242</v>
      </c>
      <c r="AH160" s="778" t="s">
        <v>250</v>
      </c>
      <c r="AI160" s="778" t="s">
        <v>258</v>
      </c>
      <c r="AJ160" s="779" t="s">
        <v>265</v>
      </c>
      <c r="AL160" s="752" t="s">
        <v>1040</v>
      </c>
      <c r="AM160" s="778" t="s">
        <v>187</v>
      </c>
      <c r="AN160" s="778" t="s">
        <v>214</v>
      </c>
      <c r="AO160" s="778" t="s">
        <v>233</v>
      </c>
      <c r="AP160" s="778" t="s">
        <v>242</v>
      </c>
      <c r="AQ160" s="778" t="s">
        <v>250</v>
      </c>
      <c r="AR160" s="778" t="s">
        <v>258</v>
      </c>
      <c r="AS160" s="779" t="s">
        <v>265</v>
      </c>
      <c r="AU160" s="752" t="s">
        <v>1040</v>
      </c>
      <c r="AV160" s="778" t="s">
        <v>187</v>
      </c>
      <c r="AW160" s="778" t="s">
        <v>214</v>
      </c>
      <c r="AX160" s="778" t="s">
        <v>233</v>
      </c>
      <c r="AY160" s="778" t="s">
        <v>242</v>
      </c>
      <c r="AZ160" s="778" t="s">
        <v>250</v>
      </c>
      <c r="BA160" s="778" t="s">
        <v>258</v>
      </c>
      <c r="BB160" s="779" t="s">
        <v>265</v>
      </c>
    </row>
    <row r="161" spans="2:54" x14ac:dyDescent="0.25">
      <c r="B161" s="753" t="s">
        <v>186</v>
      </c>
      <c r="C161" s="754">
        <v>-16</v>
      </c>
      <c r="D161" s="755">
        <v>-15</v>
      </c>
      <c r="E161" s="755">
        <v>-16</v>
      </c>
      <c r="F161" s="755">
        <v>-22</v>
      </c>
      <c r="G161" s="755">
        <v>-22</v>
      </c>
      <c r="H161" s="755">
        <v>-20</v>
      </c>
      <c r="I161" s="756">
        <v>-24</v>
      </c>
      <c r="K161" s="753" t="s">
        <v>186</v>
      </c>
      <c r="L161" s="754">
        <v>-27</v>
      </c>
      <c r="M161" s="755">
        <v>-25</v>
      </c>
      <c r="N161" s="755">
        <v>-26</v>
      </c>
      <c r="O161" s="755">
        <v>-20</v>
      </c>
      <c r="P161" s="755">
        <v>-25</v>
      </c>
      <c r="Q161" s="755">
        <v>-19</v>
      </c>
      <c r="R161" s="756">
        <v>-24</v>
      </c>
      <c r="T161" s="757" t="s">
        <v>186</v>
      </c>
      <c r="U161" s="754">
        <v>-32</v>
      </c>
      <c r="V161" s="755">
        <v>-32</v>
      </c>
      <c r="W161" s="755">
        <v>-35</v>
      </c>
      <c r="X161" s="755">
        <v>-35</v>
      </c>
      <c r="Y161" s="755">
        <v>-30</v>
      </c>
      <c r="Z161" s="755">
        <v>-35</v>
      </c>
      <c r="AA161" s="756">
        <v>-31</v>
      </c>
      <c r="AC161" s="758" t="s">
        <v>186</v>
      </c>
      <c r="AD161" s="754">
        <v>-31</v>
      </c>
      <c r="AE161" s="755">
        <v>-31</v>
      </c>
      <c r="AF161" s="755">
        <v>-29</v>
      </c>
      <c r="AG161" s="755">
        <v>-32</v>
      </c>
      <c r="AH161" s="755">
        <v>-38</v>
      </c>
      <c r="AI161" s="755">
        <v>-40</v>
      </c>
      <c r="AJ161" s="756">
        <v>-33</v>
      </c>
      <c r="AL161" s="758" t="s">
        <v>186</v>
      </c>
      <c r="AM161" s="754"/>
      <c r="AN161" s="755"/>
      <c r="AO161" s="755">
        <v>-25</v>
      </c>
      <c r="AP161" s="755">
        <v>-25</v>
      </c>
      <c r="AQ161" s="755">
        <v>-23</v>
      </c>
      <c r="AR161" s="755">
        <v>-22</v>
      </c>
      <c r="AS161" s="756">
        <v>-23</v>
      </c>
      <c r="AU161" s="758" t="s">
        <v>186</v>
      </c>
      <c r="AV161" s="754">
        <v>-31</v>
      </c>
      <c r="AW161" s="755">
        <v>-32</v>
      </c>
      <c r="AX161" s="755">
        <v>-30</v>
      </c>
      <c r="AY161" s="755">
        <v>-32</v>
      </c>
      <c r="AZ161" s="755">
        <v>-36</v>
      </c>
      <c r="BA161" s="755">
        <v>-33</v>
      </c>
      <c r="BB161" s="756">
        <v>-35</v>
      </c>
    </row>
    <row r="162" spans="2:54" x14ac:dyDescent="0.25">
      <c r="B162" s="759" t="s">
        <v>213</v>
      </c>
      <c r="C162" s="760">
        <v>-18</v>
      </c>
      <c r="D162" s="761">
        <v>-17</v>
      </c>
      <c r="E162" s="761">
        <v>-16</v>
      </c>
      <c r="F162" s="761">
        <v>-23</v>
      </c>
      <c r="G162" s="761">
        <v>-20</v>
      </c>
      <c r="H162" s="761">
        <v>-24</v>
      </c>
      <c r="I162" s="762">
        <v>-24</v>
      </c>
      <c r="K162" s="759" t="s">
        <v>213</v>
      </c>
      <c r="L162" s="760">
        <v>-20</v>
      </c>
      <c r="M162" s="761">
        <v>-19</v>
      </c>
      <c r="N162" s="761">
        <v>-20</v>
      </c>
      <c r="O162" s="761">
        <v>-21</v>
      </c>
      <c r="P162" s="761">
        <v>-23</v>
      </c>
      <c r="Q162" s="761">
        <v>-23</v>
      </c>
      <c r="R162" s="762">
        <v>-20</v>
      </c>
      <c r="T162" s="763" t="s">
        <v>213</v>
      </c>
      <c r="U162" s="760">
        <v>-30</v>
      </c>
      <c r="V162" s="761">
        <v>-29</v>
      </c>
      <c r="W162" s="761">
        <v>-35</v>
      </c>
      <c r="X162" s="761">
        <v>-35</v>
      </c>
      <c r="Y162" s="761">
        <v>-33</v>
      </c>
      <c r="Z162" s="761">
        <v>-36</v>
      </c>
      <c r="AA162" s="762">
        <v>-35</v>
      </c>
      <c r="AC162" s="764" t="s">
        <v>213</v>
      </c>
      <c r="AD162" s="760">
        <v>-31</v>
      </c>
      <c r="AE162" s="761">
        <v>-28</v>
      </c>
      <c r="AF162" s="761">
        <v>-34</v>
      </c>
      <c r="AG162" s="761">
        <v>-37</v>
      </c>
      <c r="AH162" s="761">
        <v>-36</v>
      </c>
      <c r="AI162" s="761">
        <v>-38</v>
      </c>
      <c r="AJ162" s="762">
        <v>-38</v>
      </c>
      <c r="AL162" s="764" t="s">
        <v>213</v>
      </c>
      <c r="AM162" s="760"/>
      <c r="AN162" s="761"/>
      <c r="AO162" s="761">
        <v>-20</v>
      </c>
      <c r="AP162" s="761">
        <v>-22</v>
      </c>
      <c r="AQ162" s="761">
        <v>-22</v>
      </c>
      <c r="AR162" s="761">
        <v>-22</v>
      </c>
      <c r="AS162" s="762">
        <v>-22</v>
      </c>
      <c r="AU162" s="764" t="s">
        <v>213</v>
      </c>
      <c r="AV162" s="760">
        <v>-38</v>
      </c>
      <c r="AW162" s="761">
        <v>-35</v>
      </c>
      <c r="AX162" s="761">
        <v>-39</v>
      </c>
      <c r="AY162" s="761">
        <v>-36</v>
      </c>
      <c r="AZ162" s="761">
        <v>-41</v>
      </c>
      <c r="BA162" s="761">
        <v>-36</v>
      </c>
      <c r="BB162" s="762">
        <v>-33</v>
      </c>
    </row>
    <row r="163" spans="2:54" x14ac:dyDescent="0.25">
      <c r="B163" s="759" t="s">
        <v>232</v>
      </c>
      <c r="C163" s="765">
        <v>-15</v>
      </c>
      <c r="D163" s="766">
        <v>-14</v>
      </c>
      <c r="E163" s="766">
        <v>-13</v>
      </c>
      <c r="F163" s="766">
        <v>-20</v>
      </c>
      <c r="G163" s="766">
        <v>-19</v>
      </c>
      <c r="H163" s="766">
        <v>-20</v>
      </c>
      <c r="I163" s="767">
        <v>-21</v>
      </c>
      <c r="K163" s="759" t="s">
        <v>232</v>
      </c>
      <c r="L163" s="765">
        <v>-20</v>
      </c>
      <c r="M163" s="766">
        <v>-20</v>
      </c>
      <c r="N163" s="766">
        <v>-18</v>
      </c>
      <c r="O163" s="766">
        <v>-18</v>
      </c>
      <c r="P163" s="766">
        <v>-20</v>
      </c>
      <c r="Q163" s="766">
        <v>-20</v>
      </c>
      <c r="R163" s="767">
        <v>-22</v>
      </c>
      <c r="T163" s="763" t="s">
        <v>232</v>
      </c>
      <c r="U163" s="765">
        <v>-30</v>
      </c>
      <c r="V163" s="766">
        <v>-32</v>
      </c>
      <c r="W163" s="766">
        <v>-33</v>
      </c>
      <c r="X163" s="766">
        <v>-34</v>
      </c>
      <c r="Y163" s="766">
        <v>-38</v>
      </c>
      <c r="Z163" s="766">
        <v>-38</v>
      </c>
      <c r="AA163" s="767">
        <v>-42</v>
      </c>
      <c r="AC163" s="764" t="s">
        <v>232</v>
      </c>
      <c r="AD163" s="765">
        <v>-32</v>
      </c>
      <c r="AE163" s="766">
        <v>-36</v>
      </c>
      <c r="AF163" s="766">
        <v>-33</v>
      </c>
      <c r="AG163" s="766">
        <v>-35</v>
      </c>
      <c r="AH163" s="766">
        <v>-33</v>
      </c>
      <c r="AI163" s="766">
        <v>-40</v>
      </c>
      <c r="AJ163" s="767">
        <v>-41</v>
      </c>
      <c r="AL163" s="764" t="s">
        <v>232</v>
      </c>
      <c r="AM163" s="765"/>
      <c r="AN163" s="766"/>
      <c r="AO163" s="766">
        <v>-21</v>
      </c>
      <c r="AP163" s="766">
        <v>-20</v>
      </c>
      <c r="AQ163" s="766">
        <v>-20</v>
      </c>
      <c r="AR163" s="766">
        <v>-23</v>
      </c>
      <c r="AS163" s="767">
        <v>-28</v>
      </c>
      <c r="AU163" s="764" t="s">
        <v>232</v>
      </c>
      <c r="AV163" s="765">
        <v>-36</v>
      </c>
      <c r="AW163" s="766">
        <v>-38</v>
      </c>
      <c r="AX163" s="766">
        <v>-36</v>
      </c>
      <c r="AY163" s="766">
        <v>-37</v>
      </c>
      <c r="AZ163" s="766">
        <v>-39</v>
      </c>
      <c r="BA163" s="766">
        <v>-37</v>
      </c>
      <c r="BB163" s="767">
        <v>-43</v>
      </c>
    </row>
    <row r="164" spans="2:54" x14ac:dyDescent="0.25">
      <c r="B164" s="759" t="s">
        <v>215</v>
      </c>
      <c r="C164" s="765">
        <v>-14</v>
      </c>
      <c r="D164" s="766">
        <v>-12</v>
      </c>
      <c r="E164" s="766">
        <v>-11</v>
      </c>
      <c r="F164" s="766">
        <v>-14</v>
      </c>
      <c r="G164" s="766">
        <v>-14</v>
      </c>
      <c r="H164" s="766">
        <v>-15</v>
      </c>
      <c r="I164" s="767">
        <v>-21</v>
      </c>
      <c r="K164" s="759" t="s">
        <v>215</v>
      </c>
      <c r="L164" s="765">
        <v>-19</v>
      </c>
      <c r="M164" s="766">
        <v>-19</v>
      </c>
      <c r="N164" s="766">
        <v>-17</v>
      </c>
      <c r="O164" s="766">
        <v>-17</v>
      </c>
      <c r="P164" s="766">
        <v>-16</v>
      </c>
      <c r="Q164" s="766">
        <v>-17</v>
      </c>
      <c r="R164" s="767">
        <v>-20</v>
      </c>
      <c r="T164" s="763" t="s">
        <v>215</v>
      </c>
      <c r="U164" s="765">
        <v>-32</v>
      </c>
      <c r="V164" s="766">
        <v>-32</v>
      </c>
      <c r="W164" s="766">
        <v>-34</v>
      </c>
      <c r="X164" s="766">
        <v>-34</v>
      </c>
      <c r="Y164" s="766">
        <v>-34</v>
      </c>
      <c r="Z164" s="766">
        <v>-34</v>
      </c>
      <c r="AA164" s="767">
        <v>-40</v>
      </c>
      <c r="AC164" s="764" t="s">
        <v>215</v>
      </c>
      <c r="AD164" s="765">
        <v>-32</v>
      </c>
      <c r="AE164" s="766">
        <v>-34</v>
      </c>
      <c r="AF164" s="766">
        <v>-39</v>
      </c>
      <c r="AG164" s="766">
        <v>-37</v>
      </c>
      <c r="AH164" s="766">
        <v>-33</v>
      </c>
      <c r="AI164" s="766">
        <v>-38</v>
      </c>
      <c r="AJ164" s="767">
        <v>-39</v>
      </c>
      <c r="AL164" s="764" t="s">
        <v>215</v>
      </c>
      <c r="AM164" s="765"/>
      <c r="AN164" s="766">
        <v>-21</v>
      </c>
      <c r="AO164" s="766">
        <v>-20</v>
      </c>
      <c r="AP164" s="766">
        <v>-17</v>
      </c>
      <c r="AQ164" s="766">
        <v>-18</v>
      </c>
      <c r="AR164" s="766">
        <v>-21</v>
      </c>
      <c r="AS164" s="767">
        <v>-25</v>
      </c>
      <c r="AU164" s="764" t="s">
        <v>215</v>
      </c>
      <c r="AV164" s="765">
        <v>-31</v>
      </c>
      <c r="AW164" s="766">
        <v>-36</v>
      </c>
      <c r="AX164" s="766">
        <v>-35</v>
      </c>
      <c r="AY164" s="766">
        <v>-39</v>
      </c>
      <c r="AZ164" s="766">
        <v>-36</v>
      </c>
      <c r="BA164" s="766">
        <v>-43</v>
      </c>
      <c r="BB164" s="767">
        <v>-47</v>
      </c>
    </row>
    <row r="165" spans="2:54" x14ac:dyDescent="0.25">
      <c r="B165" s="759" t="s">
        <v>249</v>
      </c>
      <c r="C165" s="765">
        <v>-19</v>
      </c>
      <c r="D165" s="766">
        <v>-17</v>
      </c>
      <c r="E165" s="766">
        <v>-16</v>
      </c>
      <c r="F165" s="766">
        <v>-15</v>
      </c>
      <c r="G165" s="766">
        <v>-13</v>
      </c>
      <c r="H165" s="766">
        <v>-19</v>
      </c>
      <c r="I165" s="767">
        <v>-27</v>
      </c>
      <c r="K165" s="759" t="s">
        <v>249</v>
      </c>
      <c r="L165" s="765">
        <v>-20</v>
      </c>
      <c r="M165" s="766">
        <v>-19</v>
      </c>
      <c r="N165" s="766">
        <v>-18</v>
      </c>
      <c r="O165" s="766">
        <v>-18</v>
      </c>
      <c r="P165" s="766">
        <v>-17</v>
      </c>
      <c r="Q165" s="766">
        <v>-20</v>
      </c>
      <c r="R165" s="767">
        <v>-18</v>
      </c>
      <c r="T165" s="763" t="s">
        <v>249</v>
      </c>
      <c r="U165" s="765">
        <v>-30</v>
      </c>
      <c r="V165" s="766">
        <v>-29</v>
      </c>
      <c r="W165" s="766">
        <v>-31</v>
      </c>
      <c r="X165" s="766">
        <v>-34</v>
      </c>
      <c r="Y165" s="766">
        <v>-37</v>
      </c>
      <c r="Z165" s="766">
        <v>-35</v>
      </c>
      <c r="AA165" s="767">
        <v>-38</v>
      </c>
      <c r="AC165" s="764" t="s">
        <v>249</v>
      </c>
      <c r="AD165" s="765">
        <v>-32</v>
      </c>
      <c r="AE165" s="766">
        <v>-31</v>
      </c>
      <c r="AF165" s="766">
        <v>-32</v>
      </c>
      <c r="AG165" s="766">
        <v>-36</v>
      </c>
      <c r="AH165" s="766">
        <v>-40</v>
      </c>
      <c r="AI165" s="766">
        <v>-37</v>
      </c>
      <c r="AJ165" s="767">
        <v>-39</v>
      </c>
      <c r="AL165" s="764" t="s">
        <v>249</v>
      </c>
      <c r="AM165" s="765"/>
      <c r="AN165" s="766">
        <v>-18</v>
      </c>
      <c r="AO165" s="766">
        <v>-18</v>
      </c>
      <c r="AP165" s="766">
        <v>-18</v>
      </c>
      <c r="AQ165" s="766">
        <v>-17</v>
      </c>
      <c r="AR165" s="766">
        <v>-18</v>
      </c>
      <c r="AS165" s="767">
        <v>-22</v>
      </c>
      <c r="AU165" s="764" t="s">
        <v>249</v>
      </c>
      <c r="AV165" s="765">
        <v>-28</v>
      </c>
      <c r="AW165" s="766">
        <v>-30</v>
      </c>
      <c r="AX165" s="766">
        <v>-35</v>
      </c>
      <c r="AY165" s="766">
        <v>-34</v>
      </c>
      <c r="AZ165" s="766">
        <v>-40</v>
      </c>
      <c r="BA165" s="766">
        <v>-39</v>
      </c>
      <c r="BB165" s="767">
        <v>-45</v>
      </c>
    </row>
    <row r="166" spans="2:54" x14ac:dyDescent="0.25">
      <c r="B166" s="759" t="s">
        <v>257</v>
      </c>
      <c r="C166" s="765">
        <v>-15</v>
      </c>
      <c r="D166" s="766">
        <v>-16</v>
      </c>
      <c r="E166" s="766">
        <v>-14</v>
      </c>
      <c r="F166" s="766">
        <v>-12</v>
      </c>
      <c r="G166" s="766">
        <v>-13</v>
      </c>
      <c r="H166" s="766">
        <v>-19</v>
      </c>
      <c r="I166" s="767">
        <v>-20</v>
      </c>
      <c r="K166" s="759" t="s">
        <v>257</v>
      </c>
      <c r="L166" s="765">
        <v>-16</v>
      </c>
      <c r="M166" s="766">
        <v>-17</v>
      </c>
      <c r="N166" s="766">
        <v>-17</v>
      </c>
      <c r="O166" s="766">
        <v>-16</v>
      </c>
      <c r="P166" s="766">
        <v>-16</v>
      </c>
      <c r="Q166" s="766">
        <v>-16</v>
      </c>
      <c r="R166" s="767">
        <v>-19</v>
      </c>
      <c r="T166" s="763" t="s">
        <v>257</v>
      </c>
      <c r="U166" s="765">
        <v>-29</v>
      </c>
      <c r="V166" s="766">
        <v>-27</v>
      </c>
      <c r="W166" s="766">
        <v>-27</v>
      </c>
      <c r="X166" s="766">
        <v>-30</v>
      </c>
      <c r="Y166" s="766">
        <v>-32</v>
      </c>
      <c r="Z166" s="766">
        <v>-30</v>
      </c>
      <c r="AA166" s="767">
        <v>-33</v>
      </c>
      <c r="AC166" s="764" t="s">
        <v>257</v>
      </c>
      <c r="AD166" s="765">
        <v>-33</v>
      </c>
      <c r="AE166" s="766">
        <v>-33</v>
      </c>
      <c r="AF166" s="766">
        <v>-37</v>
      </c>
      <c r="AG166" s="766">
        <v>-36</v>
      </c>
      <c r="AH166" s="766">
        <v>-35</v>
      </c>
      <c r="AI166" s="766">
        <v>-39</v>
      </c>
      <c r="AJ166" s="767">
        <v>-38</v>
      </c>
      <c r="AL166" s="764" t="s">
        <v>257</v>
      </c>
      <c r="AM166" s="765"/>
      <c r="AN166" s="766">
        <v>-16</v>
      </c>
      <c r="AO166" s="766">
        <v>-16</v>
      </c>
      <c r="AP166" s="766">
        <v>-16</v>
      </c>
      <c r="AQ166" s="766">
        <v>-15</v>
      </c>
      <c r="AR166" s="766">
        <v>-17</v>
      </c>
      <c r="AS166" s="767">
        <v>-17</v>
      </c>
      <c r="AU166" s="764" t="s">
        <v>257</v>
      </c>
      <c r="AV166" s="765">
        <v>-30</v>
      </c>
      <c r="AW166" s="766">
        <v>-31</v>
      </c>
      <c r="AX166" s="766">
        <v>-35</v>
      </c>
      <c r="AY166" s="766">
        <v>-34</v>
      </c>
      <c r="AZ166" s="766">
        <v>-35</v>
      </c>
      <c r="BA166" s="766">
        <v>-43</v>
      </c>
      <c r="BB166" s="767">
        <v>-40</v>
      </c>
    </row>
    <row r="167" spans="2:54" x14ac:dyDescent="0.25">
      <c r="B167" s="759" t="s">
        <v>264</v>
      </c>
      <c r="C167" s="765">
        <v>-16</v>
      </c>
      <c r="D167" s="766">
        <v>-16</v>
      </c>
      <c r="E167" s="766">
        <v>-15</v>
      </c>
      <c r="F167" s="766">
        <v>-15</v>
      </c>
      <c r="G167" s="766">
        <v>-16</v>
      </c>
      <c r="H167" s="766">
        <v>-18</v>
      </c>
      <c r="I167" s="767">
        <v>-25</v>
      </c>
      <c r="K167" s="759" t="s">
        <v>264</v>
      </c>
      <c r="L167" s="765">
        <v>-17</v>
      </c>
      <c r="M167" s="766">
        <v>-18</v>
      </c>
      <c r="N167" s="766">
        <v>-15</v>
      </c>
      <c r="O167" s="766">
        <v>-17</v>
      </c>
      <c r="P167" s="766">
        <v>-18</v>
      </c>
      <c r="Q167" s="766">
        <v>-16</v>
      </c>
      <c r="R167" s="767">
        <v>-16</v>
      </c>
      <c r="T167" s="763" t="s">
        <v>264</v>
      </c>
      <c r="U167" s="765">
        <v>-28</v>
      </c>
      <c r="V167" s="766">
        <v>-27</v>
      </c>
      <c r="W167" s="766">
        <v>-27</v>
      </c>
      <c r="X167" s="766">
        <v>-26</v>
      </c>
      <c r="Y167" s="766">
        <v>-30</v>
      </c>
      <c r="Z167" s="766">
        <v>-29</v>
      </c>
      <c r="AA167" s="767">
        <v>-29</v>
      </c>
      <c r="AC167" s="764" t="s">
        <v>264</v>
      </c>
      <c r="AD167" s="765">
        <v>-28</v>
      </c>
      <c r="AE167" s="766">
        <v>-30</v>
      </c>
      <c r="AF167" s="766">
        <v>-28</v>
      </c>
      <c r="AG167" s="766">
        <v>-32</v>
      </c>
      <c r="AH167" s="766">
        <v>-34</v>
      </c>
      <c r="AI167" s="766">
        <v>-41</v>
      </c>
      <c r="AJ167" s="767">
        <v>-39</v>
      </c>
      <c r="AL167" s="764" t="s">
        <v>264</v>
      </c>
      <c r="AM167" s="765"/>
      <c r="AN167" s="766">
        <v>-17</v>
      </c>
      <c r="AO167" s="766">
        <v>-18</v>
      </c>
      <c r="AP167" s="766">
        <v>-18</v>
      </c>
      <c r="AQ167" s="766">
        <v>-17</v>
      </c>
      <c r="AR167" s="766">
        <v>-16</v>
      </c>
      <c r="AS167" s="767">
        <v>-17</v>
      </c>
      <c r="AU167" s="764" t="s">
        <v>264</v>
      </c>
      <c r="AV167" s="765">
        <v>-28</v>
      </c>
      <c r="AW167" s="766">
        <v>-29</v>
      </c>
      <c r="AX167" s="766">
        <v>-35</v>
      </c>
      <c r="AY167" s="766">
        <v>-35</v>
      </c>
      <c r="AZ167" s="766">
        <v>-34</v>
      </c>
      <c r="BA167" s="766">
        <v>-40</v>
      </c>
      <c r="BB167" s="767">
        <v>-42</v>
      </c>
    </row>
    <row r="168" spans="2:54" x14ac:dyDescent="0.25">
      <c r="B168" s="759" t="s">
        <v>272</v>
      </c>
      <c r="C168" s="765">
        <v>-16</v>
      </c>
      <c r="D168" s="766">
        <v>-16</v>
      </c>
      <c r="E168" s="766">
        <v>-16</v>
      </c>
      <c r="F168" s="766">
        <v>-17</v>
      </c>
      <c r="G168" s="766">
        <v>-17</v>
      </c>
      <c r="H168" s="766">
        <v>-17</v>
      </c>
      <c r="I168" s="767">
        <v>-18</v>
      </c>
      <c r="K168" s="759" t="s">
        <v>272</v>
      </c>
      <c r="L168" s="765">
        <v>-19</v>
      </c>
      <c r="M168" s="766">
        <v>-18</v>
      </c>
      <c r="N168" s="766">
        <v>-18</v>
      </c>
      <c r="O168" s="766">
        <v>-22</v>
      </c>
      <c r="P168" s="766">
        <v>-20</v>
      </c>
      <c r="Q168" s="766">
        <v>-18</v>
      </c>
      <c r="R168" s="767">
        <v>-20</v>
      </c>
      <c r="T168" s="763" t="s">
        <v>272</v>
      </c>
      <c r="U168" s="765">
        <v>-20</v>
      </c>
      <c r="V168" s="766">
        <v>-25</v>
      </c>
      <c r="W168" s="766">
        <v>-25</v>
      </c>
      <c r="X168" s="766">
        <v>-26</v>
      </c>
      <c r="Y168" s="766">
        <v>-26</v>
      </c>
      <c r="Z168" s="766">
        <v>-31</v>
      </c>
      <c r="AA168" s="767">
        <v>-28</v>
      </c>
      <c r="AC168" s="764" t="s">
        <v>272</v>
      </c>
      <c r="AD168" s="765">
        <v>-30</v>
      </c>
      <c r="AE168" s="766">
        <v>-36</v>
      </c>
      <c r="AF168" s="766">
        <v>-34</v>
      </c>
      <c r="AG168" s="766">
        <v>-32</v>
      </c>
      <c r="AH168" s="766">
        <v>-30</v>
      </c>
      <c r="AI168" s="766">
        <v>-30</v>
      </c>
      <c r="AJ168" s="767">
        <v>-35</v>
      </c>
      <c r="AL168" s="764" t="s">
        <v>272</v>
      </c>
      <c r="AM168" s="765"/>
      <c r="AN168" s="766">
        <v>-18</v>
      </c>
      <c r="AO168" s="766">
        <v>-17</v>
      </c>
      <c r="AP168" s="766">
        <v>-17</v>
      </c>
      <c r="AQ168" s="766">
        <v>-15</v>
      </c>
      <c r="AR168" s="766">
        <v>-15</v>
      </c>
      <c r="AS168" s="767">
        <v>-16</v>
      </c>
      <c r="AU168" s="764" t="s">
        <v>272</v>
      </c>
      <c r="AV168" s="765">
        <v>-24</v>
      </c>
      <c r="AW168" s="766">
        <v>-24</v>
      </c>
      <c r="AX168" s="766">
        <v>-30</v>
      </c>
      <c r="AY168" s="766">
        <v>-28</v>
      </c>
      <c r="AZ168" s="766">
        <v>-28</v>
      </c>
      <c r="BA168" s="766">
        <v>-38</v>
      </c>
      <c r="BB168" s="767">
        <v>-35</v>
      </c>
    </row>
    <row r="169" spans="2:54" x14ac:dyDescent="0.25">
      <c r="B169" s="759" t="s">
        <v>278</v>
      </c>
      <c r="C169" s="765">
        <v>-18</v>
      </c>
      <c r="D169" s="766">
        <v>-18</v>
      </c>
      <c r="E169" s="766">
        <v>-18</v>
      </c>
      <c r="F169" s="766">
        <v>-20</v>
      </c>
      <c r="G169" s="766">
        <v>-22</v>
      </c>
      <c r="H169" s="766">
        <v>-22</v>
      </c>
      <c r="I169" s="767">
        <v>-27</v>
      </c>
      <c r="K169" s="759" t="s">
        <v>278</v>
      </c>
      <c r="L169" s="765">
        <v>-22</v>
      </c>
      <c r="M169" s="766">
        <v>-25</v>
      </c>
      <c r="N169" s="766">
        <v>-24</v>
      </c>
      <c r="O169" s="766">
        <v>-22</v>
      </c>
      <c r="P169" s="766">
        <v>-21</v>
      </c>
      <c r="Q169" s="766">
        <v>-23</v>
      </c>
      <c r="R169" s="767">
        <v>-20</v>
      </c>
      <c r="T169" s="763" t="s">
        <v>278</v>
      </c>
      <c r="U169" s="765">
        <v>-24</v>
      </c>
      <c r="V169" s="766">
        <v>-25</v>
      </c>
      <c r="W169" s="766">
        <v>-32</v>
      </c>
      <c r="X169" s="766">
        <v>-30</v>
      </c>
      <c r="Y169" s="766">
        <v>-29</v>
      </c>
      <c r="Z169" s="766">
        <v>-32</v>
      </c>
      <c r="AA169" s="767">
        <v>-29</v>
      </c>
      <c r="AC169" s="764" t="s">
        <v>278</v>
      </c>
      <c r="AD169" s="765">
        <v>-30</v>
      </c>
      <c r="AE169" s="766">
        <v>-32</v>
      </c>
      <c r="AF169" s="766">
        <v>-35</v>
      </c>
      <c r="AG169" s="766">
        <v>-33</v>
      </c>
      <c r="AH169" s="766">
        <v>-40</v>
      </c>
      <c r="AI169" s="766">
        <v>-40</v>
      </c>
      <c r="AJ169" s="767">
        <v>-41</v>
      </c>
      <c r="AL169" s="764" t="s">
        <v>278</v>
      </c>
      <c r="AM169" s="765"/>
      <c r="AN169" s="766">
        <v>-19</v>
      </c>
      <c r="AO169" s="766">
        <v>-18</v>
      </c>
      <c r="AP169" s="766">
        <v>-18</v>
      </c>
      <c r="AQ169" s="766">
        <v>-18</v>
      </c>
      <c r="AR169" s="766">
        <v>-25</v>
      </c>
      <c r="AS169" s="767">
        <v>-25</v>
      </c>
      <c r="AU169" s="764" t="s">
        <v>278</v>
      </c>
      <c r="AV169" s="765">
        <v>-29</v>
      </c>
      <c r="AW169" s="766">
        <v>-27</v>
      </c>
      <c r="AX169" s="766">
        <v>-30</v>
      </c>
      <c r="AY169" s="766">
        <v>-31</v>
      </c>
      <c r="AZ169" s="766">
        <v>-37</v>
      </c>
      <c r="BA169" s="766">
        <v>-42</v>
      </c>
      <c r="BB169" s="767">
        <v>-45</v>
      </c>
    </row>
    <row r="170" spans="2:54" ht="15.75" thickBot="1" x14ac:dyDescent="0.3">
      <c r="B170" s="768" t="s">
        <v>284</v>
      </c>
      <c r="C170" s="769" t="s">
        <v>1048</v>
      </c>
      <c r="D170" s="770" t="s">
        <v>1048</v>
      </c>
      <c r="E170" s="770" t="s">
        <v>1048</v>
      </c>
      <c r="F170" s="770" t="s">
        <v>1048</v>
      </c>
      <c r="G170" s="770" t="s">
        <v>1048</v>
      </c>
      <c r="H170" s="770" t="s">
        <v>1048</v>
      </c>
      <c r="I170" s="771" t="s">
        <v>1048</v>
      </c>
      <c r="K170" s="768" t="s">
        <v>284</v>
      </c>
      <c r="L170" s="769" t="s">
        <v>1048</v>
      </c>
      <c r="M170" s="770" t="s">
        <v>1048</v>
      </c>
      <c r="N170" s="770" t="s">
        <v>1048</v>
      </c>
      <c r="O170" s="770" t="s">
        <v>1048</v>
      </c>
      <c r="P170" s="770" t="s">
        <v>1048</v>
      </c>
      <c r="Q170" s="770" t="s">
        <v>1048</v>
      </c>
      <c r="R170" s="771" t="s">
        <v>1048</v>
      </c>
      <c r="T170" s="772" t="s">
        <v>284</v>
      </c>
      <c r="U170" s="769" t="s">
        <v>1048</v>
      </c>
      <c r="V170" s="770" t="s">
        <v>1048</v>
      </c>
      <c r="W170" s="770" t="s">
        <v>1048</v>
      </c>
      <c r="X170" s="770" t="s">
        <v>1048</v>
      </c>
      <c r="Y170" s="770" t="s">
        <v>1048</v>
      </c>
      <c r="Z170" s="770" t="s">
        <v>1048</v>
      </c>
      <c r="AA170" s="771" t="s">
        <v>1048</v>
      </c>
      <c r="AC170" s="773" t="s">
        <v>284</v>
      </c>
      <c r="AD170" s="769" t="s">
        <v>1048</v>
      </c>
      <c r="AE170" s="770" t="s">
        <v>1048</v>
      </c>
      <c r="AF170" s="770" t="s">
        <v>1048</v>
      </c>
      <c r="AG170" s="770" t="s">
        <v>1048</v>
      </c>
      <c r="AH170" s="770" t="s">
        <v>1048</v>
      </c>
      <c r="AI170" s="770" t="s">
        <v>1048</v>
      </c>
      <c r="AJ170" s="771" t="s">
        <v>1048</v>
      </c>
      <c r="AL170" s="773" t="s">
        <v>284</v>
      </c>
      <c r="AM170" s="769" t="s">
        <v>1048</v>
      </c>
      <c r="AN170" s="770" t="s">
        <v>1048</v>
      </c>
      <c r="AO170" s="770" t="s">
        <v>1048</v>
      </c>
      <c r="AP170" s="770" t="s">
        <v>1048</v>
      </c>
      <c r="AQ170" s="770" t="s">
        <v>1048</v>
      </c>
      <c r="AR170" s="770" t="s">
        <v>1048</v>
      </c>
      <c r="AS170" s="771" t="s">
        <v>1048</v>
      </c>
      <c r="AU170" s="773" t="s">
        <v>284</v>
      </c>
      <c r="AV170" s="769" t="s">
        <v>1048</v>
      </c>
      <c r="AW170" s="770" t="s">
        <v>1048</v>
      </c>
      <c r="AX170" s="770" t="s">
        <v>1048</v>
      </c>
      <c r="AY170" s="770" t="s">
        <v>1048</v>
      </c>
      <c r="AZ170" s="770" t="s">
        <v>1048</v>
      </c>
      <c r="BA170" s="770" t="s">
        <v>1048</v>
      </c>
      <c r="BB170" s="771" t="s">
        <v>1048</v>
      </c>
    </row>
    <row r="171" spans="2:54" ht="15.75" thickBot="1" x14ac:dyDescent="0.3">
      <c r="B171" s="774"/>
      <c r="C171" s="775"/>
      <c r="D171" s="775"/>
      <c r="E171" s="775"/>
      <c r="F171" s="775"/>
      <c r="G171" s="775"/>
      <c r="H171" s="775"/>
      <c r="I171" s="775"/>
      <c r="K171" s="774"/>
      <c r="L171" s="775"/>
      <c r="M171" s="775"/>
      <c r="N171" s="775"/>
      <c r="O171" s="775"/>
      <c r="P171" s="775"/>
      <c r="Q171" s="775"/>
      <c r="R171" s="775"/>
      <c r="T171" s="776"/>
      <c r="U171" s="775"/>
      <c r="V171" s="775"/>
      <c r="W171" s="775"/>
      <c r="X171" s="775"/>
      <c r="Y171" s="775"/>
      <c r="Z171" s="775"/>
      <c r="AA171" s="775"/>
      <c r="AC171" s="777"/>
      <c r="AD171" s="775"/>
      <c r="AE171" s="775"/>
      <c r="AF171" s="775"/>
      <c r="AG171" s="775"/>
      <c r="AH171" s="775"/>
      <c r="AI171" s="775"/>
      <c r="AJ171" s="775"/>
      <c r="AL171" s="777"/>
      <c r="AM171" s="775"/>
      <c r="AN171" s="775"/>
      <c r="AO171" s="775"/>
      <c r="AP171" s="775"/>
      <c r="AQ171" s="775"/>
      <c r="AR171" s="775"/>
      <c r="AS171" s="775"/>
      <c r="AU171" s="777"/>
      <c r="AV171" s="775"/>
      <c r="AW171" s="775"/>
      <c r="AX171" s="775"/>
      <c r="AY171" s="775"/>
      <c r="AZ171" s="775"/>
      <c r="BA171" s="775"/>
      <c r="BB171" s="775"/>
    </row>
    <row r="172" spans="2:54" ht="15.75" thickBot="1" x14ac:dyDescent="0.3">
      <c r="B172" s="748" t="s">
        <v>1041</v>
      </c>
      <c r="C172" s="778" t="s">
        <v>187</v>
      </c>
      <c r="D172" s="778" t="s">
        <v>214</v>
      </c>
      <c r="E172" s="778" t="s">
        <v>233</v>
      </c>
      <c r="F172" s="778" t="s">
        <v>242</v>
      </c>
      <c r="G172" s="778" t="s">
        <v>250</v>
      </c>
      <c r="H172" s="778" t="s">
        <v>258</v>
      </c>
      <c r="I172" s="779" t="s">
        <v>265</v>
      </c>
      <c r="K172" s="748" t="s">
        <v>1041</v>
      </c>
      <c r="L172" s="778" t="s">
        <v>187</v>
      </c>
      <c r="M172" s="778" t="s">
        <v>214</v>
      </c>
      <c r="N172" s="778" t="s">
        <v>233</v>
      </c>
      <c r="O172" s="778" t="s">
        <v>242</v>
      </c>
      <c r="P172" s="778" t="s">
        <v>250</v>
      </c>
      <c r="Q172" s="778" t="s">
        <v>258</v>
      </c>
      <c r="R172" s="779" t="s">
        <v>265</v>
      </c>
      <c r="T172" s="751" t="s">
        <v>1041</v>
      </c>
      <c r="U172" s="778" t="s">
        <v>187</v>
      </c>
      <c r="V172" s="778" t="s">
        <v>214</v>
      </c>
      <c r="W172" s="778" t="s">
        <v>233</v>
      </c>
      <c r="X172" s="778" t="s">
        <v>242</v>
      </c>
      <c r="Y172" s="778" t="s">
        <v>250</v>
      </c>
      <c r="Z172" s="778" t="s">
        <v>258</v>
      </c>
      <c r="AA172" s="779" t="s">
        <v>265</v>
      </c>
      <c r="AC172" s="752" t="s">
        <v>1041</v>
      </c>
      <c r="AD172" s="778" t="s">
        <v>187</v>
      </c>
      <c r="AE172" s="778" t="s">
        <v>214</v>
      </c>
      <c r="AF172" s="778" t="s">
        <v>233</v>
      </c>
      <c r="AG172" s="778" t="s">
        <v>242</v>
      </c>
      <c r="AH172" s="778" t="s">
        <v>250</v>
      </c>
      <c r="AI172" s="778" t="s">
        <v>258</v>
      </c>
      <c r="AJ172" s="779" t="s">
        <v>265</v>
      </c>
      <c r="AL172" s="752" t="s">
        <v>1041</v>
      </c>
      <c r="AM172" s="778" t="s">
        <v>187</v>
      </c>
      <c r="AN172" s="778" t="s">
        <v>214</v>
      </c>
      <c r="AO172" s="778" t="s">
        <v>233</v>
      </c>
      <c r="AP172" s="778" t="s">
        <v>242</v>
      </c>
      <c r="AQ172" s="778" t="s">
        <v>250</v>
      </c>
      <c r="AR172" s="778" t="s">
        <v>258</v>
      </c>
      <c r="AS172" s="779" t="s">
        <v>265</v>
      </c>
      <c r="AU172" s="752" t="s">
        <v>1041</v>
      </c>
      <c r="AV172" s="778" t="s">
        <v>187</v>
      </c>
      <c r="AW172" s="778" t="s">
        <v>214</v>
      </c>
      <c r="AX172" s="778" t="s">
        <v>233</v>
      </c>
      <c r="AY172" s="778" t="s">
        <v>242</v>
      </c>
      <c r="AZ172" s="778" t="s">
        <v>250</v>
      </c>
      <c r="BA172" s="778" t="s">
        <v>258</v>
      </c>
      <c r="BB172" s="779" t="s">
        <v>265</v>
      </c>
    </row>
    <row r="173" spans="2:54" x14ac:dyDescent="0.25">
      <c r="B173" s="753" t="s">
        <v>186</v>
      </c>
      <c r="C173" s="754">
        <v>-15</v>
      </c>
      <c r="D173" s="755">
        <v>-14</v>
      </c>
      <c r="E173" s="755">
        <v>-15</v>
      </c>
      <c r="F173" s="755">
        <v>-20</v>
      </c>
      <c r="G173" s="755">
        <v>-13</v>
      </c>
      <c r="H173" s="755">
        <v>-11</v>
      </c>
      <c r="I173" s="756">
        <v>-17</v>
      </c>
      <c r="K173" s="753" t="s">
        <v>186</v>
      </c>
      <c r="L173" s="754">
        <v>-17</v>
      </c>
      <c r="M173" s="755">
        <v>-15</v>
      </c>
      <c r="N173" s="755">
        <v>-12</v>
      </c>
      <c r="O173" s="755">
        <v>-14</v>
      </c>
      <c r="P173" s="755">
        <v>-17</v>
      </c>
      <c r="Q173" s="755">
        <v>-15</v>
      </c>
      <c r="R173" s="756">
        <v>-15</v>
      </c>
      <c r="T173" s="757" t="s">
        <v>186</v>
      </c>
      <c r="U173" s="754">
        <v>-28</v>
      </c>
      <c r="V173" s="755">
        <v>-28</v>
      </c>
      <c r="W173" s="755">
        <v>-30</v>
      </c>
      <c r="X173" s="755">
        <v>-28</v>
      </c>
      <c r="Y173" s="755">
        <v>-26</v>
      </c>
      <c r="Z173" s="755">
        <v>-27</v>
      </c>
      <c r="AA173" s="756">
        <v>-24</v>
      </c>
      <c r="AC173" s="758" t="s">
        <v>186</v>
      </c>
      <c r="AD173" s="754">
        <v>-25</v>
      </c>
      <c r="AE173" s="755">
        <v>-28</v>
      </c>
      <c r="AF173" s="755">
        <v>-27</v>
      </c>
      <c r="AG173" s="755">
        <v>-27</v>
      </c>
      <c r="AH173" s="755">
        <v>-32</v>
      </c>
      <c r="AI173" s="755">
        <v>-25</v>
      </c>
      <c r="AJ173" s="756">
        <v>-25</v>
      </c>
      <c r="AL173" s="758" t="s">
        <v>186</v>
      </c>
      <c r="AM173" s="754"/>
      <c r="AN173" s="755"/>
      <c r="AO173" s="755">
        <v>-21</v>
      </c>
      <c r="AP173" s="755">
        <v>-20</v>
      </c>
      <c r="AQ173" s="755">
        <v>-20</v>
      </c>
      <c r="AR173" s="755">
        <v>-18</v>
      </c>
      <c r="AS173" s="756">
        <v>-16</v>
      </c>
      <c r="AU173" s="758" t="s">
        <v>186</v>
      </c>
      <c r="AV173" s="754">
        <v>-28</v>
      </c>
      <c r="AW173" s="755">
        <v>-32</v>
      </c>
      <c r="AX173" s="755">
        <v>-29</v>
      </c>
      <c r="AY173" s="755">
        <v>-26</v>
      </c>
      <c r="AZ173" s="755">
        <v>-25</v>
      </c>
      <c r="BA173" s="755">
        <v>-25</v>
      </c>
      <c r="BB173" s="756">
        <v>-27</v>
      </c>
    </row>
    <row r="174" spans="2:54" x14ac:dyDescent="0.25">
      <c r="B174" s="759" t="s">
        <v>213</v>
      </c>
      <c r="C174" s="760">
        <v>-13</v>
      </c>
      <c r="D174" s="761">
        <v>-12</v>
      </c>
      <c r="E174" s="761">
        <v>-12</v>
      </c>
      <c r="F174" s="761">
        <v>-17</v>
      </c>
      <c r="G174" s="761">
        <v>-12</v>
      </c>
      <c r="H174" s="761">
        <v>-10</v>
      </c>
      <c r="I174" s="762">
        <v>-15</v>
      </c>
      <c r="K174" s="759" t="s">
        <v>213</v>
      </c>
      <c r="L174" s="760">
        <v>-13</v>
      </c>
      <c r="M174" s="761">
        <v>-13</v>
      </c>
      <c r="N174" s="761">
        <v>-11</v>
      </c>
      <c r="O174" s="761">
        <v>-10</v>
      </c>
      <c r="P174" s="761">
        <v>-14</v>
      </c>
      <c r="Q174" s="761">
        <v>-13</v>
      </c>
      <c r="R174" s="762">
        <v>-14</v>
      </c>
      <c r="T174" s="763" t="s">
        <v>213</v>
      </c>
      <c r="U174" s="760">
        <v>-27</v>
      </c>
      <c r="V174" s="761">
        <v>-27</v>
      </c>
      <c r="W174" s="761">
        <v>-27</v>
      </c>
      <c r="X174" s="761">
        <v>-27</v>
      </c>
      <c r="Y174" s="761">
        <v>-30</v>
      </c>
      <c r="Z174" s="761">
        <v>-32</v>
      </c>
      <c r="AA174" s="762">
        <v>-29</v>
      </c>
      <c r="AC174" s="764" t="s">
        <v>213</v>
      </c>
      <c r="AD174" s="760">
        <v>-27</v>
      </c>
      <c r="AE174" s="761">
        <v>-25</v>
      </c>
      <c r="AF174" s="761">
        <v>-24</v>
      </c>
      <c r="AG174" s="761">
        <v>-28</v>
      </c>
      <c r="AH174" s="761">
        <v>-30</v>
      </c>
      <c r="AI174" s="761">
        <v>-26</v>
      </c>
      <c r="AJ174" s="762">
        <v>-25</v>
      </c>
      <c r="AL174" s="764" t="s">
        <v>213</v>
      </c>
      <c r="AM174" s="760"/>
      <c r="AN174" s="761"/>
      <c r="AO174" s="761">
        <v>-19</v>
      </c>
      <c r="AP174" s="761">
        <v>-18</v>
      </c>
      <c r="AQ174" s="761">
        <v>-18</v>
      </c>
      <c r="AR174" s="761">
        <v>-18</v>
      </c>
      <c r="AS174" s="762">
        <v>-16</v>
      </c>
      <c r="AU174" s="764" t="s">
        <v>213</v>
      </c>
      <c r="AV174" s="760">
        <v>-28</v>
      </c>
      <c r="AW174" s="761">
        <v>-28</v>
      </c>
      <c r="AX174" s="761">
        <v>-29</v>
      </c>
      <c r="AY174" s="761">
        <v>-31</v>
      </c>
      <c r="AZ174" s="761">
        <v>-33</v>
      </c>
      <c r="BA174" s="761">
        <v>-34</v>
      </c>
      <c r="BB174" s="762">
        <v>-29</v>
      </c>
    </row>
    <row r="175" spans="2:54" x14ac:dyDescent="0.25">
      <c r="B175" s="759" t="s">
        <v>232</v>
      </c>
      <c r="C175" s="765">
        <v>-12</v>
      </c>
      <c r="D175" s="766">
        <v>-10</v>
      </c>
      <c r="E175" s="766">
        <v>-11</v>
      </c>
      <c r="F175" s="766">
        <v>-14</v>
      </c>
      <c r="G175" s="766">
        <v>-15</v>
      </c>
      <c r="H175" s="766">
        <v>-16</v>
      </c>
      <c r="I175" s="767">
        <v>-13</v>
      </c>
      <c r="K175" s="759" t="s">
        <v>232</v>
      </c>
      <c r="L175" s="765">
        <v>-12</v>
      </c>
      <c r="M175" s="766">
        <v>-11</v>
      </c>
      <c r="N175" s="766">
        <v>-11</v>
      </c>
      <c r="O175" s="766">
        <v>-11</v>
      </c>
      <c r="P175" s="766">
        <v>-13</v>
      </c>
      <c r="Q175" s="766">
        <v>-16</v>
      </c>
      <c r="R175" s="767">
        <v>-13</v>
      </c>
      <c r="T175" s="763" t="s">
        <v>232</v>
      </c>
      <c r="U175" s="765">
        <v>-28</v>
      </c>
      <c r="V175" s="766">
        <v>-28</v>
      </c>
      <c r="W175" s="766">
        <v>-28</v>
      </c>
      <c r="X175" s="766">
        <v>-33</v>
      </c>
      <c r="Y175" s="766">
        <v>-32</v>
      </c>
      <c r="Z175" s="766">
        <v>-30</v>
      </c>
      <c r="AA175" s="767">
        <v>-29</v>
      </c>
      <c r="AC175" s="764" t="s">
        <v>232</v>
      </c>
      <c r="AD175" s="765">
        <v>-30</v>
      </c>
      <c r="AE175" s="766">
        <v>-29</v>
      </c>
      <c r="AF175" s="766">
        <v>-29</v>
      </c>
      <c r="AG175" s="766">
        <v>-34</v>
      </c>
      <c r="AH175" s="766">
        <v>-29</v>
      </c>
      <c r="AI175" s="766">
        <v>-29</v>
      </c>
      <c r="AJ175" s="767">
        <v>-33</v>
      </c>
      <c r="AL175" s="764" t="s">
        <v>232</v>
      </c>
      <c r="AM175" s="765"/>
      <c r="AN175" s="766"/>
      <c r="AO175" s="766">
        <v>-16</v>
      </c>
      <c r="AP175" s="766">
        <v>-15</v>
      </c>
      <c r="AQ175" s="766">
        <v>-14</v>
      </c>
      <c r="AR175" s="766">
        <v>-15</v>
      </c>
      <c r="AS175" s="767">
        <v>-16</v>
      </c>
      <c r="AU175" s="764" t="s">
        <v>232</v>
      </c>
      <c r="AV175" s="765">
        <v>-26</v>
      </c>
      <c r="AW175" s="766">
        <v>-26</v>
      </c>
      <c r="AX175" s="766">
        <v>-30</v>
      </c>
      <c r="AY175" s="766">
        <v>-29</v>
      </c>
      <c r="AZ175" s="766">
        <v>-30</v>
      </c>
      <c r="BA175" s="766">
        <v>-33</v>
      </c>
      <c r="BB175" s="767">
        <v>-29</v>
      </c>
    </row>
    <row r="176" spans="2:54" x14ac:dyDescent="0.25">
      <c r="B176" s="759" t="s">
        <v>215</v>
      </c>
      <c r="C176" s="765">
        <v>-9</v>
      </c>
      <c r="D176" s="766">
        <v>-8</v>
      </c>
      <c r="E176" s="766">
        <v>-10</v>
      </c>
      <c r="F176" s="766">
        <v>-11</v>
      </c>
      <c r="G176" s="766">
        <v>-9</v>
      </c>
      <c r="H176" s="766">
        <v>-11</v>
      </c>
      <c r="I176" s="767">
        <v>-13</v>
      </c>
      <c r="K176" s="759" t="s">
        <v>215</v>
      </c>
      <c r="L176" s="765">
        <v>-12</v>
      </c>
      <c r="M176" s="766">
        <v>-12</v>
      </c>
      <c r="N176" s="766">
        <v>-12</v>
      </c>
      <c r="O176" s="766">
        <v>-12</v>
      </c>
      <c r="P176" s="766">
        <v>-11</v>
      </c>
      <c r="Q176" s="766">
        <v>-10</v>
      </c>
      <c r="R176" s="767">
        <v>-14</v>
      </c>
      <c r="T176" s="763" t="s">
        <v>215</v>
      </c>
      <c r="U176" s="765">
        <v>-28</v>
      </c>
      <c r="V176" s="766">
        <v>-29</v>
      </c>
      <c r="W176" s="766">
        <v>-28</v>
      </c>
      <c r="X176" s="766">
        <v>-29</v>
      </c>
      <c r="Y176" s="766">
        <v>-32</v>
      </c>
      <c r="Z176" s="766">
        <v>-27</v>
      </c>
      <c r="AA176" s="767">
        <v>-30</v>
      </c>
      <c r="AC176" s="764" t="s">
        <v>215</v>
      </c>
      <c r="AD176" s="765">
        <v>-31</v>
      </c>
      <c r="AE176" s="766">
        <v>-29</v>
      </c>
      <c r="AF176" s="766">
        <v>-28</v>
      </c>
      <c r="AG176" s="766">
        <v>-29</v>
      </c>
      <c r="AH176" s="766">
        <v>-29</v>
      </c>
      <c r="AI176" s="766">
        <v>-33</v>
      </c>
      <c r="AJ176" s="767">
        <v>-30</v>
      </c>
      <c r="AL176" s="764" t="s">
        <v>215</v>
      </c>
      <c r="AM176" s="765"/>
      <c r="AN176" s="766">
        <v>-16</v>
      </c>
      <c r="AO176" s="766">
        <v>-15</v>
      </c>
      <c r="AP176" s="766">
        <v>-15</v>
      </c>
      <c r="AQ176" s="766">
        <v>-13</v>
      </c>
      <c r="AR176" s="766">
        <v>-14</v>
      </c>
      <c r="AS176" s="767">
        <v>-15</v>
      </c>
      <c r="AU176" s="764" t="s">
        <v>215</v>
      </c>
      <c r="AV176" s="765">
        <v>-29</v>
      </c>
      <c r="AW176" s="766">
        <v>-32</v>
      </c>
      <c r="AX176" s="766">
        <v>-33</v>
      </c>
      <c r="AY176" s="766">
        <v>-31</v>
      </c>
      <c r="AZ176" s="766">
        <v>-31</v>
      </c>
      <c r="BA176" s="766">
        <v>-29</v>
      </c>
      <c r="BB176" s="767">
        <v>-30</v>
      </c>
    </row>
    <row r="177" spans="2:54" x14ac:dyDescent="0.25">
      <c r="B177" s="759" t="s">
        <v>249</v>
      </c>
      <c r="C177" s="765">
        <v>-10</v>
      </c>
      <c r="D177" s="766">
        <v>-9</v>
      </c>
      <c r="E177" s="766">
        <v>-9</v>
      </c>
      <c r="F177" s="766">
        <v>-8</v>
      </c>
      <c r="G177" s="766">
        <v>-8</v>
      </c>
      <c r="H177" s="766">
        <v>-14</v>
      </c>
      <c r="I177" s="767">
        <v>-20</v>
      </c>
      <c r="K177" s="759" t="s">
        <v>249</v>
      </c>
      <c r="L177" s="765">
        <v>-11</v>
      </c>
      <c r="M177" s="766">
        <v>-12</v>
      </c>
      <c r="N177" s="766">
        <v>-12</v>
      </c>
      <c r="O177" s="766">
        <v>-12</v>
      </c>
      <c r="P177" s="766">
        <v>-12</v>
      </c>
      <c r="Q177" s="766">
        <v>-11</v>
      </c>
      <c r="R177" s="767">
        <v>-12</v>
      </c>
      <c r="T177" s="763" t="s">
        <v>249</v>
      </c>
      <c r="U177" s="765">
        <v>-28</v>
      </c>
      <c r="V177" s="766">
        <v>-27</v>
      </c>
      <c r="W177" s="766">
        <v>-28</v>
      </c>
      <c r="X177" s="766">
        <v>-27</v>
      </c>
      <c r="Y177" s="766">
        <v>-30</v>
      </c>
      <c r="Z177" s="766">
        <v>-27</v>
      </c>
      <c r="AA177" s="767">
        <v>-28</v>
      </c>
      <c r="AC177" s="764" t="s">
        <v>249</v>
      </c>
      <c r="AD177" s="765">
        <v>-28</v>
      </c>
      <c r="AE177" s="766">
        <v>-26</v>
      </c>
      <c r="AF177" s="766">
        <v>-24</v>
      </c>
      <c r="AG177" s="766">
        <v>-30</v>
      </c>
      <c r="AH177" s="766">
        <v>-30</v>
      </c>
      <c r="AI177" s="766">
        <v>-36</v>
      </c>
      <c r="AJ177" s="767">
        <v>-30</v>
      </c>
      <c r="AL177" s="764" t="s">
        <v>249</v>
      </c>
      <c r="AM177" s="765"/>
      <c r="AN177" s="766">
        <v>-13</v>
      </c>
      <c r="AO177" s="766">
        <v>-13</v>
      </c>
      <c r="AP177" s="766">
        <v>-13</v>
      </c>
      <c r="AQ177" s="766">
        <v>-12</v>
      </c>
      <c r="AR177" s="766">
        <v>-13</v>
      </c>
      <c r="AS177" s="767">
        <v>-16</v>
      </c>
      <c r="AU177" s="764" t="s">
        <v>249</v>
      </c>
      <c r="AV177" s="765">
        <v>-27</v>
      </c>
      <c r="AW177" s="766">
        <v>-26</v>
      </c>
      <c r="AX177" s="766">
        <v>-26</v>
      </c>
      <c r="AY177" s="766">
        <v>-24</v>
      </c>
      <c r="AZ177" s="766">
        <v>-23</v>
      </c>
      <c r="BA177" s="766">
        <v>-27</v>
      </c>
      <c r="BB177" s="767">
        <v>-33</v>
      </c>
    </row>
    <row r="178" spans="2:54" x14ac:dyDescent="0.25">
      <c r="B178" s="759" t="s">
        <v>257</v>
      </c>
      <c r="C178" s="765">
        <v>-8</v>
      </c>
      <c r="D178" s="766">
        <v>-8</v>
      </c>
      <c r="E178" s="766">
        <v>-11</v>
      </c>
      <c r="F178" s="766">
        <v>-9</v>
      </c>
      <c r="G178" s="766">
        <v>-10</v>
      </c>
      <c r="H178" s="766">
        <v>-13</v>
      </c>
      <c r="I178" s="767">
        <v>-17</v>
      </c>
      <c r="K178" s="759" t="s">
        <v>257</v>
      </c>
      <c r="L178" s="765">
        <v>-12</v>
      </c>
      <c r="M178" s="766">
        <v>-10</v>
      </c>
      <c r="N178" s="766">
        <v>-14</v>
      </c>
      <c r="O178" s="766">
        <v>-13</v>
      </c>
      <c r="P178" s="766">
        <v>-14</v>
      </c>
      <c r="Q178" s="766">
        <v>-14</v>
      </c>
      <c r="R178" s="767">
        <v>-12</v>
      </c>
      <c r="T178" s="763" t="s">
        <v>257</v>
      </c>
      <c r="U178" s="765">
        <v>-23</v>
      </c>
      <c r="V178" s="766">
        <v>-25</v>
      </c>
      <c r="W178" s="766">
        <v>-25</v>
      </c>
      <c r="X178" s="766">
        <v>-28</v>
      </c>
      <c r="Y178" s="766">
        <v>-26</v>
      </c>
      <c r="Z178" s="766">
        <v>-24</v>
      </c>
      <c r="AA178" s="767">
        <v>-24</v>
      </c>
      <c r="AC178" s="764" t="s">
        <v>257</v>
      </c>
      <c r="AD178" s="765">
        <v>-32</v>
      </c>
      <c r="AE178" s="766">
        <v>-30</v>
      </c>
      <c r="AF178" s="766">
        <v>-28</v>
      </c>
      <c r="AG178" s="766">
        <v>-27</v>
      </c>
      <c r="AH178" s="766">
        <v>-30</v>
      </c>
      <c r="AI178" s="766">
        <v>-28</v>
      </c>
      <c r="AJ178" s="767">
        <v>-27</v>
      </c>
      <c r="AL178" s="764" t="s">
        <v>257</v>
      </c>
      <c r="AM178" s="765"/>
      <c r="AN178" s="766">
        <v>-11</v>
      </c>
      <c r="AO178" s="766">
        <v>-11</v>
      </c>
      <c r="AP178" s="766">
        <v>-11</v>
      </c>
      <c r="AQ178" s="766">
        <v>-11</v>
      </c>
      <c r="AR178" s="766">
        <v>-12</v>
      </c>
      <c r="AS178" s="767">
        <v>-14</v>
      </c>
      <c r="AU178" s="764" t="s">
        <v>257</v>
      </c>
      <c r="AV178" s="765">
        <v>-34</v>
      </c>
      <c r="AW178" s="766">
        <v>-34</v>
      </c>
      <c r="AX178" s="766">
        <v>-32</v>
      </c>
      <c r="AY178" s="766">
        <v>-31</v>
      </c>
      <c r="AZ178" s="766">
        <v>-29</v>
      </c>
      <c r="BA178" s="766">
        <v>-28</v>
      </c>
      <c r="BB178" s="767">
        <v>-30</v>
      </c>
    </row>
    <row r="179" spans="2:54" x14ac:dyDescent="0.25">
      <c r="B179" s="759" t="s">
        <v>264</v>
      </c>
      <c r="C179" s="765">
        <v>-9</v>
      </c>
      <c r="D179" s="766">
        <v>-8</v>
      </c>
      <c r="E179" s="766">
        <v>-8</v>
      </c>
      <c r="F179" s="766">
        <v>-7</v>
      </c>
      <c r="G179" s="766">
        <v>-7</v>
      </c>
      <c r="H179" s="766">
        <v>-8</v>
      </c>
      <c r="I179" s="767">
        <v>-10</v>
      </c>
      <c r="K179" s="759" t="s">
        <v>264</v>
      </c>
      <c r="L179" s="765">
        <v>-12</v>
      </c>
      <c r="M179" s="766">
        <v>-11</v>
      </c>
      <c r="N179" s="766">
        <v>-9</v>
      </c>
      <c r="O179" s="766">
        <v>-11</v>
      </c>
      <c r="P179" s="766">
        <v>-14</v>
      </c>
      <c r="Q179" s="766">
        <v>-15</v>
      </c>
      <c r="R179" s="767">
        <v>-12</v>
      </c>
      <c r="T179" s="763" t="s">
        <v>264</v>
      </c>
      <c r="U179" s="765">
        <v>-23</v>
      </c>
      <c r="V179" s="766">
        <v>-22</v>
      </c>
      <c r="W179" s="766">
        <v>-20</v>
      </c>
      <c r="X179" s="766">
        <v>-18</v>
      </c>
      <c r="Y179" s="766">
        <v>-21</v>
      </c>
      <c r="Z179" s="766">
        <v>-26</v>
      </c>
      <c r="AA179" s="767">
        <v>-24</v>
      </c>
      <c r="AC179" s="764" t="s">
        <v>264</v>
      </c>
      <c r="AD179" s="765">
        <v>-27</v>
      </c>
      <c r="AE179" s="766">
        <v>-26</v>
      </c>
      <c r="AF179" s="766">
        <v>-26</v>
      </c>
      <c r="AG179" s="766">
        <v>-29</v>
      </c>
      <c r="AH179" s="766">
        <v>-28</v>
      </c>
      <c r="AI179" s="766">
        <v>-32</v>
      </c>
      <c r="AJ179" s="767">
        <v>-29</v>
      </c>
      <c r="AL179" s="764" t="s">
        <v>264</v>
      </c>
      <c r="AM179" s="765"/>
      <c r="AN179" s="766">
        <v>-13</v>
      </c>
      <c r="AO179" s="766">
        <v>-12</v>
      </c>
      <c r="AP179" s="766">
        <v>-12</v>
      </c>
      <c r="AQ179" s="766">
        <v>-12</v>
      </c>
      <c r="AR179" s="766">
        <v>-12</v>
      </c>
      <c r="AS179" s="767">
        <v>-13</v>
      </c>
      <c r="AU179" s="764" t="s">
        <v>264</v>
      </c>
      <c r="AV179" s="765">
        <v>-27</v>
      </c>
      <c r="AW179" s="766">
        <v>-26</v>
      </c>
      <c r="AX179" s="766">
        <v>-25</v>
      </c>
      <c r="AY179" s="766">
        <v>-23</v>
      </c>
      <c r="AZ179" s="766">
        <v>-25</v>
      </c>
      <c r="BA179" s="766">
        <v>-23</v>
      </c>
      <c r="BB179" s="767">
        <v>-24</v>
      </c>
    </row>
    <row r="180" spans="2:54" x14ac:dyDescent="0.25">
      <c r="B180" s="759" t="s">
        <v>272</v>
      </c>
      <c r="C180" s="765">
        <v>-10</v>
      </c>
      <c r="D180" s="766">
        <v>-9</v>
      </c>
      <c r="E180" s="766">
        <v>-9</v>
      </c>
      <c r="F180" s="766">
        <v>-8</v>
      </c>
      <c r="G180" s="766">
        <v>-8</v>
      </c>
      <c r="H180" s="766">
        <v>-10</v>
      </c>
      <c r="I180" s="767">
        <v>-15</v>
      </c>
      <c r="K180" s="759" t="s">
        <v>272</v>
      </c>
      <c r="L180" s="765">
        <v>-15</v>
      </c>
      <c r="M180" s="766">
        <v>-14</v>
      </c>
      <c r="N180" s="766">
        <v>-13</v>
      </c>
      <c r="O180" s="766">
        <v>-11</v>
      </c>
      <c r="P180" s="766">
        <v>-11</v>
      </c>
      <c r="Q180" s="766">
        <v>-12</v>
      </c>
      <c r="R180" s="767">
        <v>-12</v>
      </c>
      <c r="T180" s="763" t="s">
        <v>272</v>
      </c>
      <c r="U180" s="765">
        <v>-19</v>
      </c>
      <c r="V180" s="766">
        <v>-18</v>
      </c>
      <c r="W180" s="766">
        <v>-18</v>
      </c>
      <c r="X180" s="766">
        <v>-19</v>
      </c>
      <c r="Y180" s="766">
        <v>-19</v>
      </c>
      <c r="Z180" s="766">
        <v>-20</v>
      </c>
      <c r="AA180" s="767">
        <v>-21</v>
      </c>
      <c r="AC180" s="764" t="s">
        <v>272</v>
      </c>
      <c r="AD180" s="765">
        <v>-25</v>
      </c>
      <c r="AE180" s="766">
        <v>-25</v>
      </c>
      <c r="AF180" s="766">
        <v>-25</v>
      </c>
      <c r="AG180" s="766">
        <v>-25</v>
      </c>
      <c r="AH180" s="766">
        <v>-25</v>
      </c>
      <c r="AI180" s="766">
        <v>-29</v>
      </c>
      <c r="AJ180" s="767">
        <v>-30</v>
      </c>
      <c r="AL180" s="764" t="s">
        <v>272</v>
      </c>
      <c r="AM180" s="765"/>
      <c r="AN180" s="766">
        <v>-14</v>
      </c>
      <c r="AO180" s="766">
        <v>-13</v>
      </c>
      <c r="AP180" s="766">
        <v>-13</v>
      </c>
      <c r="AQ180" s="766">
        <v>-13</v>
      </c>
      <c r="AR180" s="766">
        <v>-13</v>
      </c>
      <c r="AS180" s="767">
        <v>-14</v>
      </c>
      <c r="AU180" s="764" t="s">
        <v>272</v>
      </c>
      <c r="AV180" s="765">
        <v>-23</v>
      </c>
      <c r="AW180" s="766">
        <v>-23</v>
      </c>
      <c r="AX180" s="766">
        <v>-22</v>
      </c>
      <c r="AY180" s="766">
        <v>-21</v>
      </c>
      <c r="AZ180" s="766">
        <v>-20</v>
      </c>
      <c r="BA180" s="766">
        <v>-22</v>
      </c>
      <c r="BB180" s="767">
        <v>-26</v>
      </c>
    </row>
    <row r="181" spans="2:54" x14ac:dyDescent="0.25">
      <c r="B181" s="759" t="s">
        <v>278</v>
      </c>
      <c r="C181" s="765">
        <v>-11</v>
      </c>
      <c r="D181" s="766">
        <v>-10</v>
      </c>
      <c r="E181" s="766">
        <v>-9</v>
      </c>
      <c r="F181" s="766">
        <v>-9</v>
      </c>
      <c r="G181" s="766">
        <v>-9</v>
      </c>
      <c r="H181" s="766">
        <v>-11</v>
      </c>
      <c r="I181" s="767">
        <v>-11</v>
      </c>
      <c r="K181" s="759" t="s">
        <v>278</v>
      </c>
      <c r="L181" s="765">
        <v>-13</v>
      </c>
      <c r="M181" s="766">
        <v>-12</v>
      </c>
      <c r="N181" s="766">
        <v>-12</v>
      </c>
      <c r="O181" s="766">
        <v>-12</v>
      </c>
      <c r="P181" s="766">
        <v>-12</v>
      </c>
      <c r="Q181" s="766">
        <v>-16</v>
      </c>
      <c r="R181" s="767">
        <v>-18</v>
      </c>
      <c r="T181" s="763" t="s">
        <v>278</v>
      </c>
      <c r="U181" s="765">
        <v>-21</v>
      </c>
      <c r="V181" s="766">
        <v>-20</v>
      </c>
      <c r="W181" s="766">
        <v>-20</v>
      </c>
      <c r="X181" s="766">
        <v>-20</v>
      </c>
      <c r="Y181" s="766">
        <v>-19</v>
      </c>
      <c r="Z181" s="766">
        <v>-20</v>
      </c>
      <c r="AA181" s="767">
        <v>-22</v>
      </c>
      <c r="AC181" s="764" t="s">
        <v>278</v>
      </c>
      <c r="AD181" s="765">
        <v>-25</v>
      </c>
      <c r="AE181" s="766">
        <v>-25</v>
      </c>
      <c r="AF181" s="766">
        <v>-25</v>
      </c>
      <c r="AG181" s="766">
        <v>-24</v>
      </c>
      <c r="AH181" s="766">
        <v>-24</v>
      </c>
      <c r="AI181" s="766">
        <v>-29</v>
      </c>
      <c r="AJ181" s="767">
        <v>-30</v>
      </c>
      <c r="AL181" s="764" t="s">
        <v>278</v>
      </c>
      <c r="AM181" s="765"/>
      <c r="AN181" s="766">
        <v>-16</v>
      </c>
      <c r="AO181" s="766">
        <v>-15</v>
      </c>
      <c r="AP181" s="766">
        <v>-15</v>
      </c>
      <c r="AQ181" s="766">
        <v>-15</v>
      </c>
      <c r="AR181" s="766">
        <v>-16</v>
      </c>
      <c r="AS181" s="767">
        <v>-17</v>
      </c>
      <c r="AU181" s="764" t="s">
        <v>278</v>
      </c>
      <c r="AV181" s="765">
        <v>-24</v>
      </c>
      <c r="AW181" s="766">
        <v>-24</v>
      </c>
      <c r="AX181" s="766">
        <v>-28</v>
      </c>
      <c r="AY181" s="766">
        <v>-25</v>
      </c>
      <c r="AZ181" s="766">
        <v>-24</v>
      </c>
      <c r="BA181" s="766">
        <v>-22</v>
      </c>
      <c r="BB181" s="767">
        <v>-22</v>
      </c>
    </row>
    <row r="182" spans="2:54" ht="15.75" thickBot="1" x14ac:dyDescent="0.3">
      <c r="B182" s="768" t="s">
        <v>284</v>
      </c>
      <c r="C182" s="769" t="s">
        <v>1048</v>
      </c>
      <c r="D182" s="770" t="s">
        <v>1048</v>
      </c>
      <c r="E182" s="770" t="s">
        <v>1048</v>
      </c>
      <c r="F182" s="770" t="s">
        <v>1048</v>
      </c>
      <c r="G182" s="770" t="s">
        <v>1048</v>
      </c>
      <c r="H182" s="770" t="s">
        <v>1048</v>
      </c>
      <c r="I182" s="771" t="s">
        <v>1048</v>
      </c>
      <c r="K182" s="768" t="s">
        <v>284</v>
      </c>
      <c r="L182" s="769" t="s">
        <v>1048</v>
      </c>
      <c r="M182" s="770" t="s">
        <v>1048</v>
      </c>
      <c r="N182" s="770" t="s">
        <v>1048</v>
      </c>
      <c r="O182" s="770" t="s">
        <v>1048</v>
      </c>
      <c r="P182" s="770" t="s">
        <v>1048</v>
      </c>
      <c r="Q182" s="770" t="s">
        <v>1048</v>
      </c>
      <c r="R182" s="771" t="s">
        <v>1048</v>
      </c>
      <c r="T182" s="772" t="s">
        <v>284</v>
      </c>
      <c r="U182" s="769" t="s">
        <v>1048</v>
      </c>
      <c r="V182" s="770" t="s">
        <v>1048</v>
      </c>
      <c r="W182" s="770" t="s">
        <v>1048</v>
      </c>
      <c r="X182" s="770" t="s">
        <v>1048</v>
      </c>
      <c r="Y182" s="770" t="s">
        <v>1048</v>
      </c>
      <c r="Z182" s="770" t="s">
        <v>1048</v>
      </c>
      <c r="AA182" s="771" t="s">
        <v>1048</v>
      </c>
      <c r="AC182" s="773" t="s">
        <v>284</v>
      </c>
      <c r="AD182" s="769" t="s">
        <v>1048</v>
      </c>
      <c r="AE182" s="770" t="s">
        <v>1048</v>
      </c>
      <c r="AF182" s="770" t="s">
        <v>1048</v>
      </c>
      <c r="AG182" s="770" t="s">
        <v>1048</v>
      </c>
      <c r="AH182" s="770" t="s">
        <v>1048</v>
      </c>
      <c r="AI182" s="770" t="s">
        <v>1048</v>
      </c>
      <c r="AJ182" s="771" t="s">
        <v>1048</v>
      </c>
      <c r="AL182" s="773" t="s">
        <v>284</v>
      </c>
      <c r="AM182" s="769" t="s">
        <v>1048</v>
      </c>
      <c r="AN182" s="770" t="s">
        <v>1048</v>
      </c>
      <c r="AO182" s="770" t="s">
        <v>1048</v>
      </c>
      <c r="AP182" s="770" t="s">
        <v>1048</v>
      </c>
      <c r="AQ182" s="770" t="s">
        <v>1048</v>
      </c>
      <c r="AR182" s="770" t="s">
        <v>1048</v>
      </c>
      <c r="AS182" s="771" t="s">
        <v>1048</v>
      </c>
      <c r="AU182" s="773" t="s">
        <v>284</v>
      </c>
      <c r="AV182" s="769" t="s">
        <v>1048</v>
      </c>
      <c r="AW182" s="770" t="s">
        <v>1048</v>
      </c>
      <c r="AX182" s="770" t="s">
        <v>1048</v>
      </c>
      <c r="AY182" s="770" t="s">
        <v>1048</v>
      </c>
      <c r="AZ182" s="770" t="s">
        <v>1048</v>
      </c>
      <c r="BA182" s="770" t="s">
        <v>1048</v>
      </c>
      <c r="BB182" s="771" t="s">
        <v>1048</v>
      </c>
    </row>
    <row r="183" spans="2:54" ht="15.75" thickBot="1" x14ac:dyDescent="0.3">
      <c r="B183" s="774"/>
      <c r="C183" s="775"/>
      <c r="D183" s="775"/>
      <c r="E183" s="775"/>
      <c r="F183" s="775"/>
      <c r="G183" s="775"/>
      <c r="H183" s="775"/>
      <c r="I183" s="775"/>
      <c r="K183" s="774"/>
      <c r="L183" s="775"/>
      <c r="M183" s="775"/>
      <c r="N183" s="775"/>
      <c r="O183" s="775"/>
      <c r="P183" s="775"/>
      <c r="Q183" s="775"/>
      <c r="R183" s="775"/>
      <c r="T183" s="776"/>
      <c r="U183" s="775"/>
      <c r="V183" s="775"/>
      <c r="W183" s="775"/>
      <c r="X183" s="775"/>
      <c r="Y183" s="775"/>
      <c r="Z183" s="775"/>
      <c r="AA183" s="775"/>
      <c r="AC183" s="777"/>
      <c r="AD183" s="775"/>
      <c r="AE183" s="775"/>
      <c r="AF183" s="775"/>
      <c r="AG183" s="775"/>
      <c r="AH183" s="775"/>
      <c r="AI183" s="775"/>
      <c r="AJ183" s="775"/>
      <c r="AL183" s="777"/>
      <c r="AM183" s="775"/>
      <c r="AN183" s="775"/>
      <c r="AO183" s="775"/>
      <c r="AP183" s="775"/>
      <c r="AQ183" s="775"/>
      <c r="AR183" s="775"/>
      <c r="AS183" s="775"/>
      <c r="AU183" s="777"/>
      <c r="AV183" s="775"/>
      <c r="AW183" s="775"/>
      <c r="AX183" s="775"/>
      <c r="AY183" s="775"/>
      <c r="AZ183" s="775"/>
      <c r="BA183" s="775"/>
      <c r="BB183" s="775"/>
    </row>
    <row r="184" spans="2:54" ht="15.75" thickBot="1" x14ac:dyDescent="0.3">
      <c r="B184" s="748" t="s">
        <v>1042</v>
      </c>
      <c r="C184" s="778" t="s">
        <v>187</v>
      </c>
      <c r="D184" s="778" t="s">
        <v>214</v>
      </c>
      <c r="E184" s="778" t="s">
        <v>233</v>
      </c>
      <c r="F184" s="778" t="s">
        <v>242</v>
      </c>
      <c r="G184" s="778" t="s">
        <v>250</v>
      </c>
      <c r="H184" s="778" t="s">
        <v>258</v>
      </c>
      <c r="I184" s="779" t="s">
        <v>265</v>
      </c>
      <c r="K184" s="748" t="s">
        <v>1042</v>
      </c>
      <c r="L184" s="778" t="s">
        <v>187</v>
      </c>
      <c r="M184" s="778" t="s">
        <v>214</v>
      </c>
      <c r="N184" s="778" t="s">
        <v>233</v>
      </c>
      <c r="O184" s="778" t="s">
        <v>242</v>
      </c>
      <c r="P184" s="778" t="s">
        <v>250</v>
      </c>
      <c r="Q184" s="778" t="s">
        <v>258</v>
      </c>
      <c r="R184" s="779" t="s">
        <v>265</v>
      </c>
      <c r="T184" s="751" t="s">
        <v>1042</v>
      </c>
      <c r="U184" s="778" t="s">
        <v>187</v>
      </c>
      <c r="V184" s="778" t="s">
        <v>214</v>
      </c>
      <c r="W184" s="778" t="s">
        <v>233</v>
      </c>
      <c r="X184" s="778" t="s">
        <v>242</v>
      </c>
      <c r="Y184" s="778" t="s">
        <v>250</v>
      </c>
      <c r="Z184" s="778" t="s">
        <v>258</v>
      </c>
      <c r="AA184" s="779" t="s">
        <v>265</v>
      </c>
      <c r="AC184" s="752" t="s">
        <v>1042</v>
      </c>
      <c r="AD184" s="778" t="s">
        <v>187</v>
      </c>
      <c r="AE184" s="778" t="s">
        <v>214</v>
      </c>
      <c r="AF184" s="778" t="s">
        <v>233</v>
      </c>
      <c r="AG184" s="778" t="s">
        <v>242</v>
      </c>
      <c r="AH184" s="778" t="s">
        <v>250</v>
      </c>
      <c r="AI184" s="778" t="s">
        <v>258</v>
      </c>
      <c r="AJ184" s="779" t="s">
        <v>265</v>
      </c>
      <c r="AL184" s="752" t="s">
        <v>1042</v>
      </c>
      <c r="AM184" s="778" t="s">
        <v>187</v>
      </c>
      <c r="AN184" s="778" t="s">
        <v>214</v>
      </c>
      <c r="AO184" s="778" t="s">
        <v>233</v>
      </c>
      <c r="AP184" s="778" t="s">
        <v>242</v>
      </c>
      <c r="AQ184" s="778" t="s">
        <v>250</v>
      </c>
      <c r="AR184" s="778" t="s">
        <v>258</v>
      </c>
      <c r="AS184" s="779" t="s">
        <v>265</v>
      </c>
      <c r="AU184" s="752" t="s">
        <v>1042</v>
      </c>
      <c r="AV184" s="778" t="s">
        <v>187</v>
      </c>
      <c r="AW184" s="778" t="s">
        <v>214</v>
      </c>
      <c r="AX184" s="778" t="s">
        <v>233</v>
      </c>
      <c r="AY184" s="778" t="s">
        <v>242</v>
      </c>
      <c r="AZ184" s="778" t="s">
        <v>250</v>
      </c>
      <c r="BA184" s="778" t="s">
        <v>258</v>
      </c>
      <c r="BB184" s="779" t="s">
        <v>265</v>
      </c>
    </row>
    <row r="185" spans="2:54" x14ac:dyDescent="0.25">
      <c r="B185" s="753" t="s">
        <v>186</v>
      </c>
      <c r="C185" s="754">
        <v>-14</v>
      </c>
      <c r="D185" s="755">
        <v>-11</v>
      </c>
      <c r="E185" s="755">
        <v>-14</v>
      </c>
      <c r="F185" s="755">
        <v>-11</v>
      </c>
      <c r="G185" s="755">
        <v>-10</v>
      </c>
      <c r="H185" s="755">
        <v>-10</v>
      </c>
      <c r="I185" s="756">
        <v>-12</v>
      </c>
      <c r="K185" s="753" t="s">
        <v>186</v>
      </c>
      <c r="L185" s="754">
        <v>-9</v>
      </c>
      <c r="M185" s="755">
        <v>-8</v>
      </c>
      <c r="N185" s="755">
        <v>-11</v>
      </c>
      <c r="O185" s="755">
        <v>-11</v>
      </c>
      <c r="P185" s="755">
        <v>-9</v>
      </c>
      <c r="Q185" s="755">
        <v>-10</v>
      </c>
      <c r="R185" s="756">
        <v>-11</v>
      </c>
      <c r="T185" s="757" t="s">
        <v>186</v>
      </c>
      <c r="U185" s="754">
        <v>-25</v>
      </c>
      <c r="V185" s="755">
        <v>-24</v>
      </c>
      <c r="W185" s="755">
        <v>-24</v>
      </c>
      <c r="X185" s="755">
        <v>-24</v>
      </c>
      <c r="Y185" s="755">
        <v>-24</v>
      </c>
      <c r="Z185" s="755">
        <v>-26</v>
      </c>
      <c r="AA185" s="756">
        <v>-23</v>
      </c>
      <c r="AC185" s="758" t="s">
        <v>186</v>
      </c>
      <c r="AD185" s="754">
        <v>-22</v>
      </c>
      <c r="AE185" s="755">
        <v>-23</v>
      </c>
      <c r="AF185" s="755">
        <v>-23</v>
      </c>
      <c r="AG185" s="755">
        <v>-23</v>
      </c>
      <c r="AH185" s="755">
        <v>-23</v>
      </c>
      <c r="AI185" s="755">
        <v>-21</v>
      </c>
      <c r="AJ185" s="756">
        <v>-23</v>
      </c>
      <c r="AL185" s="758" t="s">
        <v>186</v>
      </c>
      <c r="AM185" s="754"/>
      <c r="AN185" s="755"/>
      <c r="AO185" s="755">
        <v>-20</v>
      </c>
      <c r="AP185" s="755">
        <v>-18</v>
      </c>
      <c r="AQ185" s="755">
        <v>-18</v>
      </c>
      <c r="AR185" s="755">
        <v>-16</v>
      </c>
      <c r="AS185" s="756">
        <v>-15</v>
      </c>
      <c r="AU185" s="758" t="s">
        <v>186</v>
      </c>
      <c r="AV185" s="754">
        <v>-23</v>
      </c>
      <c r="AW185" s="755">
        <v>-24</v>
      </c>
      <c r="AX185" s="755">
        <v>-22</v>
      </c>
      <c r="AY185" s="755">
        <v>-22</v>
      </c>
      <c r="AZ185" s="755">
        <v>-23</v>
      </c>
      <c r="BA185" s="755">
        <v>-24</v>
      </c>
      <c r="BB185" s="756">
        <v>-26</v>
      </c>
    </row>
    <row r="186" spans="2:54" x14ac:dyDescent="0.25">
      <c r="B186" s="759" t="s">
        <v>213</v>
      </c>
      <c r="C186" s="760">
        <v>-10</v>
      </c>
      <c r="D186" s="761">
        <v>-10</v>
      </c>
      <c r="E186" s="761">
        <v>-11</v>
      </c>
      <c r="F186" s="761">
        <v>-10</v>
      </c>
      <c r="G186" s="761">
        <v>-7</v>
      </c>
      <c r="H186" s="761">
        <v>-8</v>
      </c>
      <c r="I186" s="762">
        <v>-9</v>
      </c>
      <c r="K186" s="759" t="s">
        <v>213</v>
      </c>
      <c r="L186" s="760">
        <v>-11</v>
      </c>
      <c r="M186" s="761">
        <v>-8</v>
      </c>
      <c r="N186" s="761">
        <v>-5</v>
      </c>
      <c r="O186" s="761">
        <v>-8</v>
      </c>
      <c r="P186" s="761">
        <v>-7</v>
      </c>
      <c r="Q186" s="761">
        <v>-10</v>
      </c>
      <c r="R186" s="762">
        <v>-11</v>
      </c>
      <c r="T186" s="763" t="s">
        <v>213</v>
      </c>
      <c r="U186" s="760">
        <v>-25</v>
      </c>
      <c r="V186" s="761">
        <v>-26</v>
      </c>
      <c r="W186" s="761">
        <v>-24</v>
      </c>
      <c r="X186" s="761">
        <v>-25</v>
      </c>
      <c r="Y186" s="761">
        <v>-24</v>
      </c>
      <c r="Z186" s="761">
        <v>-27</v>
      </c>
      <c r="AA186" s="762">
        <v>-25</v>
      </c>
      <c r="AC186" s="764" t="s">
        <v>213</v>
      </c>
      <c r="AD186" s="760">
        <v>-22</v>
      </c>
      <c r="AE186" s="761">
        <v>-21</v>
      </c>
      <c r="AF186" s="761">
        <v>-21</v>
      </c>
      <c r="AG186" s="761">
        <v>-21</v>
      </c>
      <c r="AH186" s="761">
        <v>-23</v>
      </c>
      <c r="AI186" s="761">
        <v>-25</v>
      </c>
      <c r="AJ186" s="762">
        <v>-24</v>
      </c>
      <c r="AL186" s="764" t="s">
        <v>213</v>
      </c>
      <c r="AM186" s="760"/>
      <c r="AN186" s="761"/>
      <c r="AO186" s="761">
        <v>-18</v>
      </c>
      <c r="AP186" s="761">
        <v>-16</v>
      </c>
      <c r="AQ186" s="761">
        <v>-16</v>
      </c>
      <c r="AR186" s="761">
        <v>-17</v>
      </c>
      <c r="AS186" s="762">
        <v>-15</v>
      </c>
      <c r="AU186" s="764" t="s">
        <v>213</v>
      </c>
      <c r="AV186" s="760">
        <v>-24</v>
      </c>
      <c r="AW186" s="761">
        <v>-23</v>
      </c>
      <c r="AX186" s="761">
        <v>-23</v>
      </c>
      <c r="AY186" s="761">
        <v>-22</v>
      </c>
      <c r="AZ186" s="761">
        <v>-24</v>
      </c>
      <c r="BA186" s="761">
        <v>-25</v>
      </c>
      <c r="BB186" s="762">
        <v>-28</v>
      </c>
    </row>
    <row r="187" spans="2:54" x14ac:dyDescent="0.25">
      <c r="B187" s="759" t="s">
        <v>232</v>
      </c>
      <c r="C187" s="765">
        <v>-8</v>
      </c>
      <c r="D187" s="766">
        <v>-8</v>
      </c>
      <c r="E187" s="766">
        <v>-8</v>
      </c>
      <c r="F187" s="766">
        <v>-7</v>
      </c>
      <c r="G187" s="766">
        <v>-8</v>
      </c>
      <c r="H187" s="766">
        <v>-10</v>
      </c>
      <c r="I187" s="767">
        <v>-12</v>
      </c>
      <c r="K187" s="759" t="s">
        <v>232</v>
      </c>
      <c r="L187" s="765">
        <v>-9</v>
      </c>
      <c r="M187" s="766">
        <v>-8</v>
      </c>
      <c r="N187" s="766">
        <v>-6</v>
      </c>
      <c r="O187" s="766">
        <v>-9</v>
      </c>
      <c r="P187" s="766">
        <v>-9</v>
      </c>
      <c r="Q187" s="766">
        <v>-10</v>
      </c>
      <c r="R187" s="767">
        <v>-9</v>
      </c>
      <c r="T187" s="763" t="s">
        <v>232</v>
      </c>
      <c r="U187" s="765">
        <v>-24</v>
      </c>
      <c r="V187" s="766">
        <v>-23</v>
      </c>
      <c r="W187" s="766">
        <v>-22</v>
      </c>
      <c r="X187" s="766">
        <v>-25</v>
      </c>
      <c r="Y187" s="766">
        <v>-25</v>
      </c>
      <c r="Z187" s="766">
        <v>-26</v>
      </c>
      <c r="AA187" s="767">
        <v>-23</v>
      </c>
      <c r="AC187" s="764" t="s">
        <v>232</v>
      </c>
      <c r="AD187" s="765">
        <v>-25</v>
      </c>
      <c r="AE187" s="766">
        <v>-23</v>
      </c>
      <c r="AF187" s="766">
        <v>-23</v>
      </c>
      <c r="AG187" s="766">
        <v>-22</v>
      </c>
      <c r="AH187" s="766">
        <v>-22</v>
      </c>
      <c r="AI187" s="766">
        <v>-22</v>
      </c>
      <c r="AJ187" s="767">
        <v>-26</v>
      </c>
      <c r="AL187" s="764" t="s">
        <v>232</v>
      </c>
      <c r="AM187" s="765"/>
      <c r="AN187" s="766"/>
      <c r="AO187" s="766">
        <v>-14</v>
      </c>
      <c r="AP187" s="766">
        <v>-13</v>
      </c>
      <c r="AQ187" s="766">
        <v>-12</v>
      </c>
      <c r="AR187" s="766">
        <v>-13</v>
      </c>
      <c r="AS187" s="767">
        <v>-14</v>
      </c>
      <c r="AU187" s="764" t="s">
        <v>232</v>
      </c>
      <c r="AV187" s="765">
        <v>-23</v>
      </c>
      <c r="AW187" s="766">
        <v>-22</v>
      </c>
      <c r="AX187" s="766">
        <v>-22</v>
      </c>
      <c r="AY187" s="766">
        <v>-24</v>
      </c>
      <c r="AZ187" s="766">
        <v>-25</v>
      </c>
      <c r="BA187" s="766">
        <v>-28</v>
      </c>
      <c r="BB187" s="767">
        <v>-27</v>
      </c>
    </row>
    <row r="188" spans="2:54" x14ac:dyDescent="0.25">
      <c r="B188" s="759" t="s">
        <v>215</v>
      </c>
      <c r="C188" s="765">
        <v>-8</v>
      </c>
      <c r="D188" s="766">
        <v>-7</v>
      </c>
      <c r="E188" s="766">
        <v>-7</v>
      </c>
      <c r="F188" s="766">
        <v>-5</v>
      </c>
      <c r="G188" s="766">
        <v>-6</v>
      </c>
      <c r="H188" s="766">
        <v>-10</v>
      </c>
      <c r="I188" s="762">
        <v>-8</v>
      </c>
      <c r="K188" s="759" t="s">
        <v>215</v>
      </c>
      <c r="L188" s="765">
        <v>-9</v>
      </c>
      <c r="M188" s="766">
        <v>-9</v>
      </c>
      <c r="N188" s="766">
        <v>-9</v>
      </c>
      <c r="O188" s="766">
        <v>-9</v>
      </c>
      <c r="P188" s="766">
        <v>-7</v>
      </c>
      <c r="Q188" s="766">
        <v>-9</v>
      </c>
      <c r="R188" s="767">
        <v>-11</v>
      </c>
      <c r="T188" s="763" t="s">
        <v>215</v>
      </c>
      <c r="U188" s="765">
        <v>-26</v>
      </c>
      <c r="V188" s="766">
        <v>-24</v>
      </c>
      <c r="W188" s="766">
        <v>-23</v>
      </c>
      <c r="X188" s="766">
        <v>-25</v>
      </c>
      <c r="Y188" s="766">
        <v>-23</v>
      </c>
      <c r="Z188" s="766">
        <v>-23</v>
      </c>
      <c r="AA188" s="767">
        <v>-23</v>
      </c>
      <c r="AC188" s="764" t="s">
        <v>215</v>
      </c>
      <c r="AD188" s="765">
        <v>-25</v>
      </c>
      <c r="AE188" s="766">
        <v>-23</v>
      </c>
      <c r="AF188" s="766">
        <v>-26</v>
      </c>
      <c r="AG188" s="766">
        <v>-26</v>
      </c>
      <c r="AH188" s="766">
        <v>-28</v>
      </c>
      <c r="AI188" s="766">
        <v>-28</v>
      </c>
      <c r="AJ188" s="767">
        <v>-26</v>
      </c>
      <c r="AL188" s="764" t="s">
        <v>215</v>
      </c>
      <c r="AM188" s="765"/>
      <c r="AN188" s="766">
        <v>-14</v>
      </c>
      <c r="AO188" s="766">
        <v>-13</v>
      </c>
      <c r="AP188" s="766">
        <v>-13</v>
      </c>
      <c r="AQ188" s="766">
        <v>-10</v>
      </c>
      <c r="AR188" s="766">
        <v>-12</v>
      </c>
      <c r="AS188" s="767">
        <v>-13</v>
      </c>
      <c r="AU188" s="764" t="s">
        <v>215</v>
      </c>
      <c r="AV188" s="765">
        <v>-24</v>
      </c>
      <c r="AW188" s="766">
        <v>-25</v>
      </c>
      <c r="AX188" s="766">
        <v>-23</v>
      </c>
      <c r="AY188" s="766">
        <v>-25</v>
      </c>
      <c r="AZ188" s="766">
        <v>-23</v>
      </c>
      <c r="BA188" s="766">
        <v>-25</v>
      </c>
      <c r="BB188" s="767">
        <v>-25</v>
      </c>
    </row>
    <row r="189" spans="2:54" x14ac:dyDescent="0.25">
      <c r="B189" s="759" t="s">
        <v>249</v>
      </c>
      <c r="C189" s="765">
        <v>-8</v>
      </c>
      <c r="D189" s="766">
        <v>-8</v>
      </c>
      <c r="E189" s="766">
        <v>-8</v>
      </c>
      <c r="F189" s="766">
        <v>-7</v>
      </c>
      <c r="G189" s="766">
        <v>-7</v>
      </c>
      <c r="H189" s="766">
        <v>-12</v>
      </c>
      <c r="I189" s="762">
        <v>-13</v>
      </c>
      <c r="K189" s="759" t="s">
        <v>249</v>
      </c>
      <c r="L189" s="765">
        <v>-8</v>
      </c>
      <c r="M189" s="766">
        <v>-7</v>
      </c>
      <c r="N189" s="766">
        <v>-6</v>
      </c>
      <c r="O189" s="766">
        <v>-7</v>
      </c>
      <c r="P189" s="766">
        <v>-6</v>
      </c>
      <c r="Q189" s="766">
        <v>-8</v>
      </c>
      <c r="R189" s="767">
        <v>-11</v>
      </c>
      <c r="T189" s="763" t="s">
        <v>249</v>
      </c>
      <c r="U189" s="765">
        <v>-23</v>
      </c>
      <c r="V189" s="766">
        <v>-23</v>
      </c>
      <c r="W189" s="766">
        <v>-22</v>
      </c>
      <c r="X189" s="766">
        <v>-21</v>
      </c>
      <c r="Y189" s="766">
        <v>-24</v>
      </c>
      <c r="Z189" s="766">
        <v>-23</v>
      </c>
      <c r="AA189" s="767">
        <v>-26</v>
      </c>
      <c r="AC189" s="764" t="s">
        <v>249</v>
      </c>
      <c r="AD189" s="765">
        <v>-22</v>
      </c>
      <c r="AE189" s="766">
        <v>-21</v>
      </c>
      <c r="AF189" s="766">
        <v>-21</v>
      </c>
      <c r="AG189" s="766">
        <v>-20</v>
      </c>
      <c r="AH189" s="766">
        <v>-22</v>
      </c>
      <c r="AI189" s="766">
        <v>-23</v>
      </c>
      <c r="AJ189" s="767">
        <v>-23</v>
      </c>
      <c r="AL189" s="764" t="s">
        <v>249</v>
      </c>
      <c r="AM189" s="765"/>
      <c r="AN189" s="766">
        <v>-11</v>
      </c>
      <c r="AO189" s="766">
        <v>-11</v>
      </c>
      <c r="AP189" s="766">
        <v>-11</v>
      </c>
      <c r="AQ189" s="766">
        <v>-10</v>
      </c>
      <c r="AR189" s="766">
        <v>-11</v>
      </c>
      <c r="AS189" s="767">
        <v>-14</v>
      </c>
      <c r="AU189" s="764" t="s">
        <v>249</v>
      </c>
      <c r="AV189" s="765">
        <v>-20</v>
      </c>
      <c r="AW189" s="766">
        <v>-21</v>
      </c>
      <c r="AX189" s="766">
        <v>-20</v>
      </c>
      <c r="AY189" s="766">
        <v>-19</v>
      </c>
      <c r="AZ189" s="766">
        <v>-19</v>
      </c>
      <c r="BA189" s="766">
        <v>-22</v>
      </c>
      <c r="BB189" s="767">
        <v>-22</v>
      </c>
    </row>
    <row r="190" spans="2:54" x14ac:dyDescent="0.25">
      <c r="B190" s="759" t="s">
        <v>257</v>
      </c>
      <c r="C190" s="765">
        <v>-7</v>
      </c>
      <c r="D190" s="766">
        <v>-6</v>
      </c>
      <c r="E190" s="766">
        <v>-6</v>
      </c>
      <c r="F190" s="766">
        <v>-5</v>
      </c>
      <c r="G190" s="766">
        <v>-8</v>
      </c>
      <c r="H190" s="766">
        <v>-8</v>
      </c>
      <c r="I190" s="767">
        <v>-12</v>
      </c>
      <c r="K190" s="759" t="s">
        <v>257</v>
      </c>
      <c r="L190" s="765">
        <v>-9</v>
      </c>
      <c r="M190" s="766">
        <v>-8</v>
      </c>
      <c r="N190" s="766">
        <v>-7</v>
      </c>
      <c r="O190" s="766">
        <v>-6</v>
      </c>
      <c r="P190" s="766">
        <v>-5</v>
      </c>
      <c r="Q190" s="766">
        <v>-7</v>
      </c>
      <c r="R190" s="767">
        <v>-7</v>
      </c>
      <c r="T190" s="763" t="s">
        <v>257</v>
      </c>
      <c r="U190" s="765">
        <v>-22</v>
      </c>
      <c r="V190" s="766">
        <v>-23</v>
      </c>
      <c r="W190" s="766">
        <v>-21</v>
      </c>
      <c r="X190" s="766">
        <v>-20</v>
      </c>
      <c r="Y190" s="766">
        <v>-20</v>
      </c>
      <c r="Z190" s="766">
        <v>-23</v>
      </c>
      <c r="AA190" s="767">
        <v>-20</v>
      </c>
      <c r="AC190" s="764" t="s">
        <v>257</v>
      </c>
      <c r="AD190" s="765">
        <v>-22</v>
      </c>
      <c r="AE190" s="766">
        <v>-21</v>
      </c>
      <c r="AF190" s="766">
        <v>-22</v>
      </c>
      <c r="AG190" s="766">
        <v>-21</v>
      </c>
      <c r="AH190" s="766">
        <v>-22</v>
      </c>
      <c r="AI190" s="766">
        <v>-27</v>
      </c>
      <c r="AJ190" s="767">
        <v>-23</v>
      </c>
      <c r="AL190" s="764" t="s">
        <v>257</v>
      </c>
      <c r="AM190" s="765"/>
      <c r="AN190" s="766">
        <v>-9</v>
      </c>
      <c r="AO190" s="766">
        <v>-9</v>
      </c>
      <c r="AP190" s="766">
        <v>-9</v>
      </c>
      <c r="AQ190" s="766">
        <v>-9</v>
      </c>
      <c r="AR190" s="766">
        <v>-10</v>
      </c>
      <c r="AS190" s="767">
        <v>-12</v>
      </c>
      <c r="AU190" s="764" t="s">
        <v>257</v>
      </c>
      <c r="AV190" s="765">
        <v>-21</v>
      </c>
      <c r="AW190" s="766">
        <v>-22</v>
      </c>
      <c r="AX190" s="766">
        <v>-21</v>
      </c>
      <c r="AY190" s="766">
        <v>-23</v>
      </c>
      <c r="AZ190" s="766">
        <v>-21</v>
      </c>
      <c r="BA190" s="766">
        <v>-25</v>
      </c>
      <c r="BB190" s="767">
        <v>-23</v>
      </c>
    </row>
    <row r="191" spans="2:54" x14ac:dyDescent="0.25">
      <c r="B191" s="759" t="s">
        <v>264</v>
      </c>
      <c r="C191" s="765">
        <v>-8</v>
      </c>
      <c r="D191" s="766">
        <v>-7</v>
      </c>
      <c r="E191" s="766">
        <v>-7</v>
      </c>
      <c r="F191" s="766">
        <v>-6</v>
      </c>
      <c r="G191" s="766">
        <v>-6</v>
      </c>
      <c r="H191" s="766">
        <v>-7</v>
      </c>
      <c r="I191" s="767">
        <v>-7</v>
      </c>
      <c r="K191" s="759" t="s">
        <v>264</v>
      </c>
      <c r="L191" s="765">
        <v>-9</v>
      </c>
      <c r="M191" s="766">
        <v>-8</v>
      </c>
      <c r="N191" s="766">
        <v>-8</v>
      </c>
      <c r="O191" s="766">
        <v>-7</v>
      </c>
      <c r="P191" s="766">
        <v>-7</v>
      </c>
      <c r="Q191" s="766">
        <v>-9</v>
      </c>
      <c r="R191" s="767">
        <v>-8</v>
      </c>
      <c r="T191" s="763" t="s">
        <v>264</v>
      </c>
      <c r="U191" s="765">
        <v>-22</v>
      </c>
      <c r="V191" s="766">
        <v>-21</v>
      </c>
      <c r="W191" s="766">
        <v>-19</v>
      </c>
      <c r="X191" s="766">
        <v>-17</v>
      </c>
      <c r="Y191" s="766">
        <v>-20</v>
      </c>
      <c r="Z191" s="766">
        <v>-18</v>
      </c>
      <c r="AA191" s="767">
        <v>-19</v>
      </c>
      <c r="AC191" s="764" t="s">
        <v>264</v>
      </c>
      <c r="AD191" s="765">
        <v>-22</v>
      </c>
      <c r="AE191" s="766">
        <v>-22</v>
      </c>
      <c r="AF191" s="766">
        <v>-23</v>
      </c>
      <c r="AG191" s="766">
        <v>-21</v>
      </c>
      <c r="AH191" s="766">
        <v>-21</v>
      </c>
      <c r="AI191" s="766">
        <v>-25</v>
      </c>
      <c r="AJ191" s="767">
        <v>-24</v>
      </c>
      <c r="AL191" s="764" t="s">
        <v>264</v>
      </c>
      <c r="AM191" s="765"/>
      <c r="AN191" s="766">
        <v>-12</v>
      </c>
      <c r="AO191" s="766">
        <v>-11</v>
      </c>
      <c r="AP191" s="766">
        <v>-10</v>
      </c>
      <c r="AQ191" s="766">
        <v>-11</v>
      </c>
      <c r="AR191" s="766">
        <v>-11</v>
      </c>
      <c r="AS191" s="767">
        <v>-12</v>
      </c>
      <c r="AU191" s="764" t="s">
        <v>264</v>
      </c>
      <c r="AV191" s="765">
        <v>-22</v>
      </c>
      <c r="AW191" s="766">
        <v>-22</v>
      </c>
      <c r="AX191" s="766">
        <v>-22</v>
      </c>
      <c r="AY191" s="766">
        <v>-22</v>
      </c>
      <c r="AZ191" s="766">
        <v>-20</v>
      </c>
      <c r="BA191" s="766">
        <v>-23</v>
      </c>
      <c r="BB191" s="767">
        <v>-22</v>
      </c>
    </row>
    <row r="192" spans="2:54" x14ac:dyDescent="0.25">
      <c r="B192" s="759" t="s">
        <v>272</v>
      </c>
      <c r="C192" s="765">
        <v>-8</v>
      </c>
      <c r="D192" s="766">
        <v>-7</v>
      </c>
      <c r="E192" s="766">
        <v>-7</v>
      </c>
      <c r="F192" s="766">
        <v>-7</v>
      </c>
      <c r="G192" s="766">
        <v>-7</v>
      </c>
      <c r="H192" s="766">
        <v>-7</v>
      </c>
      <c r="I192" s="767">
        <v>-8</v>
      </c>
      <c r="K192" s="759" t="s">
        <v>272</v>
      </c>
      <c r="L192" s="765">
        <v>-12</v>
      </c>
      <c r="M192" s="766">
        <v>-11</v>
      </c>
      <c r="N192" s="766">
        <v>-11</v>
      </c>
      <c r="O192" s="766">
        <v>-10</v>
      </c>
      <c r="P192" s="766">
        <v>-10</v>
      </c>
      <c r="Q192" s="766">
        <v>-11</v>
      </c>
      <c r="R192" s="767">
        <v>-10</v>
      </c>
      <c r="T192" s="763" t="s">
        <v>272</v>
      </c>
      <c r="U192" s="765">
        <v>-18</v>
      </c>
      <c r="V192" s="766">
        <v>-17</v>
      </c>
      <c r="W192" s="766">
        <v>-17</v>
      </c>
      <c r="X192" s="766">
        <v>-17</v>
      </c>
      <c r="Y192" s="766">
        <v>-18</v>
      </c>
      <c r="Z192" s="766">
        <v>-19</v>
      </c>
      <c r="AA192" s="767">
        <v>-20</v>
      </c>
      <c r="AC192" s="764" t="s">
        <v>272</v>
      </c>
      <c r="AD192" s="765">
        <v>-21</v>
      </c>
      <c r="AE192" s="766">
        <v>-23</v>
      </c>
      <c r="AF192" s="766">
        <v>-22</v>
      </c>
      <c r="AG192" s="766">
        <v>-21</v>
      </c>
      <c r="AH192" s="766">
        <v>-22</v>
      </c>
      <c r="AI192" s="766">
        <v>-22</v>
      </c>
      <c r="AJ192" s="767">
        <v>-23</v>
      </c>
      <c r="AL192" s="764" t="s">
        <v>272</v>
      </c>
      <c r="AM192" s="765"/>
      <c r="AN192" s="766">
        <v>-12</v>
      </c>
      <c r="AO192" s="766">
        <v>-11</v>
      </c>
      <c r="AP192" s="766">
        <v>-11</v>
      </c>
      <c r="AQ192" s="766">
        <v>-11</v>
      </c>
      <c r="AR192" s="766">
        <v>-11</v>
      </c>
      <c r="AS192" s="767">
        <v>-12</v>
      </c>
      <c r="AU192" s="764" t="s">
        <v>272</v>
      </c>
      <c r="AV192" s="765">
        <v>-22</v>
      </c>
      <c r="AW192" s="766">
        <v>-22</v>
      </c>
      <c r="AX192" s="766">
        <v>-21</v>
      </c>
      <c r="AY192" s="766">
        <v>-19</v>
      </c>
      <c r="AZ192" s="766">
        <v>-18</v>
      </c>
      <c r="BA192" s="766">
        <v>-21</v>
      </c>
      <c r="BB192" s="767">
        <v>-20</v>
      </c>
    </row>
    <row r="193" spans="2:54" x14ac:dyDescent="0.25">
      <c r="B193" s="759" t="s">
        <v>278</v>
      </c>
      <c r="C193" s="765">
        <v>-9</v>
      </c>
      <c r="D193" s="766">
        <v>-8</v>
      </c>
      <c r="E193" s="766">
        <v>-8</v>
      </c>
      <c r="F193" s="766">
        <v>-8</v>
      </c>
      <c r="G193" s="766">
        <v>-8</v>
      </c>
      <c r="H193" s="766">
        <v>-9</v>
      </c>
      <c r="I193" s="767">
        <v>-10</v>
      </c>
      <c r="K193" s="759" t="s">
        <v>278</v>
      </c>
      <c r="L193" s="765">
        <v>-12</v>
      </c>
      <c r="M193" s="766">
        <v>-11</v>
      </c>
      <c r="N193" s="766">
        <v>-10</v>
      </c>
      <c r="O193" s="766">
        <v>-11</v>
      </c>
      <c r="P193" s="766">
        <v>-11</v>
      </c>
      <c r="Q193" s="766">
        <v>-12</v>
      </c>
      <c r="R193" s="767">
        <v>-14</v>
      </c>
      <c r="T193" s="763" t="s">
        <v>278</v>
      </c>
      <c r="U193" s="765">
        <v>-20</v>
      </c>
      <c r="V193" s="766">
        <v>-19</v>
      </c>
      <c r="W193" s="766">
        <v>-18</v>
      </c>
      <c r="X193" s="766">
        <v>-18</v>
      </c>
      <c r="Y193" s="766">
        <v>-18</v>
      </c>
      <c r="Z193" s="766">
        <v>-19</v>
      </c>
      <c r="AA193" s="767">
        <v>-20</v>
      </c>
      <c r="AC193" s="764" t="s">
        <v>278</v>
      </c>
      <c r="AD193" s="765">
        <v>-22</v>
      </c>
      <c r="AE193" s="766">
        <v>-22</v>
      </c>
      <c r="AF193" s="766">
        <v>-23</v>
      </c>
      <c r="AG193" s="766">
        <v>-21</v>
      </c>
      <c r="AH193" s="766">
        <v>-22</v>
      </c>
      <c r="AI193" s="766">
        <v>-26</v>
      </c>
      <c r="AJ193" s="767">
        <v>-29</v>
      </c>
      <c r="AL193" s="764" t="s">
        <v>278</v>
      </c>
      <c r="AM193" s="765"/>
      <c r="AN193" s="766">
        <v>-14</v>
      </c>
      <c r="AO193" s="766">
        <v>-13</v>
      </c>
      <c r="AP193" s="766">
        <v>-13</v>
      </c>
      <c r="AQ193" s="766">
        <v>-13</v>
      </c>
      <c r="AR193" s="766">
        <v>-14</v>
      </c>
      <c r="AS193" s="767">
        <v>-15</v>
      </c>
      <c r="AU193" s="764" t="s">
        <v>278</v>
      </c>
      <c r="AV193" s="765">
        <v>-23</v>
      </c>
      <c r="AW193" s="766">
        <v>-25</v>
      </c>
      <c r="AX193" s="766">
        <v>-25</v>
      </c>
      <c r="AY193" s="766">
        <v>-22</v>
      </c>
      <c r="AZ193" s="766">
        <v>-21</v>
      </c>
      <c r="BA193" s="766">
        <v>-19</v>
      </c>
      <c r="BB193" s="767">
        <v>-19</v>
      </c>
    </row>
    <row r="194" spans="2:54" ht="15.75" thickBot="1" x14ac:dyDescent="0.3">
      <c r="B194" s="768" t="s">
        <v>284</v>
      </c>
      <c r="C194" s="769" t="s">
        <v>1048</v>
      </c>
      <c r="D194" s="770" t="s">
        <v>1048</v>
      </c>
      <c r="E194" s="770" t="s">
        <v>1048</v>
      </c>
      <c r="F194" s="770" t="s">
        <v>1048</v>
      </c>
      <c r="G194" s="770" t="s">
        <v>1048</v>
      </c>
      <c r="H194" s="770" t="s">
        <v>1048</v>
      </c>
      <c r="I194" s="771" t="s">
        <v>1048</v>
      </c>
      <c r="K194" s="768" t="s">
        <v>284</v>
      </c>
      <c r="L194" s="769" t="s">
        <v>1048</v>
      </c>
      <c r="M194" s="770" t="s">
        <v>1048</v>
      </c>
      <c r="N194" s="770" t="s">
        <v>1048</v>
      </c>
      <c r="O194" s="770" t="s">
        <v>1048</v>
      </c>
      <c r="P194" s="770" t="s">
        <v>1048</v>
      </c>
      <c r="Q194" s="770" t="s">
        <v>1048</v>
      </c>
      <c r="R194" s="771" t="s">
        <v>1048</v>
      </c>
      <c r="T194" s="772" t="s">
        <v>284</v>
      </c>
      <c r="U194" s="769" t="s">
        <v>1048</v>
      </c>
      <c r="V194" s="770" t="s">
        <v>1048</v>
      </c>
      <c r="W194" s="770" t="s">
        <v>1048</v>
      </c>
      <c r="X194" s="770" t="s">
        <v>1048</v>
      </c>
      <c r="Y194" s="770" t="s">
        <v>1048</v>
      </c>
      <c r="Z194" s="770" t="s">
        <v>1048</v>
      </c>
      <c r="AA194" s="771" t="s">
        <v>1048</v>
      </c>
      <c r="AC194" s="773" t="s">
        <v>284</v>
      </c>
      <c r="AD194" s="769" t="s">
        <v>1048</v>
      </c>
      <c r="AE194" s="770" t="s">
        <v>1048</v>
      </c>
      <c r="AF194" s="770" t="s">
        <v>1048</v>
      </c>
      <c r="AG194" s="770" t="s">
        <v>1048</v>
      </c>
      <c r="AH194" s="770" t="s">
        <v>1048</v>
      </c>
      <c r="AI194" s="770" t="s">
        <v>1048</v>
      </c>
      <c r="AJ194" s="771" t="s">
        <v>1048</v>
      </c>
      <c r="AL194" s="773" t="s">
        <v>284</v>
      </c>
      <c r="AM194" s="769" t="s">
        <v>1048</v>
      </c>
      <c r="AN194" s="770" t="s">
        <v>1048</v>
      </c>
      <c r="AO194" s="770" t="s">
        <v>1048</v>
      </c>
      <c r="AP194" s="770" t="s">
        <v>1048</v>
      </c>
      <c r="AQ194" s="770" t="s">
        <v>1048</v>
      </c>
      <c r="AR194" s="770" t="s">
        <v>1048</v>
      </c>
      <c r="AS194" s="771" t="s">
        <v>1048</v>
      </c>
      <c r="AU194" s="773" t="s">
        <v>284</v>
      </c>
      <c r="AV194" s="769" t="s">
        <v>1048</v>
      </c>
      <c r="AW194" s="770" t="s">
        <v>1048</v>
      </c>
      <c r="AX194" s="770" t="s">
        <v>1048</v>
      </c>
      <c r="AY194" s="770" t="s">
        <v>1048</v>
      </c>
      <c r="AZ194" s="770" t="s">
        <v>1048</v>
      </c>
      <c r="BA194" s="770" t="s">
        <v>1048</v>
      </c>
      <c r="BB194" s="771" t="s">
        <v>1048</v>
      </c>
    </row>
    <row r="195" spans="2:54" ht="15.75" thickBot="1" x14ac:dyDescent="0.3">
      <c r="B195" s="774"/>
      <c r="C195" s="775"/>
      <c r="D195" s="775"/>
      <c r="E195" s="775"/>
      <c r="F195" s="775"/>
      <c r="G195" s="775"/>
      <c r="H195" s="775"/>
      <c r="I195" s="775"/>
      <c r="K195" s="774"/>
      <c r="L195" s="775"/>
      <c r="M195" s="775"/>
      <c r="N195" s="775"/>
      <c r="O195" s="775"/>
      <c r="P195" s="775"/>
      <c r="Q195" s="775"/>
      <c r="R195" s="775"/>
      <c r="T195" s="776"/>
      <c r="U195" s="775"/>
      <c r="V195" s="775"/>
      <c r="W195" s="775"/>
      <c r="X195" s="775"/>
      <c r="Y195" s="775"/>
      <c r="Z195" s="775"/>
      <c r="AA195" s="775"/>
      <c r="AC195" s="777"/>
      <c r="AD195" s="775"/>
      <c r="AE195" s="775"/>
      <c r="AF195" s="775"/>
      <c r="AG195" s="775"/>
      <c r="AH195" s="775"/>
      <c r="AI195" s="775"/>
      <c r="AJ195" s="775"/>
      <c r="AL195" s="777"/>
      <c r="AM195" s="775"/>
      <c r="AN195" s="775"/>
      <c r="AO195" s="775"/>
      <c r="AP195" s="775"/>
      <c r="AQ195" s="775"/>
      <c r="AR195" s="775"/>
      <c r="AS195" s="775"/>
      <c r="AU195" s="777"/>
      <c r="AV195" s="775"/>
      <c r="AW195" s="775"/>
      <c r="AX195" s="775"/>
      <c r="AY195" s="775"/>
      <c r="AZ195" s="775"/>
      <c r="BA195" s="775"/>
      <c r="BB195" s="775"/>
    </row>
    <row r="196" spans="2:54" ht="15.75" thickBot="1" x14ac:dyDescent="0.3">
      <c r="B196" s="748" t="s">
        <v>1043</v>
      </c>
      <c r="C196" s="778" t="s">
        <v>187</v>
      </c>
      <c r="D196" s="778" t="s">
        <v>214</v>
      </c>
      <c r="E196" s="778" t="s">
        <v>233</v>
      </c>
      <c r="F196" s="778" t="s">
        <v>242</v>
      </c>
      <c r="G196" s="778" t="s">
        <v>250</v>
      </c>
      <c r="H196" s="778" t="s">
        <v>258</v>
      </c>
      <c r="I196" s="779" t="s">
        <v>265</v>
      </c>
      <c r="K196" s="748" t="s">
        <v>1043</v>
      </c>
      <c r="L196" s="778" t="s">
        <v>187</v>
      </c>
      <c r="M196" s="778" t="s">
        <v>214</v>
      </c>
      <c r="N196" s="778" t="s">
        <v>233</v>
      </c>
      <c r="O196" s="778" t="s">
        <v>242</v>
      </c>
      <c r="P196" s="778" t="s">
        <v>250</v>
      </c>
      <c r="Q196" s="778" t="s">
        <v>258</v>
      </c>
      <c r="R196" s="779" t="s">
        <v>265</v>
      </c>
      <c r="T196" s="751" t="s">
        <v>1043</v>
      </c>
      <c r="U196" s="778" t="s">
        <v>187</v>
      </c>
      <c r="V196" s="778" t="s">
        <v>214</v>
      </c>
      <c r="W196" s="778" t="s">
        <v>233</v>
      </c>
      <c r="X196" s="778" t="s">
        <v>242</v>
      </c>
      <c r="Y196" s="778" t="s">
        <v>250</v>
      </c>
      <c r="Z196" s="778" t="s">
        <v>258</v>
      </c>
      <c r="AA196" s="779" t="s">
        <v>265</v>
      </c>
      <c r="AC196" s="752" t="s">
        <v>1043</v>
      </c>
      <c r="AD196" s="778" t="s">
        <v>187</v>
      </c>
      <c r="AE196" s="778" t="s">
        <v>214</v>
      </c>
      <c r="AF196" s="778" t="s">
        <v>233</v>
      </c>
      <c r="AG196" s="778" t="s">
        <v>242</v>
      </c>
      <c r="AH196" s="778" t="s">
        <v>250</v>
      </c>
      <c r="AI196" s="778" t="s">
        <v>258</v>
      </c>
      <c r="AJ196" s="779" t="s">
        <v>265</v>
      </c>
      <c r="AL196" s="752" t="s">
        <v>1043</v>
      </c>
      <c r="AM196" s="778" t="s">
        <v>187</v>
      </c>
      <c r="AN196" s="778" t="s">
        <v>214</v>
      </c>
      <c r="AO196" s="778" t="s">
        <v>233</v>
      </c>
      <c r="AP196" s="778" t="s">
        <v>242</v>
      </c>
      <c r="AQ196" s="778" t="s">
        <v>250</v>
      </c>
      <c r="AR196" s="778" t="s">
        <v>258</v>
      </c>
      <c r="AS196" s="779" t="s">
        <v>265</v>
      </c>
      <c r="AU196" s="752" t="s">
        <v>1043</v>
      </c>
      <c r="AV196" s="778" t="s">
        <v>187</v>
      </c>
      <c r="AW196" s="778" t="s">
        <v>214</v>
      </c>
      <c r="AX196" s="778" t="s">
        <v>233</v>
      </c>
      <c r="AY196" s="778" t="s">
        <v>242</v>
      </c>
      <c r="AZ196" s="778" t="s">
        <v>250</v>
      </c>
      <c r="BA196" s="778" t="s">
        <v>258</v>
      </c>
      <c r="BB196" s="779" t="s">
        <v>265</v>
      </c>
    </row>
    <row r="197" spans="2:54" x14ac:dyDescent="0.25">
      <c r="B197" s="753" t="s">
        <v>186</v>
      </c>
      <c r="C197" s="754">
        <v>-32</v>
      </c>
      <c r="D197" s="755">
        <v>-28</v>
      </c>
      <c r="E197" s="755">
        <v>-23</v>
      </c>
      <c r="F197" s="755">
        <v>-25</v>
      </c>
      <c r="G197" s="755">
        <v>-30</v>
      </c>
      <c r="H197" s="755">
        <v>-34</v>
      </c>
      <c r="I197" s="756">
        <v>-33</v>
      </c>
      <c r="K197" s="753" t="s">
        <v>186</v>
      </c>
      <c r="L197" s="754">
        <v>-33</v>
      </c>
      <c r="M197" s="755">
        <v>-32</v>
      </c>
      <c r="N197" s="755">
        <v>-36</v>
      </c>
      <c r="O197" s="755">
        <v>-32</v>
      </c>
      <c r="P197" s="755">
        <v>-35</v>
      </c>
      <c r="Q197" s="755">
        <v>-30</v>
      </c>
      <c r="R197" s="756">
        <v>-32</v>
      </c>
      <c r="T197" s="757" t="s">
        <v>186</v>
      </c>
      <c r="U197" s="754">
        <v>-40</v>
      </c>
      <c r="V197" s="755">
        <v>-39</v>
      </c>
      <c r="W197" s="755">
        <v>-40</v>
      </c>
      <c r="X197" s="755">
        <v>-45</v>
      </c>
      <c r="Y197" s="755">
        <v>-43</v>
      </c>
      <c r="Z197" s="755">
        <v>-40</v>
      </c>
      <c r="AA197" s="756">
        <v>-40</v>
      </c>
      <c r="AC197" s="758" t="s">
        <v>186</v>
      </c>
      <c r="AD197" s="754">
        <v>-43</v>
      </c>
      <c r="AE197" s="755">
        <v>-43</v>
      </c>
      <c r="AF197" s="755">
        <v>-44</v>
      </c>
      <c r="AG197" s="755">
        <v>-44</v>
      </c>
      <c r="AH197" s="755">
        <v>-44</v>
      </c>
      <c r="AI197" s="755">
        <v>-42</v>
      </c>
      <c r="AJ197" s="756">
        <v>-40</v>
      </c>
      <c r="AL197" s="758" t="s">
        <v>186</v>
      </c>
      <c r="AM197" s="754"/>
      <c r="AN197" s="755"/>
      <c r="AO197" s="755">
        <v>-28</v>
      </c>
      <c r="AP197" s="755">
        <v>-32</v>
      </c>
      <c r="AQ197" s="755">
        <v>-30</v>
      </c>
      <c r="AR197" s="755">
        <v>-23</v>
      </c>
      <c r="AS197" s="756">
        <v>-22</v>
      </c>
      <c r="AU197" s="758" t="s">
        <v>186</v>
      </c>
      <c r="AV197" s="754">
        <v>-43</v>
      </c>
      <c r="AW197" s="755">
        <v>-39</v>
      </c>
      <c r="AX197" s="755">
        <v>-40</v>
      </c>
      <c r="AY197" s="755">
        <v>-39</v>
      </c>
      <c r="AZ197" s="755">
        <v>-44</v>
      </c>
      <c r="BA197" s="755">
        <v>-44</v>
      </c>
      <c r="BB197" s="756">
        <v>-44</v>
      </c>
    </row>
    <row r="198" spans="2:54" x14ac:dyDescent="0.25">
      <c r="B198" s="759" t="s">
        <v>213</v>
      </c>
      <c r="C198" s="760">
        <v>-32</v>
      </c>
      <c r="D198" s="761">
        <v>-30</v>
      </c>
      <c r="E198" s="761">
        <v>-28</v>
      </c>
      <c r="F198" s="761">
        <v>-25</v>
      </c>
      <c r="G198" s="761">
        <v>-28</v>
      </c>
      <c r="H198" s="761">
        <v>-31</v>
      </c>
      <c r="I198" s="762">
        <v>-30</v>
      </c>
      <c r="K198" s="759" t="s">
        <v>213</v>
      </c>
      <c r="L198" s="760">
        <v>-36</v>
      </c>
      <c r="M198" s="761">
        <v>-32</v>
      </c>
      <c r="N198" s="761">
        <v>-32</v>
      </c>
      <c r="O198" s="761">
        <v>-30</v>
      </c>
      <c r="P198" s="761">
        <v>-32</v>
      </c>
      <c r="Q198" s="761">
        <v>-29</v>
      </c>
      <c r="R198" s="762">
        <v>-32</v>
      </c>
      <c r="T198" s="763" t="s">
        <v>213</v>
      </c>
      <c r="U198" s="760">
        <v>-40</v>
      </c>
      <c r="V198" s="761">
        <v>-44</v>
      </c>
      <c r="W198" s="761">
        <v>-42</v>
      </c>
      <c r="X198" s="761">
        <v>-46</v>
      </c>
      <c r="Y198" s="761">
        <v>-43</v>
      </c>
      <c r="Z198" s="761">
        <v>-40</v>
      </c>
      <c r="AA198" s="762">
        <v>-41</v>
      </c>
      <c r="AC198" s="764" t="s">
        <v>213</v>
      </c>
      <c r="AD198" s="760">
        <v>-40</v>
      </c>
      <c r="AE198" s="761">
        <v>-43</v>
      </c>
      <c r="AF198" s="761">
        <v>-41</v>
      </c>
      <c r="AG198" s="761">
        <v>-42</v>
      </c>
      <c r="AH198" s="761">
        <v>-44</v>
      </c>
      <c r="AI198" s="761">
        <v>-43</v>
      </c>
      <c r="AJ198" s="762">
        <v>-42</v>
      </c>
      <c r="AL198" s="764" t="s">
        <v>213</v>
      </c>
      <c r="AM198" s="760"/>
      <c r="AN198" s="761"/>
      <c r="AO198" s="761">
        <v>-24</v>
      </c>
      <c r="AP198" s="761">
        <v>-29</v>
      </c>
      <c r="AQ198" s="761">
        <v>-29</v>
      </c>
      <c r="AR198" s="761">
        <v>-24</v>
      </c>
      <c r="AS198" s="762">
        <v>-23</v>
      </c>
      <c r="AU198" s="764" t="s">
        <v>213</v>
      </c>
      <c r="AV198" s="760">
        <v>-42</v>
      </c>
      <c r="AW198" s="761">
        <v>-43</v>
      </c>
      <c r="AX198" s="761">
        <v>-40</v>
      </c>
      <c r="AY198" s="761">
        <v>-44</v>
      </c>
      <c r="AZ198" s="761">
        <v>-43</v>
      </c>
      <c r="BA198" s="761">
        <v>-42</v>
      </c>
      <c r="BB198" s="762">
        <v>-45</v>
      </c>
    </row>
    <row r="199" spans="2:54" x14ac:dyDescent="0.25">
      <c r="B199" s="759" t="s">
        <v>232</v>
      </c>
      <c r="C199" s="765">
        <v>-28</v>
      </c>
      <c r="D199" s="766">
        <v>-27</v>
      </c>
      <c r="E199" s="766">
        <v>-25</v>
      </c>
      <c r="F199" s="766">
        <v>-23</v>
      </c>
      <c r="G199" s="766">
        <v>-30</v>
      </c>
      <c r="H199" s="766">
        <v>-31</v>
      </c>
      <c r="I199" s="767">
        <v>-31</v>
      </c>
      <c r="K199" s="759" t="s">
        <v>232</v>
      </c>
      <c r="L199" s="765">
        <v>-30</v>
      </c>
      <c r="M199" s="766">
        <v>-26</v>
      </c>
      <c r="N199" s="766">
        <v>-28</v>
      </c>
      <c r="O199" s="766">
        <v>-27</v>
      </c>
      <c r="P199" s="766">
        <v>-30</v>
      </c>
      <c r="Q199" s="766">
        <v>-27</v>
      </c>
      <c r="R199" s="767">
        <v>-30</v>
      </c>
      <c r="T199" s="763" t="s">
        <v>232</v>
      </c>
      <c r="U199" s="765">
        <v>-40</v>
      </c>
      <c r="V199" s="766">
        <v>-39</v>
      </c>
      <c r="W199" s="766">
        <v>-41</v>
      </c>
      <c r="X199" s="766">
        <v>-45</v>
      </c>
      <c r="Y199" s="766">
        <v>-45</v>
      </c>
      <c r="Z199" s="766">
        <v>-42</v>
      </c>
      <c r="AA199" s="767">
        <v>-41</v>
      </c>
      <c r="AC199" s="764" t="s">
        <v>232</v>
      </c>
      <c r="AD199" s="765">
        <v>-40</v>
      </c>
      <c r="AE199" s="766">
        <v>-40</v>
      </c>
      <c r="AF199" s="766">
        <v>-40</v>
      </c>
      <c r="AG199" s="766">
        <v>-42</v>
      </c>
      <c r="AH199" s="766">
        <v>-42</v>
      </c>
      <c r="AI199" s="766">
        <v>-40</v>
      </c>
      <c r="AJ199" s="767">
        <v>-43</v>
      </c>
      <c r="AL199" s="764" t="s">
        <v>232</v>
      </c>
      <c r="AM199" s="765"/>
      <c r="AN199" s="766"/>
      <c r="AO199" s="766">
        <v>-26</v>
      </c>
      <c r="AP199" s="766">
        <v>-27</v>
      </c>
      <c r="AQ199" s="766">
        <v>-25</v>
      </c>
      <c r="AR199" s="766">
        <v>-23</v>
      </c>
      <c r="AS199" s="767">
        <v>-24</v>
      </c>
      <c r="AU199" s="764" t="s">
        <v>232</v>
      </c>
      <c r="AV199" s="765">
        <v>-40</v>
      </c>
      <c r="AW199" s="766">
        <v>-41</v>
      </c>
      <c r="AX199" s="766">
        <v>-44</v>
      </c>
      <c r="AY199" s="766">
        <v>-45</v>
      </c>
      <c r="AZ199" s="766">
        <v>-45</v>
      </c>
      <c r="BA199" s="766">
        <v>-44</v>
      </c>
      <c r="BB199" s="767">
        <v>-43</v>
      </c>
    </row>
    <row r="200" spans="2:54" x14ac:dyDescent="0.25">
      <c r="B200" s="759" t="s">
        <v>215</v>
      </c>
      <c r="C200" s="765">
        <v>-22</v>
      </c>
      <c r="D200" s="766">
        <v>-23</v>
      </c>
      <c r="E200" s="766">
        <v>-24</v>
      </c>
      <c r="F200" s="766">
        <v>-21</v>
      </c>
      <c r="G200" s="766">
        <v>-28</v>
      </c>
      <c r="H200" s="766">
        <v>-29</v>
      </c>
      <c r="I200" s="767">
        <v>-29</v>
      </c>
      <c r="K200" s="759" t="s">
        <v>215</v>
      </c>
      <c r="L200" s="765">
        <v>-24</v>
      </c>
      <c r="M200" s="766">
        <v>-25</v>
      </c>
      <c r="N200" s="766">
        <v>-23</v>
      </c>
      <c r="O200" s="766">
        <v>-27</v>
      </c>
      <c r="P200" s="766">
        <v>-26</v>
      </c>
      <c r="Q200" s="766">
        <v>-27</v>
      </c>
      <c r="R200" s="767">
        <v>-31</v>
      </c>
      <c r="T200" s="763" t="s">
        <v>215</v>
      </c>
      <c r="U200" s="765">
        <v>-40</v>
      </c>
      <c r="V200" s="766">
        <v>-44</v>
      </c>
      <c r="W200" s="766">
        <v>-43</v>
      </c>
      <c r="X200" s="766">
        <v>-45</v>
      </c>
      <c r="Y200" s="766">
        <v>-44</v>
      </c>
      <c r="Z200" s="766">
        <v>-39</v>
      </c>
      <c r="AA200" s="767">
        <v>-40</v>
      </c>
      <c r="AC200" s="764" t="s">
        <v>215</v>
      </c>
      <c r="AD200" s="765">
        <v>-40</v>
      </c>
      <c r="AE200" s="766">
        <v>-41</v>
      </c>
      <c r="AF200" s="766">
        <v>-41</v>
      </c>
      <c r="AG200" s="766">
        <v>-46</v>
      </c>
      <c r="AH200" s="766">
        <v>-45</v>
      </c>
      <c r="AI200" s="766">
        <v>-44</v>
      </c>
      <c r="AJ200" s="767">
        <v>-43</v>
      </c>
      <c r="AL200" s="764" t="s">
        <v>215</v>
      </c>
      <c r="AM200" s="765"/>
      <c r="AN200" s="766">
        <v>-27</v>
      </c>
      <c r="AO200" s="766">
        <v>-26</v>
      </c>
      <c r="AP200" s="766">
        <v>-26</v>
      </c>
      <c r="AQ200" s="766">
        <v>-24</v>
      </c>
      <c r="AR200" s="766">
        <v>-23</v>
      </c>
      <c r="AS200" s="767">
        <v>-23</v>
      </c>
      <c r="AU200" s="764" t="s">
        <v>215</v>
      </c>
      <c r="AV200" s="765">
        <v>-42</v>
      </c>
      <c r="AW200" s="766">
        <v>-42</v>
      </c>
      <c r="AX200" s="766">
        <v>-44</v>
      </c>
      <c r="AY200" s="766">
        <v>-43</v>
      </c>
      <c r="AZ200" s="766">
        <v>-44</v>
      </c>
      <c r="BA200" s="766">
        <v>-43</v>
      </c>
      <c r="BB200" s="767">
        <v>-41</v>
      </c>
    </row>
    <row r="201" spans="2:54" x14ac:dyDescent="0.25">
      <c r="B201" s="759" t="s">
        <v>249</v>
      </c>
      <c r="C201" s="765">
        <v>-24</v>
      </c>
      <c r="D201" s="766">
        <v>-22</v>
      </c>
      <c r="E201" s="766">
        <v>-22</v>
      </c>
      <c r="F201" s="766">
        <v>-22</v>
      </c>
      <c r="G201" s="766">
        <v>-21</v>
      </c>
      <c r="H201" s="766">
        <v>-28</v>
      </c>
      <c r="I201" s="767">
        <v>-32</v>
      </c>
      <c r="K201" s="759" t="s">
        <v>249</v>
      </c>
      <c r="L201" s="765">
        <v>-23</v>
      </c>
      <c r="M201" s="766">
        <v>-21</v>
      </c>
      <c r="N201" s="766">
        <v>-25</v>
      </c>
      <c r="O201" s="766">
        <v>-25</v>
      </c>
      <c r="P201" s="766">
        <v>-20</v>
      </c>
      <c r="Q201" s="766">
        <v>-26</v>
      </c>
      <c r="R201" s="767">
        <v>-31</v>
      </c>
      <c r="T201" s="763" t="s">
        <v>249</v>
      </c>
      <c r="U201" s="765">
        <v>-44</v>
      </c>
      <c r="V201" s="766">
        <v>-42</v>
      </c>
      <c r="W201" s="766">
        <v>-42</v>
      </c>
      <c r="X201" s="766">
        <v>-42</v>
      </c>
      <c r="Y201" s="766">
        <v>-41</v>
      </c>
      <c r="Z201" s="766">
        <v>-39</v>
      </c>
      <c r="AA201" s="767">
        <v>-41</v>
      </c>
      <c r="AC201" s="764" t="s">
        <v>249</v>
      </c>
      <c r="AD201" s="765">
        <v>-41</v>
      </c>
      <c r="AE201" s="766">
        <v>-41</v>
      </c>
      <c r="AF201" s="766">
        <v>-40</v>
      </c>
      <c r="AG201" s="766">
        <v>-40</v>
      </c>
      <c r="AH201" s="766">
        <v>-40</v>
      </c>
      <c r="AI201" s="766">
        <v>-40</v>
      </c>
      <c r="AJ201" s="767">
        <v>-40</v>
      </c>
      <c r="AL201" s="764" t="s">
        <v>249</v>
      </c>
      <c r="AM201" s="765"/>
      <c r="AN201" s="766">
        <v>-21</v>
      </c>
      <c r="AO201" s="766">
        <v>-20</v>
      </c>
      <c r="AP201" s="766">
        <v>-19</v>
      </c>
      <c r="AQ201" s="766">
        <v>-20</v>
      </c>
      <c r="AR201" s="766">
        <v>-20</v>
      </c>
      <c r="AS201" s="767">
        <v>-25</v>
      </c>
      <c r="AU201" s="764" t="s">
        <v>249</v>
      </c>
      <c r="AV201" s="765">
        <v>-40</v>
      </c>
      <c r="AW201" s="766">
        <v>-38</v>
      </c>
      <c r="AX201" s="766">
        <v>-39</v>
      </c>
      <c r="AY201" s="766">
        <v>-40</v>
      </c>
      <c r="AZ201" s="766">
        <v>-38</v>
      </c>
      <c r="BA201" s="766">
        <v>-39</v>
      </c>
      <c r="BB201" s="767">
        <v>-38</v>
      </c>
    </row>
    <row r="202" spans="2:54" x14ac:dyDescent="0.25">
      <c r="B202" s="759" t="s">
        <v>257</v>
      </c>
      <c r="C202" s="765">
        <v>-19</v>
      </c>
      <c r="D202" s="766">
        <v>-27</v>
      </c>
      <c r="E202" s="766">
        <v>-25</v>
      </c>
      <c r="F202" s="766">
        <v>-24</v>
      </c>
      <c r="G202" s="766">
        <v>-20</v>
      </c>
      <c r="H202" s="766">
        <v>-25</v>
      </c>
      <c r="I202" s="767">
        <v>-29</v>
      </c>
      <c r="K202" s="759" t="s">
        <v>257</v>
      </c>
      <c r="L202" s="765">
        <v>-24</v>
      </c>
      <c r="M202" s="766">
        <v>-22</v>
      </c>
      <c r="N202" s="766">
        <v>-20</v>
      </c>
      <c r="O202" s="766">
        <v>-23</v>
      </c>
      <c r="P202" s="766">
        <v>-21</v>
      </c>
      <c r="Q202" s="766">
        <v>-24</v>
      </c>
      <c r="R202" s="767">
        <v>-28</v>
      </c>
      <c r="T202" s="763" t="s">
        <v>257</v>
      </c>
      <c r="U202" s="765">
        <v>-37</v>
      </c>
      <c r="V202" s="766">
        <v>-38</v>
      </c>
      <c r="W202" s="766">
        <v>-36</v>
      </c>
      <c r="X202" s="766">
        <v>-35</v>
      </c>
      <c r="Y202" s="766">
        <v>-34</v>
      </c>
      <c r="Z202" s="766">
        <v>-39</v>
      </c>
      <c r="AA202" s="767">
        <v>-39</v>
      </c>
      <c r="AC202" s="764" t="s">
        <v>257</v>
      </c>
      <c r="AD202" s="765">
        <v>-37</v>
      </c>
      <c r="AE202" s="766">
        <v>-37</v>
      </c>
      <c r="AF202" s="766">
        <v>-39</v>
      </c>
      <c r="AG202" s="766">
        <v>-39</v>
      </c>
      <c r="AH202" s="766">
        <v>-38</v>
      </c>
      <c r="AI202" s="766">
        <v>-42</v>
      </c>
      <c r="AJ202" s="767">
        <v>-40</v>
      </c>
      <c r="AL202" s="764" t="s">
        <v>257</v>
      </c>
      <c r="AM202" s="765"/>
      <c r="AN202" s="766">
        <v>-22</v>
      </c>
      <c r="AO202" s="766">
        <v>-22</v>
      </c>
      <c r="AP202" s="766">
        <v>-21</v>
      </c>
      <c r="AQ202" s="766">
        <v>-20</v>
      </c>
      <c r="AR202" s="766">
        <v>-23</v>
      </c>
      <c r="AS202" s="767">
        <v>-22</v>
      </c>
      <c r="AU202" s="764" t="s">
        <v>257</v>
      </c>
      <c r="AV202" s="765">
        <v>-40</v>
      </c>
      <c r="AW202" s="766">
        <v>-39</v>
      </c>
      <c r="AX202" s="766">
        <v>-38</v>
      </c>
      <c r="AY202" s="766">
        <v>-38</v>
      </c>
      <c r="AZ202" s="766">
        <v>-36</v>
      </c>
      <c r="BA202" s="766">
        <v>-40</v>
      </c>
      <c r="BB202" s="767">
        <v>-41</v>
      </c>
    </row>
    <row r="203" spans="2:54" x14ac:dyDescent="0.25">
      <c r="B203" s="759" t="s">
        <v>264</v>
      </c>
      <c r="C203" s="765">
        <v>-20</v>
      </c>
      <c r="D203" s="766">
        <v>-19</v>
      </c>
      <c r="E203" s="766">
        <v>-18</v>
      </c>
      <c r="F203" s="766">
        <v>-18</v>
      </c>
      <c r="G203" s="766">
        <v>-18</v>
      </c>
      <c r="H203" s="766">
        <v>-24</v>
      </c>
      <c r="I203" s="767">
        <v>-27</v>
      </c>
      <c r="K203" s="759" t="s">
        <v>264</v>
      </c>
      <c r="L203" s="765">
        <v>-24</v>
      </c>
      <c r="M203" s="766">
        <v>-23</v>
      </c>
      <c r="N203" s="766">
        <v>-23</v>
      </c>
      <c r="O203" s="766">
        <v>-21</v>
      </c>
      <c r="P203" s="766">
        <v>-20</v>
      </c>
      <c r="Q203" s="766">
        <v>-21</v>
      </c>
      <c r="R203" s="767">
        <v>-31</v>
      </c>
      <c r="T203" s="763" t="s">
        <v>264</v>
      </c>
      <c r="U203" s="765">
        <v>-34</v>
      </c>
      <c r="V203" s="766">
        <v>-38</v>
      </c>
      <c r="W203" s="766">
        <v>-37</v>
      </c>
      <c r="X203" s="766">
        <v>-36</v>
      </c>
      <c r="Y203" s="766">
        <v>-36</v>
      </c>
      <c r="Z203" s="766">
        <v>-37</v>
      </c>
      <c r="AA203" s="767">
        <v>-39</v>
      </c>
      <c r="AC203" s="764" t="s">
        <v>264</v>
      </c>
      <c r="AD203" s="765">
        <v>-37</v>
      </c>
      <c r="AE203" s="766">
        <v>-38</v>
      </c>
      <c r="AF203" s="766">
        <v>-39</v>
      </c>
      <c r="AG203" s="766">
        <v>-39</v>
      </c>
      <c r="AH203" s="766">
        <v>-39</v>
      </c>
      <c r="AI203" s="766">
        <v>-42</v>
      </c>
      <c r="AJ203" s="767">
        <v>-41</v>
      </c>
      <c r="AL203" s="764" t="s">
        <v>264</v>
      </c>
      <c r="AM203" s="765"/>
      <c r="AN203" s="766">
        <v>-23</v>
      </c>
      <c r="AO203" s="766">
        <v>-22</v>
      </c>
      <c r="AP203" s="766">
        <v>-22</v>
      </c>
      <c r="AQ203" s="766">
        <v>-22</v>
      </c>
      <c r="AR203" s="766">
        <v>-23</v>
      </c>
      <c r="AS203" s="767">
        <v>-22</v>
      </c>
      <c r="AU203" s="764" t="s">
        <v>264</v>
      </c>
      <c r="AV203" s="765">
        <v>-32</v>
      </c>
      <c r="AW203" s="766">
        <v>-33</v>
      </c>
      <c r="AX203" s="766">
        <v>-34</v>
      </c>
      <c r="AY203" s="766">
        <v>-35</v>
      </c>
      <c r="AZ203" s="766">
        <v>-35</v>
      </c>
      <c r="BA203" s="766">
        <v>-36</v>
      </c>
      <c r="BB203" s="767">
        <v>-39</v>
      </c>
    </row>
    <row r="204" spans="2:54" x14ac:dyDescent="0.25">
      <c r="B204" s="759" t="s">
        <v>272</v>
      </c>
      <c r="C204" s="765">
        <v>-21</v>
      </c>
      <c r="D204" s="766">
        <v>-21</v>
      </c>
      <c r="E204" s="766">
        <v>-20</v>
      </c>
      <c r="F204" s="766">
        <v>-20</v>
      </c>
      <c r="G204" s="766">
        <v>-20</v>
      </c>
      <c r="H204" s="766">
        <v>-20</v>
      </c>
      <c r="I204" s="767">
        <v>-28</v>
      </c>
      <c r="K204" s="759" t="s">
        <v>272</v>
      </c>
      <c r="L204" s="765">
        <v>-29</v>
      </c>
      <c r="M204" s="766">
        <v>-27</v>
      </c>
      <c r="N204" s="766">
        <v>-27</v>
      </c>
      <c r="O204" s="766">
        <v>-26</v>
      </c>
      <c r="P204" s="766">
        <v>-29</v>
      </c>
      <c r="Q204" s="766">
        <v>-33</v>
      </c>
      <c r="R204" s="767">
        <v>-32</v>
      </c>
      <c r="T204" s="763" t="s">
        <v>272</v>
      </c>
      <c r="U204" s="765">
        <v>-37</v>
      </c>
      <c r="V204" s="766">
        <v>-35</v>
      </c>
      <c r="W204" s="766">
        <v>-35</v>
      </c>
      <c r="X204" s="766">
        <v>-34</v>
      </c>
      <c r="Y204" s="766">
        <v>-37</v>
      </c>
      <c r="Z204" s="766">
        <v>-37</v>
      </c>
      <c r="AA204" s="767">
        <v>-36</v>
      </c>
      <c r="AC204" s="764" t="s">
        <v>272</v>
      </c>
      <c r="AD204" s="765">
        <v>-37</v>
      </c>
      <c r="AE204" s="766">
        <v>-41</v>
      </c>
      <c r="AF204" s="766">
        <v>-41</v>
      </c>
      <c r="AG204" s="766">
        <v>-40</v>
      </c>
      <c r="AH204" s="766">
        <v>-41</v>
      </c>
      <c r="AI204" s="766">
        <v>-41</v>
      </c>
      <c r="AJ204" s="767">
        <v>-43</v>
      </c>
      <c r="AL204" s="764" t="s">
        <v>272</v>
      </c>
      <c r="AM204" s="765"/>
      <c r="AN204" s="766">
        <v>-24</v>
      </c>
      <c r="AO204" s="766">
        <v>-23</v>
      </c>
      <c r="AP204" s="766">
        <v>-23</v>
      </c>
      <c r="AQ204" s="766">
        <v>-23</v>
      </c>
      <c r="AR204" s="766">
        <v>-21</v>
      </c>
      <c r="AS204" s="767">
        <v>-24</v>
      </c>
      <c r="AU204" s="764" t="s">
        <v>272</v>
      </c>
      <c r="AV204" s="765">
        <v>-32</v>
      </c>
      <c r="AW204" s="766">
        <v>-32</v>
      </c>
      <c r="AX204" s="766">
        <v>-33</v>
      </c>
      <c r="AY204" s="766">
        <v>-37</v>
      </c>
      <c r="AZ204" s="766">
        <v>-38</v>
      </c>
      <c r="BA204" s="766">
        <v>-39</v>
      </c>
      <c r="BB204" s="767">
        <v>-40</v>
      </c>
    </row>
    <row r="205" spans="2:54" x14ac:dyDescent="0.25">
      <c r="B205" s="759" t="s">
        <v>278</v>
      </c>
      <c r="C205" s="765">
        <v>-28</v>
      </c>
      <c r="D205" s="766">
        <v>-25</v>
      </c>
      <c r="E205" s="766">
        <v>-26</v>
      </c>
      <c r="F205" s="766">
        <v>-25</v>
      </c>
      <c r="G205" s="766">
        <v>-23</v>
      </c>
      <c r="H205" s="766">
        <v>-23</v>
      </c>
      <c r="I205" s="767">
        <v>-25</v>
      </c>
      <c r="K205" s="759" t="s">
        <v>278</v>
      </c>
      <c r="L205" s="765">
        <v>-26</v>
      </c>
      <c r="M205" s="766">
        <v>-26</v>
      </c>
      <c r="N205" s="766">
        <v>-27</v>
      </c>
      <c r="O205" s="766">
        <v>-32</v>
      </c>
      <c r="P205" s="766">
        <v>-30</v>
      </c>
      <c r="Q205" s="766">
        <v>-31</v>
      </c>
      <c r="R205" s="767">
        <v>-33</v>
      </c>
      <c r="T205" s="763" t="s">
        <v>278</v>
      </c>
      <c r="U205" s="765">
        <v>-29</v>
      </c>
      <c r="V205" s="766">
        <v>-29</v>
      </c>
      <c r="W205" s="766">
        <v>-30</v>
      </c>
      <c r="X205" s="766">
        <v>-29</v>
      </c>
      <c r="Y205" s="766">
        <v>-30</v>
      </c>
      <c r="Z205" s="766">
        <v>-31</v>
      </c>
      <c r="AA205" s="767">
        <v>-33</v>
      </c>
      <c r="AC205" s="764" t="s">
        <v>278</v>
      </c>
      <c r="AD205" s="765">
        <v>-39</v>
      </c>
      <c r="AE205" s="766">
        <v>-40</v>
      </c>
      <c r="AF205" s="766">
        <v>-39</v>
      </c>
      <c r="AG205" s="766">
        <v>-39</v>
      </c>
      <c r="AH205" s="766">
        <v>-39</v>
      </c>
      <c r="AI205" s="766">
        <v>-42</v>
      </c>
      <c r="AJ205" s="767">
        <v>-45</v>
      </c>
      <c r="AL205" s="764" t="s">
        <v>278</v>
      </c>
      <c r="AM205" s="765"/>
      <c r="AN205" s="766">
        <v>-22</v>
      </c>
      <c r="AO205" s="766">
        <v>-20</v>
      </c>
      <c r="AP205" s="766">
        <v>-20</v>
      </c>
      <c r="AQ205" s="766">
        <v>-19</v>
      </c>
      <c r="AR205" s="766">
        <v>-19</v>
      </c>
      <c r="AS205" s="767">
        <v>-21</v>
      </c>
      <c r="AU205" s="764" t="s">
        <v>278</v>
      </c>
      <c r="AV205" s="765">
        <v>-32</v>
      </c>
      <c r="AW205" s="766">
        <v>-34</v>
      </c>
      <c r="AX205" s="766">
        <v>-33</v>
      </c>
      <c r="AY205" s="766">
        <v>-32</v>
      </c>
      <c r="AZ205" s="766">
        <v>-35</v>
      </c>
      <c r="BA205" s="766">
        <v>-36</v>
      </c>
      <c r="BB205" s="767">
        <v>-37</v>
      </c>
    </row>
    <row r="206" spans="2:54" ht="15.75" thickBot="1" x14ac:dyDescent="0.3">
      <c r="B206" s="768" t="s">
        <v>284</v>
      </c>
      <c r="C206" s="769" t="s">
        <v>1048</v>
      </c>
      <c r="D206" s="770" t="s">
        <v>1048</v>
      </c>
      <c r="E206" s="770" t="s">
        <v>1048</v>
      </c>
      <c r="F206" s="770" t="s">
        <v>1048</v>
      </c>
      <c r="G206" s="770" t="s">
        <v>1048</v>
      </c>
      <c r="H206" s="770" t="s">
        <v>1048</v>
      </c>
      <c r="I206" s="771" t="s">
        <v>1048</v>
      </c>
      <c r="K206" s="768" t="s">
        <v>284</v>
      </c>
      <c r="L206" s="769" t="s">
        <v>1048</v>
      </c>
      <c r="M206" s="770" t="s">
        <v>1048</v>
      </c>
      <c r="N206" s="770" t="s">
        <v>1048</v>
      </c>
      <c r="O206" s="770" t="s">
        <v>1048</v>
      </c>
      <c r="P206" s="770" t="s">
        <v>1048</v>
      </c>
      <c r="Q206" s="770" t="s">
        <v>1048</v>
      </c>
      <c r="R206" s="771" t="s">
        <v>1048</v>
      </c>
      <c r="T206" s="772" t="s">
        <v>284</v>
      </c>
      <c r="U206" s="769" t="s">
        <v>1048</v>
      </c>
      <c r="V206" s="770" t="s">
        <v>1048</v>
      </c>
      <c r="W206" s="770" t="s">
        <v>1048</v>
      </c>
      <c r="X206" s="770" t="s">
        <v>1048</v>
      </c>
      <c r="Y206" s="770" t="s">
        <v>1048</v>
      </c>
      <c r="Z206" s="770" t="s">
        <v>1048</v>
      </c>
      <c r="AA206" s="771" t="s">
        <v>1048</v>
      </c>
      <c r="AC206" s="773" t="s">
        <v>284</v>
      </c>
      <c r="AD206" s="769" t="s">
        <v>1048</v>
      </c>
      <c r="AE206" s="770" t="s">
        <v>1048</v>
      </c>
      <c r="AF206" s="770" t="s">
        <v>1048</v>
      </c>
      <c r="AG206" s="770" t="s">
        <v>1048</v>
      </c>
      <c r="AH206" s="770" t="s">
        <v>1048</v>
      </c>
      <c r="AI206" s="770" t="s">
        <v>1048</v>
      </c>
      <c r="AJ206" s="771" t="s">
        <v>1048</v>
      </c>
      <c r="AL206" s="773" t="s">
        <v>284</v>
      </c>
      <c r="AM206" s="769" t="s">
        <v>1048</v>
      </c>
      <c r="AN206" s="770" t="s">
        <v>1048</v>
      </c>
      <c r="AO206" s="770" t="s">
        <v>1048</v>
      </c>
      <c r="AP206" s="770" t="s">
        <v>1048</v>
      </c>
      <c r="AQ206" s="770" t="s">
        <v>1048</v>
      </c>
      <c r="AR206" s="770" t="s">
        <v>1048</v>
      </c>
      <c r="AS206" s="771" t="s">
        <v>1048</v>
      </c>
      <c r="AU206" s="773" t="s">
        <v>284</v>
      </c>
      <c r="AV206" s="769" t="s">
        <v>1048</v>
      </c>
      <c r="AW206" s="770" t="s">
        <v>1048</v>
      </c>
      <c r="AX206" s="770" t="s">
        <v>1048</v>
      </c>
      <c r="AY206" s="770" t="s">
        <v>1048</v>
      </c>
      <c r="AZ206" s="770" t="s">
        <v>1048</v>
      </c>
      <c r="BA206" s="770" t="s">
        <v>1048</v>
      </c>
      <c r="BB206" s="771" t="s">
        <v>1048</v>
      </c>
    </row>
    <row r="207" spans="2:54" ht="15.75" thickBot="1" x14ac:dyDescent="0.3">
      <c r="B207" s="774"/>
      <c r="C207" s="775"/>
      <c r="D207" s="775"/>
      <c r="E207" s="775"/>
      <c r="F207" s="775"/>
      <c r="G207" s="775"/>
      <c r="H207" s="775"/>
      <c r="I207" s="775"/>
      <c r="K207" s="774"/>
      <c r="L207" s="775"/>
      <c r="M207" s="775"/>
      <c r="N207" s="775"/>
      <c r="O207" s="775"/>
      <c r="P207" s="775"/>
      <c r="Q207" s="775"/>
      <c r="R207" s="775"/>
      <c r="T207" s="776"/>
      <c r="U207" s="775"/>
      <c r="V207" s="775"/>
      <c r="W207" s="775"/>
      <c r="X207" s="775"/>
      <c r="Y207" s="775"/>
      <c r="Z207" s="775"/>
      <c r="AA207" s="775"/>
      <c r="AC207" s="777"/>
      <c r="AD207" s="775"/>
      <c r="AE207" s="775"/>
      <c r="AF207" s="775"/>
      <c r="AG207" s="775"/>
      <c r="AH207" s="775"/>
      <c r="AI207" s="775"/>
      <c r="AJ207" s="775"/>
      <c r="AL207" s="777"/>
      <c r="AM207" s="775"/>
      <c r="AN207" s="775"/>
      <c r="AO207" s="775"/>
      <c r="AP207" s="775"/>
      <c r="AQ207" s="775"/>
      <c r="AR207" s="775"/>
      <c r="AS207" s="775"/>
      <c r="AU207" s="777"/>
      <c r="AV207" s="775"/>
      <c r="AW207" s="775"/>
      <c r="AX207" s="775"/>
      <c r="AY207" s="775"/>
      <c r="AZ207" s="775"/>
      <c r="BA207" s="775"/>
      <c r="BB207" s="775"/>
    </row>
    <row r="208" spans="2:54" ht="15.75" thickBot="1" x14ac:dyDescent="0.3">
      <c r="B208" s="748" t="s">
        <v>1044</v>
      </c>
      <c r="C208" s="778" t="s">
        <v>187</v>
      </c>
      <c r="D208" s="778" t="s">
        <v>214</v>
      </c>
      <c r="E208" s="778" t="s">
        <v>233</v>
      </c>
      <c r="F208" s="778" t="s">
        <v>242</v>
      </c>
      <c r="G208" s="778" t="s">
        <v>250</v>
      </c>
      <c r="H208" s="778" t="s">
        <v>258</v>
      </c>
      <c r="I208" s="779" t="s">
        <v>265</v>
      </c>
      <c r="K208" s="748" t="s">
        <v>1044</v>
      </c>
      <c r="L208" s="778" t="s">
        <v>187</v>
      </c>
      <c r="M208" s="778" t="s">
        <v>214</v>
      </c>
      <c r="N208" s="778" t="s">
        <v>233</v>
      </c>
      <c r="O208" s="778" t="s">
        <v>242</v>
      </c>
      <c r="P208" s="778" t="s">
        <v>250</v>
      </c>
      <c r="Q208" s="778" t="s">
        <v>258</v>
      </c>
      <c r="R208" s="779" t="s">
        <v>265</v>
      </c>
      <c r="T208" s="751" t="s">
        <v>1044</v>
      </c>
      <c r="U208" s="778" t="s">
        <v>187</v>
      </c>
      <c r="V208" s="778" t="s">
        <v>214</v>
      </c>
      <c r="W208" s="778" t="s">
        <v>233</v>
      </c>
      <c r="X208" s="778" t="s">
        <v>242</v>
      </c>
      <c r="Y208" s="778" t="s">
        <v>250</v>
      </c>
      <c r="Z208" s="778" t="s">
        <v>258</v>
      </c>
      <c r="AA208" s="779" t="s">
        <v>265</v>
      </c>
      <c r="AC208" s="752" t="s">
        <v>1044</v>
      </c>
      <c r="AD208" s="778" t="s">
        <v>187</v>
      </c>
      <c r="AE208" s="778" t="s">
        <v>214</v>
      </c>
      <c r="AF208" s="778" t="s">
        <v>233</v>
      </c>
      <c r="AG208" s="778" t="s">
        <v>242</v>
      </c>
      <c r="AH208" s="778" t="s">
        <v>250</v>
      </c>
      <c r="AI208" s="778" t="s">
        <v>258</v>
      </c>
      <c r="AJ208" s="779" t="s">
        <v>265</v>
      </c>
      <c r="AL208" s="752" t="s">
        <v>1044</v>
      </c>
      <c r="AM208" s="778" t="s">
        <v>187</v>
      </c>
      <c r="AN208" s="778" t="s">
        <v>214</v>
      </c>
      <c r="AO208" s="778" t="s">
        <v>233</v>
      </c>
      <c r="AP208" s="778" t="s">
        <v>242</v>
      </c>
      <c r="AQ208" s="778" t="s">
        <v>250</v>
      </c>
      <c r="AR208" s="778" t="s">
        <v>258</v>
      </c>
      <c r="AS208" s="779" t="s">
        <v>265</v>
      </c>
      <c r="AU208" s="752" t="s">
        <v>1044</v>
      </c>
      <c r="AV208" s="778" t="s">
        <v>187</v>
      </c>
      <c r="AW208" s="778" t="s">
        <v>214</v>
      </c>
      <c r="AX208" s="778" t="s">
        <v>233</v>
      </c>
      <c r="AY208" s="778" t="s">
        <v>242</v>
      </c>
      <c r="AZ208" s="778" t="s">
        <v>250</v>
      </c>
      <c r="BA208" s="778" t="s">
        <v>258</v>
      </c>
      <c r="BB208" s="779" t="s">
        <v>265</v>
      </c>
    </row>
    <row r="209" spans="2:54" x14ac:dyDescent="0.25">
      <c r="B209" s="753" t="s">
        <v>186</v>
      </c>
      <c r="C209" s="754">
        <v>-36</v>
      </c>
      <c r="D209" s="755">
        <v>-32</v>
      </c>
      <c r="E209" s="755">
        <v>-27</v>
      </c>
      <c r="F209" s="755">
        <v>-28</v>
      </c>
      <c r="G209" s="755">
        <v>-33</v>
      </c>
      <c r="H209" s="755">
        <v>-36</v>
      </c>
      <c r="I209" s="756">
        <v>-35</v>
      </c>
      <c r="K209" s="753" t="s">
        <v>186</v>
      </c>
      <c r="L209" s="754">
        <v>-37</v>
      </c>
      <c r="M209" s="755">
        <v>-36</v>
      </c>
      <c r="N209" s="755">
        <v>-40</v>
      </c>
      <c r="O209" s="755">
        <v>-35</v>
      </c>
      <c r="P209" s="755">
        <v>-38</v>
      </c>
      <c r="Q209" s="755">
        <v>-32</v>
      </c>
      <c r="R209" s="756">
        <v>-34</v>
      </c>
      <c r="T209" s="757" t="s">
        <v>186</v>
      </c>
      <c r="U209" s="754">
        <v>-44</v>
      </c>
      <c r="V209" s="755">
        <v>-43</v>
      </c>
      <c r="W209" s="755">
        <v>-44</v>
      </c>
      <c r="X209" s="755">
        <v>-48</v>
      </c>
      <c r="Y209" s="755">
        <v>-46</v>
      </c>
      <c r="Z209" s="755">
        <v>-42</v>
      </c>
      <c r="AA209" s="756">
        <v>-42</v>
      </c>
      <c r="AC209" s="758" t="s">
        <v>186</v>
      </c>
      <c r="AD209" s="754">
        <v>-47</v>
      </c>
      <c r="AE209" s="755">
        <v>-47</v>
      </c>
      <c r="AF209" s="755">
        <v>-48</v>
      </c>
      <c r="AG209" s="755">
        <v>-47</v>
      </c>
      <c r="AH209" s="755">
        <v>-47</v>
      </c>
      <c r="AI209" s="755">
        <v>-44</v>
      </c>
      <c r="AJ209" s="756">
        <v>-42</v>
      </c>
      <c r="AL209" s="758" t="s">
        <v>186</v>
      </c>
      <c r="AM209" s="754"/>
      <c r="AN209" s="755"/>
      <c r="AO209" s="755">
        <v>-32</v>
      </c>
      <c r="AP209" s="755">
        <v>-35</v>
      </c>
      <c r="AQ209" s="755">
        <v>-33</v>
      </c>
      <c r="AR209" s="755">
        <v>-25</v>
      </c>
      <c r="AS209" s="756">
        <v>-24</v>
      </c>
      <c r="AU209" s="758" t="s">
        <v>186</v>
      </c>
      <c r="AV209" s="754">
        <v>-47</v>
      </c>
      <c r="AW209" s="755">
        <v>-43</v>
      </c>
      <c r="AX209" s="755">
        <v>-44</v>
      </c>
      <c r="AY209" s="755">
        <v>-42</v>
      </c>
      <c r="AZ209" s="755">
        <v>-47</v>
      </c>
      <c r="BA209" s="755">
        <v>-46</v>
      </c>
      <c r="BB209" s="756">
        <v>-46</v>
      </c>
    </row>
    <row r="210" spans="2:54" x14ac:dyDescent="0.25">
      <c r="B210" s="759" t="s">
        <v>213</v>
      </c>
      <c r="C210" s="760">
        <v>-36</v>
      </c>
      <c r="D210" s="761">
        <v>-34</v>
      </c>
      <c r="E210" s="761">
        <v>-32</v>
      </c>
      <c r="F210" s="761">
        <v>-28</v>
      </c>
      <c r="G210" s="761">
        <v>-31</v>
      </c>
      <c r="H210" s="761">
        <v>-33</v>
      </c>
      <c r="I210" s="762">
        <v>-32</v>
      </c>
      <c r="K210" s="759" t="s">
        <v>213</v>
      </c>
      <c r="L210" s="760">
        <v>-40</v>
      </c>
      <c r="M210" s="761">
        <v>-36</v>
      </c>
      <c r="N210" s="761">
        <v>-36</v>
      </c>
      <c r="O210" s="761">
        <v>-33</v>
      </c>
      <c r="P210" s="761">
        <v>-35</v>
      </c>
      <c r="Q210" s="761">
        <v>-31</v>
      </c>
      <c r="R210" s="762">
        <v>-34</v>
      </c>
      <c r="T210" s="763" t="s">
        <v>213</v>
      </c>
      <c r="U210" s="760">
        <v>-44</v>
      </c>
      <c r="V210" s="761">
        <v>-48</v>
      </c>
      <c r="W210" s="761">
        <v>-46</v>
      </c>
      <c r="X210" s="761">
        <v>-49</v>
      </c>
      <c r="Y210" s="761">
        <v>-46</v>
      </c>
      <c r="Z210" s="761">
        <v>-42</v>
      </c>
      <c r="AA210" s="762">
        <v>-43</v>
      </c>
      <c r="AC210" s="764" t="s">
        <v>213</v>
      </c>
      <c r="AD210" s="760">
        <v>-44</v>
      </c>
      <c r="AE210" s="761">
        <v>-47</v>
      </c>
      <c r="AF210" s="761">
        <v>-45</v>
      </c>
      <c r="AG210" s="761">
        <v>-45</v>
      </c>
      <c r="AH210" s="761">
        <v>-47</v>
      </c>
      <c r="AI210" s="761">
        <v>-45</v>
      </c>
      <c r="AJ210" s="762">
        <v>-44</v>
      </c>
      <c r="AL210" s="764" t="s">
        <v>213</v>
      </c>
      <c r="AM210" s="760"/>
      <c r="AN210" s="761"/>
      <c r="AO210" s="761">
        <v>-28</v>
      </c>
      <c r="AP210" s="761">
        <v>-32</v>
      </c>
      <c r="AQ210" s="761">
        <v>-32</v>
      </c>
      <c r="AR210" s="761">
        <v>-26</v>
      </c>
      <c r="AS210" s="762">
        <v>-25</v>
      </c>
      <c r="AU210" s="764" t="s">
        <v>213</v>
      </c>
      <c r="AV210" s="760">
        <v>-46</v>
      </c>
      <c r="AW210" s="761">
        <v>-47</v>
      </c>
      <c r="AX210" s="761">
        <v>-44</v>
      </c>
      <c r="AY210" s="761">
        <v>-47</v>
      </c>
      <c r="AZ210" s="761">
        <v>-46</v>
      </c>
      <c r="BA210" s="761">
        <v>-44</v>
      </c>
      <c r="BB210" s="762">
        <v>-47</v>
      </c>
    </row>
    <row r="211" spans="2:54" x14ac:dyDescent="0.25">
      <c r="B211" s="759" t="s">
        <v>232</v>
      </c>
      <c r="C211" s="765">
        <v>-32</v>
      </c>
      <c r="D211" s="766">
        <v>-31</v>
      </c>
      <c r="E211" s="766">
        <v>-29</v>
      </c>
      <c r="F211" s="766">
        <v>-26</v>
      </c>
      <c r="G211" s="766">
        <v>-33</v>
      </c>
      <c r="H211" s="766">
        <v>-33</v>
      </c>
      <c r="I211" s="767">
        <v>-33</v>
      </c>
      <c r="K211" s="759" t="s">
        <v>232</v>
      </c>
      <c r="L211" s="765">
        <v>-34</v>
      </c>
      <c r="M211" s="766">
        <v>-30</v>
      </c>
      <c r="N211" s="766">
        <v>-32</v>
      </c>
      <c r="O211" s="766">
        <v>-30</v>
      </c>
      <c r="P211" s="766">
        <v>-33</v>
      </c>
      <c r="Q211" s="766">
        <v>-29</v>
      </c>
      <c r="R211" s="767">
        <v>-32</v>
      </c>
      <c r="T211" s="763" t="s">
        <v>232</v>
      </c>
      <c r="U211" s="765">
        <v>-44</v>
      </c>
      <c r="V211" s="766">
        <v>-43</v>
      </c>
      <c r="W211" s="766">
        <v>-45</v>
      </c>
      <c r="X211" s="766">
        <v>-48</v>
      </c>
      <c r="Y211" s="766">
        <v>-48</v>
      </c>
      <c r="Z211" s="766">
        <v>-44</v>
      </c>
      <c r="AA211" s="767">
        <v>-43</v>
      </c>
      <c r="AC211" s="764" t="s">
        <v>232</v>
      </c>
      <c r="AD211" s="765">
        <v>-44</v>
      </c>
      <c r="AE211" s="766">
        <v>-44</v>
      </c>
      <c r="AF211" s="766">
        <v>-44</v>
      </c>
      <c r="AG211" s="766">
        <v>-45</v>
      </c>
      <c r="AH211" s="766">
        <v>-45</v>
      </c>
      <c r="AI211" s="766">
        <v>-42</v>
      </c>
      <c r="AJ211" s="767">
        <v>-45</v>
      </c>
      <c r="AL211" s="764" t="s">
        <v>232</v>
      </c>
      <c r="AM211" s="765"/>
      <c r="AN211" s="766"/>
      <c r="AO211" s="766">
        <v>-30</v>
      </c>
      <c r="AP211" s="766">
        <v>-30</v>
      </c>
      <c r="AQ211" s="766">
        <v>-28</v>
      </c>
      <c r="AR211" s="766">
        <v>-25</v>
      </c>
      <c r="AS211" s="767">
        <v>-26</v>
      </c>
      <c r="AU211" s="764" t="s">
        <v>232</v>
      </c>
      <c r="AV211" s="765">
        <v>-44</v>
      </c>
      <c r="AW211" s="766">
        <v>-45</v>
      </c>
      <c r="AX211" s="766">
        <v>-48</v>
      </c>
      <c r="AY211" s="766">
        <v>-48</v>
      </c>
      <c r="AZ211" s="766">
        <v>-48</v>
      </c>
      <c r="BA211" s="766">
        <v>-46</v>
      </c>
      <c r="BB211" s="767">
        <v>-45</v>
      </c>
    </row>
    <row r="212" spans="2:54" x14ac:dyDescent="0.25">
      <c r="B212" s="759" t="s">
        <v>215</v>
      </c>
      <c r="C212" s="765">
        <v>-26</v>
      </c>
      <c r="D212" s="766">
        <v>-27</v>
      </c>
      <c r="E212" s="766">
        <v>-28</v>
      </c>
      <c r="F212" s="766">
        <v>-24</v>
      </c>
      <c r="G212" s="766">
        <v>-31</v>
      </c>
      <c r="H212" s="766">
        <v>-31</v>
      </c>
      <c r="I212" s="767">
        <v>-31</v>
      </c>
      <c r="K212" s="759" t="s">
        <v>215</v>
      </c>
      <c r="L212" s="765">
        <v>-28</v>
      </c>
      <c r="M212" s="766">
        <v>-29</v>
      </c>
      <c r="N212" s="766">
        <v>-27</v>
      </c>
      <c r="O212" s="766">
        <v>-30</v>
      </c>
      <c r="P212" s="766">
        <v>-29</v>
      </c>
      <c r="Q212" s="766">
        <v>-29</v>
      </c>
      <c r="R212" s="767">
        <v>-33</v>
      </c>
      <c r="T212" s="763" t="s">
        <v>215</v>
      </c>
      <c r="U212" s="765">
        <v>-44</v>
      </c>
      <c r="V212" s="766">
        <v>-48</v>
      </c>
      <c r="W212" s="766">
        <v>-47</v>
      </c>
      <c r="X212" s="766">
        <v>-48</v>
      </c>
      <c r="Y212" s="766">
        <v>-47</v>
      </c>
      <c r="Z212" s="766">
        <v>-41</v>
      </c>
      <c r="AA212" s="767">
        <v>-42</v>
      </c>
      <c r="AC212" s="764" t="s">
        <v>215</v>
      </c>
      <c r="AD212" s="765">
        <v>-44</v>
      </c>
      <c r="AE212" s="766">
        <v>-45</v>
      </c>
      <c r="AF212" s="766">
        <v>-45</v>
      </c>
      <c r="AG212" s="766">
        <v>-49</v>
      </c>
      <c r="AH212" s="766">
        <v>-48</v>
      </c>
      <c r="AI212" s="766">
        <v>-46</v>
      </c>
      <c r="AJ212" s="767">
        <v>-45</v>
      </c>
      <c r="AL212" s="764" t="s">
        <v>215</v>
      </c>
      <c r="AM212" s="765"/>
      <c r="AN212" s="766">
        <v>-31</v>
      </c>
      <c r="AO212" s="766">
        <v>-30</v>
      </c>
      <c r="AP212" s="766">
        <v>-29</v>
      </c>
      <c r="AQ212" s="766">
        <v>-27</v>
      </c>
      <c r="AR212" s="766">
        <v>-25</v>
      </c>
      <c r="AS212" s="767">
        <v>-25</v>
      </c>
      <c r="AU212" s="764" t="s">
        <v>215</v>
      </c>
      <c r="AV212" s="765">
        <v>-46</v>
      </c>
      <c r="AW212" s="766">
        <v>-46</v>
      </c>
      <c r="AX212" s="766">
        <v>-48</v>
      </c>
      <c r="AY212" s="766">
        <v>-46</v>
      </c>
      <c r="AZ212" s="766">
        <v>-47</v>
      </c>
      <c r="BA212" s="766">
        <v>-45</v>
      </c>
      <c r="BB212" s="767">
        <v>-43</v>
      </c>
    </row>
    <row r="213" spans="2:54" x14ac:dyDescent="0.25">
      <c r="B213" s="759" t="s">
        <v>249</v>
      </c>
      <c r="C213" s="765">
        <v>-28</v>
      </c>
      <c r="D213" s="766">
        <v>-26</v>
      </c>
      <c r="E213" s="766">
        <v>-26</v>
      </c>
      <c r="F213" s="766">
        <v>-25</v>
      </c>
      <c r="G213" s="766">
        <v>-24</v>
      </c>
      <c r="H213" s="766">
        <v>-30</v>
      </c>
      <c r="I213" s="767">
        <v>-34</v>
      </c>
      <c r="K213" s="759" t="s">
        <v>249</v>
      </c>
      <c r="L213" s="765">
        <v>-27</v>
      </c>
      <c r="M213" s="766">
        <v>-25</v>
      </c>
      <c r="N213" s="766">
        <v>-29</v>
      </c>
      <c r="O213" s="766">
        <v>-28</v>
      </c>
      <c r="P213" s="766">
        <v>-23</v>
      </c>
      <c r="Q213" s="766">
        <v>-28</v>
      </c>
      <c r="R213" s="767">
        <v>-33</v>
      </c>
      <c r="T213" s="763" t="s">
        <v>249</v>
      </c>
      <c r="U213" s="765">
        <v>-48</v>
      </c>
      <c r="V213" s="766">
        <v>-46</v>
      </c>
      <c r="W213" s="766">
        <v>-46</v>
      </c>
      <c r="X213" s="766">
        <v>-45</v>
      </c>
      <c r="Y213" s="766">
        <v>-44</v>
      </c>
      <c r="Z213" s="766">
        <v>-41</v>
      </c>
      <c r="AA213" s="767">
        <v>-43</v>
      </c>
      <c r="AC213" s="764" t="s">
        <v>249</v>
      </c>
      <c r="AD213" s="765">
        <v>-45</v>
      </c>
      <c r="AE213" s="766">
        <v>-45</v>
      </c>
      <c r="AF213" s="766">
        <v>-44</v>
      </c>
      <c r="AG213" s="766">
        <v>-43</v>
      </c>
      <c r="AH213" s="766">
        <v>-43</v>
      </c>
      <c r="AI213" s="766">
        <v>-42</v>
      </c>
      <c r="AJ213" s="767">
        <v>-42</v>
      </c>
      <c r="AL213" s="764" t="s">
        <v>249</v>
      </c>
      <c r="AM213" s="765"/>
      <c r="AN213" s="766">
        <v>-25</v>
      </c>
      <c r="AO213" s="766">
        <v>-24</v>
      </c>
      <c r="AP213" s="766">
        <v>-22</v>
      </c>
      <c r="AQ213" s="766">
        <v>-23</v>
      </c>
      <c r="AR213" s="766">
        <v>-22</v>
      </c>
      <c r="AS213" s="767">
        <v>-27</v>
      </c>
      <c r="AU213" s="764" t="s">
        <v>249</v>
      </c>
      <c r="AV213" s="765">
        <v>-44</v>
      </c>
      <c r="AW213" s="766">
        <v>-42</v>
      </c>
      <c r="AX213" s="766">
        <v>-43</v>
      </c>
      <c r="AY213" s="766">
        <v>-43</v>
      </c>
      <c r="AZ213" s="766">
        <v>-41</v>
      </c>
      <c r="BA213" s="766">
        <v>-41</v>
      </c>
      <c r="BB213" s="767">
        <v>-40</v>
      </c>
    </row>
    <row r="214" spans="2:54" x14ac:dyDescent="0.25">
      <c r="B214" s="759" t="s">
        <v>257</v>
      </c>
      <c r="C214" s="765">
        <v>-23</v>
      </c>
      <c r="D214" s="766">
        <v>-31</v>
      </c>
      <c r="E214" s="766">
        <v>-29</v>
      </c>
      <c r="F214" s="766">
        <v>-27</v>
      </c>
      <c r="G214" s="766">
        <v>-23</v>
      </c>
      <c r="H214" s="766">
        <v>-27</v>
      </c>
      <c r="I214" s="767">
        <v>-31</v>
      </c>
      <c r="K214" s="759" t="s">
        <v>257</v>
      </c>
      <c r="L214" s="765">
        <v>-28</v>
      </c>
      <c r="M214" s="766">
        <v>-26</v>
      </c>
      <c r="N214" s="766">
        <v>-24</v>
      </c>
      <c r="O214" s="766">
        <v>-26</v>
      </c>
      <c r="P214" s="766">
        <v>-24</v>
      </c>
      <c r="Q214" s="766">
        <v>-26</v>
      </c>
      <c r="R214" s="767">
        <v>-30</v>
      </c>
      <c r="T214" s="763" t="s">
        <v>257</v>
      </c>
      <c r="U214" s="765">
        <v>-41</v>
      </c>
      <c r="V214" s="766">
        <v>-42</v>
      </c>
      <c r="W214" s="766">
        <v>-40</v>
      </c>
      <c r="X214" s="766">
        <v>-38</v>
      </c>
      <c r="Y214" s="766">
        <v>-37</v>
      </c>
      <c r="Z214" s="766">
        <v>-41</v>
      </c>
      <c r="AA214" s="767">
        <v>-41</v>
      </c>
      <c r="AC214" s="764" t="s">
        <v>257</v>
      </c>
      <c r="AD214" s="765">
        <v>-41</v>
      </c>
      <c r="AE214" s="766">
        <v>-41</v>
      </c>
      <c r="AF214" s="766">
        <v>-43</v>
      </c>
      <c r="AG214" s="766">
        <v>-42</v>
      </c>
      <c r="AH214" s="766">
        <v>-41</v>
      </c>
      <c r="AI214" s="766">
        <v>-44</v>
      </c>
      <c r="AJ214" s="767">
        <v>-42</v>
      </c>
      <c r="AL214" s="764" t="s">
        <v>257</v>
      </c>
      <c r="AM214" s="765"/>
      <c r="AN214" s="766">
        <v>-26</v>
      </c>
      <c r="AO214" s="766">
        <v>-26</v>
      </c>
      <c r="AP214" s="766">
        <v>-24</v>
      </c>
      <c r="AQ214" s="766">
        <v>-23</v>
      </c>
      <c r="AR214" s="766">
        <v>-25</v>
      </c>
      <c r="AS214" s="767">
        <v>-24</v>
      </c>
      <c r="AU214" s="764" t="s">
        <v>257</v>
      </c>
      <c r="AV214" s="765">
        <v>-44</v>
      </c>
      <c r="AW214" s="766">
        <v>-43</v>
      </c>
      <c r="AX214" s="766">
        <v>-42</v>
      </c>
      <c r="AY214" s="766">
        <v>-41</v>
      </c>
      <c r="AZ214" s="766">
        <v>-39</v>
      </c>
      <c r="BA214" s="766">
        <v>-42</v>
      </c>
      <c r="BB214" s="767">
        <v>-43</v>
      </c>
    </row>
    <row r="215" spans="2:54" x14ac:dyDescent="0.25">
      <c r="B215" s="759" t="s">
        <v>264</v>
      </c>
      <c r="C215" s="765">
        <v>-24</v>
      </c>
      <c r="D215" s="766">
        <v>-23</v>
      </c>
      <c r="E215" s="766">
        <v>-22</v>
      </c>
      <c r="F215" s="766">
        <v>-21</v>
      </c>
      <c r="G215" s="766">
        <v>-21</v>
      </c>
      <c r="H215" s="766">
        <v>-26</v>
      </c>
      <c r="I215" s="767">
        <v>-29</v>
      </c>
      <c r="K215" s="759" t="s">
        <v>264</v>
      </c>
      <c r="L215" s="765">
        <v>-28</v>
      </c>
      <c r="M215" s="766">
        <v>-27</v>
      </c>
      <c r="N215" s="766">
        <v>-27</v>
      </c>
      <c r="O215" s="766">
        <v>-24</v>
      </c>
      <c r="P215" s="766">
        <v>-23</v>
      </c>
      <c r="Q215" s="766">
        <v>-23</v>
      </c>
      <c r="R215" s="767">
        <v>-33</v>
      </c>
      <c r="T215" s="763" t="s">
        <v>264</v>
      </c>
      <c r="U215" s="765">
        <v>-38</v>
      </c>
      <c r="V215" s="766">
        <v>-42</v>
      </c>
      <c r="W215" s="766">
        <v>-41</v>
      </c>
      <c r="X215" s="766">
        <v>-39</v>
      </c>
      <c r="Y215" s="766">
        <v>-39</v>
      </c>
      <c r="Z215" s="766">
        <v>-39</v>
      </c>
      <c r="AA215" s="767">
        <v>-41</v>
      </c>
      <c r="AC215" s="764" t="s">
        <v>264</v>
      </c>
      <c r="AD215" s="765">
        <v>-41</v>
      </c>
      <c r="AE215" s="766">
        <v>-42</v>
      </c>
      <c r="AF215" s="766">
        <v>-43</v>
      </c>
      <c r="AG215" s="766">
        <v>-42</v>
      </c>
      <c r="AH215" s="766">
        <v>-42</v>
      </c>
      <c r="AI215" s="766">
        <v>-44</v>
      </c>
      <c r="AJ215" s="767">
        <v>-43</v>
      </c>
      <c r="AL215" s="764" t="s">
        <v>264</v>
      </c>
      <c r="AM215" s="765"/>
      <c r="AN215" s="766">
        <v>-27</v>
      </c>
      <c r="AO215" s="766">
        <v>-26</v>
      </c>
      <c r="AP215" s="766">
        <v>-25</v>
      </c>
      <c r="AQ215" s="766">
        <v>-25</v>
      </c>
      <c r="AR215" s="766">
        <v>-25</v>
      </c>
      <c r="AS215" s="767">
        <v>-24</v>
      </c>
      <c r="AU215" s="764" t="s">
        <v>264</v>
      </c>
      <c r="AV215" s="765">
        <v>-36</v>
      </c>
      <c r="AW215" s="766">
        <v>-37</v>
      </c>
      <c r="AX215" s="766">
        <v>-38</v>
      </c>
      <c r="AY215" s="766">
        <v>-38</v>
      </c>
      <c r="AZ215" s="766">
        <v>-38</v>
      </c>
      <c r="BA215" s="766">
        <v>-38</v>
      </c>
      <c r="BB215" s="767">
        <v>-41</v>
      </c>
    </row>
    <row r="216" spans="2:54" x14ac:dyDescent="0.25">
      <c r="B216" s="759" t="s">
        <v>272</v>
      </c>
      <c r="C216" s="765">
        <v>-25</v>
      </c>
      <c r="D216" s="766">
        <v>-25</v>
      </c>
      <c r="E216" s="766">
        <v>-24</v>
      </c>
      <c r="F216" s="766">
        <v>-23</v>
      </c>
      <c r="G216" s="766">
        <v>-23</v>
      </c>
      <c r="H216" s="766">
        <v>-22</v>
      </c>
      <c r="I216" s="767">
        <v>-30</v>
      </c>
      <c r="K216" s="759" t="s">
        <v>272</v>
      </c>
      <c r="L216" s="765">
        <v>-33</v>
      </c>
      <c r="M216" s="766">
        <v>-31</v>
      </c>
      <c r="N216" s="766">
        <v>-31</v>
      </c>
      <c r="O216" s="766">
        <v>-29</v>
      </c>
      <c r="P216" s="766">
        <v>-32</v>
      </c>
      <c r="Q216" s="766">
        <v>-35</v>
      </c>
      <c r="R216" s="767">
        <v>-34</v>
      </c>
      <c r="T216" s="763" t="s">
        <v>272</v>
      </c>
      <c r="U216" s="765">
        <v>-41</v>
      </c>
      <c r="V216" s="766">
        <v>-39</v>
      </c>
      <c r="W216" s="766">
        <v>-39</v>
      </c>
      <c r="X216" s="766">
        <v>-37</v>
      </c>
      <c r="Y216" s="766">
        <v>-40</v>
      </c>
      <c r="Z216" s="766">
        <v>-39</v>
      </c>
      <c r="AA216" s="767">
        <v>-38</v>
      </c>
      <c r="AC216" s="764" t="s">
        <v>272</v>
      </c>
      <c r="AD216" s="765">
        <v>-41</v>
      </c>
      <c r="AE216" s="766">
        <v>-45</v>
      </c>
      <c r="AF216" s="766">
        <v>-45</v>
      </c>
      <c r="AG216" s="766">
        <v>-43</v>
      </c>
      <c r="AH216" s="766">
        <v>-44</v>
      </c>
      <c r="AI216" s="766">
        <v>-43</v>
      </c>
      <c r="AJ216" s="767">
        <v>-45</v>
      </c>
      <c r="AL216" s="764" t="s">
        <v>272</v>
      </c>
      <c r="AM216" s="765"/>
      <c r="AN216" s="766">
        <v>-28</v>
      </c>
      <c r="AO216" s="766">
        <v>-27</v>
      </c>
      <c r="AP216" s="766">
        <v>-26</v>
      </c>
      <c r="AQ216" s="766">
        <v>-26</v>
      </c>
      <c r="AR216" s="766">
        <v>-23</v>
      </c>
      <c r="AS216" s="767">
        <v>-26</v>
      </c>
      <c r="AU216" s="764" t="s">
        <v>272</v>
      </c>
      <c r="AV216" s="765">
        <v>-36</v>
      </c>
      <c r="AW216" s="766">
        <v>-36</v>
      </c>
      <c r="AX216" s="766">
        <v>-37</v>
      </c>
      <c r="AY216" s="766">
        <v>-40</v>
      </c>
      <c r="AZ216" s="766">
        <v>-41</v>
      </c>
      <c r="BA216" s="766">
        <v>-41</v>
      </c>
      <c r="BB216" s="767">
        <v>-42</v>
      </c>
    </row>
    <row r="217" spans="2:54" x14ac:dyDescent="0.25">
      <c r="B217" s="759" t="s">
        <v>278</v>
      </c>
      <c r="C217" s="765">
        <v>-32</v>
      </c>
      <c r="D217" s="766">
        <v>-29</v>
      </c>
      <c r="E217" s="766">
        <v>-30</v>
      </c>
      <c r="F217" s="766">
        <v>-28</v>
      </c>
      <c r="G217" s="766">
        <v>-26</v>
      </c>
      <c r="H217" s="766">
        <v>-25</v>
      </c>
      <c r="I217" s="767">
        <v>-27</v>
      </c>
      <c r="K217" s="759" t="s">
        <v>278</v>
      </c>
      <c r="L217" s="765">
        <v>-30</v>
      </c>
      <c r="M217" s="766">
        <v>-30</v>
      </c>
      <c r="N217" s="766">
        <v>-31</v>
      </c>
      <c r="O217" s="766">
        <v>-35</v>
      </c>
      <c r="P217" s="766">
        <v>-33</v>
      </c>
      <c r="Q217" s="766">
        <v>-33</v>
      </c>
      <c r="R217" s="767">
        <v>-35</v>
      </c>
      <c r="T217" s="763" t="s">
        <v>278</v>
      </c>
      <c r="U217" s="765">
        <v>-33</v>
      </c>
      <c r="V217" s="766">
        <v>-33</v>
      </c>
      <c r="W217" s="766">
        <v>-34</v>
      </c>
      <c r="X217" s="766">
        <v>-32</v>
      </c>
      <c r="Y217" s="766">
        <v>-33</v>
      </c>
      <c r="Z217" s="766">
        <v>-33</v>
      </c>
      <c r="AA217" s="767">
        <v>-35</v>
      </c>
      <c r="AC217" s="764" t="s">
        <v>278</v>
      </c>
      <c r="AD217" s="765">
        <v>-43</v>
      </c>
      <c r="AE217" s="766">
        <v>-44</v>
      </c>
      <c r="AF217" s="766">
        <v>-43</v>
      </c>
      <c r="AG217" s="766">
        <v>-42</v>
      </c>
      <c r="AH217" s="766">
        <v>-42</v>
      </c>
      <c r="AI217" s="766">
        <v>-44</v>
      </c>
      <c r="AJ217" s="767">
        <v>-47</v>
      </c>
      <c r="AL217" s="764" t="s">
        <v>278</v>
      </c>
      <c r="AM217" s="765"/>
      <c r="AN217" s="766">
        <v>-26</v>
      </c>
      <c r="AO217" s="766">
        <v>-24</v>
      </c>
      <c r="AP217" s="766">
        <v>-23</v>
      </c>
      <c r="AQ217" s="766">
        <v>-22</v>
      </c>
      <c r="AR217" s="766">
        <v>-21</v>
      </c>
      <c r="AS217" s="767">
        <v>-23</v>
      </c>
      <c r="AU217" s="764" t="s">
        <v>278</v>
      </c>
      <c r="AV217" s="765">
        <v>-36</v>
      </c>
      <c r="AW217" s="766">
        <v>-38</v>
      </c>
      <c r="AX217" s="766">
        <v>-37</v>
      </c>
      <c r="AY217" s="766">
        <v>-35</v>
      </c>
      <c r="AZ217" s="766">
        <v>-38</v>
      </c>
      <c r="BA217" s="766">
        <v>-38</v>
      </c>
      <c r="BB217" s="767">
        <v>-39</v>
      </c>
    </row>
    <row r="218" spans="2:54" ht="15.75" thickBot="1" x14ac:dyDescent="0.3">
      <c r="B218" s="768" t="s">
        <v>284</v>
      </c>
      <c r="C218" s="769" t="s">
        <v>1048</v>
      </c>
      <c r="D218" s="770" t="s">
        <v>1048</v>
      </c>
      <c r="E218" s="770" t="s">
        <v>1048</v>
      </c>
      <c r="F218" s="770" t="s">
        <v>1048</v>
      </c>
      <c r="G218" s="770" t="s">
        <v>1048</v>
      </c>
      <c r="H218" s="770" t="s">
        <v>1048</v>
      </c>
      <c r="I218" s="771" t="s">
        <v>1048</v>
      </c>
      <c r="K218" s="768" t="s">
        <v>284</v>
      </c>
      <c r="L218" s="769" t="s">
        <v>1048</v>
      </c>
      <c r="M218" s="770" t="s">
        <v>1048</v>
      </c>
      <c r="N218" s="770" t="s">
        <v>1048</v>
      </c>
      <c r="O218" s="770" t="s">
        <v>1048</v>
      </c>
      <c r="P218" s="770" t="s">
        <v>1048</v>
      </c>
      <c r="Q218" s="770" t="s">
        <v>1048</v>
      </c>
      <c r="R218" s="771" t="s">
        <v>1048</v>
      </c>
      <c r="T218" s="772" t="s">
        <v>284</v>
      </c>
      <c r="U218" s="769" t="s">
        <v>1048</v>
      </c>
      <c r="V218" s="770" t="s">
        <v>1048</v>
      </c>
      <c r="W218" s="770" t="s">
        <v>1048</v>
      </c>
      <c r="X218" s="770" t="s">
        <v>1048</v>
      </c>
      <c r="Y218" s="770" t="s">
        <v>1048</v>
      </c>
      <c r="Z218" s="770" t="s">
        <v>1048</v>
      </c>
      <c r="AA218" s="771" t="s">
        <v>1048</v>
      </c>
      <c r="AC218" s="773" t="s">
        <v>284</v>
      </c>
      <c r="AD218" s="769" t="s">
        <v>1048</v>
      </c>
      <c r="AE218" s="770" t="s">
        <v>1048</v>
      </c>
      <c r="AF218" s="770" t="s">
        <v>1048</v>
      </c>
      <c r="AG218" s="770" t="s">
        <v>1048</v>
      </c>
      <c r="AH218" s="770" t="s">
        <v>1048</v>
      </c>
      <c r="AI218" s="770" t="s">
        <v>1048</v>
      </c>
      <c r="AJ218" s="771" t="s">
        <v>1048</v>
      </c>
      <c r="AL218" s="773" t="s">
        <v>284</v>
      </c>
      <c r="AM218" s="769" t="s">
        <v>1048</v>
      </c>
      <c r="AN218" s="770" t="s">
        <v>1048</v>
      </c>
      <c r="AO218" s="770" t="s">
        <v>1048</v>
      </c>
      <c r="AP218" s="770" t="s">
        <v>1048</v>
      </c>
      <c r="AQ218" s="770" t="s">
        <v>1048</v>
      </c>
      <c r="AR218" s="770" t="s">
        <v>1048</v>
      </c>
      <c r="AS218" s="771" t="s">
        <v>1048</v>
      </c>
      <c r="AU218" s="773" t="s">
        <v>284</v>
      </c>
      <c r="AV218" s="769" t="s">
        <v>1048</v>
      </c>
      <c r="AW218" s="770" t="s">
        <v>1048</v>
      </c>
      <c r="AX218" s="770" t="s">
        <v>1048</v>
      </c>
      <c r="AY218" s="770" t="s">
        <v>1048</v>
      </c>
      <c r="AZ218" s="770" t="s">
        <v>1048</v>
      </c>
      <c r="BA218" s="770" t="s">
        <v>1048</v>
      </c>
      <c r="BB218" s="771" t="s">
        <v>1048</v>
      </c>
    </row>
    <row r="219" spans="2:54" ht="15.75" thickBot="1" x14ac:dyDescent="0.3">
      <c r="B219" s="774"/>
      <c r="C219" s="775"/>
      <c r="D219" s="775"/>
      <c r="E219" s="775"/>
      <c r="F219" s="775"/>
      <c r="G219" s="775"/>
      <c r="H219" s="775"/>
      <c r="I219" s="775"/>
      <c r="K219" s="774"/>
      <c r="L219" s="775"/>
      <c r="M219" s="775"/>
      <c r="N219" s="775"/>
      <c r="O219" s="775"/>
      <c r="P219" s="775"/>
      <c r="Q219" s="775"/>
      <c r="R219" s="775"/>
      <c r="T219" s="776"/>
      <c r="U219" s="775"/>
      <c r="V219" s="775"/>
      <c r="W219" s="775"/>
      <c r="X219" s="775"/>
      <c r="Y219" s="775"/>
      <c r="Z219" s="775"/>
      <c r="AA219" s="775"/>
      <c r="AC219" s="777"/>
      <c r="AD219" s="775"/>
      <c r="AE219" s="775"/>
      <c r="AF219" s="775"/>
      <c r="AG219" s="775"/>
      <c r="AH219" s="775"/>
      <c r="AI219" s="775"/>
      <c r="AJ219" s="775"/>
      <c r="AL219" s="777"/>
      <c r="AM219" s="775"/>
      <c r="AN219" s="775"/>
      <c r="AO219" s="775"/>
      <c r="AP219" s="775"/>
      <c r="AQ219" s="775"/>
      <c r="AR219" s="775"/>
      <c r="AS219" s="775"/>
      <c r="AU219" s="777"/>
      <c r="AV219" s="775"/>
      <c r="AW219" s="775"/>
      <c r="AX219" s="775"/>
      <c r="AY219" s="775"/>
      <c r="AZ219" s="775"/>
      <c r="BA219" s="775"/>
      <c r="BB219" s="775"/>
    </row>
    <row r="220" spans="2:54" ht="15.75" thickBot="1" x14ac:dyDescent="0.3">
      <c r="B220" s="748" t="s">
        <v>1045</v>
      </c>
      <c r="C220" s="778" t="s">
        <v>187</v>
      </c>
      <c r="D220" s="778" t="s">
        <v>214</v>
      </c>
      <c r="E220" s="778" t="s">
        <v>233</v>
      </c>
      <c r="F220" s="778" t="s">
        <v>242</v>
      </c>
      <c r="G220" s="778" t="s">
        <v>250</v>
      </c>
      <c r="H220" s="778" t="s">
        <v>258</v>
      </c>
      <c r="I220" s="779" t="s">
        <v>265</v>
      </c>
      <c r="K220" s="748" t="s">
        <v>1045</v>
      </c>
      <c r="L220" s="778" t="s">
        <v>187</v>
      </c>
      <c r="M220" s="778" t="s">
        <v>214</v>
      </c>
      <c r="N220" s="778" t="s">
        <v>233</v>
      </c>
      <c r="O220" s="778" t="s">
        <v>242</v>
      </c>
      <c r="P220" s="778" t="s">
        <v>250</v>
      </c>
      <c r="Q220" s="778" t="s">
        <v>258</v>
      </c>
      <c r="R220" s="779" t="s">
        <v>265</v>
      </c>
      <c r="T220" s="751" t="s">
        <v>1045</v>
      </c>
      <c r="U220" s="778" t="s">
        <v>187</v>
      </c>
      <c r="V220" s="778" t="s">
        <v>214</v>
      </c>
      <c r="W220" s="778" t="s">
        <v>233</v>
      </c>
      <c r="X220" s="778" t="s">
        <v>242</v>
      </c>
      <c r="Y220" s="778" t="s">
        <v>250</v>
      </c>
      <c r="Z220" s="778" t="s">
        <v>258</v>
      </c>
      <c r="AA220" s="779" t="s">
        <v>265</v>
      </c>
      <c r="AC220" s="752" t="s">
        <v>1045</v>
      </c>
      <c r="AD220" s="778" t="s">
        <v>187</v>
      </c>
      <c r="AE220" s="778" t="s">
        <v>214</v>
      </c>
      <c r="AF220" s="778" t="s">
        <v>233</v>
      </c>
      <c r="AG220" s="778" t="s">
        <v>242</v>
      </c>
      <c r="AH220" s="778" t="s">
        <v>250</v>
      </c>
      <c r="AI220" s="778" t="s">
        <v>258</v>
      </c>
      <c r="AJ220" s="779" t="s">
        <v>265</v>
      </c>
      <c r="AL220" s="752" t="s">
        <v>1045</v>
      </c>
      <c r="AM220" s="778" t="s">
        <v>187</v>
      </c>
      <c r="AN220" s="778" t="s">
        <v>214</v>
      </c>
      <c r="AO220" s="778" t="s">
        <v>233</v>
      </c>
      <c r="AP220" s="778" t="s">
        <v>242</v>
      </c>
      <c r="AQ220" s="778" t="s">
        <v>250</v>
      </c>
      <c r="AR220" s="778" t="s">
        <v>258</v>
      </c>
      <c r="AS220" s="779" t="s">
        <v>265</v>
      </c>
      <c r="AU220" s="752" t="s">
        <v>1045</v>
      </c>
      <c r="AV220" s="778" t="s">
        <v>187</v>
      </c>
      <c r="AW220" s="778" t="s">
        <v>214</v>
      </c>
      <c r="AX220" s="778" t="s">
        <v>233</v>
      </c>
      <c r="AY220" s="778" t="s">
        <v>242</v>
      </c>
      <c r="AZ220" s="778" t="s">
        <v>250</v>
      </c>
      <c r="BA220" s="778" t="s">
        <v>258</v>
      </c>
      <c r="BB220" s="779" t="s">
        <v>265</v>
      </c>
    </row>
    <row r="221" spans="2:54" x14ac:dyDescent="0.25">
      <c r="B221" s="753" t="s">
        <v>186</v>
      </c>
      <c r="C221" s="754">
        <v>-28</v>
      </c>
      <c r="D221" s="755">
        <v>-24</v>
      </c>
      <c r="E221" s="755">
        <v>-19</v>
      </c>
      <c r="F221" s="755">
        <v>-21</v>
      </c>
      <c r="G221" s="755">
        <v>-26</v>
      </c>
      <c r="H221" s="755">
        <v>-30</v>
      </c>
      <c r="I221" s="756">
        <v>-29</v>
      </c>
      <c r="K221" s="753" t="s">
        <v>186</v>
      </c>
      <c r="L221" s="754">
        <v>-29</v>
      </c>
      <c r="M221" s="755">
        <v>-28</v>
      </c>
      <c r="N221" s="755">
        <v>-32</v>
      </c>
      <c r="O221" s="755">
        <v>-28</v>
      </c>
      <c r="P221" s="755">
        <v>-31</v>
      </c>
      <c r="Q221" s="755">
        <v>-26</v>
      </c>
      <c r="R221" s="756">
        <v>-28</v>
      </c>
      <c r="T221" s="757" t="s">
        <v>186</v>
      </c>
      <c r="U221" s="754">
        <v>-36</v>
      </c>
      <c r="V221" s="755">
        <v>-35</v>
      </c>
      <c r="W221" s="755">
        <v>-36</v>
      </c>
      <c r="X221" s="755">
        <v>-41</v>
      </c>
      <c r="Y221" s="755">
        <v>-39</v>
      </c>
      <c r="Z221" s="755">
        <v>-36</v>
      </c>
      <c r="AA221" s="756">
        <v>-36</v>
      </c>
      <c r="AC221" s="758" t="s">
        <v>186</v>
      </c>
      <c r="AD221" s="754">
        <v>-39</v>
      </c>
      <c r="AE221" s="755">
        <v>-39</v>
      </c>
      <c r="AF221" s="755">
        <v>-40</v>
      </c>
      <c r="AG221" s="755">
        <v>-40</v>
      </c>
      <c r="AH221" s="755">
        <v>-40</v>
      </c>
      <c r="AI221" s="755">
        <v>-38</v>
      </c>
      <c r="AJ221" s="756">
        <v>-36</v>
      </c>
      <c r="AL221" s="758" t="s">
        <v>186</v>
      </c>
      <c r="AM221" s="754"/>
      <c r="AN221" s="755"/>
      <c r="AO221" s="755">
        <v>-24</v>
      </c>
      <c r="AP221" s="755">
        <v>-28</v>
      </c>
      <c r="AQ221" s="755">
        <v>-26</v>
      </c>
      <c r="AR221" s="755">
        <v>-19</v>
      </c>
      <c r="AS221" s="756">
        <v>-18</v>
      </c>
      <c r="AU221" s="758" t="s">
        <v>186</v>
      </c>
      <c r="AV221" s="754">
        <v>-39</v>
      </c>
      <c r="AW221" s="755">
        <v>-35</v>
      </c>
      <c r="AX221" s="755">
        <v>-36</v>
      </c>
      <c r="AY221" s="755">
        <v>-35</v>
      </c>
      <c r="AZ221" s="755">
        <v>-40</v>
      </c>
      <c r="BA221" s="755">
        <v>-40</v>
      </c>
      <c r="BB221" s="756">
        <v>-40</v>
      </c>
    </row>
    <row r="222" spans="2:54" x14ac:dyDescent="0.25">
      <c r="B222" s="759" t="s">
        <v>213</v>
      </c>
      <c r="C222" s="760">
        <v>-28</v>
      </c>
      <c r="D222" s="761">
        <v>-26</v>
      </c>
      <c r="E222" s="761">
        <v>-24</v>
      </c>
      <c r="F222" s="761">
        <v>-21</v>
      </c>
      <c r="G222" s="761">
        <v>-24</v>
      </c>
      <c r="H222" s="761">
        <v>-27</v>
      </c>
      <c r="I222" s="762">
        <v>-26</v>
      </c>
      <c r="K222" s="759" t="s">
        <v>213</v>
      </c>
      <c r="L222" s="760">
        <v>-32</v>
      </c>
      <c r="M222" s="761">
        <v>-28</v>
      </c>
      <c r="N222" s="761">
        <v>-28</v>
      </c>
      <c r="O222" s="761">
        <v>-26</v>
      </c>
      <c r="P222" s="761">
        <v>-28</v>
      </c>
      <c r="Q222" s="761">
        <v>-25</v>
      </c>
      <c r="R222" s="762">
        <v>-28</v>
      </c>
      <c r="T222" s="763" t="s">
        <v>213</v>
      </c>
      <c r="U222" s="760">
        <v>-36</v>
      </c>
      <c r="V222" s="761">
        <v>-40</v>
      </c>
      <c r="W222" s="761">
        <v>-38</v>
      </c>
      <c r="X222" s="761">
        <v>-42</v>
      </c>
      <c r="Y222" s="761">
        <v>-39</v>
      </c>
      <c r="Z222" s="761">
        <v>-36</v>
      </c>
      <c r="AA222" s="762">
        <v>-37</v>
      </c>
      <c r="AC222" s="764" t="s">
        <v>213</v>
      </c>
      <c r="AD222" s="760">
        <v>-36</v>
      </c>
      <c r="AE222" s="761">
        <v>-39</v>
      </c>
      <c r="AF222" s="761">
        <v>-37</v>
      </c>
      <c r="AG222" s="761">
        <v>-38</v>
      </c>
      <c r="AH222" s="761">
        <v>-40</v>
      </c>
      <c r="AI222" s="761">
        <v>-39</v>
      </c>
      <c r="AJ222" s="762">
        <v>-38</v>
      </c>
      <c r="AL222" s="764" t="s">
        <v>213</v>
      </c>
      <c r="AM222" s="760"/>
      <c r="AN222" s="761"/>
      <c r="AO222" s="761">
        <v>-20</v>
      </c>
      <c r="AP222" s="761">
        <v>-25</v>
      </c>
      <c r="AQ222" s="761">
        <v>-25</v>
      </c>
      <c r="AR222" s="761">
        <v>-20</v>
      </c>
      <c r="AS222" s="762">
        <v>-19</v>
      </c>
      <c r="AU222" s="764" t="s">
        <v>213</v>
      </c>
      <c r="AV222" s="760">
        <v>-38</v>
      </c>
      <c r="AW222" s="761">
        <v>-39</v>
      </c>
      <c r="AX222" s="761">
        <v>-36</v>
      </c>
      <c r="AY222" s="761">
        <v>-40</v>
      </c>
      <c r="AZ222" s="761">
        <v>-39</v>
      </c>
      <c r="BA222" s="761">
        <v>-38</v>
      </c>
      <c r="BB222" s="762">
        <v>-41</v>
      </c>
    </row>
    <row r="223" spans="2:54" x14ac:dyDescent="0.25">
      <c r="B223" s="759" t="s">
        <v>232</v>
      </c>
      <c r="C223" s="765">
        <v>-24</v>
      </c>
      <c r="D223" s="766">
        <v>-23</v>
      </c>
      <c r="E223" s="766">
        <v>-21</v>
      </c>
      <c r="F223" s="766">
        <v>-19</v>
      </c>
      <c r="G223" s="766">
        <v>-26</v>
      </c>
      <c r="H223" s="766">
        <v>-27</v>
      </c>
      <c r="I223" s="767">
        <v>-27</v>
      </c>
      <c r="K223" s="759" t="s">
        <v>232</v>
      </c>
      <c r="L223" s="765">
        <v>-26</v>
      </c>
      <c r="M223" s="766">
        <v>-22</v>
      </c>
      <c r="N223" s="766">
        <v>-24</v>
      </c>
      <c r="O223" s="766">
        <v>-23</v>
      </c>
      <c r="P223" s="766">
        <v>-26</v>
      </c>
      <c r="Q223" s="766">
        <v>-23</v>
      </c>
      <c r="R223" s="767">
        <v>-26</v>
      </c>
      <c r="T223" s="763" t="s">
        <v>232</v>
      </c>
      <c r="U223" s="765">
        <v>-36</v>
      </c>
      <c r="V223" s="766">
        <v>-35</v>
      </c>
      <c r="W223" s="766">
        <v>-37</v>
      </c>
      <c r="X223" s="766">
        <v>-41</v>
      </c>
      <c r="Y223" s="766">
        <v>-41</v>
      </c>
      <c r="Z223" s="766">
        <v>-38</v>
      </c>
      <c r="AA223" s="767">
        <v>-37</v>
      </c>
      <c r="AC223" s="764" t="s">
        <v>232</v>
      </c>
      <c r="AD223" s="765">
        <v>-36</v>
      </c>
      <c r="AE223" s="766">
        <v>-36</v>
      </c>
      <c r="AF223" s="766">
        <v>-36</v>
      </c>
      <c r="AG223" s="766">
        <v>-38</v>
      </c>
      <c r="AH223" s="766">
        <v>-38</v>
      </c>
      <c r="AI223" s="766">
        <v>-36</v>
      </c>
      <c r="AJ223" s="767">
        <v>-39</v>
      </c>
      <c r="AL223" s="764" t="s">
        <v>232</v>
      </c>
      <c r="AM223" s="765"/>
      <c r="AN223" s="766"/>
      <c r="AO223" s="766">
        <v>-22</v>
      </c>
      <c r="AP223" s="766">
        <v>-23</v>
      </c>
      <c r="AQ223" s="766">
        <v>-21</v>
      </c>
      <c r="AR223" s="766">
        <v>-19</v>
      </c>
      <c r="AS223" s="767">
        <v>-20</v>
      </c>
      <c r="AU223" s="764" t="s">
        <v>232</v>
      </c>
      <c r="AV223" s="765">
        <v>-36</v>
      </c>
      <c r="AW223" s="766">
        <v>-37</v>
      </c>
      <c r="AX223" s="766">
        <v>-40</v>
      </c>
      <c r="AY223" s="766">
        <v>-41</v>
      </c>
      <c r="AZ223" s="766">
        <v>-41</v>
      </c>
      <c r="BA223" s="766">
        <v>-40</v>
      </c>
      <c r="BB223" s="767">
        <v>-39</v>
      </c>
    </row>
    <row r="224" spans="2:54" x14ac:dyDescent="0.25">
      <c r="B224" s="759" t="s">
        <v>215</v>
      </c>
      <c r="C224" s="765">
        <v>-18</v>
      </c>
      <c r="D224" s="766">
        <v>-19</v>
      </c>
      <c r="E224" s="766">
        <v>-20</v>
      </c>
      <c r="F224" s="766">
        <v>-17</v>
      </c>
      <c r="G224" s="766">
        <v>-24</v>
      </c>
      <c r="H224" s="766">
        <v>-25</v>
      </c>
      <c r="I224" s="767">
        <v>-25</v>
      </c>
      <c r="K224" s="759" t="s">
        <v>215</v>
      </c>
      <c r="L224" s="765">
        <v>-20</v>
      </c>
      <c r="M224" s="766">
        <v>-21</v>
      </c>
      <c r="N224" s="766">
        <v>-19</v>
      </c>
      <c r="O224" s="766">
        <v>-23</v>
      </c>
      <c r="P224" s="766">
        <v>-22</v>
      </c>
      <c r="Q224" s="766">
        <v>-23</v>
      </c>
      <c r="R224" s="767">
        <v>-27</v>
      </c>
      <c r="T224" s="763" t="s">
        <v>215</v>
      </c>
      <c r="U224" s="765">
        <v>-36</v>
      </c>
      <c r="V224" s="766">
        <v>-40</v>
      </c>
      <c r="W224" s="766">
        <v>-39</v>
      </c>
      <c r="X224" s="766">
        <v>-41</v>
      </c>
      <c r="Y224" s="766">
        <v>-40</v>
      </c>
      <c r="Z224" s="766">
        <v>-35</v>
      </c>
      <c r="AA224" s="767">
        <v>-36</v>
      </c>
      <c r="AC224" s="764" t="s">
        <v>215</v>
      </c>
      <c r="AD224" s="765">
        <v>-36</v>
      </c>
      <c r="AE224" s="766">
        <v>-37</v>
      </c>
      <c r="AF224" s="766">
        <v>-37</v>
      </c>
      <c r="AG224" s="766">
        <v>-42</v>
      </c>
      <c r="AH224" s="766">
        <v>-41</v>
      </c>
      <c r="AI224" s="766">
        <v>-40</v>
      </c>
      <c r="AJ224" s="767">
        <v>-39</v>
      </c>
      <c r="AL224" s="764" t="s">
        <v>215</v>
      </c>
      <c r="AM224" s="765"/>
      <c r="AN224" s="766">
        <v>-23</v>
      </c>
      <c r="AO224" s="766">
        <v>-22</v>
      </c>
      <c r="AP224" s="766">
        <v>-22</v>
      </c>
      <c r="AQ224" s="766">
        <v>-20</v>
      </c>
      <c r="AR224" s="766">
        <v>-19</v>
      </c>
      <c r="AS224" s="767">
        <v>-19</v>
      </c>
      <c r="AU224" s="764" t="s">
        <v>215</v>
      </c>
      <c r="AV224" s="765">
        <v>-38</v>
      </c>
      <c r="AW224" s="766">
        <v>-38</v>
      </c>
      <c r="AX224" s="766">
        <v>-40</v>
      </c>
      <c r="AY224" s="766">
        <v>-39</v>
      </c>
      <c r="AZ224" s="766">
        <v>-40</v>
      </c>
      <c r="BA224" s="766">
        <v>-39</v>
      </c>
      <c r="BB224" s="767">
        <v>-37</v>
      </c>
    </row>
    <row r="225" spans="2:54" x14ac:dyDescent="0.25">
      <c r="B225" s="759" t="s">
        <v>249</v>
      </c>
      <c r="C225" s="765">
        <v>-20</v>
      </c>
      <c r="D225" s="766">
        <v>-18</v>
      </c>
      <c r="E225" s="766">
        <v>-18</v>
      </c>
      <c r="F225" s="766">
        <v>-18</v>
      </c>
      <c r="G225" s="766">
        <v>-17</v>
      </c>
      <c r="H225" s="766">
        <v>-24</v>
      </c>
      <c r="I225" s="767">
        <v>-28</v>
      </c>
      <c r="K225" s="759" t="s">
        <v>249</v>
      </c>
      <c r="L225" s="765">
        <v>-19</v>
      </c>
      <c r="M225" s="766">
        <v>-17</v>
      </c>
      <c r="N225" s="766">
        <v>-21</v>
      </c>
      <c r="O225" s="766">
        <v>-21</v>
      </c>
      <c r="P225" s="766">
        <v>-16</v>
      </c>
      <c r="Q225" s="766">
        <v>-22</v>
      </c>
      <c r="R225" s="767">
        <v>-27</v>
      </c>
      <c r="T225" s="763" t="s">
        <v>249</v>
      </c>
      <c r="U225" s="765">
        <v>-40</v>
      </c>
      <c r="V225" s="766">
        <v>-38</v>
      </c>
      <c r="W225" s="766">
        <v>-38</v>
      </c>
      <c r="X225" s="766">
        <v>-38</v>
      </c>
      <c r="Y225" s="766">
        <v>-37</v>
      </c>
      <c r="Z225" s="766">
        <v>-35</v>
      </c>
      <c r="AA225" s="767">
        <v>-37</v>
      </c>
      <c r="AC225" s="764" t="s">
        <v>249</v>
      </c>
      <c r="AD225" s="765">
        <v>-37</v>
      </c>
      <c r="AE225" s="766">
        <v>-37</v>
      </c>
      <c r="AF225" s="766">
        <v>-36</v>
      </c>
      <c r="AG225" s="766">
        <v>-36</v>
      </c>
      <c r="AH225" s="766">
        <v>-36</v>
      </c>
      <c r="AI225" s="766">
        <v>-36</v>
      </c>
      <c r="AJ225" s="767">
        <v>-36</v>
      </c>
      <c r="AL225" s="764" t="s">
        <v>249</v>
      </c>
      <c r="AM225" s="765"/>
      <c r="AN225" s="766">
        <v>-17</v>
      </c>
      <c r="AO225" s="766">
        <v>-16</v>
      </c>
      <c r="AP225" s="766">
        <v>-15</v>
      </c>
      <c r="AQ225" s="766">
        <v>-16</v>
      </c>
      <c r="AR225" s="766">
        <v>-16</v>
      </c>
      <c r="AS225" s="767">
        <v>-21</v>
      </c>
      <c r="AU225" s="764" t="s">
        <v>249</v>
      </c>
      <c r="AV225" s="765">
        <v>-36</v>
      </c>
      <c r="AW225" s="766">
        <v>-34</v>
      </c>
      <c r="AX225" s="766">
        <v>-35</v>
      </c>
      <c r="AY225" s="766">
        <v>-36</v>
      </c>
      <c r="AZ225" s="766">
        <v>-34</v>
      </c>
      <c r="BA225" s="766">
        <v>-35</v>
      </c>
      <c r="BB225" s="767">
        <v>-34</v>
      </c>
    </row>
    <row r="226" spans="2:54" x14ac:dyDescent="0.25">
      <c r="B226" s="759" t="s">
        <v>257</v>
      </c>
      <c r="C226" s="765">
        <v>-15</v>
      </c>
      <c r="D226" s="766">
        <v>-23</v>
      </c>
      <c r="E226" s="766">
        <v>-21</v>
      </c>
      <c r="F226" s="766">
        <v>-20</v>
      </c>
      <c r="G226" s="766">
        <v>-16</v>
      </c>
      <c r="H226" s="766">
        <v>-21</v>
      </c>
      <c r="I226" s="767">
        <v>-25</v>
      </c>
      <c r="K226" s="759" t="s">
        <v>257</v>
      </c>
      <c r="L226" s="765">
        <v>-20</v>
      </c>
      <c r="M226" s="766">
        <v>-18</v>
      </c>
      <c r="N226" s="766">
        <v>-16</v>
      </c>
      <c r="O226" s="766">
        <v>-19</v>
      </c>
      <c r="P226" s="766">
        <v>-17</v>
      </c>
      <c r="Q226" s="766">
        <v>-20</v>
      </c>
      <c r="R226" s="767">
        <v>-24</v>
      </c>
      <c r="T226" s="763" t="s">
        <v>257</v>
      </c>
      <c r="U226" s="765">
        <v>-33</v>
      </c>
      <c r="V226" s="766">
        <v>-34</v>
      </c>
      <c r="W226" s="766">
        <v>-32</v>
      </c>
      <c r="X226" s="766">
        <v>-31</v>
      </c>
      <c r="Y226" s="766">
        <v>-30</v>
      </c>
      <c r="Z226" s="766">
        <v>-35</v>
      </c>
      <c r="AA226" s="767">
        <v>-35</v>
      </c>
      <c r="AC226" s="764" t="s">
        <v>257</v>
      </c>
      <c r="AD226" s="765">
        <v>-33</v>
      </c>
      <c r="AE226" s="766">
        <v>-33</v>
      </c>
      <c r="AF226" s="766">
        <v>-35</v>
      </c>
      <c r="AG226" s="766">
        <v>-35</v>
      </c>
      <c r="AH226" s="766">
        <v>-34</v>
      </c>
      <c r="AI226" s="766">
        <v>-38</v>
      </c>
      <c r="AJ226" s="767">
        <v>-36</v>
      </c>
      <c r="AL226" s="764" t="s">
        <v>257</v>
      </c>
      <c r="AM226" s="765"/>
      <c r="AN226" s="766">
        <v>-18</v>
      </c>
      <c r="AO226" s="766">
        <v>-18</v>
      </c>
      <c r="AP226" s="766">
        <v>-17</v>
      </c>
      <c r="AQ226" s="766">
        <v>-16</v>
      </c>
      <c r="AR226" s="766">
        <v>-19</v>
      </c>
      <c r="AS226" s="767">
        <v>-18</v>
      </c>
      <c r="AU226" s="764" t="s">
        <v>257</v>
      </c>
      <c r="AV226" s="765">
        <v>-36</v>
      </c>
      <c r="AW226" s="766">
        <v>-35</v>
      </c>
      <c r="AX226" s="766">
        <v>-34</v>
      </c>
      <c r="AY226" s="766">
        <v>-34</v>
      </c>
      <c r="AZ226" s="766">
        <v>-32</v>
      </c>
      <c r="BA226" s="766">
        <v>-36</v>
      </c>
      <c r="BB226" s="767">
        <v>-37</v>
      </c>
    </row>
    <row r="227" spans="2:54" x14ac:dyDescent="0.25">
      <c r="B227" s="759" t="s">
        <v>264</v>
      </c>
      <c r="C227" s="765">
        <v>-16</v>
      </c>
      <c r="D227" s="766">
        <v>-15</v>
      </c>
      <c r="E227" s="766">
        <v>-14</v>
      </c>
      <c r="F227" s="766">
        <v>-14</v>
      </c>
      <c r="G227" s="766">
        <v>-14</v>
      </c>
      <c r="H227" s="766">
        <v>-20</v>
      </c>
      <c r="I227" s="767">
        <v>-23</v>
      </c>
      <c r="K227" s="759" t="s">
        <v>264</v>
      </c>
      <c r="L227" s="765">
        <v>-20</v>
      </c>
      <c r="M227" s="766">
        <v>-19</v>
      </c>
      <c r="N227" s="766">
        <v>-19</v>
      </c>
      <c r="O227" s="766">
        <v>-17</v>
      </c>
      <c r="P227" s="766">
        <v>-16</v>
      </c>
      <c r="Q227" s="766">
        <v>-17</v>
      </c>
      <c r="R227" s="767">
        <v>-27</v>
      </c>
      <c r="T227" s="763" t="s">
        <v>264</v>
      </c>
      <c r="U227" s="765">
        <v>-30</v>
      </c>
      <c r="V227" s="766">
        <v>-34</v>
      </c>
      <c r="W227" s="766">
        <v>-33</v>
      </c>
      <c r="X227" s="766">
        <v>-32</v>
      </c>
      <c r="Y227" s="766">
        <v>-32</v>
      </c>
      <c r="Z227" s="766">
        <v>-33</v>
      </c>
      <c r="AA227" s="767">
        <v>-35</v>
      </c>
      <c r="AC227" s="764" t="s">
        <v>264</v>
      </c>
      <c r="AD227" s="765">
        <v>-33</v>
      </c>
      <c r="AE227" s="766">
        <v>-34</v>
      </c>
      <c r="AF227" s="766">
        <v>-35</v>
      </c>
      <c r="AG227" s="766">
        <v>-35</v>
      </c>
      <c r="AH227" s="766">
        <v>-35</v>
      </c>
      <c r="AI227" s="766">
        <v>-38</v>
      </c>
      <c r="AJ227" s="767">
        <v>-37</v>
      </c>
      <c r="AL227" s="764" t="s">
        <v>264</v>
      </c>
      <c r="AM227" s="765"/>
      <c r="AN227" s="766">
        <v>-19</v>
      </c>
      <c r="AO227" s="766">
        <v>-18</v>
      </c>
      <c r="AP227" s="766">
        <v>-18</v>
      </c>
      <c r="AQ227" s="766">
        <v>-18</v>
      </c>
      <c r="AR227" s="766">
        <v>-19</v>
      </c>
      <c r="AS227" s="767">
        <v>-18</v>
      </c>
      <c r="AU227" s="764" t="s">
        <v>264</v>
      </c>
      <c r="AV227" s="765">
        <v>-28</v>
      </c>
      <c r="AW227" s="766">
        <v>-29</v>
      </c>
      <c r="AX227" s="766">
        <v>-30</v>
      </c>
      <c r="AY227" s="766">
        <v>-31</v>
      </c>
      <c r="AZ227" s="766">
        <v>-31</v>
      </c>
      <c r="BA227" s="766">
        <v>-32</v>
      </c>
      <c r="BB227" s="767">
        <v>-35</v>
      </c>
    </row>
    <row r="228" spans="2:54" x14ac:dyDescent="0.25">
      <c r="B228" s="759" t="s">
        <v>272</v>
      </c>
      <c r="C228" s="765">
        <v>-17</v>
      </c>
      <c r="D228" s="766">
        <v>-17</v>
      </c>
      <c r="E228" s="766">
        <v>-16</v>
      </c>
      <c r="F228" s="766">
        <v>-16</v>
      </c>
      <c r="G228" s="766">
        <v>-16</v>
      </c>
      <c r="H228" s="766">
        <v>-16</v>
      </c>
      <c r="I228" s="767">
        <v>-24</v>
      </c>
      <c r="K228" s="759" t="s">
        <v>272</v>
      </c>
      <c r="L228" s="765">
        <v>-25</v>
      </c>
      <c r="M228" s="766">
        <v>-23</v>
      </c>
      <c r="N228" s="766">
        <v>-23</v>
      </c>
      <c r="O228" s="766">
        <v>-22</v>
      </c>
      <c r="P228" s="766">
        <v>-25</v>
      </c>
      <c r="Q228" s="766">
        <v>-29</v>
      </c>
      <c r="R228" s="767">
        <v>-28</v>
      </c>
      <c r="T228" s="763" t="s">
        <v>272</v>
      </c>
      <c r="U228" s="765">
        <v>-33</v>
      </c>
      <c r="V228" s="766">
        <v>-31</v>
      </c>
      <c r="W228" s="766">
        <v>-31</v>
      </c>
      <c r="X228" s="766">
        <v>-30</v>
      </c>
      <c r="Y228" s="766">
        <v>-33</v>
      </c>
      <c r="Z228" s="766">
        <v>-33</v>
      </c>
      <c r="AA228" s="767">
        <v>-32</v>
      </c>
      <c r="AC228" s="764" t="s">
        <v>272</v>
      </c>
      <c r="AD228" s="765">
        <v>-33</v>
      </c>
      <c r="AE228" s="766">
        <v>-37</v>
      </c>
      <c r="AF228" s="766">
        <v>-37</v>
      </c>
      <c r="AG228" s="766">
        <v>-36</v>
      </c>
      <c r="AH228" s="766">
        <v>-37</v>
      </c>
      <c r="AI228" s="766">
        <v>-37</v>
      </c>
      <c r="AJ228" s="767">
        <v>-39</v>
      </c>
      <c r="AL228" s="764" t="s">
        <v>272</v>
      </c>
      <c r="AM228" s="765"/>
      <c r="AN228" s="766">
        <v>-20</v>
      </c>
      <c r="AO228" s="766">
        <v>-19</v>
      </c>
      <c r="AP228" s="766">
        <v>-19</v>
      </c>
      <c r="AQ228" s="766">
        <v>-19</v>
      </c>
      <c r="AR228" s="766">
        <v>-17</v>
      </c>
      <c r="AS228" s="767">
        <v>-20</v>
      </c>
      <c r="AU228" s="764" t="s">
        <v>272</v>
      </c>
      <c r="AV228" s="765">
        <v>-28</v>
      </c>
      <c r="AW228" s="766">
        <v>-28</v>
      </c>
      <c r="AX228" s="766">
        <v>-29</v>
      </c>
      <c r="AY228" s="766">
        <v>-33</v>
      </c>
      <c r="AZ228" s="766">
        <v>-34</v>
      </c>
      <c r="BA228" s="766">
        <v>-35</v>
      </c>
      <c r="BB228" s="767">
        <v>-36</v>
      </c>
    </row>
    <row r="229" spans="2:54" x14ac:dyDescent="0.25">
      <c r="B229" s="759" t="s">
        <v>278</v>
      </c>
      <c r="C229" s="765">
        <v>-24</v>
      </c>
      <c r="D229" s="766">
        <v>-21</v>
      </c>
      <c r="E229" s="766">
        <v>-22</v>
      </c>
      <c r="F229" s="766">
        <v>-21</v>
      </c>
      <c r="G229" s="766">
        <v>-19</v>
      </c>
      <c r="H229" s="766">
        <v>-19</v>
      </c>
      <c r="I229" s="767">
        <v>-21</v>
      </c>
      <c r="K229" s="759" t="s">
        <v>278</v>
      </c>
      <c r="L229" s="765">
        <v>-22</v>
      </c>
      <c r="M229" s="766">
        <v>-22</v>
      </c>
      <c r="N229" s="766">
        <v>-23</v>
      </c>
      <c r="O229" s="766">
        <v>-28</v>
      </c>
      <c r="P229" s="766">
        <v>-26</v>
      </c>
      <c r="Q229" s="766">
        <v>-27</v>
      </c>
      <c r="R229" s="767">
        <v>-29</v>
      </c>
      <c r="T229" s="763" t="s">
        <v>278</v>
      </c>
      <c r="U229" s="765">
        <v>-25</v>
      </c>
      <c r="V229" s="766">
        <v>-25</v>
      </c>
      <c r="W229" s="766">
        <v>-26</v>
      </c>
      <c r="X229" s="766">
        <v>-25</v>
      </c>
      <c r="Y229" s="766">
        <v>-26</v>
      </c>
      <c r="Z229" s="766">
        <v>-27</v>
      </c>
      <c r="AA229" s="767">
        <v>-29</v>
      </c>
      <c r="AC229" s="764" t="s">
        <v>278</v>
      </c>
      <c r="AD229" s="765">
        <v>-35</v>
      </c>
      <c r="AE229" s="766">
        <v>-36</v>
      </c>
      <c r="AF229" s="766">
        <v>-35</v>
      </c>
      <c r="AG229" s="766">
        <v>-35</v>
      </c>
      <c r="AH229" s="766">
        <v>-35</v>
      </c>
      <c r="AI229" s="766">
        <v>-38</v>
      </c>
      <c r="AJ229" s="767">
        <v>-41</v>
      </c>
      <c r="AL229" s="764" t="s">
        <v>278</v>
      </c>
      <c r="AM229" s="765"/>
      <c r="AN229" s="766">
        <v>-18</v>
      </c>
      <c r="AO229" s="766">
        <v>-16</v>
      </c>
      <c r="AP229" s="766">
        <v>-16</v>
      </c>
      <c r="AQ229" s="766">
        <v>-15</v>
      </c>
      <c r="AR229" s="766">
        <v>-15</v>
      </c>
      <c r="AS229" s="767">
        <v>-17</v>
      </c>
      <c r="AU229" s="764" t="s">
        <v>278</v>
      </c>
      <c r="AV229" s="765">
        <v>-28</v>
      </c>
      <c r="AW229" s="766">
        <v>-30</v>
      </c>
      <c r="AX229" s="766">
        <v>-29</v>
      </c>
      <c r="AY229" s="766">
        <v>-28</v>
      </c>
      <c r="AZ229" s="766">
        <v>-31</v>
      </c>
      <c r="BA229" s="766">
        <v>-32</v>
      </c>
      <c r="BB229" s="767">
        <v>-33</v>
      </c>
    </row>
    <row r="230" spans="2:54" ht="15.75" thickBot="1" x14ac:dyDescent="0.3">
      <c r="B230" s="768" t="s">
        <v>284</v>
      </c>
      <c r="C230" s="769" t="s">
        <v>1048</v>
      </c>
      <c r="D230" s="770" t="s">
        <v>1048</v>
      </c>
      <c r="E230" s="770" t="s">
        <v>1048</v>
      </c>
      <c r="F230" s="770" t="s">
        <v>1048</v>
      </c>
      <c r="G230" s="770" t="s">
        <v>1048</v>
      </c>
      <c r="H230" s="770" t="s">
        <v>1048</v>
      </c>
      <c r="I230" s="771" t="s">
        <v>1048</v>
      </c>
      <c r="K230" s="768" t="s">
        <v>284</v>
      </c>
      <c r="L230" s="769" t="s">
        <v>1048</v>
      </c>
      <c r="M230" s="770" t="s">
        <v>1048</v>
      </c>
      <c r="N230" s="770" t="s">
        <v>1048</v>
      </c>
      <c r="O230" s="770" t="s">
        <v>1048</v>
      </c>
      <c r="P230" s="770" t="s">
        <v>1048</v>
      </c>
      <c r="Q230" s="770" t="s">
        <v>1048</v>
      </c>
      <c r="R230" s="771" t="s">
        <v>1048</v>
      </c>
      <c r="T230" s="772" t="s">
        <v>284</v>
      </c>
      <c r="U230" s="769" t="s">
        <v>1048</v>
      </c>
      <c r="V230" s="770" t="s">
        <v>1048</v>
      </c>
      <c r="W230" s="770" t="s">
        <v>1048</v>
      </c>
      <c r="X230" s="770" t="s">
        <v>1048</v>
      </c>
      <c r="Y230" s="770" t="s">
        <v>1048</v>
      </c>
      <c r="Z230" s="770" t="s">
        <v>1048</v>
      </c>
      <c r="AA230" s="771" t="s">
        <v>1048</v>
      </c>
      <c r="AC230" s="773" t="s">
        <v>284</v>
      </c>
      <c r="AD230" s="769" t="s">
        <v>1048</v>
      </c>
      <c r="AE230" s="770" t="s">
        <v>1048</v>
      </c>
      <c r="AF230" s="770" t="s">
        <v>1048</v>
      </c>
      <c r="AG230" s="770" t="s">
        <v>1048</v>
      </c>
      <c r="AH230" s="770" t="s">
        <v>1048</v>
      </c>
      <c r="AI230" s="770" t="s">
        <v>1048</v>
      </c>
      <c r="AJ230" s="771" t="s">
        <v>1048</v>
      </c>
      <c r="AL230" s="773" t="s">
        <v>284</v>
      </c>
      <c r="AM230" s="769" t="s">
        <v>1048</v>
      </c>
      <c r="AN230" s="770" t="s">
        <v>1048</v>
      </c>
      <c r="AO230" s="770" t="s">
        <v>1048</v>
      </c>
      <c r="AP230" s="770" t="s">
        <v>1048</v>
      </c>
      <c r="AQ230" s="770" t="s">
        <v>1048</v>
      </c>
      <c r="AR230" s="770" t="s">
        <v>1048</v>
      </c>
      <c r="AS230" s="771" t="s">
        <v>1048</v>
      </c>
      <c r="AU230" s="773" t="s">
        <v>284</v>
      </c>
      <c r="AV230" s="769" t="s">
        <v>1048</v>
      </c>
      <c r="AW230" s="770" t="s">
        <v>1048</v>
      </c>
      <c r="AX230" s="770" t="s">
        <v>1048</v>
      </c>
      <c r="AY230" s="770" t="s">
        <v>1048</v>
      </c>
      <c r="AZ230" s="770" t="s">
        <v>1048</v>
      </c>
      <c r="BA230" s="770" t="s">
        <v>1048</v>
      </c>
      <c r="BB230" s="771" t="s">
        <v>1048</v>
      </c>
    </row>
    <row r="231" spans="2:54" ht="15.75" thickBot="1" x14ac:dyDescent="0.3">
      <c r="B231" s="774"/>
      <c r="C231" s="775"/>
      <c r="D231" s="775"/>
      <c r="E231" s="775"/>
      <c r="F231" s="775"/>
      <c r="G231" s="775"/>
      <c r="H231" s="775"/>
      <c r="I231" s="775"/>
      <c r="K231" s="774"/>
      <c r="L231" s="775"/>
      <c r="M231" s="775"/>
      <c r="N231" s="775"/>
      <c r="O231" s="775"/>
      <c r="P231" s="775"/>
      <c r="Q231" s="775"/>
      <c r="R231" s="775"/>
      <c r="T231" s="776"/>
      <c r="U231" s="775"/>
      <c r="V231" s="775"/>
      <c r="W231" s="775"/>
      <c r="X231" s="775"/>
      <c r="Y231" s="775"/>
      <c r="Z231" s="775"/>
      <c r="AA231" s="775"/>
      <c r="AC231" s="777"/>
      <c r="AD231" s="775"/>
      <c r="AE231" s="775"/>
      <c r="AF231" s="775"/>
      <c r="AG231" s="775"/>
      <c r="AH231" s="775"/>
      <c r="AI231" s="775"/>
      <c r="AJ231" s="775"/>
      <c r="AL231" s="777"/>
      <c r="AM231" s="775"/>
      <c r="AN231" s="775"/>
      <c r="AO231" s="775"/>
      <c r="AP231" s="775"/>
      <c r="AQ231" s="775"/>
      <c r="AR231" s="775"/>
      <c r="AS231" s="775"/>
      <c r="AU231" s="777"/>
      <c r="AV231" s="775"/>
      <c r="AW231" s="775"/>
      <c r="AX231" s="775"/>
      <c r="AY231" s="775"/>
      <c r="AZ231" s="775"/>
      <c r="BA231" s="775"/>
      <c r="BB231" s="775"/>
    </row>
    <row r="232" spans="2:54" ht="15.75" thickBot="1" x14ac:dyDescent="0.3">
      <c r="B232" s="748" t="s">
        <v>1046</v>
      </c>
      <c r="C232" s="778" t="s">
        <v>187</v>
      </c>
      <c r="D232" s="778" t="s">
        <v>214</v>
      </c>
      <c r="E232" s="778" t="s">
        <v>233</v>
      </c>
      <c r="F232" s="778" t="s">
        <v>242</v>
      </c>
      <c r="G232" s="778" t="s">
        <v>250</v>
      </c>
      <c r="H232" s="778" t="s">
        <v>258</v>
      </c>
      <c r="I232" s="779" t="s">
        <v>265</v>
      </c>
      <c r="K232" s="748" t="s">
        <v>1046</v>
      </c>
      <c r="L232" s="778" t="s">
        <v>187</v>
      </c>
      <c r="M232" s="778" t="s">
        <v>214</v>
      </c>
      <c r="N232" s="778" t="s">
        <v>233</v>
      </c>
      <c r="O232" s="778" t="s">
        <v>242</v>
      </c>
      <c r="P232" s="778" t="s">
        <v>250</v>
      </c>
      <c r="Q232" s="778" t="s">
        <v>258</v>
      </c>
      <c r="R232" s="779" t="s">
        <v>265</v>
      </c>
      <c r="T232" s="751" t="s">
        <v>1046</v>
      </c>
      <c r="U232" s="778" t="s">
        <v>187</v>
      </c>
      <c r="V232" s="778" t="s">
        <v>214</v>
      </c>
      <c r="W232" s="778" t="s">
        <v>233</v>
      </c>
      <c r="X232" s="778" t="s">
        <v>242</v>
      </c>
      <c r="Y232" s="778" t="s">
        <v>250</v>
      </c>
      <c r="Z232" s="778" t="s">
        <v>258</v>
      </c>
      <c r="AA232" s="779" t="s">
        <v>265</v>
      </c>
      <c r="AC232" s="752" t="s">
        <v>1046</v>
      </c>
      <c r="AD232" s="778" t="s">
        <v>187</v>
      </c>
      <c r="AE232" s="778" t="s">
        <v>214</v>
      </c>
      <c r="AF232" s="778" t="s">
        <v>233</v>
      </c>
      <c r="AG232" s="778" t="s">
        <v>242</v>
      </c>
      <c r="AH232" s="778" t="s">
        <v>250</v>
      </c>
      <c r="AI232" s="778" t="s">
        <v>258</v>
      </c>
      <c r="AJ232" s="779" t="s">
        <v>265</v>
      </c>
      <c r="AL232" s="752" t="s">
        <v>1046</v>
      </c>
      <c r="AM232" s="778" t="s">
        <v>187</v>
      </c>
      <c r="AN232" s="778" t="s">
        <v>214</v>
      </c>
      <c r="AO232" s="778" t="s">
        <v>233</v>
      </c>
      <c r="AP232" s="778" t="s">
        <v>242</v>
      </c>
      <c r="AQ232" s="778" t="s">
        <v>250</v>
      </c>
      <c r="AR232" s="778" t="s">
        <v>258</v>
      </c>
      <c r="AS232" s="779" t="s">
        <v>265</v>
      </c>
      <c r="AU232" s="752" t="s">
        <v>1046</v>
      </c>
      <c r="AV232" s="778" t="s">
        <v>187</v>
      </c>
      <c r="AW232" s="778" t="s">
        <v>214</v>
      </c>
      <c r="AX232" s="778" t="s">
        <v>233</v>
      </c>
      <c r="AY232" s="778" t="s">
        <v>242</v>
      </c>
      <c r="AZ232" s="778" t="s">
        <v>250</v>
      </c>
      <c r="BA232" s="778" t="s">
        <v>258</v>
      </c>
      <c r="BB232" s="779" t="s">
        <v>265</v>
      </c>
    </row>
    <row r="233" spans="2:54" x14ac:dyDescent="0.25">
      <c r="B233" s="753" t="s">
        <v>186</v>
      </c>
      <c r="C233" s="754">
        <v>-25</v>
      </c>
      <c r="D233" s="755">
        <v>-21</v>
      </c>
      <c r="E233" s="755">
        <v>-16</v>
      </c>
      <c r="F233" s="755">
        <v>-18</v>
      </c>
      <c r="G233" s="755">
        <v>-23</v>
      </c>
      <c r="H233" s="755">
        <v>-27</v>
      </c>
      <c r="I233" s="756">
        <v>-26</v>
      </c>
      <c r="K233" s="753" t="s">
        <v>186</v>
      </c>
      <c r="L233" s="754">
        <v>-26</v>
      </c>
      <c r="M233" s="755">
        <v>-25</v>
      </c>
      <c r="N233" s="755">
        <v>-29</v>
      </c>
      <c r="O233" s="755">
        <v>-25</v>
      </c>
      <c r="P233" s="755">
        <v>-28</v>
      </c>
      <c r="Q233" s="755">
        <v>-23</v>
      </c>
      <c r="R233" s="756">
        <v>-25</v>
      </c>
      <c r="T233" s="757" t="s">
        <v>186</v>
      </c>
      <c r="U233" s="754">
        <v>-33</v>
      </c>
      <c r="V233" s="755">
        <v>-32</v>
      </c>
      <c r="W233" s="755">
        <v>-33</v>
      </c>
      <c r="X233" s="755">
        <v>-38</v>
      </c>
      <c r="Y233" s="755">
        <v>-36</v>
      </c>
      <c r="Z233" s="755">
        <v>-33</v>
      </c>
      <c r="AA233" s="756">
        <v>-33</v>
      </c>
      <c r="AC233" s="758" t="s">
        <v>186</v>
      </c>
      <c r="AD233" s="754">
        <v>-36</v>
      </c>
      <c r="AE233" s="755">
        <v>-36</v>
      </c>
      <c r="AF233" s="755">
        <v>-37</v>
      </c>
      <c r="AG233" s="755">
        <v>-37</v>
      </c>
      <c r="AH233" s="755">
        <v>-37</v>
      </c>
      <c r="AI233" s="755">
        <v>-35</v>
      </c>
      <c r="AJ233" s="756">
        <v>-33</v>
      </c>
      <c r="AL233" s="758" t="s">
        <v>186</v>
      </c>
      <c r="AM233" s="754"/>
      <c r="AN233" s="755"/>
      <c r="AO233" s="755">
        <v>-21</v>
      </c>
      <c r="AP233" s="755">
        <v>-25</v>
      </c>
      <c r="AQ233" s="755">
        <v>-23</v>
      </c>
      <c r="AR233" s="755">
        <v>-16</v>
      </c>
      <c r="AS233" s="756">
        <v>-15</v>
      </c>
      <c r="AU233" s="758" t="s">
        <v>186</v>
      </c>
      <c r="AV233" s="754">
        <v>-31</v>
      </c>
      <c r="AW233" s="755">
        <v>-27</v>
      </c>
      <c r="AX233" s="755">
        <v>-28</v>
      </c>
      <c r="AY233" s="755">
        <v>-27</v>
      </c>
      <c r="AZ233" s="755">
        <v>-32</v>
      </c>
      <c r="BA233" s="755">
        <v>-32</v>
      </c>
      <c r="BB233" s="756">
        <v>-32</v>
      </c>
    </row>
    <row r="234" spans="2:54" x14ac:dyDescent="0.25">
      <c r="B234" s="759" t="s">
        <v>213</v>
      </c>
      <c r="C234" s="760">
        <v>-25</v>
      </c>
      <c r="D234" s="761">
        <v>-23</v>
      </c>
      <c r="E234" s="761">
        <v>-21</v>
      </c>
      <c r="F234" s="761">
        <v>-18</v>
      </c>
      <c r="G234" s="761">
        <v>-21</v>
      </c>
      <c r="H234" s="761">
        <v>-24</v>
      </c>
      <c r="I234" s="762">
        <v>-23</v>
      </c>
      <c r="K234" s="759" t="s">
        <v>213</v>
      </c>
      <c r="L234" s="760">
        <v>-29</v>
      </c>
      <c r="M234" s="761">
        <v>-25</v>
      </c>
      <c r="N234" s="761">
        <v>-25</v>
      </c>
      <c r="O234" s="761">
        <v>-23</v>
      </c>
      <c r="P234" s="761">
        <v>-25</v>
      </c>
      <c r="Q234" s="761">
        <v>-22</v>
      </c>
      <c r="R234" s="762">
        <v>-25</v>
      </c>
      <c r="T234" s="763" t="s">
        <v>213</v>
      </c>
      <c r="U234" s="760">
        <v>-33</v>
      </c>
      <c r="V234" s="761">
        <v>-37</v>
      </c>
      <c r="W234" s="761">
        <v>-35</v>
      </c>
      <c r="X234" s="761">
        <v>-39</v>
      </c>
      <c r="Y234" s="761">
        <v>-36</v>
      </c>
      <c r="Z234" s="761">
        <v>-33</v>
      </c>
      <c r="AA234" s="762">
        <v>-34</v>
      </c>
      <c r="AC234" s="764" t="s">
        <v>213</v>
      </c>
      <c r="AD234" s="760">
        <v>-33</v>
      </c>
      <c r="AE234" s="761">
        <v>-36</v>
      </c>
      <c r="AF234" s="761">
        <v>-34</v>
      </c>
      <c r="AG234" s="761">
        <v>-35</v>
      </c>
      <c r="AH234" s="761">
        <v>-37</v>
      </c>
      <c r="AI234" s="761">
        <v>-36</v>
      </c>
      <c r="AJ234" s="762">
        <v>-35</v>
      </c>
      <c r="AL234" s="764" t="s">
        <v>213</v>
      </c>
      <c r="AM234" s="760"/>
      <c r="AN234" s="761"/>
      <c r="AO234" s="761">
        <v>-17</v>
      </c>
      <c r="AP234" s="761">
        <v>-22</v>
      </c>
      <c r="AQ234" s="761">
        <v>-22</v>
      </c>
      <c r="AR234" s="761">
        <v>-17</v>
      </c>
      <c r="AS234" s="762">
        <v>-16</v>
      </c>
      <c r="AU234" s="764" t="s">
        <v>213</v>
      </c>
      <c r="AV234" s="760">
        <v>-30</v>
      </c>
      <c r="AW234" s="761">
        <v>-31</v>
      </c>
      <c r="AX234" s="761">
        <v>-28</v>
      </c>
      <c r="AY234" s="761">
        <v>-32</v>
      </c>
      <c r="AZ234" s="761">
        <v>-31</v>
      </c>
      <c r="BA234" s="761">
        <v>-30</v>
      </c>
      <c r="BB234" s="762">
        <v>-33</v>
      </c>
    </row>
    <row r="235" spans="2:54" x14ac:dyDescent="0.25">
      <c r="B235" s="759" t="s">
        <v>232</v>
      </c>
      <c r="C235" s="765">
        <v>-21</v>
      </c>
      <c r="D235" s="766">
        <v>-20</v>
      </c>
      <c r="E235" s="766">
        <v>-18</v>
      </c>
      <c r="F235" s="766">
        <v>-16</v>
      </c>
      <c r="G235" s="766">
        <v>-23</v>
      </c>
      <c r="H235" s="766">
        <v>-24</v>
      </c>
      <c r="I235" s="767">
        <v>-24</v>
      </c>
      <c r="K235" s="759" t="s">
        <v>232</v>
      </c>
      <c r="L235" s="765">
        <v>-23</v>
      </c>
      <c r="M235" s="766">
        <v>-19</v>
      </c>
      <c r="N235" s="766">
        <v>-21</v>
      </c>
      <c r="O235" s="766">
        <v>-20</v>
      </c>
      <c r="P235" s="766">
        <v>-23</v>
      </c>
      <c r="Q235" s="766">
        <v>-20</v>
      </c>
      <c r="R235" s="767">
        <v>-23</v>
      </c>
      <c r="T235" s="763" t="s">
        <v>232</v>
      </c>
      <c r="U235" s="765">
        <v>-33</v>
      </c>
      <c r="V235" s="766">
        <v>-32</v>
      </c>
      <c r="W235" s="766">
        <v>-34</v>
      </c>
      <c r="X235" s="766">
        <v>-38</v>
      </c>
      <c r="Y235" s="766">
        <v>-38</v>
      </c>
      <c r="Z235" s="766">
        <v>-35</v>
      </c>
      <c r="AA235" s="767">
        <v>-34</v>
      </c>
      <c r="AC235" s="764" t="s">
        <v>232</v>
      </c>
      <c r="AD235" s="765">
        <v>-33</v>
      </c>
      <c r="AE235" s="766">
        <v>-33</v>
      </c>
      <c r="AF235" s="766">
        <v>-33</v>
      </c>
      <c r="AG235" s="766">
        <v>-35</v>
      </c>
      <c r="AH235" s="766">
        <v>-35</v>
      </c>
      <c r="AI235" s="766">
        <v>-33</v>
      </c>
      <c r="AJ235" s="767">
        <v>-36</v>
      </c>
      <c r="AL235" s="764" t="s">
        <v>232</v>
      </c>
      <c r="AM235" s="765"/>
      <c r="AN235" s="766"/>
      <c r="AO235" s="766">
        <v>-19</v>
      </c>
      <c r="AP235" s="766">
        <v>-20</v>
      </c>
      <c r="AQ235" s="766">
        <v>-18</v>
      </c>
      <c r="AR235" s="766">
        <v>-16</v>
      </c>
      <c r="AS235" s="767">
        <v>-17</v>
      </c>
      <c r="AU235" s="764" t="s">
        <v>232</v>
      </c>
      <c r="AV235" s="765">
        <v>-28</v>
      </c>
      <c r="AW235" s="766">
        <v>-29</v>
      </c>
      <c r="AX235" s="766">
        <v>-32</v>
      </c>
      <c r="AY235" s="766">
        <v>-33</v>
      </c>
      <c r="AZ235" s="766">
        <v>-33</v>
      </c>
      <c r="BA235" s="766">
        <v>-32</v>
      </c>
      <c r="BB235" s="767">
        <v>-31</v>
      </c>
    </row>
    <row r="236" spans="2:54" x14ac:dyDescent="0.25">
      <c r="B236" s="759" t="s">
        <v>215</v>
      </c>
      <c r="C236" s="765">
        <v>-15</v>
      </c>
      <c r="D236" s="766">
        <v>-16</v>
      </c>
      <c r="E236" s="766">
        <v>-17</v>
      </c>
      <c r="F236" s="766">
        <v>-14</v>
      </c>
      <c r="G236" s="766">
        <v>-21</v>
      </c>
      <c r="H236" s="766">
        <v>-22</v>
      </c>
      <c r="I236" s="767">
        <v>-22</v>
      </c>
      <c r="K236" s="759" t="s">
        <v>215</v>
      </c>
      <c r="L236" s="765">
        <v>-17</v>
      </c>
      <c r="M236" s="766">
        <v>-18</v>
      </c>
      <c r="N236" s="766">
        <v>-16</v>
      </c>
      <c r="O236" s="766">
        <v>-20</v>
      </c>
      <c r="P236" s="766">
        <v>-19</v>
      </c>
      <c r="Q236" s="766">
        <v>-20</v>
      </c>
      <c r="R236" s="767">
        <v>-24</v>
      </c>
      <c r="T236" s="763" t="s">
        <v>215</v>
      </c>
      <c r="U236" s="765">
        <v>-33</v>
      </c>
      <c r="V236" s="766">
        <v>-37</v>
      </c>
      <c r="W236" s="766">
        <v>-36</v>
      </c>
      <c r="X236" s="766">
        <v>-38</v>
      </c>
      <c r="Y236" s="766">
        <v>-37</v>
      </c>
      <c r="Z236" s="766">
        <v>-32</v>
      </c>
      <c r="AA236" s="767">
        <v>-33</v>
      </c>
      <c r="AC236" s="764" t="s">
        <v>215</v>
      </c>
      <c r="AD236" s="765">
        <v>-33</v>
      </c>
      <c r="AE236" s="766">
        <v>-34</v>
      </c>
      <c r="AF236" s="766">
        <v>-34</v>
      </c>
      <c r="AG236" s="766">
        <v>-39</v>
      </c>
      <c r="AH236" s="766">
        <v>-38</v>
      </c>
      <c r="AI236" s="766">
        <v>-37</v>
      </c>
      <c r="AJ236" s="767">
        <v>-36</v>
      </c>
      <c r="AL236" s="764" t="s">
        <v>215</v>
      </c>
      <c r="AM236" s="765"/>
      <c r="AN236" s="766">
        <v>-20</v>
      </c>
      <c r="AO236" s="766">
        <v>-19</v>
      </c>
      <c r="AP236" s="766">
        <v>-19</v>
      </c>
      <c r="AQ236" s="766">
        <v>-17</v>
      </c>
      <c r="AR236" s="766">
        <v>-16</v>
      </c>
      <c r="AS236" s="767">
        <v>-16</v>
      </c>
      <c r="AU236" s="764" t="s">
        <v>215</v>
      </c>
      <c r="AV236" s="765">
        <v>-30</v>
      </c>
      <c r="AW236" s="766">
        <v>-30</v>
      </c>
      <c r="AX236" s="766">
        <v>-32</v>
      </c>
      <c r="AY236" s="766">
        <v>-31</v>
      </c>
      <c r="AZ236" s="766">
        <v>-32</v>
      </c>
      <c r="BA236" s="766">
        <v>-31</v>
      </c>
      <c r="BB236" s="767">
        <v>-29</v>
      </c>
    </row>
    <row r="237" spans="2:54" x14ac:dyDescent="0.25">
      <c r="B237" s="759" t="s">
        <v>249</v>
      </c>
      <c r="C237" s="765">
        <v>-17</v>
      </c>
      <c r="D237" s="766">
        <v>-15</v>
      </c>
      <c r="E237" s="766">
        <v>-15</v>
      </c>
      <c r="F237" s="766">
        <v>-15</v>
      </c>
      <c r="G237" s="766">
        <v>-14</v>
      </c>
      <c r="H237" s="766">
        <v>-21</v>
      </c>
      <c r="I237" s="767">
        <v>-25</v>
      </c>
      <c r="K237" s="759" t="s">
        <v>249</v>
      </c>
      <c r="L237" s="765">
        <v>-16</v>
      </c>
      <c r="M237" s="766">
        <v>-14</v>
      </c>
      <c r="N237" s="766">
        <v>-18</v>
      </c>
      <c r="O237" s="766">
        <v>-18</v>
      </c>
      <c r="P237" s="766">
        <v>-13</v>
      </c>
      <c r="Q237" s="766">
        <v>-19</v>
      </c>
      <c r="R237" s="767">
        <v>-24</v>
      </c>
      <c r="T237" s="763" t="s">
        <v>249</v>
      </c>
      <c r="U237" s="765">
        <v>-37</v>
      </c>
      <c r="V237" s="766">
        <v>-35</v>
      </c>
      <c r="W237" s="766">
        <v>-35</v>
      </c>
      <c r="X237" s="766">
        <v>-35</v>
      </c>
      <c r="Y237" s="766">
        <v>-34</v>
      </c>
      <c r="Z237" s="766">
        <v>-32</v>
      </c>
      <c r="AA237" s="767">
        <v>-34</v>
      </c>
      <c r="AC237" s="764" t="s">
        <v>249</v>
      </c>
      <c r="AD237" s="765">
        <v>-34</v>
      </c>
      <c r="AE237" s="766">
        <v>-34</v>
      </c>
      <c r="AF237" s="766">
        <v>-33</v>
      </c>
      <c r="AG237" s="766">
        <v>-33</v>
      </c>
      <c r="AH237" s="766">
        <v>-33</v>
      </c>
      <c r="AI237" s="766">
        <v>-33</v>
      </c>
      <c r="AJ237" s="767">
        <v>-33</v>
      </c>
      <c r="AL237" s="764" t="s">
        <v>249</v>
      </c>
      <c r="AM237" s="765"/>
      <c r="AN237" s="766">
        <v>-14</v>
      </c>
      <c r="AO237" s="766">
        <v>-13</v>
      </c>
      <c r="AP237" s="766">
        <v>-12</v>
      </c>
      <c r="AQ237" s="766">
        <v>-13</v>
      </c>
      <c r="AR237" s="766">
        <v>-13</v>
      </c>
      <c r="AS237" s="767">
        <v>-18</v>
      </c>
      <c r="AU237" s="764" t="s">
        <v>249</v>
      </c>
      <c r="AV237" s="765">
        <v>-28</v>
      </c>
      <c r="AW237" s="766">
        <v>-26</v>
      </c>
      <c r="AX237" s="766">
        <v>-27</v>
      </c>
      <c r="AY237" s="766">
        <v>-28</v>
      </c>
      <c r="AZ237" s="766">
        <v>-26</v>
      </c>
      <c r="BA237" s="766">
        <v>-27</v>
      </c>
      <c r="BB237" s="767">
        <v>-26</v>
      </c>
    </row>
    <row r="238" spans="2:54" x14ac:dyDescent="0.25">
      <c r="B238" s="759" t="s">
        <v>257</v>
      </c>
      <c r="C238" s="765">
        <v>-12</v>
      </c>
      <c r="D238" s="766">
        <v>-20</v>
      </c>
      <c r="E238" s="766">
        <v>-18</v>
      </c>
      <c r="F238" s="766">
        <v>-17</v>
      </c>
      <c r="G238" s="766">
        <v>-13</v>
      </c>
      <c r="H238" s="766">
        <v>-18</v>
      </c>
      <c r="I238" s="767">
        <v>-22</v>
      </c>
      <c r="K238" s="759" t="s">
        <v>257</v>
      </c>
      <c r="L238" s="765">
        <v>-17</v>
      </c>
      <c r="M238" s="766">
        <v>-15</v>
      </c>
      <c r="N238" s="766">
        <v>-13</v>
      </c>
      <c r="O238" s="766">
        <v>-16</v>
      </c>
      <c r="P238" s="766">
        <v>-14</v>
      </c>
      <c r="Q238" s="766">
        <v>-17</v>
      </c>
      <c r="R238" s="767">
        <v>-21</v>
      </c>
      <c r="T238" s="763" t="s">
        <v>257</v>
      </c>
      <c r="U238" s="765">
        <v>-30</v>
      </c>
      <c r="V238" s="766">
        <v>-31</v>
      </c>
      <c r="W238" s="766">
        <v>-29</v>
      </c>
      <c r="X238" s="766">
        <v>-28</v>
      </c>
      <c r="Y238" s="766">
        <v>-27</v>
      </c>
      <c r="Z238" s="766">
        <v>-32</v>
      </c>
      <c r="AA238" s="767">
        <v>-32</v>
      </c>
      <c r="AC238" s="764" t="s">
        <v>257</v>
      </c>
      <c r="AD238" s="765">
        <v>-30</v>
      </c>
      <c r="AE238" s="766">
        <v>-30</v>
      </c>
      <c r="AF238" s="766">
        <v>-32</v>
      </c>
      <c r="AG238" s="766">
        <v>-32</v>
      </c>
      <c r="AH238" s="766">
        <v>-31</v>
      </c>
      <c r="AI238" s="766">
        <v>-35</v>
      </c>
      <c r="AJ238" s="767">
        <v>-33</v>
      </c>
      <c r="AL238" s="764" t="s">
        <v>257</v>
      </c>
      <c r="AM238" s="765"/>
      <c r="AN238" s="766">
        <v>-15</v>
      </c>
      <c r="AO238" s="766">
        <v>-15</v>
      </c>
      <c r="AP238" s="766">
        <v>-14</v>
      </c>
      <c r="AQ238" s="766">
        <v>-13</v>
      </c>
      <c r="AR238" s="766">
        <v>-16</v>
      </c>
      <c r="AS238" s="767">
        <v>-15</v>
      </c>
      <c r="AU238" s="764" t="s">
        <v>257</v>
      </c>
      <c r="AV238" s="765">
        <v>-28</v>
      </c>
      <c r="AW238" s="766">
        <v>-27</v>
      </c>
      <c r="AX238" s="766">
        <v>-26</v>
      </c>
      <c r="AY238" s="766">
        <v>-26</v>
      </c>
      <c r="AZ238" s="766">
        <v>-24</v>
      </c>
      <c r="BA238" s="766">
        <v>-28</v>
      </c>
      <c r="BB238" s="767">
        <v>-29</v>
      </c>
    </row>
    <row r="239" spans="2:54" x14ac:dyDescent="0.25">
      <c r="B239" s="759" t="s">
        <v>264</v>
      </c>
      <c r="C239" s="765">
        <v>-13</v>
      </c>
      <c r="D239" s="766">
        <v>-12</v>
      </c>
      <c r="E239" s="766">
        <v>-11</v>
      </c>
      <c r="F239" s="766">
        <v>-11</v>
      </c>
      <c r="G239" s="766">
        <v>-11</v>
      </c>
      <c r="H239" s="766">
        <v>-17</v>
      </c>
      <c r="I239" s="767">
        <v>-20</v>
      </c>
      <c r="K239" s="759" t="s">
        <v>264</v>
      </c>
      <c r="L239" s="765">
        <v>-17</v>
      </c>
      <c r="M239" s="766">
        <v>-16</v>
      </c>
      <c r="N239" s="766">
        <v>-16</v>
      </c>
      <c r="O239" s="766">
        <v>-14</v>
      </c>
      <c r="P239" s="766">
        <v>-13</v>
      </c>
      <c r="Q239" s="766">
        <v>-14</v>
      </c>
      <c r="R239" s="767">
        <v>-24</v>
      </c>
      <c r="T239" s="763" t="s">
        <v>264</v>
      </c>
      <c r="U239" s="765">
        <v>-27</v>
      </c>
      <c r="V239" s="766">
        <v>-31</v>
      </c>
      <c r="W239" s="766">
        <v>-30</v>
      </c>
      <c r="X239" s="766">
        <v>-29</v>
      </c>
      <c r="Y239" s="766">
        <v>-29</v>
      </c>
      <c r="Z239" s="766">
        <v>-30</v>
      </c>
      <c r="AA239" s="767">
        <v>-32</v>
      </c>
      <c r="AC239" s="764" t="s">
        <v>264</v>
      </c>
      <c r="AD239" s="765">
        <v>-30</v>
      </c>
      <c r="AE239" s="766">
        <v>-31</v>
      </c>
      <c r="AF239" s="766">
        <v>-32</v>
      </c>
      <c r="AG239" s="766">
        <v>-32</v>
      </c>
      <c r="AH239" s="766">
        <v>-32</v>
      </c>
      <c r="AI239" s="766">
        <v>-35</v>
      </c>
      <c r="AJ239" s="767">
        <v>-34</v>
      </c>
      <c r="AL239" s="764" t="s">
        <v>264</v>
      </c>
      <c r="AM239" s="765" t="s">
        <v>1048</v>
      </c>
      <c r="AN239" s="766">
        <v>-16</v>
      </c>
      <c r="AO239" s="766">
        <v>-15</v>
      </c>
      <c r="AP239" s="766">
        <v>-15</v>
      </c>
      <c r="AQ239" s="766">
        <v>-15</v>
      </c>
      <c r="AR239" s="766">
        <v>-16</v>
      </c>
      <c r="AS239" s="767">
        <v>-15</v>
      </c>
      <c r="AU239" s="764" t="s">
        <v>264</v>
      </c>
      <c r="AV239" s="765">
        <v>-22</v>
      </c>
      <c r="AW239" s="766">
        <v>-23</v>
      </c>
      <c r="AX239" s="766">
        <v>-24</v>
      </c>
      <c r="AY239" s="766">
        <v>-25</v>
      </c>
      <c r="AZ239" s="766">
        <v>-25</v>
      </c>
      <c r="BA239" s="766">
        <v>-26</v>
      </c>
      <c r="BB239" s="767">
        <v>-29</v>
      </c>
    </row>
    <row r="240" spans="2:54" x14ac:dyDescent="0.25">
      <c r="B240" s="759" t="s">
        <v>272</v>
      </c>
      <c r="C240" s="765">
        <v>-14</v>
      </c>
      <c r="D240" s="766">
        <v>-14</v>
      </c>
      <c r="E240" s="766">
        <v>-13</v>
      </c>
      <c r="F240" s="766">
        <v>-13</v>
      </c>
      <c r="G240" s="766">
        <v>-13</v>
      </c>
      <c r="H240" s="766">
        <v>-13</v>
      </c>
      <c r="I240" s="767">
        <v>-21</v>
      </c>
      <c r="K240" s="759" t="s">
        <v>272</v>
      </c>
      <c r="L240" s="765">
        <v>-22</v>
      </c>
      <c r="M240" s="766">
        <v>-20</v>
      </c>
      <c r="N240" s="766">
        <v>-20</v>
      </c>
      <c r="O240" s="766">
        <v>-19</v>
      </c>
      <c r="P240" s="766">
        <v>-22</v>
      </c>
      <c r="Q240" s="766">
        <v>-26</v>
      </c>
      <c r="R240" s="767">
        <v>-25</v>
      </c>
      <c r="T240" s="763" t="s">
        <v>272</v>
      </c>
      <c r="U240" s="765">
        <v>-30</v>
      </c>
      <c r="V240" s="766">
        <v>-28</v>
      </c>
      <c r="W240" s="766">
        <v>-28</v>
      </c>
      <c r="X240" s="766">
        <v>-27</v>
      </c>
      <c r="Y240" s="766">
        <v>-30</v>
      </c>
      <c r="Z240" s="766">
        <v>-30</v>
      </c>
      <c r="AA240" s="767">
        <v>-29</v>
      </c>
      <c r="AC240" s="764" t="s">
        <v>272</v>
      </c>
      <c r="AD240" s="765">
        <v>-30</v>
      </c>
      <c r="AE240" s="766">
        <v>-34</v>
      </c>
      <c r="AF240" s="766">
        <v>-34</v>
      </c>
      <c r="AG240" s="766">
        <v>-33</v>
      </c>
      <c r="AH240" s="766">
        <v>-34</v>
      </c>
      <c r="AI240" s="766">
        <v>-34</v>
      </c>
      <c r="AJ240" s="767">
        <v>-36</v>
      </c>
      <c r="AL240" s="764" t="s">
        <v>272</v>
      </c>
      <c r="AM240" s="765" t="s">
        <v>1048</v>
      </c>
      <c r="AN240" s="766">
        <v>-17</v>
      </c>
      <c r="AO240" s="766">
        <v>-16</v>
      </c>
      <c r="AP240" s="766">
        <v>-16</v>
      </c>
      <c r="AQ240" s="766">
        <v>-16</v>
      </c>
      <c r="AR240" s="766">
        <v>-14</v>
      </c>
      <c r="AS240" s="767">
        <v>-17</v>
      </c>
      <c r="AU240" s="764" t="s">
        <v>272</v>
      </c>
      <c r="AV240" s="765">
        <v>-22</v>
      </c>
      <c r="AW240" s="766">
        <v>-22</v>
      </c>
      <c r="AX240" s="766">
        <v>-23</v>
      </c>
      <c r="AY240" s="766">
        <v>-27</v>
      </c>
      <c r="AZ240" s="766">
        <v>-28</v>
      </c>
      <c r="BA240" s="766">
        <v>-29</v>
      </c>
      <c r="BB240" s="767">
        <v>-30</v>
      </c>
    </row>
    <row r="241" spans="2:54" x14ac:dyDescent="0.25">
      <c r="B241" s="759" t="s">
        <v>278</v>
      </c>
      <c r="C241" s="765">
        <v>-21</v>
      </c>
      <c r="D241" s="766">
        <v>-18</v>
      </c>
      <c r="E241" s="766">
        <v>-19</v>
      </c>
      <c r="F241" s="766">
        <v>-18</v>
      </c>
      <c r="G241" s="766">
        <v>-16</v>
      </c>
      <c r="H241" s="766">
        <v>-16</v>
      </c>
      <c r="I241" s="767">
        <v>-18</v>
      </c>
      <c r="K241" s="759" t="s">
        <v>278</v>
      </c>
      <c r="L241" s="765">
        <v>-19</v>
      </c>
      <c r="M241" s="766">
        <v>-19</v>
      </c>
      <c r="N241" s="766">
        <v>-20</v>
      </c>
      <c r="O241" s="766">
        <v>-25</v>
      </c>
      <c r="P241" s="766">
        <v>-23</v>
      </c>
      <c r="Q241" s="766">
        <v>-24</v>
      </c>
      <c r="R241" s="767">
        <v>-26</v>
      </c>
      <c r="T241" s="763" t="s">
        <v>278</v>
      </c>
      <c r="U241" s="765">
        <v>-22</v>
      </c>
      <c r="V241" s="766">
        <v>-22</v>
      </c>
      <c r="W241" s="766">
        <v>-23</v>
      </c>
      <c r="X241" s="766">
        <v>-22</v>
      </c>
      <c r="Y241" s="766">
        <v>-23</v>
      </c>
      <c r="Z241" s="766">
        <v>-24</v>
      </c>
      <c r="AA241" s="767">
        <v>-26</v>
      </c>
      <c r="AC241" s="764" t="s">
        <v>278</v>
      </c>
      <c r="AD241" s="765">
        <v>-32</v>
      </c>
      <c r="AE241" s="766">
        <v>-33</v>
      </c>
      <c r="AF241" s="766">
        <v>-32</v>
      </c>
      <c r="AG241" s="766">
        <v>-32</v>
      </c>
      <c r="AH241" s="766">
        <v>-32</v>
      </c>
      <c r="AI241" s="766">
        <v>-35</v>
      </c>
      <c r="AJ241" s="767">
        <v>-38</v>
      </c>
      <c r="AL241" s="764" t="s">
        <v>278</v>
      </c>
      <c r="AM241" s="765" t="s">
        <v>1048</v>
      </c>
      <c r="AN241" s="766">
        <v>-15</v>
      </c>
      <c r="AO241" s="766">
        <v>-13</v>
      </c>
      <c r="AP241" s="766">
        <v>-13</v>
      </c>
      <c r="AQ241" s="766">
        <v>-12</v>
      </c>
      <c r="AR241" s="766">
        <v>-12</v>
      </c>
      <c r="AS241" s="767">
        <v>-14</v>
      </c>
      <c r="AU241" s="764" t="s">
        <v>278</v>
      </c>
      <c r="AV241" s="765">
        <v>-22</v>
      </c>
      <c r="AW241" s="766">
        <v>-24</v>
      </c>
      <c r="AX241" s="766">
        <v>-23</v>
      </c>
      <c r="AY241" s="766">
        <v>-22</v>
      </c>
      <c r="AZ241" s="766">
        <v>-25</v>
      </c>
      <c r="BA241" s="766">
        <v>-26</v>
      </c>
      <c r="BB241" s="767">
        <v>-27</v>
      </c>
    </row>
    <row r="242" spans="2:54" ht="15.75" thickBot="1" x14ac:dyDescent="0.3">
      <c r="B242" s="768" t="s">
        <v>284</v>
      </c>
      <c r="C242" s="769" t="s">
        <v>1048</v>
      </c>
      <c r="D242" s="770" t="s">
        <v>1048</v>
      </c>
      <c r="E242" s="770" t="s">
        <v>1048</v>
      </c>
      <c r="F242" s="770" t="s">
        <v>1048</v>
      </c>
      <c r="G242" s="770" t="s">
        <v>1048</v>
      </c>
      <c r="H242" s="770" t="s">
        <v>1048</v>
      </c>
      <c r="I242" s="771" t="s">
        <v>1048</v>
      </c>
      <c r="K242" s="768" t="s">
        <v>284</v>
      </c>
      <c r="L242" s="769" t="s">
        <v>1048</v>
      </c>
      <c r="M242" s="770" t="s">
        <v>1048</v>
      </c>
      <c r="N242" s="770" t="s">
        <v>1048</v>
      </c>
      <c r="O242" s="770" t="s">
        <v>1048</v>
      </c>
      <c r="P242" s="770" t="s">
        <v>1048</v>
      </c>
      <c r="Q242" s="770" t="s">
        <v>1048</v>
      </c>
      <c r="R242" s="771" t="s">
        <v>1048</v>
      </c>
      <c r="T242" s="772" t="s">
        <v>284</v>
      </c>
      <c r="U242" s="769" t="s">
        <v>1048</v>
      </c>
      <c r="V242" s="770" t="s">
        <v>1048</v>
      </c>
      <c r="W242" s="770" t="s">
        <v>1048</v>
      </c>
      <c r="X242" s="770" t="s">
        <v>1048</v>
      </c>
      <c r="Y242" s="770" t="s">
        <v>1048</v>
      </c>
      <c r="Z242" s="770" t="s">
        <v>1048</v>
      </c>
      <c r="AA242" s="771" t="s">
        <v>1048</v>
      </c>
      <c r="AC242" s="773" t="s">
        <v>284</v>
      </c>
      <c r="AD242" s="769" t="s">
        <v>1048</v>
      </c>
      <c r="AE242" s="770" t="s">
        <v>1048</v>
      </c>
      <c r="AF242" s="770" t="s">
        <v>1048</v>
      </c>
      <c r="AG242" s="770" t="s">
        <v>1048</v>
      </c>
      <c r="AH242" s="770" t="s">
        <v>1048</v>
      </c>
      <c r="AI242" s="770" t="s">
        <v>1048</v>
      </c>
      <c r="AJ242" s="771" t="s">
        <v>1048</v>
      </c>
      <c r="AL242" s="773" t="s">
        <v>284</v>
      </c>
      <c r="AM242" s="769" t="s">
        <v>1048</v>
      </c>
      <c r="AN242" s="770" t="s">
        <v>1048</v>
      </c>
      <c r="AO242" s="770" t="s">
        <v>1048</v>
      </c>
      <c r="AP242" s="770" t="s">
        <v>1048</v>
      </c>
      <c r="AQ242" s="770" t="s">
        <v>1048</v>
      </c>
      <c r="AR242" s="770" t="s">
        <v>1048</v>
      </c>
      <c r="AS242" s="771" t="s">
        <v>1048</v>
      </c>
      <c r="AU242" s="773" t="s">
        <v>284</v>
      </c>
      <c r="AV242" s="769" t="s">
        <v>1048</v>
      </c>
      <c r="AW242" s="770" t="s">
        <v>1048</v>
      </c>
      <c r="AX242" s="770" t="s">
        <v>1048</v>
      </c>
      <c r="AY242" s="770" t="s">
        <v>1048</v>
      </c>
      <c r="AZ242" s="770" t="s">
        <v>1048</v>
      </c>
      <c r="BA242" s="770" t="s">
        <v>1048</v>
      </c>
      <c r="BB242" s="771" t="s">
        <v>1048</v>
      </c>
    </row>
    <row r="243" spans="2:54" ht="15.75" thickBot="1" x14ac:dyDescent="0.3">
      <c r="B243" s="774"/>
      <c r="C243" s="775"/>
      <c r="D243" s="775"/>
      <c r="E243" s="775"/>
      <c r="F243" s="775"/>
      <c r="G243" s="775"/>
      <c r="H243" s="775"/>
      <c r="I243" s="775"/>
      <c r="K243" s="774"/>
      <c r="L243" s="775"/>
      <c r="M243" s="775"/>
      <c r="N243" s="775"/>
      <c r="O243" s="775"/>
      <c r="P243" s="775"/>
      <c r="Q243" s="775"/>
      <c r="R243" s="775"/>
      <c r="T243" s="776"/>
      <c r="U243" s="775"/>
      <c r="V243" s="775"/>
      <c r="W243" s="775"/>
      <c r="X243" s="775"/>
      <c r="Y243" s="775"/>
      <c r="Z243" s="775"/>
      <c r="AA243" s="775"/>
      <c r="AC243" s="777"/>
      <c r="AD243" s="775"/>
      <c r="AE243" s="775"/>
      <c r="AF243" s="775"/>
      <c r="AG243" s="775"/>
      <c r="AH243" s="775"/>
      <c r="AI243" s="775"/>
      <c r="AJ243" s="775"/>
      <c r="AL243" s="777"/>
      <c r="AM243" s="775"/>
      <c r="AN243" s="775"/>
      <c r="AO243" s="775"/>
      <c r="AP243" s="775"/>
      <c r="AQ243" s="775"/>
      <c r="AR243" s="775"/>
      <c r="AS243" s="775"/>
      <c r="AU243" s="777"/>
      <c r="AV243" s="775"/>
      <c r="AW243" s="775"/>
      <c r="AX243" s="775"/>
      <c r="AY243" s="775"/>
      <c r="AZ243" s="775"/>
      <c r="BA243" s="775"/>
      <c r="BB243" s="775"/>
    </row>
    <row r="244" spans="2:54" ht="15.75" thickBot="1" x14ac:dyDescent="0.3">
      <c r="B244" s="748" t="s">
        <v>1047</v>
      </c>
      <c r="C244" s="778" t="s">
        <v>187</v>
      </c>
      <c r="D244" s="778" t="s">
        <v>214</v>
      </c>
      <c r="E244" s="778" t="s">
        <v>233</v>
      </c>
      <c r="F244" s="778" t="s">
        <v>242</v>
      </c>
      <c r="G244" s="778" t="s">
        <v>250</v>
      </c>
      <c r="H244" s="778" t="s">
        <v>258</v>
      </c>
      <c r="I244" s="779" t="s">
        <v>265</v>
      </c>
      <c r="K244" s="748" t="s">
        <v>1047</v>
      </c>
      <c r="L244" s="778" t="s">
        <v>187</v>
      </c>
      <c r="M244" s="778" t="s">
        <v>214</v>
      </c>
      <c r="N244" s="778" t="s">
        <v>233</v>
      </c>
      <c r="O244" s="778" t="s">
        <v>242</v>
      </c>
      <c r="P244" s="778" t="s">
        <v>250</v>
      </c>
      <c r="Q244" s="778" t="s">
        <v>258</v>
      </c>
      <c r="R244" s="779" t="s">
        <v>265</v>
      </c>
      <c r="T244" s="751" t="s">
        <v>1047</v>
      </c>
      <c r="U244" s="778" t="s">
        <v>187</v>
      </c>
      <c r="V244" s="778" t="s">
        <v>214</v>
      </c>
      <c r="W244" s="778" t="s">
        <v>233</v>
      </c>
      <c r="X244" s="778" t="s">
        <v>242</v>
      </c>
      <c r="Y244" s="778" t="s">
        <v>250</v>
      </c>
      <c r="Z244" s="778" t="s">
        <v>258</v>
      </c>
      <c r="AA244" s="779" t="s">
        <v>265</v>
      </c>
      <c r="AC244" s="752" t="s">
        <v>1047</v>
      </c>
      <c r="AD244" s="778" t="s">
        <v>187</v>
      </c>
      <c r="AE244" s="778" t="s">
        <v>214</v>
      </c>
      <c r="AF244" s="778" t="s">
        <v>233</v>
      </c>
      <c r="AG244" s="778" t="s">
        <v>242</v>
      </c>
      <c r="AH244" s="778" t="s">
        <v>250</v>
      </c>
      <c r="AI244" s="778" t="s">
        <v>258</v>
      </c>
      <c r="AJ244" s="779" t="s">
        <v>265</v>
      </c>
      <c r="AL244" s="752" t="s">
        <v>1047</v>
      </c>
      <c r="AM244" s="778" t="s">
        <v>187</v>
      </c>
      <c r="AN244" s="778" t="s">
        <v>214</v>
      </c>
      <c r="AO244" s="778" t="s">
        <v>233</v>
      </c>
      <c r="AP244" s="778" t="s">
        <v>242</v>
      </c>
      <c r="AQ244" s="778" t="s">
        <v>250</v>
      </c>
      <c r="AR244" s="778" t="s">
        <v>258</v>
      </c>
      <c r="AS244" s="779" t="s">
        <v>265</v>
      </c>
      <c r="AU244" s="752" t="s">
        <v>1047</v>
      </c>
      <c r="AV244" s="778" t="s">
        <v>187</v>
      </c>
      <c r="AW244" s="778" t="s">
        <v>214</v>
      </c>
      <c r="AX244" s="778" t="s">
        <v>233</v>
      </c>
      <c r="AY244" s="778" t="s">
        <v>242</v>
      </c>
      <c r="AZ244" s="778" t="s">
        <v>250</v>
      </c>
      <c r="BA244" s="778" t="s">
        <v>258</v>
      </c>
      <c r="BB244" s="779" t="s">
        <v>265</v>
      </c>
    </row>
    <row r="245" spans="2:54" x14ac:dyDescent="0.25">
      <c r="B245" s="753" t="s">
        <v>186</v>
      </c>
      <c r="C245" s="754">
        <v>-21</v>
      </c>
      <c r="D245" s="755">
        <v>-17</v>
      </c>
      <c r="E245" s="755">
        <v>-12</v>
      </c>
      <c r="F245" s="755">
        <v>-14</v>
      </c>
      <c r="G245" s="755">
        <v>-19</v>
      </c>
      <c r="H245" s="755">
        <v>-23</v>
      </c>
      <c r="I245" s="756">
        <v>-22</v>
      </c>
      <c r="K245" s="753" t="s">
        <v>186</v>
      </c>
      <c r="L245" s="754">
        <v>-22</v>
      </c>
      <c r="M245" s="755">
        <v>-21</v>
      </c>
      <c r="N245" s="755">
        <v>-25</v>
      </c>
      <c r="O245" s="755">
        <v>-21</v>
      </c>
      <c r="P245" s="755">
        <v>-24</v>
      </c>
      <c r="Q245" s="755">
        <v>-19</v>
      </c>
      <c r="R245" s="756">
        <v>-21</v>
      </c>
      <c r="T245" s="757" t="s">
        <v>186</v>
      </c>
      <c r="U245" s="754">
        <v>-29</v>
      </c>
      <c r="V245" s="755">
        <v>-28</v>
      </c>
      <c r="W245" s="755">
        <v>-29</v>
      </c>
      <c r="X245" s="755">
        <v>-34</v>
      </c>
      <c r="Y245" s="755">
        <v>-32</v>
      </c>
      <c r="Z245" s="755">
        <v>-29</v>
      </c>
      <c r="AA245" s="756">
        <v>-29</v>
      </c>
      <c r="AC245" s="758" t="s">
        <v>186</v>
      </c>
      <c r="AD245" s="754">
        <v>-32</v>
      </c>
      <c r="AE245" s="755">
        <v>-32</v>
      </c>
      <c r="AF245" s="755">
        <v>-33</v>
      </c>
      <c r="AG245" s="755">
        <v>-33</v>
      </c>
      <c r="AH245" s="755">
        <v>-33</v>
      </c>
      <c r="AI245" s="755">
        <v>-31</v>
      </c>
      <c r="AJ245" s="756">
        <v>-29</v>
      </c>
      <c r="AL245" s="758" t="s">
        <v>186</v>
      </c>
      <c r="AM245" s="754"/>
      <c r="AN245" s="755"/>
      <c r="AO245" s="755">
        <v>-17</v>
      </c>
      <c r="AP245" s="755">
        <v>-21</v>
      </c>
      <c r="AQ245" s="755">
        <v>-19</v>
      </c>
      <c r="AR245" s="755">
        <v>-12</v>
      </c>
      <c r="AS245" s="756">
        <v>-11</v>
      </c>
      <c r="AU245" s="758" t="s">
        <v>186</v>
      </c>
      <c r="AV245" s="754">
        <v>-27</v>
      </c>
      <c r="AW245" s="755">
        <v>-23</v>
      </c>
      <c r="AX245" s="755">
        <v>-24</v>
      </c>
      <c r="AY245" s="755">
        <v>-23</v>
      </c>
      <c r="AZ245" s="755">
        <v>-28</v>
      </c>
      <c r="BA245" s="755">
        <v>-28</v>
      </c>
      <c r="BB245" s="756">
        <v>-28</v>
      </c>
    </row>
    <row r="246" spans="2:54" x14ac:dyDescent="0.25">
      <c r="B246" s="759" t="s">
        <v>213</v>
      </c>
      <c r="C246" s="760">
        <v>-21</v>
      </c>
      <c r="D246" s="761">
        <v>-19</v>
      </c>
      <c r="E246" s="761">
        <v>-17</v>
      </c>
      <c r="F246" s="761">
        <v>-14</v>
      </c>
      <c r="G246" s="761">
        <v>-17</v>
      </c>
      <c r="H246" s="761">
        <v>-20</v>
      </c>
      <c r="I246" s="762">
        <v>-19</v>
      </c>
      <c r="K246" s="759" t="s">
        <v>213</v>
      </c>
      <c r="L246" s="760">
        <v>-25</v>
      </c>
      <c r="M246" s="761">
        <v>-21</v>
      </c>
      <c r="N246" s="761">
        <v>-21</v>
      </c>
      <c r="O246" s="761">
        <v>-19</v>
      </c>
      <c r="P246" s="761">
        <v>-21</v>
      </c>
      <c r="Q246" s="761">
        <v>-18</v>
      </c>
      <c r="R246" s="762">
        <v>-21</v>
      </c>
      <c r="T246" s="763" t="s">
        <v>213</v>
      </c>
      <c r="U246" s="760">
        <v>-29</v>
      </c>
      <c r="V246" s="761">
        <v>-33</v>
      </c>
      <c r="W246" s="761">
        <v>-31</v>
      </c>
      <c r="X246" s="761">
        <v>-35</v>
      </c>
      <c r="Y246" s="761">
        <v>-32</v>
      </c>
      <c r="Z246" s="761">
        <v>-29</v>
      </c>
      <c r="AA246" s="762">
        <v>-30</v>
      </c>
      <c r="AC246" s="764" t="s">
        <v>213</v>
      </c>
      <c r="AD246" s="760">
        <v>-29</v>
      </c>
      <c r="AE246" s="761">
        <v>-32</v>
      </c>
      <c r="AF246" s="761">
        <v>-30</v>
      </c>
      <c r="AG246" s="761">
        <v>-31</v>
      </c>
      <c r="AH246" s="761">
        <v>-33</v>
      </c>
      <c r="AI246" s="761">
        <v>-32</v>
      </c>
      <c r="AJ246" s="762">
        <v>-31</v>
      </c>
      <c r="AL246" s="764" t="s">
        <v>213</v>
      </c>
      <c r="AM246" s="760"/>
      <c r="AN246" s="761"/>
      <c r="AO246" s="761">
        <v>-13</v>
      </c>
      <c r="AP246" s="761">
        <v>-18</v>
      </c>
      <c r="AQ246" s="761">
        <v>-18</v>
      </c>
      <c r="AR246" s="761">
        <v>-13</v>
      </c>
      <c r="AS246" s="762">
        <v>-12</v>
      </c>
      <c r="AU246" s="764" t="s">
        <v>213</v>
      </c>
      <c r="AV246" s="760">
        <v>-26</v>
      </c>
      <c r="AW246" s="761">
        <v>-27</v>
      </c>
      <c r="AX246" s="761">
        <v>-24</v>
      </c>
      <c r="AY246" s="761">
        <v>-28</v>
      </c>
      <c r="AZ246" s="761">
        <v>-27</v>
      </c>
      <c r="BA246" s="761">
        <v>-26</v>
      </c>
      <c r="BB246" s="762">
        <v>-29</v>
      </c>
    </row>
    <row r="247" spans="2:54" x14ac:dyDescent="0.25">
      <c r="B247" s="759" t="s">
        <v>232</v>
      </c>
      <c r="C247" s="765">
        <v>-17</v>
      </c>
      <c r="D247" s="766">
        <v>-16</v>
      </c>
      <c r="E247" s="766">
        <v>-14</v>
      </c>
      <c r="F247" s="766">
        <v>-12</v>
      </c>
      <c r="G247" s="766">
        <v>-19</v>
      </c>
      <c r="H247" s="766">
        <v>-20</v>
      </c>
      <c r="I247" s="767">
        <v>-20</v>
      </c>
      <c r="K247" s="759" t="s">
        <v>232</v>
      </c>
      <c r="L247" s="765">
        <v>-19</v>
      </c>
      <c r="M247" s="766">
        <v>-15</v>
      </c>
      <c r="N247" s="766">
        <v>-17</v>
      </c>
      <c r="O247" s="766">
        <v>-16</v>
      </c>
      <c r="P247" s="766">
        <v>-19</v>
      </c>
      <c r="Q247" s="766">
        <v>-16</v>
      </c>
      <c r="R247" s="767">
        <v>-19</v>
      </c>
      <c r="T247" s="763" t="s">
        <v>232</v>
      </c>
      <c r="U247" s="765">
        <v>-29</v>
      </c>
      <c r="V247" s="766">
        <v>-28</v>
      </c>
      <c r="W247" s="766">
        <v>-30</v>
      </c>
      <c r="X247" s="766">
        <v>-34</v>
      </c>
      <c r="Y247" s="766">
        <v>-34</v>
      </c>
      <c r="Z247" s="766">
        <v>-31</v>
      </c>
      <c r="AA247" s="767">
        <v>-30</v>
      </c>
      <c r="AC247" s="764" t="s">
        <v>232</v>
      </c>
      <c r="AD247" s="765">
        <v>-29</v>
      </c>
      <c r="AE247" s="766">
        <v>-29</v>
      </c>
      <c r="AF247" s="766">
        <v>-29</v>
      </c>
      <c r="AG247" s="766">
        <v>-31</v>
      </c>
      <c r="AH247" s="766">
        <v>-31</v>
      </c>
      <c r="AI247" s="766">
        <v>-29</v>
      </c>
      <c r="AJ247" s="767">
        <v>-32</v>
      </c>
      <c r="AL247" s="764" t="s">
        <v>232</v>
      </c>
      <c r="AM247" s="765"/>
      <c r="AN247" s="766"/>
      <c r="AO247" s="766">
        <v>-15</v>
      </c>
      <c r="AP247" s="766">
        <v>-16</v>
      </c>
      <c r="AQ247" s="766">
        <v>-14</v>
      </c>
      <c r="AR247" s="766">
        <v>-12</v>
      </c>
      <c r="AS247" s="767">
        <v>-13</v>
      </c>
      <c r="AU247" s="764" t="s">
        <v>232</v>
      </c>
      <c r="AV247" s="765">
        <v>-24</v>
      </c>
      <c r="AW247" s="766">
        <v>-25</v>
      </c>
      <c r="AX247" s="766">
        <v>-28</v>
      </c>
      <c r="AY247" s="766">
        <v>-29</v>
      </c>
      <c r="AZ247" s="766">
        <v>-29</v>
      </c>
      <c r="BA247" s="766">
        <v>-28</v>
      </c>
      <c r="BB247" s="767">
        <v>-27</v>
      </c>
    </row>
    <row r="248" spans="2:54" x14ac:dyDescent="0.25">
      <c r="B248" s="759" t="s">
        <v>215</v>
      </c>
      <c r="C248" s="765">
        <v>-11</v>
      </c>
      <c r="D248" s="766">
        <v>-12</v>
      </c>
      <c r="E248" s="766">
        <v>-13</v>
      </c>
      <c r="F248" s="766">
        <v>-10</v>
      </c>
      <c r="G248" s="766">
        <v>-17</v>
      </c>
      <c r="H248" s="766">
        <v>-18</v>
      </c>
      <c r="I248" s="767">
        <v>-18</v>
      </c>
      <c r="K248" s="759" t="s">
        <v>215</v>
      </c>
      <c r="L248" s="765">
        <v>-13</v>
      </c>
      <c r="M248" s="766">
        <v>-14</v>
      </c>
      <c r="N248" s="766">
        <v>-12</v>
      </c>
      <c r="O248" s="766">
        <v>-16</v>
      </c>
      <c r="P248" s="766">
        <v>-15</v>
      </c>
      <c r="Q248" s="766">
        <v>-16</v>
      </c>
      <c r="R248" s="767">
        <v>-20</v>
      </c>
      <c r="T248" s="763" t="s">
        <v>215</v>
      </c>
      <c r="U248" s="765">
        <v>-29</v>
      </c>
      <c r="V248" s="766">
        <v>-33</v>
      </c>
      <c r="W248" s="766">
        <v>-32</v>
      </c>
      <c r="X248" s="766">
        <v>-34</v>
      </c>
      <c r="Y248" s="766">
        <v>-33</v>
      </c>
      <c r="Z248" s="766">
        <v>-28</v>
      </c>
      <c r="AA248" s="767">
        <v>-29</v>
      </c>
      <c r="AC248" s="764" t="s">
        <v>215</v>
      </c>
      <c r="AD248" s="765">
        <v>-29</v>
      </c>
      <c r="AE248" s="766">
        <v>-30</v>
      </c>
      <c r="AF248" s="766">
        <v>-30</v>
      </c>
      <c r="AG248" s="766">
        <v>-35</v>
      </c>
      <c r="AH248" s="766">
        <v>-34</v>
      </c>
      <c r="AI248" s="766">
        <v>-33</v>
      </c>
      <c r="AJ248" s="767">
        <v>-32</v>
      </c>
      <c r="AL248" s="764" t="s">
        <v>215</v>
      </c>
      <c r="AM248" s="765"/>
      <c r="AN248" s="766">
        <v>-16</v>
      </c>
      <c r="AO248" s="766">
        <v>-15</v>
      </c>
      <c r="AP248" s="766">
        <v>-15</v>
      </c>
      <c r="AQ248" s="766">
        <v>-13</v>
      </c>
      <c r="AR248" s="766">
        <v>-12</v>
      </c>
      <c r="AS248" s="767">
        <v>-12</v>
      </c>
      <c r="AU248" s="764" t="s">
        <v>215</v>
      </c>
      <c r="AV248" s="765">
        <v>-26</v>
      </c>
      <c r="AW248" s="766">
        <v>-26</v>
      </c>
      <c r="AX248" s="766">
        <v>-28</v>
      </c>
      <c r="AY248" s="766">
        <v>-27</v>
      </c>
      <c r="AZ248" s="766">
        <v>-28</v>
      </c>
      <c r="BA248" s="766">
        <v>-27</v>
      </c>
      <c r="BB248" s="767">
        <v>-25</v>
      </c>
    </row>
    <row r="249" spans="2:54" x14ac:dyDescent="0.25">
      <c r="B249" s="759" t="s">
        <v>249</v>
      </c>
      <c r="C249" s="765">
        <v>-13</v>
      </c>
      <c r="D249" s="766">
        <v>-11</v>
      </c>
      <c r="E249" s="766">
        <v>-11</v>
      </c>
      <c r="F249" s="766">
        <v>-11</v>
      </c>
      <c r="G249" s="766">
        <v>-10</v>
      </c>
      <c r="H249" s="766">
        <v>-17</v>
      </c>
      <c r="I249" s="767">
        <v>-21</v>
      </c>
      <c r="K249" s="759" t="s">
        <v>249</v>
      </c>
      <c r="L249" s="765">
        <v>-12</v>
      </c>
      <c r="M249" s="766">
        <v>-10</v>
      </c>
      <c r="N249" s="766">
        <v>-14</v>
      </c>
      <c r="O249" s="766">
        <v>-14</v>
      </c>
      <c r="P249" s="766">
        <v>-9</v>
      </c>
      <c r="Q249" s="766">
        <v>-15</v>
      </c>
      <c r="R249" s="767">
        <v>-20</v>
      </c>
      <c r="T249" s="763" t="s">
        <v>249</v>
      </c>
      <c r="U249" s="765">
        <v>-33</v>
      </c>
      <c r="V249" s="766">
        <v>-31</v>
      </c>
      <c r="W249" s="766">
        <v>-31</v>
      </c>
      <c r="X249" s="766">
        <v>-31</v>
      </c>
      <c r="Y249" s="766">
        <v>-30</v>
      </c>
      <c r="Z249" s="766">
        <v>-28</v>
      </c>
      <c r="AA249" s="767">
        <v>-30</v>
      </c>
      <c r="AC249" s="764" t="s">
        <v>249</v>
      </c>
      <c r="AD249" s="765">
        <v>-30</v>
      </c>
      <c r="AE249" s="766">
        <v>-30</v>
      </c>
      <c r="AF249" s="766">
        <v>-29</v>
      </c>
      <c r="AG249" s="766">
        <v>-29</v>
      </c>
      <c r="AH249" s="766">
        <v>-29</v>
      </c>
      <c r="AI249" s="766">
        <v>-29</v>
      </c>
      <c r="AJ249" s="767">
        <v>-29</v>
      </c>
      <c r="AL249" s="764" t="s">
        <v>249</v>
      </c>
      <c r="AM249" s="765"/>
      <c r="AN249" s="766">
        <v>-10</v>
      </c>
      <c r="AO249" s="766">
        <v>-9</v>
      </c>
      <c r="AP249" s="766">
        <v>-8</v>
      </c>
      <c r="AQ249" s="766">
        <v>-9</v>
      </c>
      <c r="AR249" s="766">
        <v>-9</v>
      </c>
      <c r="AS249" s="767">
        <v>-14</v>
      </c>
      <c r="AU249" s="764" t="s">
        <v>249</v>
      </c>
      <c r="AV249" s="765">
        <v>-24</v>
      </c>
      <c r="AW249" s="766">
        <v>-22</v>
      </c>
      <c r="AX249" s="766">
        <v>-23</v>
      </c>
      <c r="AY249" s="766">
        <v>-24</v>
      </c>
      <c r="AZ249" s="766">
        <v>-22</v>
      </c>
      <c r="BA249" s="766">
        <v>-23</v>
      </c>
      <c r="BB249" s="767">
        <v>-22</v>
      </c>
    </row>
    <row r="250" spans="2:54" x14ac:dyDescent="0.25">
      <c r="B250" s="759" t="s">
        <v>257</v>
      </c>
      <c r="C250" s="765">
        <v>-8</v>
      </c>
      <c r="D250" s="766">
        <v>-16</v>
      </c>
      <c r="E250" s="766">
        <v>-14</v>
      </c>
      <c r="F250" s="766">
        <v>-13</v>
      </c>
      <c r="G250" s="766">
        <v>-9</v>
      </c>
      <c r="H250" s="766">
        <v>-14</v>
      </c>
      <c r="I250" s="767">
        <v>-18</v>
      </c>
      <c r="K250" s="759" t="s">
        <v>257</v>
      </c>
      <c r="L250" s="765">
        <v>-13</v>
      </c>
      <c r="M250" s="766">
        <v>-11</v>
      </c>
      <c r="N250" s="766">
        <v>-9</v>
      </c>
      <c r="O250" s="766">
        <v>-12</v>
      </c>
      <c r="P250" s="766">
        <v>-10</v>
      </c>
      <c r="Q250" s="766">
        <v>-13</v>
      </c>
      <c r="R250" s="767">
        <v>-17</v>
      </c>
      <c r="T250" s="763" t="s">
        <v>257</v>
      </c>
      <c r="U250" s="765">
        <v>-26</v>
      </c>
      <c r="V250" s="766">
        <v>-27</v>
      </c>
      <c r="W250" s="766">
        <v>-25</v>
      </c>
      <c r="X250" s="766">
        <v>-24</v>
      </c>
      <c r="Y250" s="766">
        <v>-23</v>
      </c>
      <c r="Z250" s="766">
        <v>-28</v>
      </c>
      <c r="AA250" s="767">
        <v>-28</v>
      </c>
      <c r="AC250" s="764" t="s">
        <v>257</v>
      </c>
      <c r="AD250" s="765">
        <v>-26</v>
      </c>
      <c r="AE250" s="766">
        <v>-26</v>
      </c>
      <c r="AF250" s="766">
        <v>-28</v>
      </c>
      <c r="AG250" s="766">
        <v>-28</v>
      </c>
      <c r="AH250" s="766">
        <v>-27</v>
      </c>
      <c r="AI250" s="766">
        <v>-31</v>
      </c>
      <c r="AJ250" s="767">
        <v>-29</v>
      </c>
      <c r="AL250" s="764" t="s">
        <v>257</v>
      </c>
      <c r="AM250" s="765"/>
      <c r="AN250" s="766">
        <v>-11</v>
      </c>
      <c r="AO250" s="766">
        <v>-11</v>
      </c>
      <c r="AP250" s="766">
        <v>-10</v>
      </c>
      <c r="AQ250" s="766">
        <v>-9</v>
      </c>
      <c r="AR250" s="766">
        <v>-12</v>
      </c>
      <c r="AS250" s="767">
        <v>-11</v>
      </c>
      <c r="AU250" s="764" t="s">
        <v>257</v>
      </c>
      <c r="AV250" s="765">
        <v>-24</v>
      </c>
      <c r="AW250" s="766">
        <v>-23</v>
      </c>
      <c r="AX250" s="766">
        <v>-22</v>
      </c>
      <c r="AY250" s="766">
        <v>-22</v>
      </c>
      <c r="AZ250" s="766">
        <v>-20</v>
      </c>
      <c r="BA250" s="766">
        <v>-24</v>
      </c>
      <c r="BB250" s="767">
        <v>-25</v>
      </c>
    </row>
    <row r="251" spans="2:54" x14ac:dyDescent="0.25">
      <c r="B251" s="759" t="s">
        <v>264</v>
      </c>
      <c r="C251" s="765">
        <v>-9</v>
      </c>
      <c r="D251" s="766">
        <v>-8</v>
      </c>
      <c r="E251" s="766">
        <v>-7</v>
      </c>
      <c r="F251" s="766">
        <v>-7</v>
      </c>
      <c r="G251" s="766">
        <v>-7</v>
      </c>
      <c r="H251" s="766">
        <v>-13</v>
      </c>
      <c r="I251" s="767">
        <v>-16</v>
      </c>
      <c r="K251" s="759" t="s">
        <v>264</v>
      </c>
      <c r="L251" s="765">
        <v>-13</v>
      </c>
      <c r="M251" s="766">
        <v>-12</v>
      </c>
      <c r="N251" s="766">
        <v>-12</v>
      </c>
      <c r="O251" s="766">
        <v>-10</v>
      </c>
      <c r="P251" s="766">
        <v>-9</v>
      </c>
      <c r="Q251" s="766">
        <v>-10</v>
      </c>
      <c r="R251" s="767">
        <v>-20</v>
      </c>
      <c r="T251" s="763" t="s">
        <v>264</v>
      </c>
      <c r="U251" s="765">
        <v>-23</v>
      </c>
      <c r="V251" s="766">
        <v>-27</v>
      </c>
      <c r="W251" s="766">
        <v>-26</v>
      </c>
      <c r="X251" s="766">
        <v>-25</v>
      </c>
      <c r="Y251" s="766">
        <v>-25</v>
      </c>
      <c r="Z251" s="766">
        <v>-26</v>
      </c>
      <c r="AA251" s="767">
        <v>-28</v>
      </c>
      <c r="AC251" s="764" t="s">
        <v>264</v>
      </c>
      <c r="AD251" s="765">
        <v>-26</v>
      </c>
      <c r="AE251" s="766">
        <v>-27</v>
      </c>
      <c r="AF251" s="766">
        <v>-28</v>
      </c>
      <c r="AG251" s="766">
        <v>-28</v>
      </c>
      <c r="AH251" s="766">
        <v>-28</v>
      </c>
      <c r="AI251" s="766">
        <v>-31</v>
      </c>
      <c r="AJ251" s="767">
        <v>-30</v>
      </c>
      <c r="AL251" s="764" t="s">
        <v>264</v>
      </c>
      <c r="AM251" s="765" t="s">
        <v>1048</v>
      </c>
      <c r="AN251" s="766">
        <v>-12</v>
      </c>
      <c r="AO251" s="766">
        <v>-11</v>
      </c>
      <c r="AP251" s="766">
        <v>-11</v>
      </c>
      <c r="AQ251" s="766">
        <v>-11</v>
      </c>
      <c r="AR251" s="766">
        <v>-12</v>
      </c>
      <c r="AS251" s="767">
        <v>-11</v>
      </c>
      <c r="AU251" s="764" t="s">
        <v>264</v>
      </c>
      <c r="AV251" s="765">
        <v>-18</v>
      </c>
      <c r="AW251" s="766">
        <v>-19</v>
      </c>
      <c r="AX251" s="766">
        <v>-20</v>
      </c>
      <c r="AY251" s="766">
        <v>-21</v>
      </c>
      <c r="AZ251" s="766">
        <v>-21</v>
      </c>
      <c r="BA251" s="766">
        <v>-22</v>
      </c>
      <c r="BB251" s="767">
        <v>-25</v>
      </c>
    </row>
    <row r="252" spans="2:54" x14ac:dyDescent="0.25">
      <c r="B252" s="759" t="s">
        <v>272</v>
      </c>
      <c r="C252" s="765">
        <v>-10</v>
      </c>
      <c r="D252" s="766">
        <v>-10</v>
      </c>
      <c r="E252" s="766">
        <v>-9</v>
      </c>
      <c r="F252" s="766">
        <v>-9</v>
      </c>
      <c r="G252" s="766">
        <v>-9</v>
      </c>
      <c r="H252" s="766">
        <v>-9</v>
      </c>
      <c r="I252" s="767">
        <v>-17</v>
      </c>
      <c r="K252" s="759" t="s">
        <v>272</v>
      </c>
      <c r="L252" s="765">
        <v>-18</v>
      </c>
      <c r="M252" s="766">
        <v>-16</v>
      </c>
      <c r="N252" s="766">
        <v>-16</v>
      </c>
      <c r="O252" s="766">
        <v>-15</v>
      </c>
      <c r="P252" s="766">
        <v>-18</v>
      </c>
      <c r="Q252" s="766">
        <v>-22</v>
      </c>
      <c r="R252" s="767">
        <v>-21</v>
      </c>
      <c r="T252" s="763" t="s">
        <v>272</v>
      </c>
      <c r="U252" s="765">
        <v>-26</v>
      </c>
      <c r="V252" s="766">
        <v>-24</v>
      </c>
      <c r="W252" s="766">
        <v>-24</v>
      </c>
      <c r="X252" s="766">
        <v>-23</v>
      </c>
      <c r="Y252" s="766">
        <v>-26</v>
      </c>
      <c r="Z252" s="766">
        <v>-26</v>
      </c>
      <c r="AA252" s="767">
        <v>-25</v>
      </c>
      <c r="AC252" s="764" t="s">
        <v>272</v>
      </c>
      <c r="AD252" s="765">
        <v>-26</v>
      </c>
      <c r="AE252" s="766">
        <v>-30</v>
      </c>
      <c r="AF252" s="766">
        <v>-30</v>
      </c>
      <c r="AG252" s="766">
        <v>-29</v>
      </c>
      <c r="AH252" s="766">
        <v>-30</v>
      </c>
      <c r="AI252" s="766">
        <v>-30</v>
      </c>
      <c r="AJ252" s="767">
        <v>-32</v>
      </c>
      <c r="AL252" s="764" t="s">
        <v>272</v>
      </c>
      <c r="AM252" s="765" t="s">
        <v>1048</v>
      </c>
      <c r="AN252" s="766">
        <v>-13</v>
      </c>
      <c r="AO252" s="766">
        <v>-12</v>
      </c>
      <c r="AP252" s="766">
        <v>-12</v>
      </c>
      <c r="AQ252" s="766">
        <v>-12</v>
      </c>
      <c r="AR252" s="766">
        <v>-10</v>
      </c>
      <c r="AS252" s="767">
        <v>-13</v>
      </c>
      <c r="AU252" s="764" t="s">
        <v>272</v>
      </c>
      <c r="AV252" s="765">
        <v>-18</v>
      </c>
      <c r="AW252" s="766">
        <v>-18</v>
      </c>
      <c r="AX252" s="766">
        <v>-19</v>
      </c>
      <c r="AY252" s="766">
        <v>-23</v>
      </c>
      <c r="AZ252" s="766">
        <v>-24</v>
      </c>
      <c r="BA252" s="766">
        <v>-25</v>
      </c>
      <c r="BB252" s="767">
        <v>-26</v>
      </c>
    </row>
    <row r="253" spans="2:54" x14ac:dyDescent="0.25">
      <c r="B253" s="759" t="s">
        <v>278</v>
      </c>
      <c r="C253" s="765">
        <v>-17</v>
      </c>
      <c r="D253" s="766">
        <v>-14</v>
      </c>
      <c r="E253" s="766">
        <v>-15</v>
      </c>
      <c r="F253" s="766">
        <v>-14</v>
      </c>
      <c r="G253" s="766">
        <v>-12</v>
      </c>
      <c r="H253" s="766">
        <v>-12</v>
      </c>
      <c r="I253" s="767">
        <v>-14</v>
      </c>
      <c r="K253" s="759" t="s">
        <v>278</v>
      </c>
      <c r="L253" s="765">
        <v>-15</v>
      </c>
      <c r="M253" s="766">
        <v>-15</v>
      </c>
      <c r="N253" s="766">
        <v>-16</v>
      </c>
      <c r="O253" s="766">
        <v>-21</v>
      </c>
      <c r="P253" s="766">
        <v>-19</v>
      </c>
      <c r="Q253" s="766">
        <v>-20</v>
      </c>
      <c r="R253" s="767">
        <v>-22</v>
      </c>
      <c r="T253" s="763" t="s">
        <v>278</v>
      </c>
      <c r="U253" s="765">
        <v>-18</v>
      </c>
      <c r="V253" s="766">
        <v>-18</v>
      </c>
      <c r="W253" s="766">
        <v>-19</v>
      </c>
      <c r="X253" s="766">
        <v>-18</v>
      </c>
      <c r="Y253" s="766">
        <v>-19</v>
      </c>
      <c r="Z253" s="766">
        <v>-20</v>
      </c>
      <c r="AA253" s="767">
        <v>-22</v>
      </c>
      <c r="AC253" s="764" t="s">
        <v>278</v>
      </c>
      <c r="AD253" s="765">
        <v>-28</v>
      </c>
      <c r="AE253" s="766">
        <v>-29</v>
      </c>
      <c r="AF253" s="766">
        <v>-28</v>
      </c>
      <c r="AG253" s="766">
        <v>-28</v>
      </c>
      <c r="AH253" s="766">
        <v>-28</v>
      </c>
      <c r="AI253" s="766">
        <v>-31</v>
      </c>
      <c r="AJ253" s="767">
        <v>-34</v>
      </c>
      <c r="AL253" s="764" t="s">
        <v>278</v>
      </c>
      <c r="AM253" s="765" t="s">
        <v>1048</v>
      </c>
      <c r="AN253" s="766">
        <v>-11</v>
      </c>
      <c r="AO253" s="766">
        <v>-9</v>
      </c>
      <c r="AP253" s="766">
        <v>-9</v>
      </c>
      <c r="AQ253" s="766">
        <v>-8</v>
      </c>
      <c r="AR253" s="766">
        <v>-8</v>
      </c>
      <c r="AS253" s="767">
        <v>-10</v>
      </c>
      <c r="AU253" s="764" t="s">
        <v>278</v>
      </c>
      <c r="AV253" s="765">
        <v>-18</v>
      </c>
      <c r="AW253" s="766">
        <v>-20</v>
      </c>
      <c r="AX253" s="766">
        <v>-19</v>
      </c>
      <c r="AY253" s="766">
        <v>-18</v>
      </c>
      <c r="AZ253" s="766">
        <v>-21</v>
      </c>
      <c r="BA253" s="766">
        <v>-22</v>
      </c>
      <c r="BB253" s="767">
        <v>-23</v>
      </c>
    </row>
    <row r="254" spans="2:54" ht="15.75" thickBot="1" x14ac:dyDescent="0.3">
      <c r="B254" s="768" t="s">
        <v>284</v>
      </c>
      <c r="C254" s="769" t="s">
        <v>1048</v>
      </c>
      <c r="D254" s="770" t="s">
        <v>1048</v>
      </c>
      <c r="E254" s="770" t="s">
        <v>1048</v>
      </c>
      <c r="F254" s="770" t="s">
        <v>1048</v>
      </c>
      <c r="G254" s="770" t="s">
        <v>1048</v>
      </c>
      <c r="H254" s="770" t="s">
        <v>1048</v>
      </c>
      <c r="I254" s="771" t="s">
        <v>1048</v>
      </c>
      <c r="K254" s="768" t="s">
        <v>284</v>
      </c>
      <c r="L254" s="769" t="s">
        <v>1048</v>
      </c>
      <c r="M254" s="770" t="s">
        <v>1048</v>
      </c>
      <c r="N254" s="770" t="s">
        <v>1048</v>
      </c>
      <c r="O254" s="770" t="s">
        <v>1048</v>
      </c>
      <c r="P254" s="770" t="s">
        <v>1048</v>
      </c>
      <c r="Q254" s="770" t="s">
        <v>1048</v>
      </c>
      <c r="R254" s="771" t="s">
        <v>1048</v>
      </c>
      <c r="T254" s="772" t="s">
        <v>284</v>
      </c>
      <c r="U254" s="769" t="s">
        <v>1048</v>
      </c>
      <c r="V254" s="770" t="s">
        <v>1048</v>
      </c>
      <c r="W254" s="770" t="s">
        <v>1048</v>
      </c>
      <c r="X254" s="770" t="s">
        <v>1048</v>
      </c>
      <c r="Y254" s="770" t="s">
        <v>1048</v>
      </c>
      <c r="Z254" s="770" t="s">
        <v>1048</v>
      </c>
      <c r="AA254" s="771" t="s">
        <v>1048</v>
      </c>
      <c r="AC254" s="773" t="s">
        <v>284</v>
      </c>
      <c r="AD254" s="769" t="s">
        <v>1048</v>
      </c>
      <c r="AE254" s="770" t="s">
        <v>1048</v>
      </c>
      <c r="AF254" s="770" t="s">
        <v>1048</v>
      </c>
      <c r="AG254" s="770" t="s">
        <v>1048</v>
      </c>
      <c r="AH254" s="770" t="s">
        <v>1048</v>
      </c>
      <c r="AI254" s="770" t="s">
        <v>1048</v>
      </c>
      <c r="AJ254" s="771" t="s">
        <v>1048</v>
      </c>
      <c r="AL254" s="773" t="s">
        <v>284</v>
      </c>
      <c r="AM254" s="769" t="s">
        <v>1048</v>
      </c>
      <c r="AN254" s="770" t="s">
        <v>1048</v>
      </c>
      <c r="AO254" s="770" t="s">
        <v>1048</v>
      </c>
      <c r="AP254" s="770" t="s">
        <v>1048</v>
      </c>
      <c r="AQ254" s="770" t="s">
        <v>1048</v>
      </c>
      <c r="AR254" s="770" t="s">
        <v>1048</v>
      </c>
      <c r="AS254" s="771" t="s">
        <v>1048</v>
      </c>
      <c r="AU254" s="773" t="s">
        <v>284</v>
      </c>
      <c r="AV254" s="769" t="s">
        <v>1048</v>
      </c>
      <c r="AW254" s="770" t="s">
        <v>1048</v>
      </c>
      <c r="AX254" s="770" t="s">
        <v>1048</v>
      </c>
      <c r="AY254" s="770" t="s">
        <v>1048</v>
      </c>
      <c r="AZ254" s="770" t="s">
        <v>1048</v>
      </c>
      <c r="BA254" s="770" t="s">
        <v>1048</v>
      </c>
      <c r="BB254" s="771" t="s">
        <v>1048</v>
      </c>
    </row>
    <row r="255" spans="2:54" ht="15.75" thickBot="1" x14ac:dyDescent="0.3"/>
    <row r="256" spans="2:54" ht="15.75" thickBot="1" x14ac:dyDescent="0.3">
      <c r="B256" s="748" t="s">
        <v>1071</v>
      </c>
      <c r="C256" s="778" t="s">
        <v>187</v>
      </c>
      <c r="D256" s="778" t="s">
        <v>214</v>
      </c>
      <c r="E256" s="778" t="s">
        <v>233</v>
      </c>
      <c r="F256" s="778" t="s">
        <v>242</v>
      </c>
      <c r="G256" s="778" t="s">
        <v>250</v>
      </c>
      <c r="H256" s="778" t="s">
        <v>258</v>
      </c>
      <c r="I256" s="779" t="s">
        <v>265</v>
      </c>
      <c r="K256" s="748" t="s">
        <v>1071</v>
      </c>
      <c r="L256" s="778" t="s">
        <v>187</v>
      </c>
      <c r="M256" s="778" t="s">
        <v>214</v>
      </c>
      <c r="N256" s="778" t="s">
        <v>233</v>
      </c>
      <c r="O256" s="778" t="s">
        <v>242</v>
      </c>
      <c r="P256" s="778" t="s">
        <v>250</v>
      </c>
      <c r="Q256" s="778" t="s">
        <v>258</v>
      </c>
      <c r="R256" s="779" t="s">
        <v>265</v>
      </c>
      <c r="T256" s="751" t="s">
        <v>1071</v>
      </c>
      <c r="U256" s="778" t="s">
        <v>187</v>
      </c>
      <c r="V256" s="778" t="s">
        <v>214</v>
      </c>
      <c r="W256" s="778" t="s">
        <v>233</v>
      </c>
      <c r="X256" s="778" t="s">
        <v>242</v>
      </c>
      <c r="Y256" s="778" t="s">
        <v>250</v>
      </c>
      <c r="Z256" s="778" t="s">
        <v>258</v>
      </c>
      <c r="AA256" s="779" t="s">
        <v>265</v>
      </c>
      <c r="AC256" s="752" t="s">
        <v>1071</v>
      </c>
      <c r="AD256" s="778" t="s">
        <v>187</v>
      </c>
      <c r="AE256" s="778" t="s">
        <v>214</v>
      </c>
      <c r="AF256" s="778" t="s">
        <v>233</v>
      </c>
      <c r="AG256" s="778" t="s">
        <v>242</v>
      </c>
      <c r="AH256" s="778" t="s">
        <v>250</v>
      </c>
      <c r="AI256" s="778" t="s">
        <v>258</v>
      </c>
      <c r="AJ256" s="779" t="s">
        <v>265</v>
      </c>
      <c r="AL256" s="752" t="s">
        <v>1071</v>
      </c>
      <c r="AM256" s="778" t="s">
        <v>187</v>
      </c>
      <c r="AN256" s="778" t="s">
        <v>214</v>
      </c>
      <c r="AO256" s="778" t="s">
        <v>233</v>
      </c>
      <c r="AP256" s="778" t="s">
        <v>242</v>
      </c>
      <c r="AQ256" s="778" t="s">
        <v>250</v>
      </c>
      <c r="AR256" s="778" t="s">
        <v>258</v>
      </c>
      <c r="AS256" s="779" t="s">
        <v>265</v>
      </c>
      <c r="AU256" s="752" t="s">
        <v>1071</v>
      </c>
      <c r="AV256" s="778" t="s">
        <v>187</v>
      </c>
      <c r="AW256" s="778" t="s">
        <v>214</v>
      </c>
      <c r="AX256" s="778" t="s">
        <v>233</v>
      </c>
      <c r="AY256" s="778" t="s">
        <v>242</v>
      </c>
      <c r="AZ256" s="778" t="s">
        <v>250</v>
      </c>
      <c r="BA256" s="778" t="s">
        <v>258</v>
      </c>
      <c r="BB256" s="779" t="s">
        <v>265</v>
      </c>
    </row>
    <row r="257" spans="2:63" x14ac:dyDescent="0.25">
      <c r="B257" s="753" t="s">
        <v>186</v>
      </c>
      <c r="C257" s="754">
        <v>-17</v>
      </c>
      <c r="D257" s="755">
        <v>-13</v>
      </c>
      <c r="E257" s="755">
        <v>-8</v>
      </c>
      <c r="F257" s="755">
        <v>-10</v>
      </c>
      <c r="G257" s="755">
        <v>-15</v>
      </c>
      <c r="H257" s="755">
        <v>-19</v>
      </c>
      <c r="I257" s="756">
        <v>-18</v>
      </c>
      <c r="K257" s="753" t="s">
        <v>186</v>
      </c>
      <c r="L257" s="754">
        <v>-18</v>
      </c>
      <c r="M257" s="755">
        <v>-17</v>
      </c>
      <c r="N257" s="755">
        <v>-21</v>
      </c>
      <c r="O257" s="755">
        <v>-17</v>
      </c>
      <c r="P257" s="755">
        <v>-20</v>
      </c>
      <c r="Q257" s="755">
        <v>-15</v>
      </c>
      <c r="R257" s="756">
        <v>-17</v>
      </c>
      <c r="T257" s="757" t="s">
        <v>186</v>
      </c>
      <c r="U257" s="754">
        <v>-25</v>
      </c>
      <c r="V257" s="755">
        <v>-24</v>
      </c>
      <c r="W257" s="755">
        <v>-25</v>
      </c>
      <c r="X257" s="755">
        <v>-30</v>
      </c>
      <c r="Y257" s="755">
        <v>-28</v>
      </c>
      <c r="Z257" s="755">
        <v>-25</v>
      </c>
      <c r="AA257" s="756">
        <v>-25</v>
      </c>
      <c r="AC257" s="758" t="s">
        <v>186</v>
      </c>
      <c r="AD257" s="754">
        <v>-28</v>
      </c>
      <c r="AE257" s="755">
        <v>-28</v>
      </c>
      <c r="AF257" s="755">
        <v>-29</v>
      </c>
      <c r="AG257" s="755">
        <v>-29</v>
      </c>
      <c r="AH257" s="755">
        <v>-29</v>
      </c>
      <c r="AI257" s="755">
        <v>-27</v>
      </c>
      <c r="AJ257" s="756">
        <v>-25</v>
      </c>
      <c r="AL257" s="758" t="s">
        <v>186</v>
      </c>
      <c r="AM257" s="754"/>
      <c r="AN257" s="755"/>
      <c r="AO257" s="755">
        <v>-13</v>
      </c>
      <c r="AP257" s="755">
        <v>-17</v>
      </c>
      <c r="AQ257" s="755">
        <v>-15</v>
      </c>
      <c r="AR257" s="755">
        <v>-8</v>
      </c>
      <c r="AS257" s="756">
        <v>-7</v>
      </c>
      <c r="AU257" s="758" t="s">
        <v>186</v>
      </c>
      <c r="AV257" s="754">
        <v>-23</v>
      </c>
      <c r="AW257" s="755">
        <v>-19</v>
      </c>
      <c r="AX257" s="755">
        <v>-20</v>
      </c>
      <c r="AY257" s="755">
        <v>-19</v>
      </c>
      <c r="AZ257" s="755">
        <v>-24</v>
      </c>
      <c r="BA257" s="755">
        <v>-24</v>
      </c>
      <c r="BB257" s="756">
        <v>-24</v>
      </c>
    </row>
    <row r="258" spans="2:63" x14ac:dyDescent="0.25">
      <c r="B258" s="759" t="s">
        <v>213</v>
      </c>
      <c r="C258" s="760">
        <v>-17</v>
      </c>
      <c r="D258" s="761">
        <v>-15</v>
      </c>
      <c r="E258" s="761">
        <v>-13</v>
      </c>
      <c r="F258" s="761">
        <v>-10</v>
      </c>
      <c r="G258" s="761">
        <v>-13</v>
      </c>
      <c r="H258" s="761">
        <v>-16</v>
      </c>
      <c r="I258" s="762">
        <v>-15</v>
      </c>
      <c r="K258" s="759" t="s">
        <v>213</v>
      </c>
      <c r="L258" s="760">
        <v>-21</v>
      </c>
      <c r="M258" s="761">
        <v>-17</v>
      </c>
      <c r="N258" s="761">
        <v>-17</v>
      </c>
      <c r="O258" s="761">
        <v>-15</v>
      </c>
      <c r="P258" s="761">
        <v>-17</v>
      </c>
      <c r="Q258" s="761">
        <v>-14</v>
      </c>
      <c r="R258" s="762">
        <v>-17</v>
      </c>
      <c r="T258" s="763" t="s">
        <v>213</v>
      </c>
      <c r="U258" s="760">
        <v>-25</v>
      </c>
      <c r="V258" s="761">
        <v>-29</v>
      </c>
      <c r="W258" s="761">
        <v>-27</v>
      </c>
      <c r="X258" s="761">
        <v>-31</v>
      </c>
      <c r="Y258" s="761">
        <v>-28</v>
      </c>
      <c r="Z258" s="761">
        <v>-25</v>
      </c>
      <c r="AA258" s="762">
        <v>-26</v>
      </c>
      <c r="AC258" s="764" t="s">
        <v>213</v>
      </c>
      <c r="AD258" s="760">
        <v>-25</v>
      </c>
      <c r="AE258" s="761">
        <v>-28</v>
      </c>
      <c r="AF258" s="761">
        <v>-26</v>
      </c>
      <c r="AG258" s="761">
        <v>-27</v>
      </c>
      <c r="AH258" s="761">
        <v>-29</v>
      </c>
      <c r="AI258" s="761">
        <v>-28</v>
      </c>
      <c r="AJ258" s="762">
        <v>-27</v>
      </c>
      <c r="AL258" s="764" t="s">
        <v>213</v>
      </c>
      <c r="AM258" s="760"/>
      <c r="AN258" s="761"/>
      <c r="AO258" s="761">
        <v>-9</v>
      </c>
      <c r="AP258" s="761">
        <v>-14</v>
      </c>
      <c r="AQ258" s="761">
        <v>-14</v>
      </c>
      <c r="AR258" s="761">
        <v>-9</v>
      </c>
      <c r="AS258" s="762">
        <v>-8</v>
      </c>
      <c r="AU258" s="764" t="s">
        <v>213</v>
      </c>
      <c r="AV258" s="760">
        <v>-22</v>
      </c>
      <c r="AW258" s="761">
        <v>-23</v>
      </c>
      <c r="AX258" s="761">
        <v>-20</v>
      </c>
      <c r="AY258" s="761">
        <v>-24</v>
      </c>
      <c r="AZ258" s="761">
        <v>-23</v>
      </c>
      <c r="BA258" s="761">
        <v>-22</v>
      </c>
      <c r="BB258" s="762">
        <v>-25</v>
      </c>
    </row>
    <row r="259" spans="2:63" x14ac:dyDescent="0.25">
      <c r="B259" s="759" t="s">
        <v>232</v>
      </c>
      <c r="C259" s="765">
        <v>-13</v>
      </c>
      <c r="D259" s="766">
        <v>-12</v>
      </c>
      <c r="E259" s="766">
        <v>-10</v>
      </c>
      <c r="F259" s="766">
        <v>-8</v>
      </c>
      <c r="G259" s="766">
        <v>-15</v>
      </c>
      <c r="H259" s="766">
        <v>-16</v>
      </c>
      <c r="I259" s="767">
        <v>-16</v>
      </c>
      <c r="K259" s="759" t="s">
        <v>232</v>
      </c>
      <c r="L259" s="765">
        <v>-15</v>
      </c>
      <c r="M259" s="766">
        <v>-11</v>
      </c>
      <c r="N259" s="766">
        <v>-13</v>
      </c>
      <c r="O259" s="766">
        <v>-12</v>
      </c>
      <c r="P259" s="766">
        <v>-15</v>
      </c>
      <c r="Q259" s="766">
        <v>-12</v>
      </c>
      <c r="R259" s="767">
        <v>-15</v>
      </c>
      <c r="T259" s="763" t="s">
        <v>232</v>
      </c>
      <c r="U259" s="765">
        <v>-25</v>
      </c>
      <c r="V259" s="766">
        <v>-24</v>
      </c>
      <c r="W259" s="766">
        <v>-26</v>
      </c>
      <c r="X259" s="766">
        <v>-30</v>
      </c>
      <c r="Y259" s="766">
        <v>-30</v>
      </c>
      <c r="Z259" s="766">
        <v>-27</v>
      </c>
      <c r="AA259" s="767">
        <v>-26</v>
      </c>
      <c r="AC259" s="764" t="s">
        <v>232</v>
      </c>
      <c r="AD259" s="765">
        <v>-25</v>
      </c>
      <c r="AE259" s="766">
        <v>-25</v>
      </c>
      <c r="AF259" s="766">
        <v>-25</v>
      </c>
      <c r="AG259" s="766">
        <v>-27</v>
      </c>
      <c r="AH259" s="766">
        <v>-27</v>
      </c>
      <c r="AI259" s="766">
        <v>-25</v>
      </c>
      <c r="AJ259" s="767">
        <v>-28</v>
      </c>
      <c r="AL259" s="764" t="s">
        <v>232</v>
      </c>
      <c r="AM259" s="765"/>
      <c r="AN259" s="766"/>
      <c r="AO259" s="766">
        <v>-11</v>
      </c>
      <c r="AP259" s="766">
        <v>-12</v>
      </c>
      <c r="AQ259" s="766">
        <v>-10</v>
      </c>
      <c r="AR259" s="766">
        <v>-8</v>
      </c>
      <c r="AS259" s="767">
        <v>-9</v>
      </c>
      <c r="AU259" s="764" t="s">
        <v>232</v>
      </c>
      <c r="AV259" s="765">
        <v>-20</v>
      </c>
      <c r="AW259" s="766">
        <v>-21</v>
      </c>
      <c r="AX259" s="766">
        <v>-24</v>
      </c>
      <c r="AY259" s="766">
        <v>-25</v>
      </c>
      <c r="AZ259" s="766">
        <v>-25</v>
      </c>
      <c r="BA259" s="766">
        <v>-24</v>
      </c>
      <c r="BB259" s="767">
        <v>-23</v>
      </c>
    </row>
    <row r="260" spans="2:63" x14ac:dyDescent="0.25">
      <c r="B260" s="759" t="s">
        <v>215</v>
      </c>
      <c r="C260" s="765">
        <v>-7</v>
      </c>
      <c r="D260" s="766">
        <v>-8</v>
      </c>
      <c r="E260" s="766">
        <v>-9</v>
      </c>
      <c r="F260" s="766">
        <v>-6</v>
      </c>
      <c r="G260" s="766">
        <v>-13</v>
      </c>
      <c r="H260" s="766">
        <v>-14</v>
      </c>
      <c r="I260" s="767">
        <v>-14</v>
      </c>
      <c r="K260" s="759" t="s">
        <v>215</v>
      </c>
      <c r="L260" s="765">
        <v>-9</v>
      </c>
      <c r="M260" s="766">
        <v>-10</v>
      </c>
      <c r="N260" s="766">
        <v>-8</v>
      </c>
      <c r="O260" s="766">
        <v>-12</v>
      </c>
      <c r="P260" s="766">
        <v>-11</v>
      </c>
      <c r="Q260" s="766">
        <v>-12</v>
      </c>
      <c r="R260" s="767">
        <v>-16</v>
      </c>
      <c r="T260" s="763" t="s">
        <v>215</v>
      </c>
      <c r="U260" s="765">
        <v>-25</v>
      </c>
      <c r="V260" s="766">
        <v>-29</v>
      </c>
      <c r="W260" s="766">
        <v>-28</v>
      </c>
      <c r="X260" s="766">
        <v>-30</v>
      </c>
      <c r="Y260" s="766">
        <v>-29</v>
      </c>
      <c r="Z260" s="766">
        <v>-24</v>
      </c>
      <c r="AA260" s="767">
        <v>-25</v>
      </c>
      <c r="AC260" s="764" t="s">
        <v>215</v>
      </c>
      <c r="AD260" s="765">
        <v>-25</v>
      </c>
      <c r="AE260" s="766">
        <v>-26</v>
      </c>
      <c r="AF260" s="766">
        <v>-26</v>
      </c>
      <c r="AG260" s="766">
        <v>-31</v>
      </c>
      <c r="AH260" s="766">
        <v>-30</v>
      </c>
      <c r="AI260" s="766">
        <v>-29</v>
      </c>
      <c r="AJ260" s="767">
        <v>-28</v>
      </c>
      <c r="AL260" s="764" t="s">
        <v>215</v>
      </c>
      <c r="AM260" s="765"/>
      <c r="AN260" s="766">
        <v>-12</v>
      </c>
      <c r="AO260" s="766">
        <v>-11</v>
      </c>
      <c r="AP260" s="766">
        <v>-11</v>
      </c>
      <c r="AQ260" s="766">
        <v>-9</v>
      </c>
      <c r="AR260" s="766">
        <v>-8</v>
      </c>
      <c r="AS260" s="767">
        <v>-8</v>
      </c>
      <c r="AU260" s="764" t="s">
        <v>215</v>
      </c>
      <c r="AV260" s="765">
        <v>-22</v>
      </c>
      <c r="AW260" s="766">
        <v>-22</v>
      </c>
      <c r="AX260" s="766">
        <v>-24</v>
      </c>
      <c r="AY260" s="766">
        <v>-23</v>
      </c>
      <c r="AZ260" s="766">
        <v>-24</v>
      </c>
      <c r="BA260" s="766">
        <v>-23</v>
      </c>
      <c r="BB260" s="767">
        <v>-21</v>
      </c>
    </row>
    <row r="261" spans="2:63" x14ac:dyDescent="0.25">
      <c r="B261" s="759" t="s">
        <v>249</v>
      </c>
      <c r="C261" s="765">
        <v>-9</v>
      </c>
      <c r="D261" s="766">
        <v>-7</v>
      </c>
      <c r="E261" s="766">
        <v>-7</v>
      </c>
      <c r="F261" s="766">
        <v>-7</v>
      </c>
      <c r="G261" s="766">
        <v>-6</v>
      </c>
      <c r="H261" s="766">
        <v>-13</v>
      </c>
      <c r="I261" s="767">
        <v>-17</v>
      </c>
      <c r="K261" s="759" t="s">
        <v>249</v>
      </c>
      <c r="L261" s="765">
        <v>-8</v>
      </c>
      <c r="M261" s="766">
        <v>-6</v>
      </c>
      <c r="N261" s="766">
        <v>-10</v>
      </c>
      <c r="O261" s="766">
        <v>-10</v>
      </c>
      <c r="P261" s="766">
        <v>-5</v>
      </c>
      <c r="Q261" s="766">
        <v>-11</v>
      </c>
      <c r="R261" s="767">
        <v>-16</v>
      </c>
      <c r="T261" s="763" t="s">
        <v>249</v>
      </c>
      <c r="U261" s="765">
        <v>-29</v>
      </c>
      <c r="V261" s="766">
        <v>-27</v>
      </c>
      <c r="W261" s="766">
        <v>-27</v>
      </c>
      <c r="X261" s="766">
        <v>-27</v>
      </c>
      <c r="Y261" s="766">
        <v>-26</v>
      </c>
      <c r="Z261" s="766">
        <v>-24</v>
      </c>
      <c r="AA261" s="767">
        <v>-26</v>
      </c>
      <c r="AC261" s="764" t="s">
        <v>249</v>
      </c>
      <c r="AD261" s="765">
        <v>-26</v>
      </c>
      <c r="AE261" s="766">
        <v>-26</v>
      </c>
      <c r="AF261" s="766">
        <v>-25</v>
      </c>
      <c r="AG261" s="766">
        <v>-25</v>
      </c>
      <c r="AH261" s="766">
        <v>-25</v>
      </c>
      <c r="AI261" s="766">
        <v>-25</v>
      </c>
      <c r="AJ261" s="767">
        <v>-25</v>
      </c>
      <c r="AL261" s="764" t="s">
        <v>249</v>
      </c>
      <c r="AM261" s="765"/>
      <c r="AN261" s="766">
        <v>-6</v>
      </c>
      <c r="AO261" s="766">
        <v>-5</v>
      </c>
      <c r="AP261" s="766">
        <v>-4</v>
      </c>
      <c r="AQ261" s="766">
        <v>-5</v>
      </c>
      <c r="AR261" s="766">
        <v>-5</v>
      </c>
      <c r="AS261" s="767">
        <v>-10</v>
      </c>
      <c r="AU261" s="764" t="s">
        <v>249</v>
      </c>
      <c r="AV261" s="765">
        <v>-20</v>
      </c>
      <c r="AW261" s="766">
        <v>-18</v>
      </c>
      <c r="AX261" s="766">
        <v>-19</v>
      </c>
      <c r="AY261" s="766">
        <v>-20</v>
      </c>
      <c r="AZ261" s="766">
        <v>-18</v>
      </c>
      <c r="BA261" s="766">
        <v>-19</v>
      </c>
      <c r="BB261" s="767">
        <v>-18</v>
      </c>
    </row>
    <row r="262" spans="2:63" x14ac:dyDescent="0.25">
      <c r="B262" s="759" t="s">
        <v>257</v>
      </c>
      <c r="C262" s="765">
        <v>-4</v>
      </c>
      <c r="D262" s="766">
        <v>-12</v>
      </c>
      <c r="E262" s="766">
        <v>-10</v>
      </c>
      <c r="F262" s="766">
        <v>-9</v>
      </c>
      <c r="G262" s="766">
        <v>-5</v>
      </c>
      <c r="H262" s="766">
        <v>-10</v>
      </c>
      <c r="I262" s="767">
        <v>-14</v>
      </c>
      <c r="K262" s="759" t="s">
        <v>257</v>
      </c>
      <c r="L262" s="765">
        <v>-9</v>
      </c>
      <c r="M262" s="766">
        <v>-7</v>
      </c>
      <c r="N262" s="766">
        <v>-5</v>
      </c>
      <c r="O262" s="766">
        <v>-8</v>
      </c>
      <c r="P262" s="766">
        <v>-6</v>
      </c>
      <c r="Q262" s="766">
        <v>-9</v>
      </c>
      <c r="R262" s="767">
        <v>-13</v>
      </c>
      <c r="T262" s="763" t="s">
        <v>257</v>
      </c>
      <c r="U262" s="765">
        <v>-22</v>
      </c>
      <c r="V262" s="766">
        <v>-23</v>
      </c>
      <c r="W262" s="766">
        <v>-21</v>
      </c>
      <c r="X262" s="766">
        <v>-20</v>
      </c>
      <c r="Y262" s="766">
        <v>-19</v>
      </c>
      <c r="Z262" s="766">
        <v>-24</v>
      </c>
      <c r="AA262" s="767">
        <v>-24</v>
      </c>
      <c r="AC262" s="764" t="s">
        <v>257</v>
      </c>
      <c r="AD262" s="765">
        <v>-22</v>
      </c>
      <c r="AE262" s="766">
        <v>-22</v>
      </c>
      <c r="AF262" s="766">
        <v>-24</v>
      </c>
      <c r="AG262" s="766">
        <v>-24</v>
      </c>
      <c r="AH262" s="766">
        <v>-23</v>
      </c>
      <c r="AI262" s="766">
        <v>-27</v>
      </c>
      <c r="AJ262" s="767">
        <v>-25</v>
      </c>
      <c r="AL262" s="764" t="s">
        <v>257</v>
      </c>
      <c r="AM262" s="765"/>
      <c r="AN262" s="766">
        <v>-7</v>
      </c>
      <c r="AO262" s="766">
        <v>-7</v>
      </c>
      <c r="AP262" s="766">
        <v>-6</v>
      </c>
      <c r="AQ262" s="766">
        <v>-5</v>
      </c>
      <c r="AR262" s="766">
        <v>-8</v>
      </c>
      <c r="AS262" s="767">
        <v>-7</v>
      </c>
      <c r="AU262" s="764" t="s">
        <v>257</v>
      </c>
      <c r="AV262" s="765">
        <v>-20</v>
      </c>
      <c r="AW262" s="766">
        <v>-19</v>
      </c>
      <c r="AX262" s="766">
        <v>-18</v>
      </c>
      <c r="AY262" s="766">
        <v>-18</v>
      </c>
      <c r="AZ262" s="766">
        <v>-16</v>
      </c>
      <c r="BA262" s="766">
        <v>-20</v>
      </c>
      <c r="BB262" s="767">
        <v>-21</v>
      </c>
    </row>
    <row r="263" spans="2:63" x14ac:dyDescent="0.25">
      <c r="B263" s="759" t="s">
        <v>264</v>
      </c>
      <c r="C263" s="765">
        <v>-5</v>
      </c>
      <c r="D263" s="766">
        <v>-4</v>
      </c>
      <c r="E263" s="766">
        <v>-3</v>
      </c>
      <c r="F263" s="766">
        <v>-3</v>
      </c>
      <c r="G263" s="766">
        <v>-3</v>
      </c>
      <c r="H263" s="766">
        <v>-9</v>
      </c>
      <c r="I263" s="767">
        <v>-12</v>
      </c>
      <c r="K263" s="759" t="s">
        <v>264</v>
      </c>
      <c r="L263" s="765">
        <v>-9</v>
      </c>
      <c r="M263" s="766">
        <v>-8</v>
      </c>
      <c r="N263" s="766">
        <v>-8</v>
      </c>
      <c r="O263" s="766">
        <v>-6</v>
      </c>
      <c r="P263" s="766">
        <v>-5</v>
      </c>
      <c r="Q263" s="766">
        <v>-6</v>
      </c>
      <c r="R263" s="767">
        <v>-16</v>
      </c>
      <c r="T263" s="763" t="s">
        <v>264</v>
      </c>
      <c r="U263" s="765">
        <v>-19</v>
      </c>
      <c r="V263" s="766">
        <v>-23</v>
      </c>
      <c r="W263" s="766">
        <v>-22</v>
      </c>
      <c r="X263" s="766">
        <v>-21</v>
      </c>
      <c r="Y263" s="766">
        <v>-21</v>
      </c>
      <c r="Z263" s="766">
        <v>-22</v>
      </c>
      <c r="AA263" s="767">
        <v>-24</v>
      </c>
      <c r="AC263" s="764" t="s">
        <v>264</v>
      </c>
      <c r="AD263" s="765">
        <v>-22</v>
      </c>
      <c r="AE263" s="766">
        <v>-23</v>
      </c>
      <c r="AF263" s="766">
        <v>-24</v>
      </c>
      <c r="AG263" s="766">
        <v>-24</v>
      </c>
      <c r="AH263" s="766">
        <v>-24</v>
      </c>
      <c r="AI263" s="766">
        <v>-27</v>
      </c>
      <c r="AJ263" s="767">
        <v>-26</v>
      </c>
      <c r="AL263" s="764" t="s">
        <v>264</v>
      </c>
      <c r="AM263" s="765" t="s">
        <v>1048</v>
      </c>
      <c r="AN263" s="766">
        <v>-8</v>
      </c>
      <c r="AO263" s="766">
        <v>-7</v>
      </c>
      <c r="AP263" s="766">
        <v>-7</v>
      </c>
      <c r="AQ263" s="766">
        <v>-7</v>
      </c>
      <c r="AR263" s="766">
        <v>-8</v>
      </c>
      <c r="AS263" s="767">
        <v>-7</v>
      </c>
      <c r="AU263" s="764" t="s">
        <v>264</v>
      </c>
      <c r="AV263" s="765">
        <v>-14</v>
      </c>
      <c r="AW263" s="766">
        <v>-15</v>
      </c>
      <c r="AX263" s="766">
        <v>-16</v>
      </c>
      <c r="AY263" s="766">
        <v>-17</v>
      </c>
      <c r="AZ263" s="766">
        <v>-17</v>
      </c>
      <c r="BA263" s="766">
        <v>-18</v>
      </c>
      <c r="BB263" s="767">
        <v>-21</v>
      </c>
    </row>
    <row r="264" spans="2:63" x14ac:dyDescent="0.25">
      <c r="B264" s="759" t="s">
        <v>272</v>
      </c>
      <c r="C264" s="765">
        <v>-6</v>
      </c>
      <c r="D264" s="766">
        <v>-6</v>
      </c>
      <c r="E264" s="766">
        <v>-5</v>
      </c>
      <c r="F264" s="766">
        <v>-5</v>
      </c>
      <c r="G264" s="766">
        <v>-5</v>
      </c>
      <c r="H264" s="766">
        <v>-5</v>
      </c>
      <c r="I264" s="767">
        <v>-13</v>
      </c>
      <c r="K264" s="759" t="s">
        <v>272</v>
      </c>
      <c r="L264" s="765">
        <v>-14</v>
      </c>
      <c r="M264" s="766">
        <v>-12</v>
      </c>
      <c r="N264" s="766">
        <v>-12</v>
      </c>
      <c r="O264" s="766">
        <v>-11</v>
      </c>
      <c r="P264" s="766">
        <v>-14</v>
      </c>
      <c r="Q264" s="766">
        <v>-18</v>
      </c>
      <c r="R264" s="767">
        <v>-17</v>
      </c>
      <c r="T264" s="763" t="s">
        <v>272</v>
      </c>
      <c r="U264" s="765">
        <v>-22</v>
      </c>
      <c r="V264" s="766">
        <v>-20</v>
      </c>
      <c r="W264" s="766">
        <v>-20</v>
      </c>
      <c r="X264" s="766">
        <v>-19</v>
      </c>
      <c r="Y264" s="766">
        <v>-22</v>
      </c>
      <c r="Z264" s="766">
        <v>-22</v>
      </c>
      <c r="AA264" s="767">
        <v>-21</v>
      </c>
      <c r="AC264" s="764" t="s">
        <v>272</v>
      </c>
      <c r="AD264" s="765">
        <v>-22</v>
      </c>
      <c r="AE264" s="766">
        <v>-26</v>
      </c>
      <c r="AF264" s="766">
        <v>-26</v>
      </c>
      <c r="AG264" s="766">
        <v>-25</v>
      </c>
      <c r="AH264" s="766">
        <v>-26</v>
      </c>
      <c r="AI264" s="766">
        <v>-26</v>
      </c>
      <c r="AJ264" s="767">
        <v>-28</v>
      </c>
      <c r="AL264" s="764" t="s">
        <v>272</v>
      </c>
      <c r="AM264" s="765" t="s">
        <v>1048</v>
      </c>
      <c r="AN264" s="766">
        <v>-9</v>
      </c>
      <c r="AO264" s="766">
        <v>-8</v>
      </c>
      <c r="AP264" s="766">
        <v>-8</v>
      </c>
      <c r="AQ264" s="766">
        <v>-8</v>
      </c>
      <c r="AR264" s="766">
        <v>-6</v>
      </c>
      <c r="AS264" s="767">
        <v>-9</v>
      </c>
      <c r="AU264" s="764" t="s">
        <v>272</v>
      </c>
      <c r="AV264" s="765">
        <v>-14</v>
      </c>
      <c r="AW264" s="766">
        <v>-14</v>
      </c>
      <c r="AX264" s="766">
        <v>-15</v>
      </c>
      <c r="AY264" s="766">
        <v>-19</v>
      </c>
      <c r="AZ264" s="766">
        <v>-20</v>
      </c>
      <c r="BA264" s="766">
        <v>-21</v>
      </c>
      <c r="BB264" s="767">
        <v>-22</v>
      </c>
    </row>
    <row r="265" spans="2:63" x14ac:dyDescent="0.25">
      <c r="B265" s="759" t="s">
        <v>278</v>
      </c>
      <c r="C265" s="765">
        <v>-13</v>
      </c>
      <c r="D265" s="766">
        <v>-10</v>
      </c>
      <c r="E265" s="766">
        <v>-11</v>
      </c>
      <c r="F265" s="766">
        <v>-10</v>
      </c>
      <c r="G265" s="766">
        <v>-8</v>
      </c>
      <c r="H265" s="766">
        <v>-8</v>
      </c>
      <c r="I265" s="767">
        <v>-10</v>
      </c>
      <c r="K265" s="759" t="s">
        <v>278</v>
      </c>
      <c r="L265" s="765">
        <v>-11</v>
      </c>
      <c r="M265" s="766">
        <v>-11</v>
      </c>
      <c r="N265" s="766">
        <v>-12</v>
      </c>
      <c r="O265" s="766">
        <v>-17</v>
      </c>
      <c r="P265" s="766">
        <v>-15</v>
      </c>
      <c r="Q265" s="766">
        <v>-16</v>
      </c>
      <c r="R265" s="767">
        <v>-18</v>
      </c>
      <c r="T265" s="763" t="s">
        <v>278</v>
      </c>
      <c r="U265" s="765">
        <v>-14</v>
      </c>
      <c r="V265" s="766">
        <v>-14</v>
      </c>
      <c r="W265" s="766">
        <v>-15</v>
      </c>
      <c r="X265" s="766">
        <v>-14</v>
      </c>
      <c r="Y265" s="766">
        <v>-15</v>
      </c>
      <c r="Z265" s="766">
        <v>-16</v>
      </c>
      <c r="AA265" s="767">
        <v>-18</v>
      </c>
      <c r="AC265" s="764" t="s">
        <v>278</v>
      </c>
      <c r="AD265" s="765">
        <v>-24</v>
      </c>
      <c r="AE265" s="766">
        <v>-25</v>
      </c>
      <c r="AF265" s="766">
        <v>-24</v>
      </c>
      <c r="AG265" s="766">
        <v>-24</v>
      </c>
      <c r="AH265" s="766">
        <v>-24</v>
      </c>
      <c r="AI265" s="766">
        <v>-27</v>
      </c>
      <c r="AJ265" s="767">
        <v>-30</v>
      </c>
      <c r="AL265" s="764" t="s">
        <v>278</v>
      </c>
      <c r="AM265" s="765" t="s">
        <v>1048</v>
      </c>
      <c r="AN265" s="766">
        <v>-7</v>
      </c>
      <c r="AO265" s="766">
        <v>-5</v>
      </c>
      <c r="AP265" s="766">
        <v>-5</v>
      </c>
      <c r="AQ265" s="766">
        <v>-4</v>
      </c>
      <c r="AR265" s="766">
        <v>-4</v>
      </c>
      <c r="AS265" s="767">
        <v>-6</v>
      </c>
      <c r="AU265" s="764" t="s">
        <v>278</v>
      </c>
      <c r="AV265" s="765">
        <v>-14</v>
      </c>
      <c r="AW265" s="766">
        <v>-16</v>
      </c>
      <c r="AX265" s="766">
        <v>-15</v>
      </c>
      <c r="AY265" s="766">
        <v>-14</v>
      </c>
      <c r="AZ265" s="766">
        <v>-17</v>
      </c>
      <c r="BA265" s="766">
        <v>-18</v>
      </c>
      <c r="BB265" s="767">
        <v>-19</v>
      </c>
    </row>
    <row r="266" spans="2:63" ht="15.75" thickBot="1" x14ac:dyDescent="0.3">
      <c r="B266" s="768" t="s">
        <v>284</v>
      </c>
      <c r="C266" s="769" t="s">
        <v>1048</v>
      </c>
      <c r="D266" s="770" t="s">
        <v>1048</v>
      </c>
      <c r="E266" s="770" t="s">
        <v>1048</v>
      </c>
      <c r="F266" s="770" t="s">
        <v>1048</v>
      </c>
      <c r="G266" s="770" t="s">
        <v>1048</v>
      </c>
      <c r="H266" s="770" t="s">
        <v>1048</v>
      </c>
      <c r="I266" s="771" t="s">
        <v>1048</v>
      </c>
      <c r="K266" s="768" t="s">
        <v>284</v>
      </c>
      <c r="L266" s="769" t="s">
        <v>1048</v>
      </c>
      <c r="M266" s="770" t="s">
        <v>1048</v>
      </c>
      <c r="N266" s="770" t="s">
        <v>1048</v>
      </c>
      <c r="O266" s="770" t="s">
        <v>1048</v>
      </c>
      <c r="P266" s="770" t="s">
        <v>1048</v>
      </c>
      <c r="Q266" s="770" t="s">
        <v>1048</v>
      </c>
      <c r="R266" s="771" t="s">
        <v>1048</v>
      </c>
      <c r="T266" s="772" t="s">
        <v>284</v>
      </c>
      <c r="U266" s="769" t="s">
        <v>1048</v>
      </c>
      <c r="V266" s="770" t="s">
        <v>1048</v>
      </c>
      <c r="W266" s="770" t="s">
        <v>1048</v>
      </c>
      <c r="X266" s="770" t="s">
        <v>1048</v>
      </c>
      <c r="Y266" s="770" t="s">
        <v>1048</v>
      </c>
      <c r="Z266" s="770" t="s">
        <v>1048</v>
      </c>
      <c r="AA266" s="771" t="s">
        <v>1048</v>
      </c>
      <c r="AC266" s="773" t="s">
        <v>284</v>
      </c>
      <c r="AD266" s="769" t="s">
        <v>1048</v>
      </c>
      <c r="AE266" s="770" t="s">
        <v>1048</v>
      </c>
      <c r="AF266" s="770" t="s">
        <v>1048</v>
      </c>
      <c r="AG266" s="770" t="s">
        <v>1048</v>
      </c>
      <c r="AH266" s="770" t="s">
        <v>1048</v>
      </c>
      <c r="AI266" s="770" t="s">
        <v>1048</v>
      </c>
      <c r="AJ266" s="771" t="s">
        <v>1048</v>
      </c>
      <c r="AL266" s="773" t="s">
        <v>284</v>
      </c>
      <c r="AM266" s="769" t="s">
        <v>1048</v>
      </c>
      <c r="AN266" s="770" t="s">
        <v>1048</v>
      </c>
      <c r="AO266" s="770" t="s">
        <v>1048</v>
      </c>
      <c r="AP266" s="770" t="s">
        <v>1048</v>
      </c>
      <c r="AQ266" s="770" t="s">
        <v>1048</v>
      </c>
      <c r="AR266" s="770" t="s">
        <v>1048</v>
      </c>
      <c r="AS266" s="771" t="s">
        <v>1048</v>
      </c>
      <c r="AU266" s="773" t="s">
        <v>284</v>
      </c>
      <c r="AV266" s="769" t="s">
        <v>1048</v>
      </c>
      <c r="AW266" s="770" t="s">
        <v>1048</v>
      </c>
      <c r="AX266" s="770" t="s">
        <v>1048</v>
      </c>
      <c r="AY266" s="770" t="s">
        <v>1048</v>
      </c>
      <c r="AZ266" s="770" t="s">
        <v>1048</v>
      </c>
      <c r="BA266" s="770" t="s">
        <v>1048</v>
      </c>
      <c r="BB266" s="771" t="s">
        <v>1048</v>
      </c>
    </row>
    <row r="267" spans="2:63" ht="15.75" thickBot="1" x14ac:dyDescent="0.3"/>
    <row r="268" spans="2:63" ht="15.75" thickBot="1" x14ac:dyDescent="0.3">
      <c r="B268" s="748" t="s">
        <v>1107</v>
      </c>
      <c r="C268" s="749" t="s">
        <v>187</v>
      </c>
      <c r="D268" s="749" t="s">
        <v>214</v>
      </c>
      <c r="E268" s="749" t="s">
        <v>233</v>
      </c>
      <c r="F268" s="749" t="s">
        <v>242</v>
      </c>
      <c r="G268" s="749" t="s">
        <v>250</v>
      </c>
      <c r="H268" s="749" t="s">
        <v>258</v>
      </c>
      <c r="I268" s="750" t="s">
        <v>265</v>
      </c>
      <c r="K268" s="748" t="s">
        <v>1107</v>
      </c>
      <c r="L268" s="749" t="s">
        <v>187</v>
      </c>
      <c r="M268" s="749" t="s">
        <v>214</v>
      </c>
      <c r="N268" s="749" t="s">
        <v>233</v>
      </c>
      <c r="O268" s="749" t="s">
        <v>242</v>
      </c>
      <c r="P268" s="749" t="s">
        <v>250</v>
      </c>
      <c r="Q268" s="749" t="s">
        <v>258</v>
      </c>
      <c r="R268" s="750" t="s">
        <v>265</v>
      </c>
      <c r="T268" s="748" t="s">
        <v>1107</v>
      </c>
      <c r="U268" s="749" t="s">
        <v>187</v>
      </c>
      <c r="V268" s="749" t="s">
        <v>214</v>
      </c>
      <c r="W268" s="749" t="s">
        <v>233</v>
      </c>
      <c r="X268" s="749" t="s">
        <v>242</v>
      </c>
      <c r="Y268" s="749" t="s">
        <v>250</v>
      </c>
      <c r="Z268" s="749" t="s">
        <v>258</v>
      </c>
      <c r="AA268" s="750" t="s">
        <v>265</v>
      </c>
      <c r="AC268" s="748" t="s">
        <v>1107</v>
      </c>
      <c r="AD268" s="749" t="s">
        <v>187</v>
      </c>
      <c r="AE268" s="749" t="s">
        <v>214</v>
      </c>
      <c r="AF268" s="749" t="s">
        <v>233</v>
      </c>
      <c r="AG268" s="749" t="s">
        <v>242</v>
      </c>
      <c r="AH268" s="749" t="s">
        <v>250</v>
      </c>
      <c r="AI268" s="749" t="s">
        <v>258</v>
      </c>
      <c r="AJ268" s="750" t="s">
        <v>265</v>
      </c>
      <c r="AL268" s="748" t="s">
        <v>1107</v>
      </c>
      <c r="AM268" s="749" t="s">
        <v>187</v>
      </c>
      <c r="AN268" s="749" t="s">
        <v>214</v>
      </c>
      <c r="AO268" s="749" t="s">
        <v>233</v>
      </c>
      <c r="AP268" s="749" t="s">
        <v>242</v>
      </c>
      <c r="AQ268" s="749" t="s">
        <v>250</v>
      </c>
      <c r="AR268" s="749" t="s">
        <v>258</v>
      </c>
      <c r="AS268" s="750" t="s">
        <v>265</v>
      </c>
      <c r="AU268" s="752" t="s">
        <v>1107</v>
      </c>
      <c r="AV268" s="778" t="s">
        <v>187</v>
      </c>
      <c r="AW268" s="778" t="s">
        <v>214</v>
      </c>
      <c r="AX268" s="778" t="s">
        <v>233</v>
      </c>
      <c r="AY268" s="778" t="s">
        <v>242</v>
      </c>
      <c r="AZ268" s="778" t="s">
        <v>250</v>
      </c>
      <c r="BA268" s="778" t="s">
        <v>258</v>
      </c>
      <c r="BB268" s="779" t="s">
        <v>265</v>
      </c>
      <c r="BD268" s="748" t="s">
        <v>1107</v>
      </c>
      <c r="BE268" s="749" t="s">
        <v>187</v>
      </c>
      <c r="BF268" s="749" t="s">
        <v>214</v>
      </c>
      <c r="BG268" s="749" t="s">
        <v>233</v>
      </c>
      <c r="BH268" s="749" t="s">
        <v>242</v>
      </c>
      <c r="BI268" s="749" t="s">
        <v>250</v>
      </c>
      <c r="BJ268" s="749" t="s">
        <v>258</v>
      </c>
      <c r="BK268" s="750" t="s">
        <v>265</v>
      </c>
    </row>
    <row r="269" spans="2:63" x14ac:dyDescent="0.25">
      <c r="B269" s="753" t="s">
        <v>186</v>
      </c>
      <c r="C269" s="754">
        <v>-35</v>
      </c>
      <c r="D269" s="755">
        <v>-30</v>
      </c>
      <c r="E269" s="755">
        <v>-30</v>
      </c>
      <c r="F269" s="755">
        <v>-30</v>
      </c>
      <c r="G269" s="755">
        <v>-30</v>
      </c>
      <c r="H269" s="755">
        <v>-28</v>
      </c>
      <c r="I269" s="756">
        <v>-29</v>
      </c>
      <c r="K269" s="753" t="s">
        <v>186</v>
      </c>
      <c r="L269" s="754">
        <v>-35</v>
      </c>
      <c r="M269" s="755">
        <v>-32</v>
      </c>
      <c r="N269" s="755">
        <v>-32</v>
      </c>
      <c r="O269" s="755">
        <v>-30</v>
      </c>
      <c r="P269" s="755">
        <v>-30</v>
      </c>
      <c r="Q269" s="755">
        <v>-28</v>
      </c>
      <c r="R269" s="756">
        <v>-29</v>
      </c>
      <c r="T269" s="753" t="s">
        <v>186</v>
      </c>
      <c r="U269" s="754">
        <v>-52</v>
      </c>
      <c r="V269" s="755">
        <v>-48</v>
      </c>
      <c r="W269" s="755">
        <v>-47</v>
      </c>
      <c r="X269" s="755">
        <v>-44</v>
      </c>
      <c r="Y269" s="755">
        <v>-43</v>
      </c>
      <c r="Z269" s="755">
        <v>-46</v>
      </c>
      <c r="AA269" s="756">
        <v>-45</v>
      </c>
      <c r="AC269" s="753" t="s">
        <v>186</v>
      </c>
      <c r="AD269" s="754">
        <v>-52</v>
      </c>
      <c r="AE269" s="755">
        <v>-48</v>
      </c>
      <c r="AF269" s="755">
        <v>-47</v>
      </c>
      <c r="AG269" s="755">
        <v>-44</v>
      </c>
      <c r="AH269" s="755">
        <v>-43</v>
      </c>
      <c r="AI269" s="755">
        <v>-46</v>
      </c>
      <c r="AJ269" s="756">
        <v>-45</v>
      </c>
      <c r="AL269" s="753" t="s">
        <v>186</v>
      </c>
      <c r="AM269" s="754">
        <v>-38</v>
      </c>
      <c r="AN269" s="755">
        <v>-36</v>
      </c>
      <c r="AO269" s="755">
        <v>-34</v>
      </c>
      <c r="AP269" s="755">
        <v>-33</v>
      </c>
      <c r="AQ269" s="755">
        <v>-31</v>
      </c>
      <c r="AR269" s="755">
        <v>-28</v>
      </c>
      <c r="AS269" s="756">
        <v>-29</v>
      </c>
      <c r="AU269" s="758" t="s">
        <v>186</v>
      </c>
      <c r="AV269" s="754">
        <v>-43</v>
      </c>
      <c r="AW269" s="755">
        <v>-44</v>
      </c>
      <c r="AX269" s="755">
        <v>-40</v>
      </c>
      <c r="AY269" s="755">
        <v>-38</v>
      </c>
      <c r="AZ269" s="755">
        <v>-35</v>
      </c>
      <c r="BA269" s="755">
        <v>-38</v>
      </c>
      <c r="BB269" s="756">
        <v>-38</v>
      </c>
      <c r="BD269" s="753" t="s">
        <v>186</v>
      </c>
      <c r="BE269" s="754">
        <v>-38</v>
      </c>
      <c r="BF269" s="755">
        <v>-36</v>
      </c>
      <c r="BG269" s="755">
        <v>-34</v>
      </c>
      <c r="BH269" s="755">
        <v>-33</v>
      </c>
      <c r="BI269" s="755">
        <v>-31</v>
      </c>
      <c r="BJ269" s="755">
        <v>-28</v>
      </c>
      <c r="BK269" s="756">
        <v>-29</v>
      </c>
    </row>
    <row r="270" spans="2:63" x14ac:dyDescent="0.25">
      <c r="B270" s="759" t="s">
        <v>213</v>
      </c>
      <c r="C270" s="760"/>
      <c r="D270" s="761">
        <v>-29</v>
      </c>
      <c r="E270" s="761">
        <v>-29</v>
      </c>
      <c r="F270" s="761">
        <v>-35</v>
      </c>
      <c r="G270" s="761">
        <v>-31</v>
      </c>
      <c r="H270" s="761">
        <v>-29</v>
      </c>
      <c r="I270" s="762">
        <v>-29</v>
      </c>
      <c r="K270" s="759" t="s">
        <v>213</v>
      </c>
      <c r="L270" s="760"/>
      <c r="M270" s="761">
        <v>-32</v>
      </c>
      <c r="N270" s="761">
        <v>-32</v>
      </c>
      <c r="O270" s="761">
        <v>-35</v>
      </c>
      <c r="P270" s="761">
        <v>-31</v>
      </c>
      <c r="Q270" s="761">
        <v>-29</v>
      </c>
      <c r="R270" s="762">
        <v>-29</v>
      </c>
      <c r="T270" s="759" t="s">
        <v>213</v>
      </c>
      <c r="U270" s="760"/>
      <c r="V270" s="761">
        <v>-48</v>
      </c>
      <c r="W270" s="761">
        <v>-47</v>
      </c>
      <c r="X270" s="761">
        <v>-44</v>
      </c>
      <c r="Y270" s="761">
        <v>-43</v>
      </c>
      <c r="Z270" s="761">
        <v>-46</v>
      </c>
      <c r="AA270" s="762">
        <v>-45</v>
      </c>
      <c r="AC270" s="759" t="s">
        <v>213</v>
      </c>
      <c r="AD270" s="760"/>
      <c r="AE270" s="761">
        <v>-48</v>
      </c>
      <c r="AF270" s="761">
        <v>-47</v>
      </c>
      <c r="AG270" s="761">
        <v>-44</v>
      </c>
      <c r="AH270" s="761">
        <v>-43</v>
      </c>
      <c r="AI270" s="761">
        <v>-46</v>
      </c>
      <c r="AJ270" s="762">
        <v>-45</v>
      </c>
      <c r="AL270" s="759" t="s">
        <v>213</v>
      </c>
      <c r="AM270" s="760"/>
      <c r="AN270" s="761">
        <v>-38</v>
      </c>
      <c r="AO270" s="761">
        <v>-37</v>
      </c>
      <c r="AP270" s="761">
        <v>-35</v>
      </c>
      <c r="AQ270" s="761">
        <v>-31</v>
      </c>
      <c r="AR270" s="761">
        <v>-29</v>
      </c>
      <c r="AS270" s="762">
        <v>-29</v>
      </c>
      <c r="AU270" s="764" t="s">
        <v>213</v>
      </c>
      <c r="AV270" s="760"/>
      <c r="AW270" s="761">
        <v>-45</v>
      </c>
      <c r="AX270" s="761">
        <v>-40</v>
      </c>
      <c r="AY270" s="761">
        <v>-38</v>
      </c>
      <c r="AZ270" s="761">
        <v>-37</v>
      </c>
      <c r="BA270" s="761">
        <v>-42</v>
      </c>
      <c r="BB270" s="762">
        <v>-46</v>
      </c>
      <c r="BD270" s="759" t="s">
        <v>213</v>
      </c>
      <c r="BE270" s="760"/>
      <c r="BF270" s="761">
        <v>-38</v>
      </c>
      <c r="BG270" s="761">
        <v>-37</v>
      </c>
      <c r="BH270" s="761">
        <v>-35</v>
      </c>
      <c r="BI270" s="761">
        <v>-31</v>
      </c>
      <c r="BJ270" s="761">
        <v>-29</v>
      </c>
      <c r="BK270" s="762">
        <v>-29</v>
      </c>
    </row>
    <row r="271" spans="2:63" x14ac:dyDescent="0.25">
      <c r="B271" s="759" t="s">
        <v>232</v>
      </c>
      <c r="C271" s="765"/>
      <c r="D271" s="766">
        <v>-27</v>
      </c>
      <c r="E271" s="766">
        <v>-27</v>
      </c>
      <c r="F271" s="766">
        <v>-25</v>
      </c>
      <c r="G271" s="766">
        <v>-25</v>
      </c>
      <c r="H271" s="766">
        <v>-28</v>
      </c>
      <c r="I271" s="767">
        <v>-29</v>
      </c>
      <c r="K271" s="759" t="s">
        <v>232</v>
      </c>
      <c r="L271" s="765"/>
      <c r="M271" s="766">
        <v>-32</v>
      </c>
      <c r="N271" s="766">
        <v>-32</v>
      </c>
      <c r="O271" s="766">
        <v>-25</v>
      </c>
      <c r="P271" s="766">
        <v>-25</v>
      </c>
      <c r="Q271" s="766">
        <v>-28</v>
      </c>
      <c r="R271" s="767">
        <v>-29</v>
      </c>
      <c r="T271" s="759" t="s">
        <v>232</v>
      </c>
      <c r="U271" s="765"/>
      <c r="V271" s="766">
        <v>-47</v>
      </c>
      <c r="W271" s="766">
        <v>-47</v>
      </c>
      <c r="X271" s="766">
        <v>-44</v>
      </c>
      <c r="Y271" s="766">
        <v>-43</v>
      </c>
      <c r="Z271" s="766">
        <v>-46</v>
      </c>
      <c r="AA271" s="767">
        <v>-45</v>
      </c>
      <c r="AC271" s="759" t="s">
        <v>232</v>
      </c>
      <c r="AD271" s="765"/>
      <c r="AE271" s="766">
        <v>-47</v>
      </c>
      <c r="AF271" s="766">
        <v>-47</v>
      </c>
      <c r="AG271" s="766">
        <v>-44</v>
      </c>
      <c r="AH271" s="766">
        <v>-43</v>
      </c>
      <c r="AI271" s="766">
        <v>-46</v>
      </c>
      <c r="AJ271" s="767">
        <v>-45</v>
      </c>
      <c r="AL271" s="759" t="s">
        <v>232</v>
      </c>
      <c r="AM271" s="765"/>
      <c r="AN271" s="766">
        <v>-37</v>
      </c>
      <c r="AO271" s="766">
        <v>-35</v>
      </c>
      <c r="AP271" s="766">
        <v>-34</v>
      </c>
      <c r="AQ271" s="766">
        <v>-32</v>
      </c>
      <c r="AR271" s="766">
        <v>-30</v>
      </c>
      <c r="AS271" s="767">
        <v>-32</v>
      </c>
      <c r="AU271" s="764" t="s">
        <v>232</v>
      </c>
      <c r="AV271" s="765"/>
      <c r="AW271" s="766">
        <v>-37</v>
      </c>
      <c r="AX271" s="766">
        <v>-37</v>
      </c>
      <c r="AY271" s="766">
        <v>-37</v>
      </c>
      <c r="AZ271" s="766">
        <v>-35</v>
      </c>
      <c r="BA271" s="766">
        <v>-42</v>
      </c>
      <c r="BB271" s="767">
        <v>-46</v>
      </c>
      <c r="BD271" s="759" t="s">
        <v>232</v>
      </c>
      <c r="BE271" s="765"/>
      <c r="BF271" s="766">
        <v>-37</v>
      </c>
      <c r="BG271" s="766">
        <v>-35</v>
      </c>
      <c r="BH271" s="766">
        <v>-34</v>
      </c>
      <c r="BI271" s="766">
        <v>-32</v>
      </c>
      <c r="BJ271" s="766">
        <v>-30</v>
      </c>
      <c r="BK271" s="767">
        <v>-32</v>
      </c>
    </row>
    <row r="272" spans="2:63" x14ac:dyDescent="0.25">
      <c r="B272" s="759" t="s">
        <v>215</v>
      </c>
      <c r="C272" s="765"/>
      <c r="D272" s="766">
        <v>-30</v>
      </c>
      <c r="E272" s="766">
        <v>-29</v>
      </c>
      <c r="F272" s="766">
        <v>-26</v>
      </c>
      <c r="G272" s="766">
        <v>-25</v>
      </c>
      <c r="H272" s="766">
        <v>-28</v>
      </c>
      <c r="I272" s="767">
        <v>-28</v>
      </c>
      <c r="K272" s="759" t="s">
        <v>215</v>
      </c>
      <c r="L272" s="765"/>
      <c r="M272" s="766">
        <v>-30</v>
      </c>
      <c r="N272" s="766">
        <v>-29</v>
      </c>
      <c r="O272" s="766">
        <v>-26</v>
      </c>
      <c r="P272" s="766">
        <v>-25</v>
      </c>
      <c r="Q272" s="766">
        <v>-28</v>
      </c>
      <c r="R272" s="767">
        <v>-28</v>
      </c>
      <c r="T272" s="759" t="s">
        <v>215</v>
      </c>
      <c r="U272" s="765"/>
      <c r="V272" s="766">
        <v>-45</v>
      </c>
      <c r="W272" s="766">
        <v>-45</v>
      </c>
      <c r="X272" s="766">
        <v>-43</v>
      </c>
      <c r="Y272" s="766">
        <v>-43</v>
      </c>
      <c r="Z272" s="766">
        <v>-46</v>
      </c>
      <c r="AA272" s="767">
        <v>-45</v>
      </c>
      <c r="AC272" s="759" t="s">
        <v>215</v>
      </c>
      <c r="AD272" s="765"/>
      <c r="AE272" s="766">
        <v>-45</v>
      </c>
      <c r="AF272" s="766">
        <v>-45</v>
      </c>
      <c r="AG272" s="766">
        <v>-43</v>
      </c>
      <c r="AH272" s="766">
        <v>-43</v>
      </c>
      <c r="AI272" s="766">
        <v>-46</v>
      </c>
      <c r="AJ272" s="767">
        <v>-45</v>
      </c>
      <c r="AL272" s="759" t="s">
        <v>215</v>
      </c>
      <c r="AM272" s="765"/>
      <c r="AN272" s="766">
        <v>-37</v>
      </c>
      <c r="AO272" s="766">
        <v>-35</v>
      </c>
      <c r="AP272" s="766">
        <v>-33</v>
      </c>
      <c r="AQ272" s="766">
        <v>-33</v>
      </c>
      <c r="AR272" s="766">
        <v>-28</v>
      </c>
      <c r="AS272" s="767">
        <v>-28</v>
      </c>
      <c r="AU272" s="764" t="s">
        <v>215</v>
      </c>
      <c r="AV272" s="765"/>
      <c r="AW272" s="766">
        <v>-37</v>
      </c>
      <c r="AX272" s="766">
        <v>-37</v>
      </c>
      <c r="AY272" s="766">
        <v>-37</v>
      </c>
      <c r="AZ272" s="766">
        <v>-35</v>
      </c>
      <c r="BA272" s="766">
        <v>-40</v>
      </c>
      <c r="BB272" s="767">
        <v>-44</v>
      </c>
      <c r="BD272" s="759" t="s">
        <v>215</v>
      </c>
      <c r="BE272" s="765"/>
      <c r="BF272" s="766">
        <v>-37</v>
      </c>
      <c r="BG272" s="766">
        <v>-35</v>
      </c>
      <c r="BH272" s="766">
        <v>-33</v>
      </c>
      <c r="BI272" s="766">
        <v>-33</v>
      </c>
      <c r="BJ272" s="766">
        <v>-28</v>
      </c>
      <c r="BK272" s="767">
        <v>-28</v>
      </c>
    </row>
    <row r="273" spans="2:63" x14ac:dyDescent="0.25">
      <c r="B273" s="759" t="s">
        <v>249</v>
      </c>
      <c r="C273" s="765"/>
      <c r="D273" s="766">
        <v>-30</v>
      </c>
      <c r="E273" s="766">
        <v>-30</v>
      </c>
      <c r="F273" s="766">
        <v>-25</v>
      </c>
      <c r="G273" s="766">
        <v>-25</v>
      </c>
      <c r="H273" s="766">
        <v>-28</v>
      </c>
      <c r="I273" s="767">
        <v>-28</v>
      </c>
      <c r="K273" s="759" t="s">
        <v>249</v>
      </c>
      <c r="L273" s="765"/>
      <c r="M273" s="766">
        <v>-30</v>
      </c>
      <c r="N273" s="766">
        <v>-30</v>
      </c>
      <c r="O273" s="766">
        <v>-25</v>
      </c>
      <c r="P273" s="766">
        <v>-25</v>
      </c>
      <c r="Q273" s="766">
        <v>-28</v>
      </c>
      <c r="R273" s="767">
        <v>-28</v>
      </c>
      <c r="T273" s="759" t="s">
        <v>249</v>
      </c>
      <c r="U273" s="765"/>
      <c r="V273" s="766">
        <v>-45</v>
      </c>
      <c r="W273" s="766">
        <v>-45</v>
      </c>
      <c r="X273" s="766">
        <v>-43</v>
      </c>
      <c r="Y273" s="766">
        <v>-43</v>
      </c>
      <c r="Z273" s="766">
        <v>-46</v>
      </c>
      <c r="AA273" s="767">
        <v>-45</v>
      </c>
      <c r="AC273" s="759" t="s">
        <v>249</v>
      </c>
      <c r="AD273" s="765"/>
      <c r="AE273" s="766">
        <v>-45</v>
      </c>
      <c r="AF273" s="766">
        <v>-45</v>
      </c>
      <c r="AG273" s="766">
        <v>-43</v>
      </c>
      <c r="AH273" s="766">
        <v>-43</v>
      </c>
      <c r="AI273" s="766">
        <v>-46</v>
      </c>
      <c r="AJ273" s="767">
        <v>-45</v>
      </c>
      <c r="AL273" s="759" t="s">
        <v>249</v>
      </c>
      <c r="AM273" s="765"/>
      <c r="AN273" s="766">
        <v>-36</v>
      </c>
      <c r="AO273" s="766">
        <v>-36</v>
      </c>
      <c r="AP273" s="766">
        <v>-32</v>
      </c>
      <c r="AQ273" s="766">
        <v>-31</v>
      </c>
      <c r="AR273" s="766">
        <v>-30</v>
      </c>
      <c r="AS273" s="767">
        <v>-32</v>
      </c>
      <c r="AU273" s="764" t="s">
        <v>249</v>
      </c>
      <c r="AV273" s="765"/>
      <c r="AW273" s="766">
        <v>-38</v>
      </c>
      <c r="AX273" s="766">
        <v>-37</v>
      </c>
      <c r="AY273" s="766">
        <v>-35</v>
      </c>
      <c r="AZ273" s="766">
        <v>-35</v>
      </c>
      <c r="BA273" s="766">
        <v>-40</v>
      </c>
      <c r="BB273" s="767">
        <v>-45</v>
      </c>
      <c r="BD273" s="759" t="s">
        <v>249</v>
      </c>
      <c r="BE273" s="765"/>
      <c r="BF273" s="766">
        <v>-36</v>
      </c>
      <c r="BG273" s="766">
        <v>-36</v>
      </c>
      <c r="BH273" s="766">
        <v>-32</v>
      </c>
      <c r="BI273" s="766">
        <v>-31</v>
      </c>
      <c r="BJ273" s="766">
        <v>-30</v>
      </c>
      <c r="BK273" s="767">
        <v>-32</v>
      </c>
    </row>
    <row r="274" spans="2:63" x14ac:dyDescent="0.25">
      <c r="B274" s="759" t="s">
        <v>257</v>
      </c>
      <c r="C274" s="765"/>
      <c r="D274" s="766">
        <v>-31</v>
      </c>
      <c r="E274" s="766">
        <v>-31</v>
      </c>
      <c r="F274" s="766">
        <v>-28</v>
      </c>
      <c r="G274" s="766">
        <v>-27</v>
      </c>
      <c r="H274" s="766">
        <v>-30</v>
      </c>
      <c r="I274" s="767">
        <v>-31</v>
      </c>
      <c r="K274" s="759" t="s">
        <v>257</v>
      </c>
      <c r="L274" s="765"/>
      <c r="M274" s="766">
        <v>-31</v>
      </c>
      <c r="N274" s="766">
        <v>-31</v>
      </c>
      <c r="O274" s="766">
        <v>-28</v>
      </c>
      <c r="P274" s="766">
        <v>-27</v>
      </c>
      <c r="Q274" s="766">
        <v>-30</v>
      </c>
      <c r="R274" s="767">
        <v>-31</v>
      </c>
      <c r="T274" s="759" t="s">
        <v>257</v>
      </c>
      <c r="U274" s="765"/>
      <c r="V274" s="766">
        <v>-45</v>
      </c>
      <c r="W274" s="766">
        <v>-45</v>
      </c>
      <c r="X274" s="766">
        <v>-43</v>
      </c>
      <c r="Y274" s="766">
        <v>-43</v>
      </c>
      <c r="Z274" s="766">
        <v>-46</v>
      </c>
      <c r="AA274" s="767">
        <v>-45</v>
      </c>
      <c r="AC274" s="759" t="s">
        <v>257</v>
      </c>
      <c r="AD274" s="765"/>
      <c r="AE274" s="766">
        <v>-45</v>
      </c>
      <c r="AF274" s="766">
        <v>-45</v>
      </c>
      <c r="AG274" s="766">
        <v>-43</v>
      </c>
      <c r="AH274" s="766">
        <v>-43</v>
      </c>
      <c r="AI274" s="766">
        <v>-46</v>
      </c>
      <c r="AJ274" s="767">
        <v>-45</v>
      </c>
      <c r="AL274" s="759" t="s">
        <v>257</v>
      </c>
      <c r="AM274" s="765"/>
      <c r="AN274" s="766">
        <v>-36</v>
      </c>
      <c r="AO274" s="766">
        <v>-36</v>
      </c>
      <c r="AP274" s="766">
        <v>-32</v>
      </c>
      <c r="AQ274" s="766">
        <v>-31</v>
      </c>
      <c r="AR274" s="766">
        <v>-30</v>
      </c>
      <c r="AS274" s="767">
        <v>-31</v>
      </c>
      <c r="AU274" s="764" t="s">
        <v>257</v>
      </c>
      <c r="AV274" s="765"/>
      <c r="AW274" s="766">
        <v>-38</v>
      </c>
      <c r="AX274" s="766">
        <v>-37</v>
      </c>
      <c r="AY274" s="766">
        <v>-36</v>
      </c>
      <c r="AZ274" s="766">
        <v>-36</v>
      </c>
      <c r="BA274" s="766">
        <v>-39</v>
      </c>
      <c r="BB274" s="767">
        <v>-45</v>
      </c>
      <c r="BD274" s="759" t="s">
        <v>257</v>
      </c>
      <c r="BE274" s="765"/>
      <c r="BF274" s="766">
        <v>-36</v>
      </c>
      <c r="BG274" s="766">
        <v>-36</v>
      </c>
      <c r="BH274" s="766">
        <v>-32</v>
      </c>
      <c r="BI274" s="766">
        <v>-31</v>
      </c>
      <c r="BJ274" s="766">
        <v>-30</v>
      </c>
      <c r="BK274" s="767">
        <v>-31</v>
      </c>
    </row>
    <row r="275" spans="2:63" x14ac:dyDescent="0.25">
      <c r="B275" s="759" t="s">
        <v>264</v>
      </c>
      <c r="C275" s="765"/>
      <c r="D275" s="766">
        <v>-32</v>
      </c>
      <c r="E275" s="766">
        <v>-32</v>
      </c>
      <c r="F275" s="766">
        <v>-30</v>
      </c>
      <c r="G275" s="766">
        <v>-30</v>
      </c>
      <c r="H275" s="766">
        <v>-28</v>
      </c>
      <c r="I275" s="767">
        <v>-27</v>
      </c>
      <c r="K275" s="759" t="s">
        <v>264</v>
      </c>
      <c r="L275" s="765"/>
      <c r="M275" s="766">
        <v>-32</v>
      </c>
      <c r="N275" s="766">
        <v>-32</v>
      </c>
      <c r="O275" s="766">
        <v>-30</v>
      </c>
      <c r="P275" s="766">
        <v>-30</v>
      </c>
      <c r="Q275" s="766">
        <v>-28</v>
      </c>
      <c r="R275" s="767">
        <v>-27</v>
      </c>
      <c r="T275" s="759" t="s">
        <v>264</v>
      </c>
      <c r="U275" s="765"/>
      <c r="V275" s="766"/>
      <c r="W275" s="766"/>
      <c r="X275" s="766"/>
      <c r="Y275" s="766"/>
      <c r="Z275" s="766"/>
      <c r="AA275" s="767"/>
      <c r="AC275" s="759" t="s">
        <v>264</v>
      </c>
      <c r="AD275" s="765"/>
      <c r="AE275" s="766"/>
      <c r="AF275" s="766"/>
      <c r="AG275" s="766"/>
      <c r="AH275" s="766"/>
      <c r="AI275" s="766"/>
      <c r="AJ275" s="767"/>
      <c r="AL275" s="759" t="s">
        <v>264</v>
      </c>
      <c r="AM275" s="765"/>
      <c r="AN275" s="766"/>
      <c r="AO275" s="766"/>
      <c r="AP275" s="766"/>
      <c r="AQ275" s="766"/>
      <c r="AR275" s="766"/>
      <c r="AS275" s="767"/>
      <c r="AU275" s="764" t="s">
        <v>264</v>
      </c>
      <c r="AV275" s="765"/>
      <c r="AW275" s="766"/>
      <c r="AX275" s="766"/>
      <c r="AY275" s="766"/>
      <c r="AZ275" s="766"/>
      <c r="BA275" s="766"/>
      <c r="BB275" s="767"/>
      <c r="BD275" s="759" t="s">
        <v>264</v>
      </c>
      <c r="BE275" s="765"/>
      <c r="BF275" s="766">
        <v>-32</v>
      </c>
      <c r="BG275" s="766">
        <v>-32</v>
      </c>
      <c r="BH275" s="766">
        <v>-30</v>
      </c>
      <c r="BI275" s="766">
        <v>-30</v>
      </c>
      <c r="BJ275" s="766">
        <v>-28</v>
      </c>
      <c r="BK275" s="767">
        <v>-27</v>
      </c>
    </row>
    <row r="276" spans="2:63" x14ac:dyDescent="0.25">
      <c r="B276" s="759" t="s">
        <v>272</v>
      </c>
      <c r="C276" s="765"/>
      <c r="D276" s="766">
        <v>-32</v>
      </c>
      <c r="E276" s="766">
        <v>-32</v>
      </c>
      <c r="F276" s="766">
        <v>-30</v>
      </c>
      <c r="G276" s="766">
        <v>-30</v>
      </c>
      <c r="H276" s="766">
        <v>-28</v>
      </c>
      <c r="I276" s="767">
        <v>-27</v>
      </c>
      <c r="K276" s="759" t="s">
        <v>272</v>
      </c>
      <c r="L276" s="765"/>
      <c r="M276" s="766">
        <v>-32</v>
      </c>
      <c r="N276" s="766">
        <v>-32</v>
      </c>
      <c r="O276" s="766">
        <v>-30</v>
      </c>
      <c r="P276" s="766">
        <v>-30</v>
      </c>
      <c r="Q276" s="766">
        <v>-28</v>
      </c>
      <c r="R276" s="767">
        <v>-27</v>
      </c>
      <c r="T276" s="759" t="s">
        <v>272</v>
      </c>
      <c r="U276" s="765"/>
      <c r="V276" s="766"/>
      <c r="W276" s="766"/>
      <c r="X276" s="766"/>
      <c r="Y276" s="766"/>
      <c r="Z276" s="766"/>
      <c r="AA276" s="767"/>
      <c r="AC276" s="759" t="s">
        <v>272</v>
      </c>
      <c r="AD276" s="765"/>
      <c r="AE276" s="766"/>
      <c r="AF276" s="766"/>
      <c r="AG276" s="766"/>
      <c r="AH276" s="766"/>
      <c r="AI276" s="766"/>
      <c r="AJ276" s="767"/>
      <c r="AL276" s="759" t="s">
        <v>272</v>
      </c>
      <c r="AM276" s="765"/>
      <c r="AN276" s="766"/>
      <c r="AO276" s="766"/>
      <c r="AP276" s="766"/>
      <c r="AQ276" s="766"/>
      <c r="AR276" s="766"/>
      <c r="AS276" s="767"/>
      <c r="AU276" s="764" t="s">
        <v>272</v>
      </c>
      <c r="AV276" s="765"/>
      <c r="AW276" s="766"/>
      <c r="AX276" s="766"/>
      <c r="AY276" s="766"/>
      <c r="AZ276" s="766"/>
      <c r="BA276" s="766"/>
      <c r="BB276" s="767"/>
      <c r="BD276" s="759" t="s">
        <v>272</v>
      </c>
      <c r="BE276" s="765"/>
      <c r="BF276" s="766">
        <v>-32</v>
      </c>
      <c r="BG276" s="766">
        <v>-32</v>
      </c>
      <c r="BH276" s="766">
        <v>-30</v>
      </c>
      <c r="BI276" s="766">
        <v>-30</v>
      </c>
      <c r="BJ276" s="766">
        <v>-28</v>
      </c>
      <c r="BK276" s="767">
        <v>-27</v>
      </c>
    </row>
    <row r="277" spans="2:63" x14ac:dyDescent="0.25">
      <c r="B277" s="759" t="s">
        <v>278</v>
      </c>
      <c r="C277" s="765"/>
      <c r="D277" s="766"/>
      <c r="E277" s="766"/>
      <c r="F277" s="766"/>
      <c r="G277" s="766"/>
      <c r="H277" s="766"/>
      <c r="I277" s="767"/>
      <c r="K277" s="759" t="s">
        <v>278</v>
      </c>
      <c r="L277" s="765"/>
      <c r="M277" s="766"/>
      <c r="N277" s="766"/>
      <c r="O277" s="766"/>
      <c r="P277" s="766"/>
      <c r="Q277" s="766"/>
      <c r="R277" s="767"/>
      <c r="T277" s="759" t="s">
        <v>278</v>
      </c>
      <c r="U277" s="765"/>
      <c r="V277" s="766"/>
      <c r="W277" s="766"/>
      <c r="X277" s="766"/>
      <c r="Y277" s="766"/>
      <c r="Z277" s="766"/>
      <c r="AA277" s="767"/>
      <c r="AC277" s="759" t="s">
        <v>278</v>
      </c>
      <c r="AD277" s="765"/>
      <c r="AE277" s="766"/>
      <c r="AF277" s="766"/>
      <c r="AG277" s="766"/>
      <c r="AH277" s="766"/>
      <c r="AI277" s="766"/>
      <c r="AJ277" s="767"/>
      <c r="AL277" s="759" t="s">
        <v>278</v>
      </c>
      <c r="AM277" s="765"/>
      <c r="AN277" s="766"/>
      <c r="AO277" s="766"/>
      <c r="AP277" s="766"/>
      <c r="AQ277" s="766"/>
      <c r="AR277" s="766"/>
      <c r="AS277" s="767"/>
      <c r="AU277" s="764" t="s">
        <v>278</v>
      </c>
      <c r="AV277" s="765"/>
      <c r="AW277" s="766"/>
      <c r="AX277" s="766"/>
      <c r="AY277" s="766"/>
      <c r="AZ277" s="766"/>
      <c r="BA277" s="766"/>
      <c r="BB277" s="767"/>
      <c r="BD277" s="759" t="s">
        <v>278</v>
      </c>
      <c r="BE277" s="765"/>
      <c r="BF277" s="766"/>
      <c r="BG277" s="766"/>
      <c r="BH277" s="766"/>
      <c r="BI277" s="766"/>
      <c r="BJ277" s="766"/>
      <c r="BK277" s="767"/>
    </row>
    <row r="278" spans="2:63" ht="15.75" thickBot="1" x14ac:dyDescent="0.3">
      <c r="B278" s="768" t="s">
        <v>284</v>
      </c>
      <c r="C278" s="769" t="s">
        <v>1048</v>
      </c>
      <c r="D278" s="770" t="s">
        <v>1048</v>
      </c>
      <c r="E278" s="770" t="s">
        <v>1048</v>
      </c>
      <c r="F278" s="770" t="s">
        <v>1048</v>
      </c>
      <c r="G278" s="770" t="s">
        <v>1048</v>
      </c>
      <c r="H278" s="770" t="s">
        <v>1048</v>
      </c>
      <c r="I278" s="771" t="s">
        <v>1048</v>
      </c>
      <c r="K278" s="768" t="s">
        <v>284</v>
      </c>
      <c r="L278" s="769" t="s">
        <v>1048</v>
      </c>
      <c r="M278" s="770" t="s">
        <v>1048</v>
      </c>
      <c r="N278" s="770" t="s">
        <v>1048</v>
      </c>
      <c r="O278" s="770" t="s">
        <v>1048</v>
      </c>
      <c r="P278" s="770" t="s">
        <v>1048</v>
      </c>
      <c r="Q278" s="770" t="s">
        <v>1048</v>
      </c>
      <c r="R278" s="771" t="s">
        <v>1048</v>
      </c>
      <c r="T278" s="768" t="s">
        <v>284</v>
      </c>
      <c r="U278" s="769" t="s">
        <v>1048</v>
      </c>
      <c r="V278" s="770" t="s">
        <v>1048</v>
      </c>
      <c r="W278" s="770" t="s">
        <v>1048</v>
      </c>
      <c r="X278" s="770" t="s">
        <v>1048</v>
      </c>
      <c r="Y278" s="770" t="s">
        <v>1048</v>
      </c>
      <c r="Z278" s="770" t="s">
        <v>1048</v>
      </c>
      <c r="AA278" s="771" t="s">
        <v>1048</v>
      </c>
      <c r="AC278" s="768" t="s">
        <v>284</v>
      </c>
      <c r="AD278" s="769" t="s">
        <v>1048</v>
      </c>
      <c r="AE278" s="770" t="s">
        <v>1048</v>
      </c>
      <c r="AF278" s="770" t="s">
        <v>1048</v>
      </c>
      <c r="AG278" s="770" t="s">
        <v>1048</v>
      </c>
      <c r="AH278" s="770" t="s">
        <v>1048</v>
      </c>
      <c r="AI278" s="770" t="s">
        <v>1048</v>
      </c>
      <c r="AJ278" s="771" t="s">
        <v>1048</v>
      </c>
      <c r="AL278" s="768" t="s">
        <v>284</v>
      </c>
      <c r="AM278" s="769" t="s">
        <v>1048</v>
      </c>
      <c r="AN278" s="770" t="s">
        <v>1048</v>
      </c>
      <c r="AO278" s="770" t="s">
        <v>1048</v>
      </c>
      <c r="AP278" s="770" t="s">
        <v>1048</v>
      </c>
      <c r="AQ278" s="770" t="s">
        <v>1048</v>
      </c>
      <c r="AR278" s="770" t="s">
        <v>1048</v>
      </c>
      <c r="AS278" s="771" t="s">
        <v>1048</v>
      </c>
      <c r="AU278" s="773" t="s">
        <v>284</v>
      </c>
      <c r="AV278" s="769"/>
      <c r="AW278" s="770"/>
      <c r="AX278" s="770"/>
      <c r="AY278" s="770"/>
      <c r="AZ278" s="770"/>
      <c r="BA278" s="770"/>
      <c r="BB278" s="771"/>
      <c r="BD278" s="768" t="s">
        <v>284</v>
      </c>
      <c r="BE278" s="769"/>
      <c r="BF278" s="770"/>
      <c r="BG278" s="770"/>
      <c r="BH278" s="770"/>
      <c r="BI278" s="770"/>
      <c r="BJ278" s="770"/>
      <c r="BK278" s="771"/>
    </row>
    <row r="279" spans="2:63" ht="15.75" thickBot="1" x14ac:dyDescent="0.3">
      <c r="B279" s="774"/>
      <c r="C279" s="775"/>
      <c r="D279" s="775"/>
      <c r="E279" s="775"/>
      <c r="F279" s="775"/>
      <c r="G279" s="775"/>
      <c r="H279" s="775"/>
      <c r="I279" s="775"/>
      <c r="K279" s="774"/>
      <c r="L279" s="775"/>
      <c r="M279" s="775"/>
      <c r="N279" s="775"/>
      <c r="O279" s="775"/>
      <c r="P279" s="775"/>
      <c r="Q279" s="775"/>
      <c r="R279" s="775"/>
      <c r="AU279" s="777"/>
      <c r="AV279" s="775"/>
      <c r="AW279" s="775"/>
      <c r="AX279" s="775"/>
      <c r="AY279" s="775"/>
      <c r="AZ279" s="775"/>
      <c r="BA279" s="775"/>
      <c r="BB279" s="775"/>
    </row>
    <row r="280" spans="2:63" ht="15.75" thickBot="1" x14ac:dyDescent="0.3">
      <c r="B280" s="748" t="s">
        <v>1108</v>
      </c>
      <c r="C280" s="778" t="s">
        <v>187</v>
      </c>
      <c r="D280" s="778" t="s">
        <v>214</v>
      </c>
      <c r="E280" s="778" t="s">
        <v>233</v>
      </c>
      <c r="F280" s="778" t="s">
        <v>242</v>
      </c>
      <c r="G280" s="778" t="s">
        <v>250</v>
      </c>
      <c r="H280" s="778" t="s">
        <v>258</v>
      </c>
      <c r="I280" s="779" t="s">
        <v>265</v>
      </c>
      <c r="K280" s="748" t="s">
        <v>1108</v>
      </c>
      <c r="L280" s="778" t="s">
        <v>187</v>
      </c>
      <c r="M280" s="778" t="s">
        <v>214</v>
      </c>
      <c r="N280" s="778" t="s">
        <v>233</v>
      </c>
      <c r="O280" s="778" t="s">
        <v>242</v>
      </c>
      <c r="P280" s="778" t="s">
        <v>250</v>
      </c>
      <c r="Q280" s="778" t="s">
        <v>258</v>
      </c>
      <c r="R280" s="779" t="s">
        <v>265</v>
      </c>
      <c r="T280" s="748" t="s">
        <v>1108</v>
      </c>
      <c r="U280" s="749" t="s">
        <v>187</v>
      </c>
      <c r="V280" s="749" t="s">
        <v>214</v>
      </c>
      <c r="W280" s="749" t="s">
        <v>233</v>
      </c>
      <c r="X280" s="749" t="s">
        <v>242</v>
      </c>
      <c r="Y280" s="749" t="s">
        <v>250</v>
      </c>
      <c r="Z280" s="749" t="s">
        <v>258</v>
      </c>
      <c r="AA280" s="750" t="s">
        <v>265</v>
      </c>
      <c r="AC280" s="748" t="s">
        <v>1108</v>
      </c>
      <c r="AD280" s="749" t="s">
        <v>187</v>
      </c>
      <c r="AE280" s="749" t="s">
        <v>214</v>
      </c>
      <c r="AF280" s="749" t="s">
        <v>233</v>
      </c>
      <c r="AG280" s="749" t="s">
        <v>242</v>
      </c>
      <c r="AH280" s="749" t="s">
        <v>250</v>
      </c>
      <c r="AI280" s="749" t="s">
        <v>258</v>
      </c>
      <c r="AJ280" s="750" t="s">
        <v>265</v>
      </c>
      <c r="AL280" s="748" t="s">
        <v>1108</v>
      </c>
      <c r="AM280" s="749" t="s">
        <v>187</v>
      </c>
      <c r="AN280" s="749" t="s">
        <v>214</v>
      </c>
      <c r="AO280" s="749" t="s">
        <v>233</v>
      </c>
      <c r="AP280" s="749" t="s">
        <v>242</v>
      </c>
      <c r="AQ280" s="749" t="s">
        <v>250</v>
      </c>
      <c r="AR280" s="749" t="s">
        <v>258</v>
      </c>
      <c r="AS280" s="750" t="s">
        <v>265</v>
      </c>
      <c r="AU280" s="752" t="s">
        <v>1108</v>
      </c>
      <c r="AV280" s="778" t="s">
        <v>187</v>
      </c>
      <c r="AW280" s="778" t="s">
        <v>214</v>
      </c>
      <c r="AX280" s="778" t="s">
        <v>233</v>
      </c>
      <c r="AY280" s="778" t="s">
        <v>242</v>
      </c>
      <c r="AZ280" s="778" t="s">
        <v>250</v>
      </c>
      <c r="BA280" s="778" t="s">
        <v>258</v>
      </c>
      <c r="BB280" s="779" t="s">
        <v>265</v>
      </c>
      <c r="BD280" s="748" t="s">
        <v>1108</v>
      </c>
      <c r="BE280" s="749" t="s">
        <v>187</v>
      </c>
      <c r="BF280" s="749" t="s">
        <v>214</v>
      </c>
      <c r="BG280" s="749" t="s">
        <v>233</v>
      </c>
      <c r="BH280" s="749" t="s">
        <v>242</v>
      </c>
      <c r="BI280" s="749" t="s">
        <v>250</v>
      </c>
      <c r="BJ280" s="749" t="s">
        <v>258</v>
      </c>
      <c r="BK280" s="750" t="s">
        <v>265</v>
      </c>
    </row>
    <row r="281" spans="2:63" x14ac:dyDescent="0.25">
      <c r="B281" s="753" t="s">
        <v>186</v>
      </c>
      <c r="C281" s="754">
        <v>-39</v>
      </c>
      <c r="D281" s="755">
        <v>-38</v>
      </c>
      <c r="E281" s="755">
        <v>-36</v>
      </c>
      <c r="F281" s="755">
        <v>-34</v>
      </c>
      <c r="G281" s="755">
        <v>-34</v>
      </c>
      <c r="H281" s="755">
        <v>-32</v>
      </c>
      <c r="I281" s="756">
        <v>-33</v>
      </c>
      <c r="K281" s="753" t="s">
        <v>186</v>
      </c>
      <c r="L281" s="754">
        <v>-38</v>
      </c>
      <c r="M281" s="755">
        <v>-38</v>
      </c>
      <c r="N281" s="755">
        <v>-36</v>
      </c>
      <c r="O281" s="755">
        <v>-35</v>
      </c>
      <c r="P281" s="755">
        <v>-33</v>
      </c>
      <c r="Q281" s="755">
        <v>-33</v>
      </c>
      <c r="R281" s="756">
        <v>-33</v>
      </c>
      <c r="T281" s="753" t="s">
        <v>186</v>
      </c>
      <c r="U281" s="754">
        <v>-54</v>
      </c>
      <c r="V281" s="755">
        <v>-50</v>
      </c>
      <c r="W281" s="755">
        <v>-49</v>
      </c>
      <c r="X281" s="755">
        <v>-46</v>
      </c>
      <c r="Y281" s="755">
        <v>-45</v>
      </c>
      <c r="Z281" s="755">
        <v>-48</v>
      </c>
      <c r="AA281" s="756">
        <v>-47</v>
      </c>
      <c r="AC281" s="753" t="s">
        <v>186</v>
      </c>
      <c r="AD281" s="754">
        <v>-54</v>
      </c>
      <c r="AE281" s="755">
        <v>-50</v>
      </c>
      <c r="AF281" s="755">
        <v>-49</v>
      </c>
      <c r="AG281" s="755">
        <v>-46</v>
      </c>
      <c r="AH281" s="755">
        <v>-45</v>
      </c>
      <c r="AI281" s="755">
        <v>-48</v>
      </c>
      <c r="AJ281" s="756">
        <v>-47</v>
      </c>
      <c r="AL281" s="753" t="s">
        <v>186</v>
      </c>
      <c r="AM281" s="754">
        <v>-38</v>
      </c>
      <c r="AN281" s="755">
        <v>-38</v>
      </c>
      <c r="AO281" s="755">
        <v>-36</v>
      </c>
      <c r="AP281" s="755">
        <v>-35</v>
      </c>
      <c r="AQ281" s="755">
        <v>-33</v>
      </c>
      <c r="AR281" s="755">
        <v>-33</v>
      </c>
      <c r="AS281" s="756">
        <v>-33</v>
      </c>
      <c r="AU281" s="758" t="s">
        <v>186</v>
      </c>
      <c r="AV281" s="754">
        <v>-46</v>
      </c>
      <c r="AW281" s="755">
        <v>-47</v>
      </c>
      <c r="AX281" s="755">
        <v>-43</v>
      </c>
      <c r="AY281" s="755">
        <v>-41</v>
      </c>
      <c r="AZ281" s="755">
        <v>-38</v>
      </c>
      <c r="BA281" s="755">
        <v>-41</v>
      </c>
      <c r="BB281" s="756">
        <v>-41</v>
      </c>
      <c r="BD281" s="753" t="s">
        <v>186</v>
      </c>
      <c r="BE281" s="754">
        <v>-38</v>
      </c>
      <c r="BF281" s="755">
        <v>-38</v>
      </c>
      <c r="BG281" s="755">
        <v>-36</v>
      </c>
      <c r="BH281" s="755">
        <v>-35</v>
      </c>
      <c r="BI281" s="755">
        <v>-33</v>
      </c>
      <c r="BJ281" s="755">
        <v>-33</v>
      </c>
      <c r="BK281" s="756">
        <v>-33</v>
      </c>
    </row>
    <row r="282" spans="2:63" x14ac:dyDescent="0.25">
      <c r="B282" s="759" t="s">
        <v>213</v>
      </c>
      <c r="C282" s="760"/>
      <c r="D282" s="755">
        <v>-36</v>
      </c>
      <c r="E282" s="755">
        <v>-35</v>
      </c>
      <c r="F282" s="755">
        <v>-32</v>
      </c>
      <c r="G282" s="755">
        <v>-32</v>
      </c>
      <c r="H282" s="761">
        <v>-33</v>
      </c>
      <c r="I282" s="762">
        <v>-33</v>
      </c>
      <c r="K282" s="759" t="s">
        <v>213</v>
      </c>
      <c r="L282" s="760"/>
      <c r="M282" s="761">
        <v>-40</v>
      </c>
      <c r="N282" s="761">
        <v>-39</v>
      </c>
      <c r="O282" s="761">
        <v>-37</v>
      </c>
      <c r="P282" s="761">
        <v>-35</v>
      </c>
      <c r="Q282" s="761">
        <v>-35</v>
      </c>
      <c r="R282" s="762">
        <v>-33</v>
      </c>
      <c r="T282" s="759" t="s">
        <v>213</v>
      </c>
      <c r="U282" s="760"/>
      <c r="V282" s="761">
        <v>-50</v>
      </c>
      <c r="W282" s="761">
        <v>-49</v>
      </c>
      <c r="X282" s="761">
        <v>-46</v>
      </c>
      <c r="Y282" s="761">
        <v>-45</v>
      </c>
      <c r="Z282" s="761">
        <v>-48</v>
      </c>
      <c r="AA282" s="762">
        <v>-47</v>
      </c>
      <c r="AC282" s="759" t="s">
        <v>213</v>
      </c>
      <c r="AD282" s="760"/>
      <c r="AE282" s="761">
        <v>-50</v>
      </c>
      <c r="AF282" s="761">
        <v>-49</v>
      </c>
      <c r="AG282" s="761">
        <v>-46</v>
      </c>
      <c r="AH282" s="761">
        <v>-45</v>
      </c>
      <c r="AI282" s="761">
        <v>-48</v>
      </c>
      <c r="AJ282" s="762">
        <v>-47</v>
      </c>
      <c r="AL282" s="759" t="s">
        <v>213</v>
      </c>
      <c r="AM282" s="760"/>
      <c r="AN282" s="761">
        <v>-40</v>
      </c>
      <c r="AO282" s="761">
        <v>-39</v>
      </c>
      <c r="AP282" s="761">
        <v>-37</v>
      </c>
      <c r="AQ282" s="761">
        <v>-35</v>
      </c>
      <c r="AR282" s="761">
        <v>-35</v>
      </c>
      <c r="AS282" s="762">
        <v>-33</v>
      </c>
      <c r="AU282" s="764" t="s">
        <v>213</v>
      </c>
      <c r="AV282" s="760"/>
      <c r="AW282" s="761">
        <v>-48</v>
      </c>
      <c r="AX282" s="761">
        <v>-43</v>
      </c>
      <c r="AY282" s="761">
        <v>-41</v>
      </c>
      <c r="AZ282" s="761">
        <v>-40</v>
      </c>
      <c r="BA282" s="761">
        <v>-45</v>
      </c>
      <c r="BB282" s="762">
        <v>-49</v>
      </c>
      <c r="BD282" s="759" t="s">
        <v>213</v>
      </c>
      <c r="BE282" s="760"/>
      <c r="BF282" s="761">
        <v>-40</v>
      </c>
      <c r="BG282" s="761">
        <v>-39</v>
      </c>
      <c r="BH282" s="761">
        <v>-37</v>
      </c>
      <c r="BI282" s="761">
        <v>-35</v>
      </c>
      <c r="BJ282" s="761">
        <v>-35</v>
      </c>
      <c r="BK282" s="762">
        <v>-33</v>
      </c>
    </row>
    <row r="283" spans="2:63" x14ac:dyDescent="0.25">
      <c r="B283" s="759" t="s">
        <v>232</v>
      </c>
      <c r="C283" s="765"/>
      <c r="D283" s="755">
        <v>-34</v>
      </c>
      <c r="E283" s="755">
        <v>-34</v>
      </c>
      <c r="F283" s="766">
        <v>-29</v>
      </c>
      <c r="G283" s="766">
        <v>-29</v>
      </c>
      <c r="H283" s="766">
        <v>-32</v>
      </c>
      <c r="I283" s="767">
        <v>-33</v>
      </c>
      <c r="K283" s="759" t="s">
        <v>232</v>
      </c>
      <c r="L283" s="765"/>
      <c r="M283" s="766">
        <v>-40</v>
      </c>
      <c r="N283" s="766">
        <v>-38</v>
      </c>
      <c r="O283" s="766">
        <v>-37</v>
      </c>
      <c r="P283" s="766">
        <v>-35</v>
      </c>
      <c r="Q283" s="766">
        <v>-33</v>
      </c>
      <c r="R283" s="767">
        <v>-34</v>
      </c>
      <c r="T283" s="759" t="s">
        <v>232</v>
      </c>
      <c r="U283" s="765"/>
      <c r="V283" s="766">
        <v>-49</v>
      </c>
      <c r="W283" s="766">
        <v>-49</v>
      </c>
      <c r="X283" s="766">
        <v>-46</v>
      </c>
      <c r="Y283" s="766">
        <v>-45</v>
      </c>
      <c r="Z283" s="766">
        <v>-48</v>
      </c>
      <c r="AA283" s="767">
        <v>-47</v>
      </c>
      <c r="AC283" s="759" t="s">
        <v>232</v>
      </c>
      <c r="AD283" s="765"/>
      <c r="AE283" s="766">
        <v>-49</v>
      </c>
      <c r="AF283" s="766">
        <v>-49</v>
      </c>
      <c r="AG283" s="766">
        <v>-46</v>
      </c>
      <c r="AH283" s="766">
        <v>-45</v>
      </c>
      <c r="AI283" s="766">
        <v>-48</v>
      </c>
      <c r="AJ283" s="767">
        <v>-47</v>
      </c>
      <c r="AL283" s="759" t="s">
        <v>232</v>
      </c>
      <c r="AM283" s="765"/>
      <c r="AN283" s="766">
        <v>-40</v>
      </c>
      <c r="AO283" s="766">
        <v>-38</v>
      </c>
      <c r="AP283" s="766">
        <v>-37</v>
      </c>
      <c r="AQ283" s="766">
        <v>-35</v>
      </c>
      <c r="AR283" s="766">
        <v>-33</v>
      </c>
      <c r="AS283" s="767">
        <v>-34</v>
      </c>
      <c r="AU283" s="764" t="s">
        <v>232</v>
      </c>
      <c r="AV283" s="765"/>
      <c r="AW283" s="766">
        <v>-40</v>
      </c>
      <c r="AX283" s="766">
        <v>-40</v>
      </c>
      <c r="AY283" s="766">
        <v>-40</v>
      </c>
      <c r="AZ283" s="766">
        <v>-38</v>
      </c>
      <c r="BA283" s="766">
        <v>-45</v>
      </c>
      <c r="BB283" s="767">
        <v>-49</v>
      </c>
      <c r="BD283" s="759" t="s">
        <v>232</v>
      </c>
      <c r="BE283" s="765"/>
      <c r="BF283" s="766">
        <v>-40</v>
      </c>
      <c r="BG283" s="766">
        <v>-38</v>
      </c>
      <c r="BH283" s="766">
        <v>-37</v>
      </c>
      <c r="BI283" s="766">
        <v>-35</v>
      </c>
      <c r="BJ283" s="766">
        <v>-33</v>
      </c>
      <c r="BK283" s="767">
        <v>-34</v>
      </c>
    </row>
    <row r="284" spans="2:63" x14ac:dyDescent="0.25">
      <c r="B284" s="759" t="s">
        <v>215</v>
      </c>
      <c r="C284" s="765"/>
      <c r="D284" s="755">
        <v>-34</v>
      </c>
      <c r="E284" s="755">
        <v>-34</v>
      </c>
      <c r="F284" s="766">
        <v>-30</v>
      </c>
      <c r="G284" s="766">
        <v>-29</v>
      </c>
      <c r="H284" s="766">
        <v>-32</v>
      </c>
      <c r="I284" s="767">
        <v>-32</v>
      </c>
      <c r="K284" s="759" t="s">
        <v>215</v>
      </c>
      <c r="L284" s="765"/>
      <c r="M284" s="766">
        <v>-40</v>
      </c>
      <c r="N284" s="766">
        <v>-37</v>
      </c>
      <c r="O284" s="766">
        <v>-36</v>
      </c>
      <c r="P284" s="766">
        <v>-36</v>
      </c>
      <c r="Q284" s="766">
        <v>-34</v>
      </c>
      <c r="R284" s="767">
        <v>-34</v>
      </c>
      <c r="T284" s="759" t="s">
        <v>215</v>
      </c>
      <c r="U284" s="765"/>
      <c r="V284" s="766">
        <v>-47</v>
      </c>
      <c r="W284" s="766">
        <v>-47</v>
      </c>
      <c r="X284" s="766">
        <v>-45</v>
      </c>
      <c r="Y284" s="766">
        <v>-45</v>
      </c>
      <c r="Z284" s="766">
        <v>-48</v>
      </c>
      <c r="AA284" s="767">
        <v>-47</v>
      </c>
      <c r="AC284" s="759" t="s">
        <v>215</v>
      </c>
      <c r="AD284" s="765"/>
      <c r="AE284" s="766">
        <v>-47</v>
      </c>
      <c r="AF284" s="766">
        <v>-47</v>
      </c>
      <c r="AG284" s="766">
        <v>-45</v>
      </c>
      <c r="AH284" s="766">
        <v>-45</v>
      </c>
      <c r="AI284" s="766">
        <v>-48</v>
      </c>
      <c r="AJ284" s="767">
        <v>-47</v>
      </c>
      <c r="AL284" s="759" t="s">
        <v>215</v>
      </c>
      <c r="AM284" s="765"/>
      <c r="AN284" s="766">
        <v>-40</v>
      </c>
      <c r="AO284" s="766">
        <v>-37</v>
      </c>
      <c r="AP284" s="766">
        <v>-36</v>
      </c>
      <c r="AQ284" s="766">
        <v>-36</v>
      </c>
      <c r="AR284" s="766">
        <v>-34</v>
      </c>
      <c r="AS284" s="767">
        <v>-34</v>
      </c>
      <c r="AU284" s="764" t="s">
        <v>215</v>
      </c>
      <c r="AV284" s="765"/>
      <c r="AW284" s="766">
        <v>-40</v>
      </c>
      <c r="AX284" s="766">
        <v>-40</v>
      </c>
      <c r="AY284" s="766">
        <v>-40</v>
      </c>
      <c r="AZ284" s="766">
        <v>-38</v>
      </c>
      <c r="BA284" s="766">
        <v>-43</v>
      </c>
      <c r="BB284" s="767">
        <v>-47</v>
      </c>
      <c r="BD284" s="759" t="s">
        <v>215</v>
      </c>
      <c r="BE284" s="765"/>
      <c r="BF284" s="766">
        <v>-40</v>
      </c>
      <c r="BG284" s="766">
        <v>-37</v>
      </c>
      <c r="BH284" s="766">
        <v>-36</v>
      </c>
      <c r="BI284" s="766">
        <v>-36</v>
      </c>
      <c r="BJ284" s="766">
        <v>-34</v>
      </c>
      <c r="BK284" s="767">
        <v>-34</v>
      </c>
    </row>
    <row r="285" spans="2:63" x14ac:dyDescent="0.25">
      <c r="B285" s="759" t="s">
        <v>249</v>
      </c>
      <c r="C285" s="765"/>
      <c r="D285" s="755">
        <v>-34</v>
      </c>
      <c r="E285" s="755">
        <v>-34</v>
      </c>
      <c r="F285" s="766">
        <v>-29</v>
      </c>
      <c r="G285" s="766">
        <v>-29</v>
      </c>
      <c r="H285" s="766">
        <v>-32</v>
      </c>
      <c r="I285" s="767">
        <v>-32</v>
      </c>
      <c r="K285" s="759" t="s">
        <v>249</v>
      </c>
      <c r="L285" s="765"/>
      <c r="M285" s="766">
        <v>-39</v>
      </c>
      <c r="N285" s="766">
        <v>-37</v>
      </c>
      <c r="O285" s="766">
        <v>-36</v>
      </c>
      <c r="P285" s="766">
        <v>-34</v>
      </c>
      <c r="Q285" s="766">
        <v>-33</v>
      </c>
      <c r="R285" s="767">
        <v>-32</v>
      </c>
      <c r="T285" s="759" t="s">
        <v>249</v>
      </c>
      <c r="U285" s="765"/>
      <c r="V285" s="766">
        <v>-47</v>
      </c>
      <c r="W285" s="766">
        <v>-47</v>
      </c>
      <c r="X285" s="766">
        <v>-45</v>
      </c>
      <c r="Y285" s="766">
        <v>-45</v>
      </c>
      <c r="Z285" s="766">
        <v>-48</v>
      </c>
      <c r="AA285" s="767">
        <v>-47</v>
      </c>
      <c r="AC285" s="759" t="s">
        <v>249</v>
      </c>
      <c r="AD285" s="765"/>
      <c r="AE285" s="766">
        <v>-47</v>
      </c>
      <c r="AF285" s="766">
        <v>-47</v>
      </c>
      <c r="AG285" s="766">
        <v>-45</v>
      </c>
      <c r="AH285" s="766">
        <v>-45</v>
      </c>
      <c r="AI285" s="766">
        <v>-48</v>
      </c>
      <c r="AJ285" s="767">
        <v>-47</v>
      </c>
      <c r="AL285" s="759" t="s">
        <v>249</v>
      </c>
      <c r="AM285" s="765"/>
      <c r="AN285" s="766">
        <v>-39</v>
      </c>
      <c r="AO285" s="766">
        <v>-37</v>
      </c>
      <c r="AP285" s="766">
        <v>-36</v>
      </c>
      <c r="AQ285" s="766">
        <v>-34</v>
      </c>
      <c r="AR285" s="766">
        <v>-33</v>
      </c>
      <c r="AS285" s="767">
        <v>-32</v>
      </c>
      <c r="AU285" s="764" t="s">
        <v>249</v>
      </c>
      <c r="AV285" s="765"/>
      <c r="AW285" s="766">
        <v>-41</v>
      </c>
      <c r="AX285" s="766">
        <v>-40</v>
      </c>
      <c r="AY285" s="766">
        <v>-38</v>
      </c>
      <c r="AZ285" s="766">
        <v>-38</v>
      </c>
      <c r="BA285" s="766">
        <v>-43</v>
      </c>
      <c r="BB285" s="767">
        <v>-48</v>
      </c>
      <c r="BD285" s="759" t="s">
        <v>249</v>
      </c>
      <c r="BE285" s="765"/>
      <c r="BF285" s="766">
        <v>-39</v>
      </c>
      <c r="BG285" s="766">
        <v>-37</v>
      </c>
      <c r="BH285" s="766">
        <v>-36</v>
      </c>
      <c r="BI285" s="766">
        <v>-34</v>
      </c>
      <c r="BJ285" s="766">
        <v>-33</v>
      </c>
      <c r="BK285" s="767">
        <v>-32</v>
      </c>
    </row>
    <row r="286" spans="2:63" x14ac:dyDescent="0.25">
      <c r="B286" s="759" t="s">
        <v>257</v>
      </c>
      <c r="C286" s="765"/>
      <c r="D286" s="755">
        <v>-35</v>
      </c>
      <c r="E286" s="755">
        <v>-35</v>
      </c>
      <c r="F286" s="766">
        <v>-32</v>
      </c>
      <c r="G286" s="766">
        <v>-31</v>
      </c>
      <c r="H286" s="766">
        <v>-34</v>
      </c>
      <c r="I286" s="767">
        <v>-35</v>
      </c>
      <c r="K286" s="759" t="s">
        <v>257</v>
      </c>
      <c r="L286" s="765"/>
      <c r="M286" s="766">
        <v>-39</v>
      </c>
      <c r="N286" s="766">
        <v>-37</v>
      </c>
      <c r="O286" s="766">
        <v>-36</v>
      </c>
      <c r="P286" s="766">
        <v>-34</v>
      </c>
      <c r="Q286" s="766">
        <v>-31</v>
      </c>
      <c r="R286" s="767">
        <v>-31</v>
      </c>
      <c r="T286" s="759" t="s">
        <v>257</v>
      </c>
      <c r="U286" s="765"/>
      <c r="V286" s="766">
        <v>-47</v>
      </c>
      <c r="W286" s="766">
        <v>-47</v>
      </c>
      <c r="X286" s="766">
        <v>-45</v>
      </c>
      <c r="Y286" s="766">
        <v>-45</v>
      </c>
      <c r="Z286" s="766">
        <v>-48</v>
      </c>
      <c r="AA286" s="767">
        <v>-47</v>
      </c>
      <c r="AC286" s="759" t="s">
        <v>257</v>
      </c>
      <c r="AD286" s="765"/>
      <c r="AE286" s="766">
        <v>-47</v>
      </c>
      <c r="AF286" s="766">
        <v>-47</v>
      </c>
      <c r="AG286" s="766">
        <v>-45</v>
      </c>
      <c r="AH286" s="766">
        <v>-45</v>
      </c>
      <c r="AI286" s="766">
        <v>-48</v>
      </c>
      <c r="AJ286" s="767">
        <v>-47</v>
      </c>
      <c r="AL286" s="759" t="s">
        <v>257</v>
      </c>
      <c r="AM286" s="765"/>
      <c r="AN286" s="766">
        <v>-39</v>
      </c>
      <c r="AO286" s="766">
        <v>-37</v>
      </c>
      <c r="AP286" s="766">
        <v>-36</v>
      </c>
      <c r="AQ286" s="766">
        <v>-34</v>
      </c>
      <c r="AR286" s="766">
        <v>-31</v>
      </c>
      <c r="AS286" s="767">
        <v>-31</v>
      </c>
      <c r="AU286" s="764" t="s">
        <v>257</v>
      </c>
      <c r="AV286" s="765"/>
      <c r="AW286" s="766">
        <v>-41</v>
      </c>
      <c r="AX286" s="766">
        <v>-40</v>
      </c>
      <c r="AY286" s="766">
        <v>-39</v>
      </c>
      <c r="AZ286" s="766">
        <v>-39</v>
      </c>
      <c r="BA286" s="766">
        <v>-42</v>
      </c>
      <c r="BB286" s="767">
        <v>-48</v>
      </c>
      <c r="BD286" s="759" t="s">
        <v>257</v>
      </c>
      <c r="BE286" s="765"/>
      <c r="BF286" s="766">
        <v>-39</v>
      </c>
      <c r="BG286" s="766">
        <v>-37</v>
      </c>
      <c r="BH286" s="766">
        <v>-36</v>
      </c>
      <c r="BI286" s="766">
        <v>-34</v>
      </c>
      <c r="BJ286" s="766">
        <v>-31</v>
      </c>
      <c r="BK286" s="767">
        <v>-31</v>
      </c>
    </row>
    <row r="287" spans="2:63" x14ac:dyDescent="0.25">
      <c r="B287" s="759" t="s">
        <v>264</v>
      </c>
      <c r="C287" s="765" t="s">
        <v>1048</v>
      </c>
      <c r="D287" s="766">
        <v>-36</v>
      </c>
      <c r="E287" s="766">
        <v>-36</v>
      </c>
      <c r="F287" s="766">
        <v>-34</v>
      </c>
      <c r="G287" s="766">
        <v>-34</v>
      </c>
      <c r="H287" s="766">
        <v>-32</v>
      </c>
      <c r="I287" s="767">
        <v>-31</v>
      </c>
      <c r="K287" s="759" t="s">
        <v>264</v>
      </c>
      <c r="L287" s="765" t="s">
        <v>1048</v>
      </c>
      <c r="M287" s="766">
        <v>-35</v>
      </c>
      <c r="N287" s="766">
        <v>-35</v>
      </c>
      <c r="O287" s="766">
        <v>-33</v>
      </c>
      <c r="P287" s="766">
        <v>-33</v>
      </c>
      <c r="Q287" s="766">
        <v>-30</v>
      </c>
      <c r="R287" s="767">
        <v>-28</v>
      </c>
      <c r="T287" s="759" t="s">
        <v>264</v>
      </c>
      <c r="U287" s="765" t="s">
        <v>1048</v>
      </c>
      <c r="V287" s="766" t="s">
        <v>1048</v>
      </c>
      <c r="W287" s="766" t="s">
        <v>1048</v>
      </c>
      <c r="X287" s="766" t="s">
        <v>1048</v>
      </c>
      <c r="Y287" s="766" t="s">
        <v>1048</v>
      </c>
      <c r="Z287" s="766" t="s">
        <v>1048</v>
      </c>
      <c r="AA287" s="767" t="s">
        <v>1048</v>
      </c>
      <c r="AC287" s="759" t="s">
        <v>264</v>
      </c>
      <c r="AD287" s="765" t="s">
        <v>1048</v>
      </c>
      <c r="AE287" s="766" t="s">
        <v>1048</v>
      </c>
      <c r="AF287" s="766" t="s">
        <v>1048</v>
      </c>
      <c r="AG287" s="766" t="s">
        <v>1048</v>
      </c>
      <c r="AH287" s="766" t="s">
        <v>1048</v>
      </c>
      <c r="AI287" s="766" t="s">
        <v>1048</v>
      </c>
      <c r="AJ287" s="767" t="s">
        <v>1048</v>
      </c>
      <c r="AL287" s="759" t="s">
        <v>264</v>
      </c>
      <c r="AM287" s="765" t="s">
        <v>1048</v>
      </c>
      <c r="AN287" s="766" t="s">
        <v>1048</v>
      </c>
      <c r="AO287" s="766" t="s">
        <v>1048</v>
      </c>
      <c r="AP287" s="766" t="s">
        <v>1048</v>
      </c>
      <c r="AQ287" s="766" t="s">
        <v>1048</v>
      </c>
      <c r="AR287" s="766" t="s">
        <v>1048</v>
      </c>
      <c r="AS287" s="767" t="s">
        <v>1048</v>
      </c>
      <c r="AU287" s="764" t="s">
        <v>264</v>
      </c>
      <c r="AV287" s="765" t="s">
        <v>1048</v>
      </c>
      <c r="AW287" s="766" t="s">
        <v>1048</v>
      </c>
      <c r="AX287" s="766" t="s">
        <v>1048</v>
      </c>
      <c r="AY287" s="766" t="s">
        <v>1048</v>
      </c>
      <c r="AZ287" s="766" t="s">
        <v>1048</v>
      </c>
      <c r="BA287" s="766" t="s">
        <v>1048</v>
      </c>
      <c r="BB287" s="767" t="s">
        <v>1048</v>
      </c>
      <c r="BD287" s="759" t="s">
        <v>264</v>
      </c>
      <c r="BE287" s="765" t="s">
        <v>1048</v>
      </c>
      <c r="BF287" s="766">
        <v>-35</v>
      </c>
      <c r="BG287" s="766">
        <v>-35</v>
      </c>
      <c r="BH287" s="766">
        <v>-33</v>
      </c>
      <c r="BI287" s="766">
        <v>-33</v>
      </c>
      <c r="BJ287" s="766">
        <v>-30</v>
      </c>
      <c r="BK287" s="767">
        <v>-28</v>
      </c>
    </row>
    <row r="288" spans="2:63" x14ac:dyDescent="0.25">
      <c r="B288" s="759" t="s">
        <v>272</v>
      </c>
      <c r="C288" s="765" t="s">
        <v>1048</v>
      </c>
      <c r="D288" s="766">
        <v>-36</v>
      </c>
      <c r="E288" s="766">
        <v>-36</v>
      </c>
      <c r="F288" s="766">
        <v>-34</v>
      </c>
      <c r="G288" s="766">
        <v>-34</v>
      </c>
      <c r="H288" s="766">
        <v>-32</v>
      </c>
      <c r="I288" s="767">
        <v>-31</v>
      </c>
      <c r="K288" s="759" t="s">
        <v>272</v>
      </c>
      <c r="L288" s="765" t="s">
        <v>1048</v>
      </c>
      <c r="M288" s="766">
        <v>-35</v>
      </c>
      <c r="N288" s="766">
        <v>-35</v>
      </c>
      <c r="O288" s="766">
        <v>-33</v>
      </c>
      <c r="P288" s="766">
        <v>-33</v>
      </c>
      <c r="Q288" s="766">
        <v>-30</v>
      </c>
      <c r="R288" s="767">
        <v>-28</v>
      </c>
      <c r="T288" s="759" t="s">
        <v>272</v>
      </c>
      <c r="U288" s="765" t="s">
        <v>1048</v>
      </c>
      <c r="V288" s="766" t="s">
        <v>1048</v>
      </c>
      <c r="W288" s="766" t="s">
        <v>1048</v>
      </c>
      <c r="X288" s="766" t="s">
        <v>1048</v>
      </c>
      <c r="Y288" s="766" t="s">
        <v>1048</v>
      </c>
      <c r="Z288" s="766" t="s">
        <v>1048</v>
      </c>
      <c r="AA288" s="767" t="s">
        <v>1048</v>
      </c>
      <c r="AC288" s="759" t="s">
        <v>272</v>
      </c>
      <c r="AD288" s="765" t="s">
        <v>1048</v>
      </c>
      <c r="AE288" s="766" t="s">
        <v>1048</v>
      </c>
      <c r="AF288" s="766" t="s">
        <v>1048</v>
      </c>
      <c r="AG288" s="766" t="s">
        <v>1048</v>
      </c>
      <c r="AH288" s="766" t="s">
        <v>1048</v>
      </c>
      <c r="AI288" s="766" t="s">
        <v>1048</v>
      </c>
      <c r="AJ288" s="767" t="s">
        <v>1048</v>
      </c>
      <c r="AL288" s="759" t="s">
        <v>272</v>
      </c>
      <c r="AM288" s="765" t="s">
        <v>1048</v>
      </c>
      <c r="AN288" s="766" t="s">
        <v>1048</v>
      </c>
      <c r="AO288" s="766" t="s">
        <v>1048</v>
      </c>
      <c r="AP288" s="766" t="s">
        <v>1048</v>
      </c>
      <c r="AQ288" s="766" t="s">
        <v>1048</v>
      </c>
      <c r="AR288" s="766" t="s">
        <v>1048</v>
      </c>
      <c r="AS288" s="767" t="s">
        <v>1048</v>
      </c>
      <c r="AU288" s="764" t="s">
        <v>272</v>
      </c>
      <c r="AV288" s="765" t="s">
        <v>1048</v>
      </c>
      <c r="AW288" s="766" t="s">
        <v>1048</v>
      </c>
      <c r="AX288" s="766" t="s">
        <v>1048</v>
      </c>
      <c r="AY288" s="766" t="s">
        <v>1048</v>
      </c>
      <c r="AZ288" s="766" t="s">
        <v>1048</v>
      </c>
      <c r="BA288" s="766" t="s">
        <v>1048</v>
      </c>
      <c r="BB288" s="767" t="s">
        <v>1048</v>
      </c>
      <c r="BD288" s="759" t="s">
        <v>272</v>
      </c>
      <c r="BE288" s="765" t="s">
        <v>1048</v>
      </c>
      <c r="BF288" s="766">
        <v>-35</v>
      </c>
      <c r="BG288" s="766">
        <v>-35</v>
      </c>
      <c r="BH288" s="766">
        <v>-33</v>
      </c>
      <c r="BI288" s="766">
        <v>-33</v>
      </c>
      <c r="BJ288" s="766">
        <v>-30</v>
      </c>
      <c r="BK288" s="767">
        <v>-28</v>
      </c>
    </row>
    <row r="289" spans="2:63" x14ac:dyDescent="0.25">
      <c r="B289" s="759" t="s">
        <v>278</v>
      </c>
      <c r="C289" s="765" t="s">
        <v>1048</v>
      </c>
      <c r="D289" s="766" t="s">
        <v>1048</v>
      </c>
      <c r="E289" s="766" t="s">
        <v>1048</v>
      </c>
      <c r="F289" s="766" t="s">
        <v>1048</v>
      </c>
      <c r="G289" s="766" t="s">
        <v>1048</v>
      </c>
      <c r="H289" s="766" t="s">
        <v>1048</v>
      </c>
      <c r="I289" s="767" t="s">
        <v>1048</v>
      </c>
      <c r="K289" s="759" t="s">
        <v>278</v>
      </c>
      <c r="L289" s="765" t="s">
        <v>1048</v>
      </c>
      <c r="M289" s="766" t="s">
        <v>1048</v>
      </c>
      <c r="N289" s="766" t="s">
        <v>1048</v>
      </c>
      <c r="O289" s="766" t="s">
        <v>1048</v>
      </c>
      <c r="P289" s="766" t="s">
        <v>1048</v>
      </c>
      <c r="Q289" s="766" t="s">
        <v>1048</v>
      </c>
      <c r="R289" s="767" t="s">
        <v>1048</v>
      </c>
      <c r="T289" s="759" t="s">
        <v>278</v>
      </c>
      <c r="U289" s="765" t="s">
        <v>1048</v>
      </c>
      <c r="V289" s="766" t="s">
        <v>1048</v>
      </c>
      <c r="W289" s="766" t="s">
        <v>1048</v>
      </c>
      <c r="X289" s="766" t="s">
        <v>1048</v>
      </c>
      <c r="Y289" s="766" t="s">
        <v>1048</v>
      </c>
      <c r="Z289" s="766" t="s">
        <v>1048</v>
      </c>
      <c r="AA289" s="767" t="s">
        <v>1048</v>
      </c>
      <c r="AC289" s="759" t="s">
        <v>278</v>
      </c>
      <c r="AD289" s="765" t="s">
        <v>1048</v>
      </c>
      <c r="AE289" s="766" t="s">
        <v>1048</v>
      </c>
      <c r="AF289" s="766" t="s">
        <v>1048</v>
      </c>
      <c r="AG289" s="766" t="s">
        <v>1048</v>
      </c>
      <c r="AH289" s="766" t="s">
        <v>1048</v>
      </c>
      <c r="AI289" s="766" t="s">
        <v>1048</v>
      </c>
      <c r="AJ289" s="767" t="s">
        <v>1048</v>
      </c>
      <c r="AL289" s="759" t="s">
        <v>278</v>
      </c>
      <c r="AM289" s="765" t="s">
        <v>1048</v>
      </c>
      <c r="AN289" s="766" t="s">
        <v>1048</v>
      </c>
      <c r="AO289" s="766" t="s">
        <v>1048</v>
      </c>
      <c r="AP289" s="766" t="s">
        <v>1048</v>
      </c>
      <c r="AQ289" s="766" t="s">
        <v>1048</v>
      </c>
      <c r="AR289" s="766" t="s">
        <v>1048</v>
      </c>
      <c r="AS289" s="767" t="s">
        <v>1048</v>
      </c>
      <c r="AU289" s="764" t="s">
        <v>278</v>
      </c>
      <c r="AV289" s="765" t="s">
        <v>1048</v>
      </c>
      <c r="AW289" s="766" t="s">
        <v>1048</v>
      </c>
      <c r="AX289" s="766" t="s">
        <v>1048</v>
      </c>
      <c r="AY289" s="766" t="s">
        <v>1048</v>
      </c>
      <c r="AZ289" s="766" t="s">
        <v>1048</v>
      </c>
      <c r="BA289" s="766" t="s">
        <v>1048</v>
      </c>
      <c r="BB289" s="767" t="s">
        <v>1048</v>
      </c>
      <c r="BD289" s="759" t="s">
        <v>278</v>
      </c>
      <c r="BE289" s="765" t="s">
        <v>1048</v>
      </c>
      <c r="BF289" s="766" t="s">
        <v>1048</v>
      </c>
      <c r="BG289" s="766" t="s">
        <v>1048</v>
      </c>
      <c r="BH289" s="766" t="s">
        <v>1048</v>
      </c>
      <c r="BI289" s="766" t="s">
        <v>1048</v>
      </c>
      <c r="BJ289" s="766" t="s">
        <v>1048</v>
      </c>
      <c r="BK289" s="767" t="s">
        <v>1048</v>
      </c>
    </row>
    <row r="290" spans="2:63" ht="15.75" thickBot="1" x14ac:dyDescent="0.3">
      <c r="B290" s="768" t="s">
        <v>284</v>
      </c>
      <c r="C290" s="769" t="s">
        <v>1048</v>
      </c>
      <c r="D290" s="770" t="s">
        <v>1048</v>
      </c>
      <c r="E290" s="770" t="s">
        <v>1048</v>
      </c>
      <c r="F290" s="770" t="s">
        <v>1048</v>
      </c>
      <c r="G290" s="770" t="s">
        <v>1048</v>
      </c>
      <c r="H290" s="770" t="s">
        <v>1048</v>
      </c>
      <c r="I290" s="771" t="s">
        <v>1048</v>
      </c>
      <c r="K290" s="768" t="s">
        <v>284</v>
      </c>
      <c r="L290" s="769" t="s">
        <v>1048</v>
      </c>
      <c r="M290" s="770" t="s">
        <v>1048</v>
      </c>
      <c r="N290" s="770" t="s">
        <v>1048</v>
      </c>
      <c r="O290" s="770" t="s">
        <v>1048</v>
      </c>
      <c r="P290" s="770" t="s">
        <v>1048</v>
      </c>
      <c r="Q290" s="770" t="s">
        <v>1048</v>
      </c>
      <c r="R290" s="771" t="s">
        <v>1048</v>
      </c>
      <c r="T290" s="768" t="s">
        <v>284</v>
      </c>
      <c r="U290" s="769" t="s">
        <v>1048</v>
      </c>
      <c r="V290" s="770" t="s">
        <v>1048</v>
      </c>
      <c r="W290" s="770" t="s">
        <v>1048</v>
      </c>
      <c r="X290" s="770" t="s">
        <v>1048</v>
      </c>
      <c r="Y290" s="770" t="s">
        <v>1048</v>
      </c>
      <c r="Z290" s="770" t="s">
        <v>1048</v>
      </c>
      <c r="AA290" s="771" t="s">
        <v>1048</v>
      </c>
      <c r="AC290" s="768" t="s">
        <v>284</v>
      </c>
      <c r="AD290" s="769" t="s">
        <v>1048</v>
      </c>
      <c r="AE290" s="770" t="s">
        <v>1048</v>
      </c>
      <c r="AF290" s="770" t="s">
        <v>1048</v>
      </c>
      <c r="AG290" s="770" t="s">
        <v>1048</v>
      </c>
      <c r="AH290" s="770" t="s">
        <v>1048</v>
      </c>
      <c r="AI290" s="770" t="s">
        <v>1048</v>
      </c>
      <c r="AJ290" s="771" t="s">
        <v>1048</v>
      </c>
      <c r="AL290" s="768" t="s">
        <v>284</v>
      </c>
      <c r="AM290" s="769" t="s">
        <v>1048</v>
      </c>
      <c r="AN290" s="770" t="s">
        <v>1048</v>
      </c>
      <c r="AO290" s="770" t="s">
        <v>1048</v>
      </c>
      <c r="AP290" s="770" t="s">
        <v>1048</v>
      </c>
      <c r="AQ290" s="770" t="s">
        <v>1048</v>
      </c>
      <c r="AR290" s="770" t="s">
        <v>1048</v>
      </c>
      <c r="AS290" s="771" t="s">
        <v>1048</v>
      </c>
      <c r="AU290" s="773" t="s">
        <v>284</v>
      </c>
      <c r="AV290" s="769" t="s">
        <v>1048</v>
      </c>
      <c r="AW290" s="770" t="s">
        <v>1048</v>
      </c>
      <c r="AX290" s="770" t="s">
        <v>1048</v>
      </c>
      <c r="AY290" s="770" t="s">
        <v>1048</v>
      </c>
      <c r="AZ290" s="770" t="s">
        <v>1048</v>
      </c>
      <c r="BA290" s="770" t="s">
        <v>1048</v>
      </c>
      <c r="BB290" s="771" t="s">
        <v>1048</v>
      </c>
      <c r="BD290" s="768" t="s">
        <v>284</v>
      </c>
      <c r="BE290" s="769" t="s">
        <v>1048</v>
      </c>
      <c r="BF290" s="770" t="s">
        <v>1048</v>
      </c>
      <c r="BG290" s="770" t="s">
        <v>1048</v>
      </c>
      <c r="BH290" s="770" t="s">
        <v>1048</v>
      </c>
      <c r="BI290" s="770" t="s">
        <v>1048</v>
      </c>
      <c r="BJ290" s="770" t="s">
        <v>1048</v>
      </c>
      <c r="BK290" s="771" t="s">
        <v>1048</v>
      </c>
    </row>
    <row r="291" spans="2:63" ht="15.75" thickBot="1" x14ac:dyDescent="0.3">
      <c r="B291" s="774"/>
      <c r="C291" s="775"/>
      <c r="D291" s="775"/>
      <c r="E291" s="775"/>
      <c r="F291" s="775"/>
      <c r="G291" s="775"/>
      <c r="H291" s="775"/>
      <c r="I291" s="775"/>
      <c r="K291" s="774"/>
      <c r="L291" s="775"/>
      <c r="M291" s="775"/>
      <c r="N291" s="775"/>
      <c r="O291" s="775"/>
      <c r="P291" s="775"/>
      <c r="Q291" s="775"/>
      <c r="R291" s="775"/>
      <c r="AU291" s="777"/>
      <c r="AV291" s="775"/>
      <c r="AW291" s="775"/>
      <c r="AX291" s="775"/>
      <c r="AY291" s="775"/>
      <c r="AZ291" s="775"/>
      <c r="BA291" s="775"/>
      <c r="BB291" s="775"/>
    </row>
    <row r="292" spans="2:63" ht="15.75" thickBot="1" x14ac:dyDescent="0.3">
      <c r="B292" s="748" t="s">
        <v>1109</v>
      </c>
      <c r="C292" s="778" t="s">
        <v>187</v>
      </c>
      <c r="D292" s="778" t="s">
        <v>214</v>
      </c>
      <c r="E292" s="778" t="s">
        <v>233</v>
      </c>
      <c r="F292" s="778" t="s">
        <v>242</v>
      </c>
      <c r="G292" s="778" t="s">
        <v>250</v>
      </c>
      <c r="H292" s="778" t="s">
        <v>258</v>
      </c>
      <c r="I292" s="779" t="s">
        <v>265</v>
      </c>
      <c r="K292" s="748" t="s">
        <v>1109</v>
      </c>
      <c r="L292" s="778" t="s">
        <v>187</v>
      </c>
      <c r="M292" s="778" t="s">
        <v>214</v>
      </c>
      <c r="N292" s="778" t="s">
        <v>233</v>
      </c>
      <c r="O292" s="778" t="s">
        <v>242</v>
      </c>
      <c r="P292" s="778" t="s">
        <v>250</v>
      </c>
      <c r="Q292" s="778" t="s">
        <v>258</v>
      </c>
      <c r="R292" s="779" t="s">
        <v>265</v>
      </c>
      <c r="T292" s="748" t="s">
        <v>1109</v>
      </c>
      <c r="U292" s="749" t="s">
        <v>187</v>
      </c>
      <c r="V292" s="749" t="s">
        <v>214</v>
      </c>
      <c r="W292" s="749" t="s">
        <v>233</v>
      </c>
      <c r="X292" s="749" t="s">
        <v>242</v>
      </c>
      <c r="Y292" s="749" t="s">
        <v>250</v>
      </c>
      <c r="Z292" s="749" t="s">
        <v>258</v>
      </c>
      <c r="AA292" s="750" t="s">
        <v>265</v>
      </c>
      <c r="AC292" s="748" t="s">
        <v>1109</v>
      </c>
      <c r="AD292" s="749" t="s">
        <v>187</v>
      </c>
      <c r="AE292" s="749" t="s">
        <v>214</v>
      </c>
      <c r="AF292" s="749" t="s">
        <v>233</v>
      </c>
      <c r="AG292" s="749" t="s">
        <v>242</v>
      </c>
      <c r="AH292" s="749" t="s">
        <v>250</v>
      </c>
      <c r="AI292" s="749" t="s">
        <v>258</v>
      </c>
      <c r="AJ292" s="750" t="s">
        <v>265</v>
      </c>
      <c r="AL292" s="748" t="s">
        <v>1109</v>
      </c>
      <c r="AM292" s="749" t="s">
        <v>187</v>
      </c>
      <c r="AN292" s="749" t="s">
        <v>214</v>
      </c>
      <c r="AO292" s="749" t="s">
        <v>233</v>
      </c>
      <c r="AP292" s="749" t="s">
        <v>242</v>
      </c>
      <c r="AQ292" s="749" t="s">
        <v>250</v>
      </c>
      <c r="AR292" s="749" t="s">
        <v>258</v>
      </c>
      <c r="AS292" s="750" t="s">
        <v>265</v>
      </c>
      <c r="AU292" s="752" t="s">
        <v>1109</v>
      </c>
      <c r="AV292" s="778" t="s">
        <v>187</v>
      </c>
      <c r="AW292" s="778" t="s">
        <v>214</v>
      </c>
      <c r="AX292" s="778" t="s">
        <v>233</v>
      </c>
      <c r="AY292" s="778" t="s">
        <v>242</v>
      </c>
      <c r="AZ292" s="778" t="s">
        <v>250</v>
      </c>
      <c r="BA292" s="778" t="s">
        <v>258</v>
      </c>
      <c r="BB292" s="779" t="s">
        <v>265</v>
      </c>
      <c r="BD292" s="748" t="s">
        <v>1109</v>
      </c>
      <c r="BE292" s="749" t="s">
        <v>187</v>
      </c>
      <c r="BF292" s="749" t="s">
        <v>214</v>
      </c>
      <c r="BG292" s="749" t="s">
        <v>233</v>
      </c>
      <c r="BH292" s="749" t="s">
        <v>242</v>
      </c>
      <c r="BI292" s="749" t="s">
        <v>250</v>
      </c>
      <c r="BJ292" s="749" t="s">
        <v>258</v>
      </c>
      <c r="BK292" s="750" t="s">
        <v>265</v>
      </c>
    </row>
    <row r="293" spans="2:63" x14ac:dyDescent="0.25">
      <c r="B293" s="753" t="s">
        <v>186</v>
      </c>
      <c r="C293" s="754">
        <v>-39</v>
      </c>
      <c r="D293" s="755">
        <v>-38</v>
      </c>
      <c r="E293" s="755">
        <v>-36</v>
      </c>
      <c r="F293" s="755">
        <v>-34</v>
      </c>
      <c r="G293" s="755">
        <v>-34</v>
      </c>
      <c r="H293" s="755">
        <v>-32</v>
      </c>
      <c r="I293" s="756">
        <v>-33</v>
      </c>
      <c r="K293" s="753" t="s">
        <v>186</v>
      </c>
      <c r="L293" s="754">
        <v>-38</v>
      </c>
      <c r="M293" s="755">
        <v>-38</v>
      </c>
      <c r="N293" s="755">
        <v>-36</v>
      </c>
      <c r="O293" s="755">
        <v>-35</v>
      </c>
      <c r="P293" s="755">
        <v>-33</v>
      </c>
      <c r="Q293" s="755">
        <v>-33</v>
      </c>
      <c r="R293" s="756">
        <v>-33</v>
      </c>
      <c r="T293" s="753" t="s">
        <v>186</v>
      </c>
      <c r="U293" s="754">
        <v>-54</v>
      </c>
      <c r="V293" s="755">
        <v>-50</v>
      </c>
      <c r="W293" s="755">
        <v>-49</v>
      </c>
      <c r="X293" s="755">
        <v>-46</v>
      </c>
      <c r="Y293" s="755">
        <v>-45</v>
      </c>
      <c r="Z293" s="755">
        <v>-48</v>
      </c>
      <c r="AA293" s="756">
        <v>-47</v>
      </c>
      <c r="AC293" s="753" t="s">
        <v>186</v>
      </c>
      <c r="AD293" s="754">
        <v>-54</v>
      </c>
      <c r="AE293" s="755">
        <v>-50</v>
      </c>
      <c r="AF293" s="755">
        <v>-49</v>
      </c>
      <c r="AG293" s="755">
        <v>-46</v>
      </c>
      <c r="AH293" s="755">
        <v>-45</v>
      </c>
      <c r="AI293" s="755">
        <v>-48</v>
      </c>
      <c r="AJ293" s="756">
        <v>-47</v>
      </c>
      <c r="AL293" s="753" t="s">
        <v>186</v>
      </c>
      <c r="AM293" s="754">
        <v>-38</v>
      </c>
      <c r="AN293" s="755">
        <v>-38</v>
      </c>
      <c r="AO293" s="755">
        <v>-36</v>
      </c>
      <c r="AP293" s="755">
        <v>-35</v>
      </c>
      <c r="AQ293" s="755">
        <v>-33</v>
      </c>
      <c r="AR293" s="755">
        <v>-33</v>
      </c>
      <c r="AS293" s="756">
        <v>-33</v>
      </c>
      <c r="AU293" s="758" t="s">
        <v>186</v>
      </c>
      <c r="AV293" s="754">
        <v>-44</v>
      </c>
      <c r="AW293" s="755">
        <v>-45</v>
      </c>
      <c r="AX293" s="755">
        <v>-41</v>
      </c>
      <c r="AY293" s="755">
        <v>-39</v>
      </c>
      <c r="AZ293" s="755">
        <v>-36</v>
      </c>
      <c r="BA293" s="755">
        <v>-39</v>
      </c>
      <c r="BB293" s="756">
        <v>-39</v>
      </c>
      <c r="BD293" s="753" t="s">
        <v>186</v>
      </c>
      <c r="BE293" s="754">
        <v>-38</v>
      </c>
      <c r="BF293" s="755">
        <v>-38</v>
      </c>
      <c r="BG293" s="755">
        <v>-36</v>
      </c>
      <c r="BH293" s="755">
        <v>-35</v>
      </c>
      <c r="BI293" s="755">
        <v>-33</v>
      </c>
      <c r="BJ293" s="755">
        <v>-33</v>
      </c>
      <c r="BK293" s="756">
        <v>-33</v>
      </c>
    </row>
    <row r="294" spans="2:63" x14ac:dyDescent="0.25">
      <c r="B294" s="759" t="s">
        <v>213</v>
      </c>
      <c r="C294" s="760"/>
      <c r="D294" s="755">
        <v>-36</v>
      </c>
      <c r="E294" s="755">
        <v>-35</v>
      </c>
      <c r="F294" s="755">
        <v>-32</v>
      </c>
      <c r="G294" s="755">
        <v>-32</v>
      </c>
      <c r="H294" s="755">
        <v>-28</v>
      </c>
      <c r="I294" s="762">
        <v>-27</v>
      </c>
      <c r="K294" s="759" t="s">
        <v>213</v>
      </c>
      <c r="L294" s="760"/>
      <c r="M294" s="761">
        <v>-40</v>
      </c>
      <c r="N294" s="761">
        <v>-39</v>
      </c>
      <c r="O294" s="761">
        <v>-37</v>
      </c>
      <c r="P294" s="761">
        <v>-35</v>
      </c>
      <c r="Q294" s="761">
        <v>-35</v>
      </c>
      <c r="R294" s="762">
        <v>-33</v>
      </c>
      <c r="T294" s="759" t="s">
        <v>213</v>
      </c>
      <c r="U294" s="760"/>
      <c r="V294" s="761">
        <v>-50</v>
      </c>
      <c r="W294" s="761">
        <v>-49</v>
      </c>
      <c r="X294" s="761">
        <v>-46</v>
      </c>
      <c r="Y294" s="761">
        <v>-45</v>
      </c>
      <c r="Z294" s="761">
        <v>-48</v>
      </c>
      <c r="AA294" s="762">
        <v>-47</v>
      </c>
      <c r="AC294" s="759" t="s">
        <v>213</v>
      </c>
      <c r="AD294" s="760"/>
      <c r="AE294" s="761">
        <v>-50</v>
      </c>
      <c r="AF294" s="761">
        <v>-49</v>
      </c>
      <c r="AG294" s="761">
        <v>-46</v>
      </c>
      <c r="AH294" s="761">
        <v>-45</v>
      </c>
      <c r="AI294" s="761">
        <v>-48</v>
      </c>
      <c r="AJ294" s="762">
        <v>-47</v>
      </c>
      <c r="AL294" s="759" t="s">
        <v>213</v>
      </c>
      <c r="AM294" s="760"/>
      <c r="AN294" s="761">
        <v>-40</v>
      </c>
      <c r="AO294" s="761">
        <v>-39</v>
      </c>
      <c r="AP294" s="761">
        <v>-37</v>
      </c>
      <c r="AQ294" s="761">
        <v>-35</v>
      </c>
      <c r="AR294" s="761">
        <v>-35</v>
      </c>
      <c r="AS294" s="762">
        <v>-33</v>
      </c>
      <c r="AU294" s="764" t="s">
        <v>213</v>
      </c>
      <c r="AV294" s="760"/>
      <c r="AW294" s="761">
        <v>-46</v>
      </c>
      <c r="AX294" s="761">
        <v>-41</v>
      </c>
      <c r="AY294" s="761">
        <v>-39</v>
      </c>
      <c r="AZ294" s="761">
        <v>-38</v>
      </c>
      <c r="BA294" s="761">
        <v>-43</v>
      </c>
      <c r="BB294" s="762">
        <v>-47</v>
      </c>
      <c r="BD294" s="759" t="s">
        <v>213</v>
      </c>
      <c r="BE294" s="760"/>
      <c r="BF294" s="761">
        <v>-40</v>
      </c>
      <c r="BG294" s="761">
        <v>-39</v>
      </c>
      <c r="BH294" s="761">
        <v>-37</v>
      </c>
      <c r="BI294" s="761">
        <v>-35</v>
      </c>
      <c r="BJ294" s="761">
        <v>-35</v>
      </c>
      <c r="BK294" s="762">
        <v>-33</v>
      </c>
    </row>
    <row r="295" spans="2:63" x14ac:dyDescent="0.25">
      <c r="B295" s="759" t="s">
        <v>232</v>
      </c>
      <c r="C295" s="765"/>
      <c r="D295" s="755">
        <v>-34</v>
      </c>
      <c r="E295" s="755">
        <v>-34</v>
      </c>
      <c r="F295" s="755">
        <v>-29</v>
      </c>
      <c r="G295" s="755">
        <v>-29</v>
      </c>
      <c r="H295" s="755">
        <v>-27</v>
      </c>
      <c r="I295" s="767">
        <v>-27</v>
      </c>
      <c r="K295" s="759" t="s">
        <v>232</v>
      </c>
      <c r="L295" s="765"/>
      <c r="M295" s="766">
        <v>-40</v>
      </c>
      <c r="N295" s="766">
        <v>-38</v>
      </c>
      <c r="O295" s="766">
        <v>-37</v>
      </c>
      <c r="P295" s="766">
        <v>-35</v>
      </c>
      <c r="Q295" s="766">
        <v>-33</v>
      </c>
      <c r="R295" s="767">
        <v>-34</v>
      </c>
      <c r="T295" s="759" t="s">
        <v>232</v>
      </c>
      <c r="U295" s="765"/>
      <c r="V295" s="766">
        <v>-49</v>
      </c>
      <c r="W295" s="766">
        <v>-49</v>
      </c>
      <c r="X295" s="766">
        <v>-46</v>
      </c>
      <c r="Y295" s="766">
        <v>-45</v>
      </c>
      <c r="Z295" s="766">
        <v>-48</v>
      </c>
      <c r="AA295" s="767">
        <v>-47</v>
      </c>
      <c r="AC295" s="759" t="s">
        <v>232</v>
      </c>
      <c r="AD295" s="765"/>
      <c r="AE295" s="766">
        <v>-49</v>
      </c>
      <c r="AF295" s="766">
        <v>-49</v>
      </c>
      <c r="AG295" s="766">
        <v>-46</v>
      </c>
      <c r="AH295" s="766">
        <v>-45</v>
      </c>
      <c r="AI295" s="766">
        <v>-48</v>
      </c>
      <c r="AJ295" s="767">
        <v>-47</v>
      </c>
      <c r="AL295" s="759" t="s">
        <v>232</v>
      </c>
      <c r="AM295" s="765"/>
      <c r="AN295" s="766">
        <v>-40</v>
      </c>
      <c r="AO295" s="766">
        <v>-38</v>
      </c>
      <c r="AP295" s="766">
        <v>-37</v>
      </c>
      <c r="AQ295" s="766">
        <v>-35</v>
      </c>
      <c r="AR295" s="766">
        <v>-33</v>
      </c>
      <c r="AS295" s="767">
        <v>-34</v>
      </c>
      <c r="AU295" s="764" t="s">
        <v>232</v>
      </c>
      <c r="AV295" s="765"/>
      <c r="AW295" s="766">
        <v>-38</v>
      </c>
      <c r="AX295" s="766">
        <v>-38</v>
      </c>
      <c r="AY295" s="766">
        <v>-38</v>
      </c>
      <c r="AZ295" s="766">
        <v>-36</v>
      </c>
      <c r="BA295" s="766">
        <v>-43</v>
      </c>
      <c r="BB295" s="767">
        <v>-47</v>
      </c>
      <c r="BD295" s="759" t="s">
        <v>232</v>
      </c>
      <c r="BE295" s="765"/>
      <c r="BF295" s="766">
        <v>-40</v>
      </c>
      <c r="BG295" s="766">
        <v>-38</v>
      </c>
      <c r="BH295" s="766">
        <v>-37</v>
      </c>
      <c r="BI295" s="766">
        <v>-35</v>
      </c>
      <c r="BJ295" s="766">
        <v>-33</v>
      </c>
      <c r="BK295" s="767">
        <v>-34</v>
      </c>
    </row>
    <row r="296" spans="2:63" x14ac:dyDescent="0.25">
      <c r="B296" s="759" t="s">
        <v>215</v>
      </c>
      <c r="C296" s="765"/>
      <c r="D296" s="755">
        <v>-34</v>
      </c>
      <c r="E296" s="755">
        <v>-34</v>
      </c>
      <c r="F296" s="755">
        <v>-30</v>
      </c>
      <c r="G296" s="755">
        <v>-29</v>
      </c>
      <c r="H296" s="755">
        <v>-27</v>
      </c>
      <c r="I296" s="767">
        <v>-27</v>
      </c>
      <c r="K296" s="759" t="s">
        <v>215</v>
      </c>
      <c r="L296" s="765"/>
      <c r="M296" s="766">
        <v>-40</v>
      </c>
      <c r="N296" s="766">
        <v>-37</v>
      </c>
      <c r="O296" s="766">
        <v>-36</v>
      </c>
      <c r="P296" s="766">
        <v>-36</v>
      </c>
      <c r="Q296" s="766">
        <v>-34</v>
      </c>
      <c r="R296" s="767">
        <v>-34</v>
      </c>
      <c r="T296" s="759" t="s">
        <v>215</v>
      </c>
      <c r="U296" s="765"/>
      <c r="V296" s="766">
        <v>-47</v>
      </c>
      <c r="W296" s="766">
        <v>-47</v>
      </c>
      <c r="X296" s="766">
        <v>-45</v>
      </c>
      <c r="Y296" s="766">
        <v>-45</v>
      </c>
      <c r="Z296" s="766">
        <v>-48</v>
      </c>
      <c r="AA296" s="767">
        <v>-47</v>
      </c>
      <c r="AC296" s="759" t="s">
        <v>215</v>
      </c>
      <c r="AD296" s="765"/>
      <c r="AE296" s="766">
        <v>-47</v>
      </c>
      <c r="AF296" s="766">
        <v>-47</v>
      </c>
      <c r="AG296" s="766">
        <v>-45</v>
      </c>
      <c r="AH296" s="766">
        <v>-45</v>
      </c>
      <c r="AI296" s="766">
        <v>-48</v>
      </c>
      <c r="AJ296" s="767">
        <v>-47</v>
      </c>
      <c r="AL296" s="759" t="s">
        <v>215</v>
      </c>
      <c r="AM296" s="765"/>
      <c r="AN296" s="766">
        <v>-40</v>
      </c>
      <c r="AO296" s="766">
        <v>-37</v>
      </c>
      <c r="AP296" s="766">
        <v>-36</v>
      </c>
      <c r="AQ296" s="766">
        <v>-36</v>
      </c>
      <c r="AR296" s="766">
        <v>-34</v>
      </c>
      <c r="AS296" s="767">
        <v>-34</v>
      </c>
      <c r="AU296" s="764" t="s">
        <v>215</v>
      </c>
      <c r="AV296" s="765"/>
      <c r="AW296" s="766">
        <v>-38</v>
      </c>
      <c r="AX296" s="766">
        <v>-38</v>
      </c>
      <c r="AY296" s="766">
        <v>-38</v>
      </c>
      <c r="AZ296" s="766">
        <v>-36</v>
      </c>
      <c r="BA296" s="766">
        <v>-41</v>
      </c>
      <c r="BB296" s="767">
        <v>-45</v>
      </c>
      <c r="BD296" s="759" t="s">
        <v>215</v>
      </c>
      <c r="BE296" s="765"/>
      <c r="BF296" s="766">
        <v>-40</v>
      </c>
      <c r="BG296" s="766">
        <v>-37</v>
      </c>
      <c r="BH296" s="766">
        <v>-36</v>
      </c>
      <c r="BI296" s="766">
        <v>-36</v>
      </c>
      <c r="BJ296" s="766">
        <v>-34</v>
      </c>
      <c r="BK296" s="767">
        <v>-34</v>
      </c>
    </row>
    <row r="297" spans="2:63" x14ac:dyDescent="0.25">
      <c r="B297" s="759" t="s">
        <v>249</v>
      </c>
      <c r="C297" s="765"/>
      <c r="D297" s="755">
        <v>-34</v>
      </c>
      <c r="E297" s="755">
        <v>-34</v>
      </c>
      <c r="F297" s="755">
        <v>-29</v>
      </c>
      <c r="G297" s="755">
        <v>-29</v>
      </c>
      <c r="H297" s="755">
        <v>-26</v>
      </c>
      <c r="I297" s="767">
        <v>-26</v>
      </c>
      <c r="K297" s="759" t="s">
        <v>249</v>
      </c>
      <c r="L297" s="765"/>
      <c r="M297" s="766">
        <v>-39</v>
      </c>
      <c r="N297" s="766">
        <v>-37</v>
      </c>
      <c r="O297" s="766">
        <v>-36</v>
      </c>
      <c r="P297" s="766">
        <v>-34</v>
      </c>
      <c r="Q297" s="766">
        <v>-33</v>
      </c>
      <c r="R297" s="767">
        <v>-32</v>
      </c>
      <c r="T297" s="759" t="s">
        <v>249</v>
      </c>
      <c r="U297" s="765"/>
      <c r="V297" s="766">
        <v>-47</v>
      </c>
      <c r="W297" s="766">
        <v>-47</v>
      </c>
      <c r="X297" s="766">
        <v>-45</v>
      </c>
      <c r="Y297" s="766">
        <v>-45</v>
      </c>
      <c r="Z297" s="766">
        <v>-48</v>
      </c>
      <c r="AA297" s="767">
        <v>-47</v>
      </c>
      <c r="AC297" s="759" t="s">
        <v>249</v>
      </c>
      <c r="AD297" s="765"/>
      <c r="AE297" s="766">
        <v>-47</v>
      </c>
      <c r="AF297" s="766">
        <v>-47</v>
      </c>
      <c r="AG297" s="766">
        <v>-45</v>
      </c>
      <c r="AH297" s="766">
        <v>-45</v>
      </c>
      <c r="AI297" s="766">
        <v>-48</v>
      </c>
      <c r="AJ297" s="767">
        <v>-47</v>
      </c>
      <c r="AL297" s="759" t="s">
        <v>249</v>
      </c>
      <c r="AM297" s="765"/>
      <c r="AN297" s="766">
        <v>-39</v>
      </c>
      <c r="AO297" s="766">
        <v>-37</v>
      </c>
      <c r="AP297" s="766">
        <v>-36</v>
      </c>
      <c r="AQ297" s="766">
        <v>-34</v>
      </c>
      <c r="AR297" s="766">
        <v>-33</v>
      </c>
      <c r="AS297" s="767">
        <v>-32</v>
      </c>
      <c r="AU297" s="764" t="s">
        <v>249</v>
      </c>
      <c r="AV297" s="765"/>
      <c r="AW297" s="766">
        <v>-39</v>
      </c>
      <c r="AX297" s="766">
        <v>-38</v>
      </c>
      <c r="AY297" s="766">
        <v>-36</v>
      </c>
      <c r="AZ297" s="766">
        <v>-36</v>
      </c>
      <c r="BA297" s="766">
        <v>-41</v>
      </c>
      <c r="BB297" s="767">
        <v>-46</v>
      </c>
      <c r="BD297" s="759" t="s">
        <v>249</v>
      </c>
      <c r="BE297" s="765"/>
      <c r="BF297" s="766">
        <v>-39</v>
      </c>
      <c r="BG297" s="766">
        <v>-37</v>
      </c>
      <c r="BH297" s="766">
        <v>-36</v>
      </c>
      <c r="BI297" s="766">
        <v>-34</v>
      </c>
      <c r="BJ297" s="766">
        <v>-33</v>
      </c>
      <c r="BK297" s="767">
        <v>-32</v>
      </c>
    </row>
    <row r="298" spans="2:63" x14ac:dyDescent="0.25">
      <c r="B298" s="759" t="s">
        <v>257</v>
      </c>
      <c r="C298" s="765"/>
      <c r="D298" s="755">
        <v>-35</v>
      </c>
      <c r="E298" s="755">
        <v>-35</v>
      </c>
      <c r="F298" s="755">
        <v>-32</v>
      </c>
      <c r="G298" s="755">
        <v>-31</v>
      </c>
      <c r="H298" s="755">
        <v>-30</v>
      </c>
      <c r="I298" s="767">
        <v>-28</v>
      </c>
      <c r="K298" s="759" t="s">
        <v>257</v>
      </c>
      <c r="L298" s="765"/>
      <c r="M298" s="766">
        <v>-39</v>
      </c>
      <c r="N298" s="766">
        <v>-37</v>
      </c>
      <c r="O298" s="766">
        <v>-36</v>
      </c>
      <c r="P298" s="766">
        <v>-34</v>
      </c>
      <c r="Q298" s="766">
        <v>-31</v>
      </c>
      <c r="R298" s="767">
        <v>-31</v>
      </c>
      <c r="T298" s="759" t="s">
        <v>257</v>
      </c>
      <c r="U298" s="765"/>
      <c r="V298" s="766">
        <v>-47</v>
      </c>
      <c r="W298" s="766">
        <v>-47</v>
      </c>
      <c r="X298" s="766">
        <v>-45</v>
      </c>
      <c r="Y298" s="766">
        <v>-45</v>
      </c>
      <c r="Z298" s="766">
        <v>-48</v>
      </c>
      <c r="AA298" s="767">
        <v>-47</v>
      </c>
      <c r="AC298" s="759" t="s">
        <v>257</v>
      </c>
      <c r="AD298" s="765"/>
      <c r="AE298" s="766">
        <v>-47</v>
      </c>
      <c r="AF298" s="766">
        <v>-47</v>
      </c>
      <c r="AG298" s="766">
        <v>-45</v>
      </c>
      <c r="AH298" s="766">
        <v>-45</v>
      </c>
      <c r="AI298" s="766">
        <v>-48</v>
      </c>
      <c r="AJ298" s="767">
        <v>-47</v>
      </c>
      <c r="AL298" s="759" t="s">
        <v>257</v>
      </c>
      <c r="AM298" s="765"/>
      <c r="AN298" s="766">
        <v>-39</v>
      </c>
      <c r="AO298" s="766">
        <v>-37</v>
      </c>
      <c r="AP298" s="766">
        <v>-36</v>
      </c>
      <c r="AQ298" s="766">
        <v>-34</v>
      </c>
      <c r="AR298" s="766">
        <v>-31</v>
      </c>
      <c r="AS298" s="767">
        <v>-31</v>
      </c>
      <c r="AU298" s="764" t="s">
        <v>257</v>
      </c>
      <c r="AV298" s="765"/>
      <c r="AW298" s="766">
        <v>-39</v>
      </c>
      <c r="AX298" s="766">
        <v>-38</v>
      </c>
      <c r="AY298" s="766">
        <v>-37</v>
      </c>
      <c r="AZ298" s="766">
        <v>-37</v>
      </c>
      <c r="BA298" s="766">
        <v>-40</v>
      </c>
      <c r="BB298" s="767">
        <v>-46</v>
      </c>
      <c r="BD298" s="759" t="s">
        <v>257</v>
      </c>
      <c r="BE298" s="765"/>
      <c r="BF298" s="766">
        <v>-39</v>
      </c>
      <c r="BG298" s="766">
        <v>-37</v>
      </c>
      <c r="BH298" s="766">
        <v>-36</v>
      </c>
      <c r="BI298" s="766">
        <v>-34</v>
      </c>
      <c r="BJ298" s="766">
        <v>-31</v>
      </c>
      <c r="BK298" s="767">
        <v>-31</v>
      </c>
    </row>
    <row r="299" spans="2:63" x14ac:dyDescent="0.25">
      <c r="B299" s="759" t="s">
        <v>264</v>
      </c>
      <c r="C299" s="765" t="s">
        <v>1048</v>
      </c>
      <c r="D299" s="766">
        <v>-36</v>
      </c>
      <c r="E299" s="766">
        <v>-36</v>
      </c>
      <c r="F299" s="766">
        <v>-34</v>
      </c>
      <c r="G299" s="766">
        <v>-34</v>
      </c>
      <c r="H299" s="766">
        <v>-32</v>
      </c>
      <c r="I299" s="767">
        <v>-31</v>
      </c>
      <c r="K299" s="759" t="s">
        <v>264</v>
      </c>
      <c r="L299" s="765"/>
      <c r="M299" s="766">
        <v>-35</v>
      </c>
      <c r="N299" s="766">
        <v>-35</v>
      </c>
      <c r="O299" s="766">
        <v>-33</v>
      </c>
      <c r="P299" s="766">
        <v>-33</v>
      </c>
      <c r="Q299" s="766">
        <v>-30</v>
      </c>
      <c r="R299" s="767">
        <v>-28</v>
      </c>
      <c r="T299" s="759" t="s">
        <v>264</v>
      </c>
      <c r="U299" s="765" t="s">
        <v>1048</v>
      </c>
      <c r="V299" s="766" t="s">
        <v>1048</v>
      </c>
      <c r="W299" s="766" t="s">
        <v>1048</v>
      </c>
      <c r="X299" s="766" t="s">
        <v>1048</v>
      </c>
      <c r="Y299" s="766" t="s">
        <v>1048</v>
      </c>
      <c r="Z299" s="766" t="s">
        <v>1048</v>
      </c>
      <c r="AA299" s="767" t="s">
        <v>1048</v>
      </c>
      <c r="AC299" s="759" t="s">
        <v>264</v>
      </c>
      <c r="AD299" s="765" t="s">
        <v>1048</v>
      </c>
      <c r="AE299" s="766" t="s">
        <v>1048</v>
      </c>
      <c r="AF299" s="766" t="s">
        <v>1048</v>
      </c>
      <c r="AG299" s="766" t="s">
        <v>1048</v>
      </c>
      <c r="AH299" s="766" t="s">
        <v>1048</v>
      </c>
      <c r="AI299" s="766" t="s">
        <v>1048</v>
      </c>
      <c r="AJ299" s="767" t="s">
        <v>1048</v>
      </c>
      <c r="AL299" s="759" t="s">
        <v>264</v>
      </c>
      <c r="AM299" s="765"/>
      <c r="AN299" s="766"/>
      <c r="AO299" s="766"/>
      <c r="AP299" s="766"/>
      <c r="AQ299" s="766"/>
      <c r="AR299" s="766"/>
      <c r="AS299" s="767"/>
      <c r="AU299" s="764" t="s">
        <v>264</v>
      </c>
      <c r="AV299" s="765"/>
      <c r="AW299" s="766"/>
      <c r="AX299" s="766"/>
      <c r="AY299" s="766"/>
      <c r="AZ299" s="766"/>
      <c r="BA299" s="766"/>
      <c r="BB299" s="767"/>
      <c r="BD299" s="759" t="s">
        <v>264</v>
      </c>
      <c r="BE299" s="765"/>
      <c r="BF299" s="766">
        <v>-35</v>
      </c>
      <c r="BG299" s="766">
        <v>-35</v>
      </c>
      <c r="BH299" s="766">
        <v>-33</v>
      </c>
      <c r="BI299" s="766">
        <v>-33</v>
      </c>
      <c r="BJ299" s="766">
        <v>-30</v>
      </c>
      <c r="BK299" s="767">
        <v>-28</v>
      </c>
    </row>
    <row r="300" spans="2:63" x14ac:dyDescent="0.25">
      <c r="B300" s="759" t="s">
        <v>272</v>
      </c>
      <c r="C300" s="765" t="s">
        <v>1048</v>
      </c>
      <c r="D300" s="766">
        <v>-36</v>
      </c>
      <c r="E300" s="766">
        <v>-36</v>
      </c>
      <c r="F300" s="766">
        <v>-34</v>
      </c>
      <c r="G300" s="766">
        <v>-34</v>
      </c>
      <c r="H300" s="766">
        <v>-32</v>
      </c>
      <c r="I300" s="767">
        <v>-31</v>
      </c>
      <c r="K300" s="759" t="s">
        <v>272</v>
      </c>
      <c r="L300" s="765"/>
      <c r="M300" s="766">
        <v>-35</v>
      </c>
      <c r="N300" s="766">
        <v>-35</v>
      </c>
      <c r="O300" s="766">
        <v>-33</v>
      </c>
      <c r="P300" s="766">
        <v>-33</v>
      </c>
      <c r="Q300" s="766">
        <v>-30</v>
      </c>
      <c r="R300" s="767">
        <v>-28</v>
      </c>
      <c r="T300" s="759" t="s">
        <v>272</v>
      </c>
      <c r="U300" s="765" t="s">
        <v>1048</v>
      </c>
      <c r="V300" s="766" t="s">
        <v>1048</v>
      </c>
      <c r="W300" s="766" t="s">
        <v>1048</v>
      </c>
      <c r="X300" s="766" t="s">
        <v>1048</v>
      </c>
      <c r="Y300" s="766" t="s">
        <v>1048</v>
      </c>
      <c r="Z300" s="766" t="s">
        <v>1048</v>
      </c>
      <c r="AA300" s="767" t="s">
        <v>1048</v>
      </c>
      <c r="AC300" s="759" t="s">
        <v>272</v>
      </c>
      <c r="AD300" s="765" t="s">
        <v>1048</v>
      </c>
      <c r="AE300" s="766" t="s">
        <v>1048</v>
      </c>
      <c r="AF300" s="766" t="s">
        <v>1048</v>
      </c>
      <c r="AG300" s="766" t="s">
        <v>1048</v>
      </c>
      <c r="AH300" s="766" t="s">
        <v>1048</v>
      </c>
      <c r="AI300" s="766" t="s">
        <v>1048</v>
      </c>
      <c r="AJ300" s="767" t="s">
        <v>1048</v>
      </c>
      <c r="AL300" s="759" t="s">
        <v>272</v>
      </c>
      <c r="AM300" s="765"/>
      <c r="AN300" s="766"/>
      <c r="AO300" s="766"/>
      <c r="AP300" s="766"/>
      <c r="AQ300" s="766"/>
      <c r="AR300" s="766"/>
      <c r="AS300" s="767"/>
      <c r="AU300" s="764" t="s">
        <v>272</v>
      </c>
      <c r="AV300" s="765"/>
      <c r="AW300" s="766"/>
      <c r="AX300" s="766"/>
      <c r="AY300" s="766"/>
      <c r="AZ300" s="766"/>
      <c r="BA300" s="766"/>
      <c r="BB300" s="767"/>
      <c r="BD300" s="759" t="s">
        <v>272</v>
      </c>
      <c r="BE300" s="765"/>
      <c r="BF300" s="766">
        <v>-35</v>
      </c>
      <c r="BG300" s="766">
        <v>-35</v>
      </c>
      <c r="BH300" s="766">
        <v>-33</v>
      </c>
      <c r="BI300" s="766">
        <v>-33</v>
      </c>
      <c r="BJ300" s="766">
        <v>-30</v>
      </c>
      <c r="BK300" s="767">
        <v>-28</v>
      </c>
    </row>
    <row r="301" spans="2:63" x14ac:dyDescent="0.25">
      <c r="B301" s="759" t="s">
        <v>278</v>
      </c>
      <c r="C301" s="765" t="s">
        <v>1048</v>
      </c>
      <c r="D301" s="766" t="s">
        <v>1048</v>
      </c>
      <c r="E301" s="766" t="s">
        <v>1048</v>
      </c>
      <c r="F301" s="766" t="s">
        <v>1048</v>
      </c>
      <c r="G301" s="766" t="s">
        <v>1048</v>
      </c>
      <c r="H301" s="766" t="s">
        <v>1048</v>
      </c>
      <c r="I301" s="767" t="s">
        <v>1048</v>
      </c>
      <c r="K301" s="759" t="s">
        <v>278</v>
      </c>
      <c r="L301" s="765" t="s">
        <v>1048</v>
      </c>
      <c r="M301" s="766" t="s">
        <v>1048</v>
      </c>
      <c r="N301" s="766" t="s">
        <v>1048</v>
      </c>
      <c r="O301" s="766" t="s">
        <v>1048</v>
      </c>
      <c r="P301" s="766" t="s">
        <v>1048</v>
      </c>
      <c r="Q301" s="766" t="s">
        <v>1048</v>
      </c>
      <c r="R301" s="767" t="s">
        <v>1048</v>
      </c>
      <c r="T301" s="759" t="s">
        <v>278</v>
      </c>
      <c r="U301" s="765" t="s">
        <v>1048</v>
      </c>
      <c r="V301" s="766" t="s">
        <v>1048</v>
      </c>
      <c r="W301" s="766" t="s">
        <v>1048</v>
      </c>
      <c r="X301" s="766" t="s">
        <v>1048</v>
      </c>
      <c r="Y301" s="766" t="s">
        <v>1048</v>
      </c>
      <c r="Z301" s="766" t="s">
        <v>1048</v>
      </c>
      <c r="AA301" s="767" t="s">
        <v>1048</v>
      </c>
      <c r="AC301" s="759" t="s">
        <v>278</v>
      </c>
      <c r="AD301" s="765" t="s">
        <v>1048</v>
      </c>
      <c r="AE301" s="766" t="s">
        <v>1048</v>
      </c>
      <c r="AF301" s="766" t="s">
        <v>1048</v>
      </c>
      <c r="AG301" s="766" t="s">
        <v>1048</v>
      </c>
      <c r="AH301" s="766" t="s">
        <v>1048</v>
      </c>
      <c r="AI301" s="766" t="s">
        <v>1048</v>
      </c>
      <c r="AJ301" s="767" t="s">
        <v>1048</v>
      </c>
      <c r="AL301" s="759" t="s">
        <v>278</v>
      </c>
      <c r="AM301" s="765" t="s">
        <v>1048</v>
      </c>
      <c r="AN301" s="766" t="s">
        <v>1048</v>
      </c>
      <c r="AO301" s="766" t="s">
        <v>1048</v>
      </c>
      <c r="AP301" s="766" t="s">
        <v>1048</v>
      </c>
      <c r="AQ301" s="766" t="s">
        <v>1048</v>
      </c>
      <c r="AR301" s="766" t="s">
        <v>1048</v>
      </c>
      <c r="AS301" s="767" t="s">
        <v>1048</v>
      </c>
      <c r="AU301" s="764" t="s">
        <v>278</v>
      </c>
      <c r="AV301" s="765" t="s">
        <v>1048</v>
      </c>
      <c r="AW301" s="766" t="s">
        <v>1048</v>
      </c>
      <c r="AX301" s="766" t="s">
        <v>1048</v>
      </c>
      <c r="AY301" s="766" t="s">
        <v>1048</v>
      </c>
      <c r="AZ301" s="766" t="s">
        <v>1048</v>
      </c>
      <c r="BA301" s="766" t="s">
        <v>1048</v>
      </c>
      <c r="BB301" s="767" t="s">
        <v>1048</v>
      </c>
      <c r="BD301" s="759" t="s">
        <v>278</v>
      </c>
      <c r="BE301" s="765" t="s">
        <v>1048</v>
      </c>
      <c r="BF301" s="766" t="s">
        <v>1048</v>
      </c>
      <c r="BG301" s="766" t="s">
        <v>1048</v>
      </c>
      <c r="BH301" s="766" t="s">
        <v>1048</v>
      </c>
      <c r="BI301" s="766" t="s">
        <v>1048</v>
      </c>
      <c r="BJ301" s="766" t="s">
        <v>1048</v>
      </c>
      <c r="BK301" s="767" t="s">
        <v>1048</v>
      </c>
    </row>
    <row r="302" spans="2:63" ht="15.75" thickBot="1" x14ac:dyDescent="0.3">
      <c r="B302" s="768" t="s">
        <v>284</v>
      </c>
      <c r="C302" s="769" t="s">
        <v>1048</v>
      </c>
      <c r="D302" s="770" t="s">
        <v>1048</v>
      </c>
      <c r="E302" s="770" t="s">
        <v>1048</v>
      </c>
      <c r="F302" s="770" t="s">
        <v>1048</v>
      </c>
      <c r="G302" s="770" t="s">
        <v>1048</v>
      </c>
      <c r="H302" s="770" t="s">
        <v>1048</v>
      </c>
      <c r="I302" s="771" t="s">
        <v>1048</v>
      </c>
      <c r="K302" s="768" t="s">
        <v>284</v>
      </c>
      <c r="L302" s="769" t="s">
        <v>1048</v>
      </c>
      <c r="M302" s="770" t="s">
        <v>1048</v>
      </c>
      <c r="N302" s="770" t="s">
        <v>1048</v>
      </c>
      <c r="O302" s="770" t="s">
        <v>1048</v>
      </c>
      <c r="P302" s="770" t="s">
        <v>1048</v>
      </c>
      <c r="Q302" s="770" t="s">
        <v>1048</v>
      </c>
      <c r="R302" s="771" t="s">
        <v>1048</v>
      </c>
      <c r="T302" s="768" t="s">
        <v>284</v>
      </c>
      <c r="U302" s="769" t="s">
        <v>1048</v>
      </c>
      <c r="V302" s="770" t="s">
        <v>1048</v>
      </c>
      <c r="W302" s="770" t="s">
        <v>1048</v>
      </c>
      <c r="X302" s="770" t="s">
        <v>1048</v>
      </c>
      <c r="Y302" s="770" t="s">
        <v>1048</v>
      </c>
      <c r="Z302" s="770" t="s">
        <v>1048</v>
      </c>
      <c r="AA302" s="771" t="s">
        <v>1048</v>
      </c>
      <c r="AC302" s="768" t="s">
        <v>284</v>
      </c>
      <c r="AD302" s="769" t="s">
        <v>1048</v>
      </c>
      <c r="AE302" s="770" t="s">
        <v>1048</v>
      </c>
      <c r="AF302" s="770" t="s">
        <v>1048</v>
      </c>
      <c r="AG302" s="770" t="s">
        <v>1048</v>
      </c>
      <c r="AH302" s="770" t="s">
        <v>1048</v>
      </c>
      <c r="AI302" s="770" t="s">
        <v>1048</v>
      </c>
      <c r="AJ302" s="771" t="s">
        <v>1048</v>
      </c>
      <c r="AL302" s="768" t="s">
        <v>284</v>
      </c>
      <c r="AM302" s="769" t="s">
        <v>1048</v>
      </c>
      <c r="AN302" s="770" t="s">
        <v>1048</v>
      </c>
      <c r="AO302" s="770" t="s">
        <v>1048</v>
      </c>
      <c r="AP302" s="770" t="s">
        <v>1048</v>
      </c>
      <c r="AQ302" s="770" t="s">
        <v>1048</v>
      </c>
      <c r="AR302" s="770" t="s">
        <v>1048</v>
      </c>
      <c r="AS302" s="771" t="s">
        <v>1048</v>
      </c>
      <c r="AU302" s="773" t="s">
        <v>284</v>
      </c>
      <c r="AV302" s="769" t="s">
        <v>1048</v>
      </c>
      <c r="AW302" s="770" t="s">
        <v>1048</v>
      </c>
      <c r="AX302" s="770" t="s">
        <v>1048</v>
      </c>
      <c r="AY302" s="770" t="s">
        <v>1048</v>
      </c>
      <c r="AZ302" s="770" t="s">
        <v>1048</v>
      </c>
      <c r="BA302" s="770" t="s">
        <v>1048</v>
      </c>
      <c r="BB302" s="771" t="s">
        <v>1048</v>
      </c>
      <c r="BD302" s="768" t="s">
        <v>284</v>
      </c>
      <c r="BE302" s="769" t="s">
        <v>1048</v>
      </c>
      <c r="BF302" s="770" t="s">
        <v>1048</v>
      </c>
      <c r="BG302" s="770" t="s">
        <v>1048</v>
      </c>
      <c r="BH302" s="770" t="s">
        <v>1048</v>
      </c>
      <c r="BI302" s="770" t="s">
        <v>1048</v>
      </c>
      <c r="BJ302" s="770" t="s">
        <v>1048</v>
      </c>
      <c r="BK302" s="771" t="s">
        <v>1048</v>
      </c>
    </row>
  </sheetData>
  <sheetProtection algorithmName="SHA-512" hashValue="UJaXI9GeGy8IQk5qswoqNV6Q9vZ4sOWmgflI/vbGN26+7y8MGobzZEbw1tzUShQsr6ufR9JKbaPgwpmqVlHQSA==" saltValue="tpCk2/Ph/uWxdYz3Fw4oog==" spinCount="100000" sheet="1" objects="1" scenarios="1" autoFilter="0"/>
  <mergeCells count="7">
    <mergeCell ref="BD1:BK1"/>
    <mergeCell ref="B1:I1"/>
    <mergeCell ref="AU1:BB1"/>
    <mergeCell ref="AL1:AS1"/>
    <mergeCell ref="AC1:AJ1"/>
    <mergeCell ref="T1:AA1"/>
    <mergeCell ref="K1:R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:AQ91"/>
  <sheetViews>
    <sheetView workbookViewId="0">
      <selection activeCell="H33" sqref="H33"/>
    </sheetView>
  </sheetViews>
  <sheetFormatPr defaultRowHeight="15" x14ac:dyDescent="0.25"/>
  <cols>
    <col min="1" max="1" width="11.7109375" bestFit="1" customWidth="1"/>
    <col min="2" max="3" width="9.28515625" style="35"/>
    <col min="4" max="4" width="8" bestFit="1" customWidth="1"/>
    <col min="17" max="17" width="12" customWidth="1"/>
    <col min="41" max="41" width="14.5703125" customWidth="1"/>
    <col min="42" max="42" width="16.85546875" customWidth="1"/>
  </cols>
  <sheetData>
    <row r="1" spans="1:43" ht="14.45" customHeight="1" x14ac:dyDescent="0.3">
      <c r="A1" s="861" t="s">
        <v>1352</v>
      </c>
      <c r="B1" s="861"/>
      <c r="C1" s="861"/>
      <c r="D1" s="861"/>
      <c r="E1" s="861"/>
      <c r="F1" s="861"/>
      <c r="G1" s="861"/>
      <c r="H1" s="861"/>
      <c r="I1" s="861"/>
      <c r="J1" s="861"/>
      <c r="K1" s="861"/>
      <c r="L1" s="861"/>
      <c r="N1" s="1" t="s">
        <v>1137</v>
      </c>
      <c r="O1" s="35"/>
      <c r="P1" s="35"/>
      <c r="AB1" s="862" t="s">
        <v>71</v>
      </c>
      <c r="AC1" s="862"/>
      <c r="AD1" s="862"/>
      <c r="AE1" s="862"/>
      <c r="AF1" s="862"/>
      <c r="AG1" s="862"/>
      <c r="AH1" s="862"/>
      <c r="AI1" s="862"/>
      <c r="AJ1" s="862"/>
      <c r="AK1" s="862"/>
      <c r="AL1" s="862"/>
      <c r="AM1" s="862"/>
      <c r="AO1" s="1" t="s">
        <v>1342</v>
      </c>
    </row>
    <row r="2" spans="1:43" ht="14.45" x14ac:dyDescent="0.3">
      <c r="D2" s="854" t="s">
        <v>315</v>
      </c>
      <c r="E2" s="854"/>
      <c r="F2" s="854"/>
      <c r="G2" s="854"/>
      <c r="H2" s="854"/>
      <c r="I2" s="854"/>
      <c r="J2" s="854"/>
      <c r="K2" s="854"/>
      <c r="L2" s="435"/>
      <c r="O2" s="35"/>
      <c r="P2" s="35"/>
      <c r="R2" s="854" t="s">
        <v>315</v>
      </c>
      <c r="S2" s="854"/>
      <c r="T2" s="854"/>
      <c r="U2" s="854"/>
      <c r="V2" s="854"/>
      <c r="W2" s="854"/>
      <c r="X2" s="854"/>
      <c r="Y2" s="854"/>
      <c r="Z2" s="435"/>
      <c r="AC2" s="35"/>
      <c r="AD2" s="35"/>
      <c r="AE2" s="854" t="s">
        <v>315</v>
      </c>
      <c r="AF2" s="854"/>
      <c r="AG2" s="854"/>
      <c r="AH2" s="854"/>
      <c r="AI2" s="854"/>
      <c r="AJ2" s="854"/>
      <c r="AK2" s="854"/>
      <c r="AL2" s="854"/>
      <c r="AM2" s="435"/>
    </row>
    <row r="3" spans="1:43" ht="15.6" x14ac:dyDescent="0.3">
      <c r="A3" s="671" t="s">
        <v>8</v>
      </c>
      <c r="B3" s="707" t="s">
        <v>14</v>
      </c>
      <c r="C3" s="707" t="s">
        <v>15</v>
      </c>
      <c r="D3" s="339">
        <v>1</v>
      </c>
      <c r="E3" s="340">
        <v>2</v>
      </c>
      <c r="F3" s="340">
        <v>3</v>
      </c>
      <c r="G3" s="340">
        <v>4</v>
      </c>
      <c r="H3" s="340">
        <v>5</v>
      </c>
      <c r="I3" s="340">
        <v>6</v>
      </c>
      <c r="J3" s="340">
        <v>7</v>
      </c>
      <c r="K3" s="455">
        <v>8</v>
      </c>
      <c r="L3" s="463">
        <v>9</v>
      </c>
      <c r="N3" s="612" t="s">
        <v>8</v>
      </c>
      <c r="O3" s="613" t="s">
        <v>14</v>
      </c>
      <c r="P3" s="614" t="s">
        <v>15</v>
      </c>
      <c r="Q3" s="613" t="s">
        <v>1138</v>
      </c>
      <c r="R3" s="339">
        <v>1</v>
      </c>
      <c r="S3" s="340">
        <v>2</v>
      </c>
      <c r="T3" s="340">
        <v>3</v>
      </c>
      <c r="U3" s="340">
        <v>4</v>
      </c>
      <c r="V3" s="340">
        <v>5</v>
      </c>
      <c r="W3" s="340">
        <v>6</v>
      </c>
      <c r="X3" s="340">
        <v>7</v>
      </c>
      <c r="Y3" s="455">
        <v>8</v>
      </c>
      <c r="Z3" s="463">
        <v>9</v>
      </c>
      <c r="AB3" s="338" t="s">
        <v>8</v>
      </c>
      <c r="AC3" s="36" t="s">
        <v>14</v>
      </c>
      <c r="AD3" s="36" t="s">
        <v>15</v>
      </c>
      <c r="AE3" s="339">
        <v>1</v>
      </c>
      <c r="AF3" s="340">
        <v>2</v>
      </c>
      <c r="AG3" s="340">
        <v>3</v>
      </c>
      <c r="AH3" s="340">
        <v>4</v>
      </c>
      <c r="AI3" s="340">
        <v>5</v>
      </c>
      <c r="AJ3" s="340">
        <v>6</v>
      </c>
      <c r="AK3" s="340">
        <v>7</v>
      </c>
      <c r="AL3" s="455">
        <v>8</v>
      </c>
      <c r="AM3" s="463">
        <v>9</v>
      </c>
      <c r="AO3" s="698"/>
      <c r="AP3" s="581"/>
      <c r="AQ3" s="699" t="s">
        <v>1326</v>
      </c>
    </row>
    <row r="4" spans="1:43" x14ac:dyDescent="0.25">
      <c r="A4" s="866" t="s">
        <v>305</v>
      </c>
      <c r="B4" s="333">
        <v>1</v>
      </c>
      <c r="C4" s="708">
        <v>1</v>
      </c>
      <c r="D4" s="395">
        <v>-1.5</v>
      </c>
      <c r="E4" s="396">
        <v>-1</v>
      </c>
      <c r="F4" s="397">
        <v>0</v>
      </c>
      <c r="G4" s="395">
        <v>-1</v>
      </c>
      <c r="H4" s="397">
        <v>-1</v>
      </c>
      <c r="I4" s="395">
        <v>0</v>
      </c>
      <c r="J4" s="396">
        <v>0</v>
      </c>
      <c r="K4" s="456">
        <v>0</v>
      </c>
      <c r="L4" s="397">
        <v>0</v>
      </c>
      <c r="N4" s="863" t="s">
        <v>1132</v>
      </c>
      <c r="O4" s="615">
        <v>3</v>
      </c>
      <c r="P4" s="616">
        <v>3</v>
      </c>
      <c r="Q4" s="635" t="s">
        <v>1133</v>
      </c>
      <c r="R4" s="395">
        <v>-2</v>
      </c>
      <c r="S4" s="396">
        <v>-2</v>
      </c>
      <c r="T4" s="397">
        <v>-1</v>
      </c>
      <c r="U4" s="395">
        <v>-2</v>
      </c>
      <c r="V4" s="396">
        <v>-2</v>
      </c>
      <c r="W4" s="397">
        <v>-1.5</v>
      </c>
      <c r="X4" s="659">
        <v>-1</v>
      </c>
      <c r="Y4" s="396">
        <v>-1</v>
      </c>
      <c r="Z4" s="397">
        <v>-1</v>
      </c>
      <c r="AB4" s="865" t="s">
        <v>305</v>
      </c>
      <c r="AC4" s="333">
        <v>1</v>
      </c>
      <c r="AD4" s="407">
        <v>1</v>
      </c>
      <c r="AE4" s="395">
        <v>-2</v>
      </c>
      <c r="AF4" s="396">
        <v>-2</v>
      </c>
      <c r="AG4" s="397">
        <v>-1</v>
      </c>
      <c r="AH4" s="395">
        <v>-2</v>
      </c>
      <c r="AI4" s="397">
        <v>-2</v>
      </c>
      <c r="AJ4" s="395">
        <v>-1</v>
      </c>
      <c r="AK4" s="396">
        <v>-1</v>
      </c>
      <c r="AL4" s="456">
        <v>-1</v>
      </c>
      <c r="AM4" s="397">
        <v>-1</v>
      </c>
      <c r="AO4" s="586" t="s">
        <v>1340</v>
      </c>
      <c r="AP4" s="424" t="s">
        <v>1339</v>
      </c>
      <c r="AQ4" s="700" t="s">
        <v>1327</v>
      </c>
    </row>
    <row r="5" spans="1:43" x14ac:dyDescent="0.25">
      <c r="A5" s="866"/>
      <c r="B5" s="334">
        <v>1.01</v>
      </c>
      <c r="C5" s="709">
        <v>1.03</v>
      </c>
      <c r="D5" s="398">
        <v>0</v>
      </c>
      <c r="E5" s="399">
        <v>0</v>
      </c>
      <c r="F5" s="400">
        <v>0</v>
      </c>
      <c r="G5" s="398">
        <v>0</v>
      </c>
      <c r="H5" s="400">
        <v>0</v>
      </c>
      <c r="I5" s="398">
        <v>0</v>
      </c>
      <c r="J5" s="399">
        <v>0</v>
      </c>
      <c r="K5" s="710">
        <v>0</v>
      </c>
      <c r="L5" s="400">
        <v>0</v>
      </c>
      <c r="N5" s="864"/>
      <c r="O5" s="617">
        <v>3.01</v>
      </c>
      <c r="P5" s="618">
        <v>3.09</v>
      </c>
      <c r="Q5" s="636" t="s">
        <v>1133</v>
      </c>
      <c r="R5" s="398">
        <v>0</v>
      </c>
      <c r="S5" s="399">
        <v>0</v>
      </c>
      <c r="T5" s="400">
        <v>0</v>
      </c>
      <c r="U5" s="398">
        <v>0</v>
      </c>
      <c r="V5" s="399">
        <v>0</v>
      </c>
      <c r="W5" s="400">
        <v>0</v>
      </c>
      <c r="X5" s="660">
        <v>0</v>
      </c>
      <c r="Y5" s="399">
        <v>0</v>
      </c>
      <c r="Z5" s="400">
        <v>0</v>
      </c>
      <c r="AB5" s="865"/>
      <c r="AC5" s="335">
        <v>1.01</v>
      </c>
      <c r="AD5" s="409">
        <v>1.03</v>
      </c>
      <c r="AE5" s="401">
        <v>0</v>
      </c>
      <c r="AF5" s="402">
        <v>0</v>
      </c>
      <c r="AG5" s="403">
        <v>0</v>
      </c>
      <c r="AH5" s="401">
        <v>0</v>
      </c>
      <c r="AI5" s="403">
        <v>0</v>
      </c>
      <c r="AJ5" s="401">
        <v>0</v>
      </c>
      <c r="AK5" s="402">
        <v>0</v>
      </c>
      <c r="AL5" s="457">
        <v>0</v>
      </c>
      <c r="AM5" s="403">
        <v>0</v>
      </c>
      <c r="AO5" s="701">
        <f>VALUE(MID(AP5,1,4))</f>
        <v>0.3</v>
      </c>
      <c r="AP5" s="424" t="s">
        <v>1336</v>
      </c>
      <c r="AQ5" s="702">
        <v>0</v>
      </c>
    </row>
    <row r="6" spans="1:43" x14ac:dyDescent="0.25">
      <c r="A6" s="866"/>
      <c r="B6" s="335">
        <v>1.04</v>
      </c>
      <c r="C6" s="588">
        <v>1.0900000000000001</v>
      </c>
      <c r="D6" s="401">
        <v>-1</v>
      </c>
      <c r="E6" s="402">
        <v>-1</v>
      </c>
      <c r="F6" s="403">
        <v>0</v>
      </c>
      <c r="G6" s="401">
        <v>-1</v>
      </c>
      <c r="H6" s="403">
        <v>-1</v>
      </c>
      <c r="I6" s="401">
        <v>0</v>
      </c>
      <c r="J6" s="402">
        <v>0</v>
      </c>
      <c r="K6" s="457">
        <v>0</v>
      </c>
      <c r="L6" s="403">
        <v>0</v>
      </c>
      <c r="N6" s="864"/>
      <c r="O6" s="619">
        <v>3.1</v>
      </c>
      <c r="P6" s="620" t="s">
        <v>1134</v>
      </c>
      <c r="Q6" s="637" t="s">
        <v>1133</v>
      </c>
      <c r="R6" s="401">
        <v>0</v>
      </c>
      <c r="S6" s="402">
        <v>0</v>
      </c>
      <c r="T6" s="403">
        <v>0</v>
      </c>
      <c r="U6" s="401">
        <v>0</v>
      </c>
      <c r="V6" s="402">
        <v>0</v>
      </c>
      <c r="W6" s="403">
        <v>0</v>
      </c>
      <c r="X6" s="661">
        <v>0</v>
      </c>
      <c r="Y6" s="402">
        <v>0</v>
      </c>
      <c r="Z6" s="403">
        <v>0</v>
      </c>
      <c r="AB6" s="866"/>
      <c r="AC6" s="335">
        <v>1.04</v>
      </c>
      <c r="AD6" s="409">
        <v>1.0900000000000001</v>
      </c>
      <c r="AE6" s="401">
        <v>0</v>
      </c>
      <c r="AF6" s="402">
        <v>0</v>
      </c>
      <c r="AG6" s="403">
        <v>0</v>
      </c>
      <c r="AH6" s="401">
        <v>0</v>
      </c>
      <c r="AI6" s="403">
        <v>0</v>
      </c>
      <c r="AJ6" s="401">
        <v>0</v>
      </c>
      <c r="AK6" s="402">
        <v>0</v>
      </c>
      <c r="AL6" s="457">
        <v>0</v>
      </c>
      <c r="AM6" s="403">
        <v>0</v>
      </c>
      <c r="AO6" s="701">
        <f>VALUE(RIGHT(AP5,5))+0.001</f>
        <v>0.59</v>
      </c>
      <c r="AP6" s="424" t="s">
        <v>1328</v>
      </c>
      <c r="AQ6" s="702">
        <v>1</v>
      </c>
    </row>
    <row r="7" spans="1:43" x14ac:dyDescent="0.25">
      <c r="A7" s="866"/>
      <c r="B7" s="335">
        <v>1.1000000000000001</v>
      </c>
      <c r="C7" s="588">
        <v>1.19</v>
      </c>
      <c r="D7" s="401">
        <v>-3</v>
      </c>
      <c r="E7" s="402">
        <v>-3</v>
      </c>
      <c r="F7" s="403">
        <v>-2</v>
      </c>
      <c r="G7" s="401">
        <v>-3</v>
      </c>
      <c r="H7" s="403">
        <v>-3</v>
      </c>
      <c r="I7" s="401">
        <v>-2</v>
      </c>
      <c r="J7" s="402">
        <v>-2</v>
      </c>
      <c r="K7" s="457">
        <v>-1.5</v>
      </c>
      <c r="L7" s="403">
        <v>-1.5</v>
      </c>
      <c r="N7" s="864"/>
      <c r="O7" s="619">
        <v>3.25</v>
      </c>
      <c r="P7" s="620" t="s">
        <v>1135</v>
      </c>
      <c r="Q7" s="637" t="s">
        <v>1133</v>
      </c>
      <c r="R7" s="401">
        <v>0</v>
      </c>
      <c r="S7" s="402">
        <v>0</v>
      </c>
      <c r="T7" s="403">
        <v>0</v>
      </c>
      <c r="U7" s="401">
        <v>0</v>
      </c>
      <c r="V7" s="402">
        <v>0</v>
      </c>
      <c r="W7" s="403">
        <v>0</v>
      </c>
      <c r="X7" s="661">
        <v>0</v>
      </c>
      <c r="Y7" s="402">
        <v>0</v>
      </c>
      <c r="Z7" s="403">
        <v>0</v>
      </c>
      <c r="AB7" s="865"/>
      <c r="AC7" s="335">
        <v>1.1000000000000001</v>
      </c>
      <c r="AD7" s="409">
        <v>1.19</v>
      </c>
      <c r="AE7" s="401">
        <v>0</v>
      </c>
      <c r="AF7" s="402">
        <v>0</v>
      </c>
      <c r="AG7" s="403">
        <v>0</v>
      </c>
      <c r="AH7" s="401">
        <v>0</v>
      </c>
      <c r="AI7" s="403">
        <v>0</v>
      </c>
      <c r="AJ7" s="401">
        <v>0</v>
      </c>
      <c r="AK7" s="402">
        <v>0</v>
      </c>
      <c r="AL7" s="457">
        <v>0</v>
      </c>
      <c r="AM7" s="403">
        <v>0</v>
      </c>
      <c r="AO7" s="701">
        <f>VALUE(RIGHT(AP6,5))+0.001</f>
        <v>0.6</v>
      </c>
      <c r="AP7" s="424" t="s">
        <v>1337</v>
      </c>
      <c r="AQ7" s="702">
        <v>0</v>
      </c>
    </row>
    <row r="8" spans="1:43" x14ac:dyDescent="0.25">
      <c r="A8" s="866"/>
      <c r="B8" s="335">
        <v>1.2</v>
      </c>
      <c r="C8" s="588">
        <v>1.29</v>
      </c>
      <c r="D8" s="401">
        <v>6</v>
      </c>
      <c r="E8" s="402">
        <v>6.5</v>
      </c>
      <c r="F8" s="403">
        <v>5.5</v>
      </c>
      <c r="G8" s="401">
        <v>9</v>
      </c>
      <c r="H8" s="403">
        <v>6.5</v>
      </c>
      <c r="I8" s="401">
        <v>7</v>
      </c>
      <c r="J8" s="402">
        <v>8</v>
      </c>
      <c r="K8" s="457">
        <v>11</v>
      </c>
      <c r="L8" s="403">
        <v>5.5</v>
      </c>
      <c r="N8" s="864"/>
      <c r="O8" s="619">
        <v>3.5</v>
      </c>
      <c r="P8" s="620" t="s">
        <v>1128</v>
      </c>
      <c r="Q8" s="637" t="s">
        <v>1129</v>
      </c>
      <c r="R8" s="401">
        <v>3</v>
      </c>
      <c r="S8" s="402">
        <v>3</v>
      </c>
      <c r="T8" s="403">
        <v>3</v>
      </c>
      <c r="U8" s="401">
        <v>3</v>
      </c>
      <c r="V8" s="402">
        <v>3</v>
      </c>
      <c r="W8" s="403">
        <v>3</v>
      </c>
      <c r="X8" s="401">
        <v>3</v>
      </c>
      <c r="Y8" s="402">
        <v>3</v>
      </c>
      <c r="Z8" s="403">
        <v>3</v>
      </c>
      <c r="AB8" s="865"/>
      <c r="AC8" s="335">
        <v>1.2</v>
      </c>
      <c r="AD8" s="409">
        <v>1.29</v>
      </c>
      <c r="AE8" s="401">
        <v>0</v>
      </c>
      <c r="AF8" s="402">
        <v>0</v>
      </c>
      <c r="AG8" s="403">
        <v>0</v>
      </c>
      <c r="AH8" s="401">
        <v>0</v>
      </c>
      <c r="AI8" s="403">
        <v>0</v>
      </c>
      <c r="AJ8" s="401">
        <v>0</v>
      </c>
      <c r="AK8" s="402">
        <v>0</v>
      </c>
      <c r="AL8" s="457">
        <v>0</v>
      </c>
      <c r="AM8" s="403">
        <v>0</v>
      </c>
      <c r="AO8" s="701">
        <f>VALUE(RIGHT(AP7,5))+0.001</f>
        <v>0.78</v>
      </c>
      <c r="AP8" s="424" t="s">
        <v>1329</v>
      </c>
      <c r="AQ8" s="702">
        <v>1</v>
      </c>
    </row>
    <row r="9" spans="1:43" x14ac:dyDescent="0.25">
      <c r="A9" s="866"/>
      <c r="B9" s="335">
        <v>1.3</v>
      </c>
      <c r="C9" s="588">
        <v>1.39</v>
      </c>
      <c r="D9" s="401">
        <v>9.5</v>
      </c>
      <c r="E9" s="402">
        <v>13.5</v>
      </c>
      <c r="F9" s="403">
        <v>8.5</v>
      </c>
      <c r="G9" s="401">
        <v>13.5</v>
      </c>
      <c r="H9" s="403">
        <v>12</v>
      </c>
      <c r="I9" s="401">
        <v>10.5</v>
      </c>
      <c r="J9" s="402">
        <v>14.5</v>
      </c>
      <c r="K9" s="457">
        <v>13</v>
      </c>
      <c r="L9" s="403">
        <v>7</v>
      </c>
      <c r="N9" s="864"/>
      <c r="O9" s="619">
        <v>3.5</v>
      </c>
      <c r="P9" s="620" t="s">
        <v>1128</v>
      </c>
      <c r="Q9" s="637" t="s">
        <v>1136</v>
      </c>
      <c r="R9" s="401">
        <v>1</v>
      </c>
      <c r="S9" s="402">
        <v>1</v>
      </c>
      <c r="T9" s="403">
        <v>1</v>
      </c>
      <c r="U9" s="401">
        <v>1</v>
      </c>
      <c r="V9" s="402">
        <v>1</v>
      </c>
      <c r="W9" s="403">
        <v>1</v>
      </c>
      <c r="X9" s="401">
        <v>1</v>
      </c>
      <c r="Y9" s="402">
        <v>1</v>
      </c>
      <c r="Z9" s="403">
        <v>1</v>
      </c>
      <c r="AB9" s="865"/>
      <c r="AC9" s="335">
        <v>1.3</v>
      </c>
      <c r="AD9" s="409">
        <v>1.39</v>
      </c>
      <c r="AE9" s="401">
        <v>0</v>
      </c>
      <c r="AF9" s="402">
        <v>0</v>
      </c>
      <c r="AG9" s="403">
        <v>0</v>
      </c>
      <c r="AH9" s="401">
        <v>0</v>
      </c>
      <c r="AI9" s="403">
        <v>0</v>
      </c>
      <c r="AJ9" s="401">
        <v>0</v>
      </c>
      <c r="AK9" s="402">
        <v>0</v>
      </c>
      <c r="AL9" s="457">
        <v>0</v>
      </c>
      <c r="AM9" s="403">
        <v>0</v>
      </c>
      <c r="AO9" s="701">
        <f t="shared" ref="AO9:AO16" si="0">VALUE(MID(AP9,1,4))</f>
        <v>0.79</v>
      </c>
      <c r="AP9" s="424" t="s">
        <v>1330</v>
      </c>
      <c r="AQ9" s="702">
        <v>2</v>
      </c>
    </row>
    <row r="10" spans="1:43" x14ac:dyDescent="0.25">
      <c r="A10" s="866"/>
      <c r="B10" s="336">
        <v>1.4</v>
      </c>
      <c r="C10" s="711">
        <v>1.49</v>
      </c>
      <c r="D10" s="404">
        <v>14.5</v>
      </c>
      <c r="E10" s="405">
        <v>21</v>
      </c>
      <c r="F10" s="406">
        <v>17.5</v>
      </c>
      <c r="G10" s="404">
        <v>21.5</v>
      </c>
      <c r="H10" s="406">
        <v>20.5</v>
      </c>
      <c r="I10" s="404">
        <v>18</v>
      </c>
      <c r="J10" s="405">
        <v>19</v>
      </c>
      <c r="K10" s="458">
        <v>20.5</v>
      </c>
      <c r="L10" s="406">
        <v>15</v>
      </c>
      <c r="N10" s="864"/>
      <c r="O10" s="619">
        <v>3.75</v>
      </c>
      <c r="P10" s="620" t="s">
        <v>1130</v>
      </c>
      <c r="Q10" s="637" t="s">
        <v>1129</v>
      </c>
      <c r="R10" s="401">
        <v>4</v>
      </c>
      <c r="S10" s="402">
        <v>4</v>
      </c>
      <c r="T10" s="403">
        <v>4</v>
      </c>
      <c r="U10" s="401">
        <v>4</v>
      </c>
      <c r="V10" s="402">
        <v>4</v>
      </c>
      <c r="W10" s="403">
        <v>4</v>
      </c>
      <c r="X10" s="661">
        <v>4</v>
      </c>
      <c r="Y10" s="402">
        <v>4</v>
      </c>
      <c r="Z10" s="403">
        <v>4</v>
      </c>
      <c r="AB10" s="865"/>
      <c r="AC10" s="336">
        <v>1.4</v>
      </c>
      <c r="AD10" s="410">
        <v>1.49</v>
      </c>
      <c r="AE10" s="404">
        <v>0</v>
      </c>
      <c r="AF10" s="405">
        <v>0</v>
      </c>
      <c r="AG10" s="406">
        <v>0</v>
      </c>
      <c r="AH10" s="404">
        <v>0</v>
      </c>
      <c r="AI10" s="406">
        <v>0</v>
      </c>
      <c r="AJ10" s="404">
        <v>0</v>
      </c>
      <c r="AK10" s="405">
        <v>0</v>
      </c>
      <c r="AL10" s="458">
        <v>0</v>
      </c>
      <c r="AM10" s="406">
        <v>0</v>
      </c>
      <c r="AO10" s="701">
        <f t="shared" si="0"/>
        <v>0.8</v>
      </c>
      <c r="AP10" s="424" t="s">
        <v>1338</v>
      </c>
      <c r="AQ10" s="702">
        <v>0</v>
      </c>
    </row>
    <row r="11" spans="1:43" x14ac:dyDescent="0.25">
      <c r="A11" s="874" t="s">
        <v>307</v>
      </c>
      <c r="B11" s="712">
        <v>1.5</v>
      </c>
      <c r="C11" s="713">
        <v>1.69</v>
      </c>
      <c r="D11" s="714">
        <v>0</v>
      </c>
      <c r="E11" s="715">
        <v>0</v>
      </c>
      <c r="F11" s="716">
        <v>0</v>
      </c>
      <c r="G11" s="714">
        <v>0</v>
      </c>
      <c r="H11" s="716">
        <v>0</v>
      </c>
      <c r="I11" s="714">
        <v>0</v>
      </c>
      <c r="J11" s="715">
        <v>0</v>
      </c>
      <c r="K11" s="717">
        <v>0</v>
      </c>
      <c r="L11" s="716">
        <v>0</v>
      </c>
      <c r="N11" s="864"/>
      <c r="O11" s="638">
        <v>3.75</v>
      </c>
      <c r="P11" s="639" t="s">
        <v>1130</v>
      </c>
      <c r="Q11" s="640" t="s">
        <v>1136</v>
      </c>
      <c r="R11" s="401">
        <v>2</v>
      </c>
      <c r="S11" s="402">
        <v>2</v>
      </c>
      <c r="T11" s="403">
        <v>2</v>
      </c>
      <c r="U11" s="401">
        <v>2</v>
      </c>
      <c r="V11" s="402">
        <v>2</v>
      </c>
      <c r="W11" s="403">
        <v>2</v>
      </c>
      <c r="X11" s="661">
        <v>2</v>
      </c>
      <c r="Y11" s="402">
        <v>2</v>
      </c>
      <c r="Z11" s="403">
        <v>2</v>
      </c>
      <c r="AB11" s="867" t="s">
        <v>307</v>
      </c>
      <c r="AC11" s="333">
        <v>1.5</v>
      </c>
      <c r="AD11" s="407">
        <v>1.69</v>
      </c>
      <c r="AE11" s="395">
        <v>0</v>
      </c>
      <c r="AF11" s="396">
        <v>0</v>
      </c>
      <c r="AG11" s="397">
        <v>0</v>
      </c>
      <c r="AH11" s="395">
        <v>0</v>
      </c>
      <c r="AI11" s="397">
        <v>0</v>
      </c>
      <c r="AJ11" s="395">
        <v>0</v>
      </c>
      <c r="AK11" s="396">
        <v>0</v>
      </c>
      <c r="AL11" s="456">
        <v>0</v>
      </c>
      <c r="AM11" s="397">
        <v>0</v>
      </c>
      <c r="AO11" s="701">
        <f t="shared" si="0"/>
        <v>0.87</v>
      </c>
      <c r="AP11" s="424" t="s">
        <v>1331</v>
      </c>
      <c r="AQ11" s="702">
        <v>1</v>
      </c>
    </row>
    <row r="12" spans="1:43" x14ac:dyDescent="0.25">
      <c r="A12" s="880"/>
      <c r="B12" s="335">
        <v>1.7</v>
      </c>
      <c r="C12" s="588">
        <v>1.79</v>
      </c>
      <c r="D12" s="401">
        <v>5.5</v>
      </c>
      <c r="E12" s="402">
        <v>8</v>
      </c>
      <c r="F12" s="403">
        <v>11</v>
      </c>
      <c r="G12" s="401">
        <v>7</v>
      </c>
      <c r="H12" s="403">
        <v>7.5</v>
      </c>
      <c r="I12" s="401">
        <v>8.5</v>
      </c>
      <c r="J12" s="402">
        <v>8.5</v>
      </c>
      <c r="K12" s="457">
        <v>8</v>
      </c>
      <c r="L12" s="403">
        <v>6.5</v>
      </c>
      <c r="N12" s="621" t="s">
        <v>913</v>
      </c>
      <c r="O12" s="615">
        <v>4</v>
      </c>
      <c r="P12" s="616">
        <v>4</v>
      </c>
      <c r="Q12" s="643" t="s">
        <v>1133</v>
      </c>
      <c r="R12" s="395">
        <v>-2</v>
      </c>
      <c r="S12" s="396">
        <v>-2</v>
      </c>
      <c r="T12" s="397">
        <v>-1</v>
      </c>
      <c r="U12" s="395">
        <v>-2</v>
      </c>
      <c r="V12" s="396">
        <v>-2</v>
      </c>
      <c r="W12" s="397">
        <v>-1.5</v>
      </c>
      <c r="X12" s="659">
        <v>-1</v>
      </c>
      <c r="Y12" s="396">
        <v>-1</v>
      </c>
      <c r="Z12" s="397">
        <v>-1</v>
      </c>
      <c r="AB12" s="868"/>
      <c r="AC12" s="335">
        <v>1.7</v>
      </c>
      <c r="AD12" s="409">
        <v>1.79</v>
      </c>
      <c r="AE12" s="401">
        <v>0</v>
      </c>
      <c r="AF12" s="402">
        <v>0</v>
      </c>
      <c r="AG12" s="403">
        <v>0</v>
      </c>
      <c r="AH12" s="401">
        <v>0</v>
      </c>
      <c r="AI12" s="403">
        <v>0</v>
      </c>
      <c r="AJ12" s="401">
        <v>0</v>
      </c>
      <c r="AK12" s="402">
        <v>0</v>
      </c>
      <c r="AL12" s="457">
        <v>0</v>
      </c>
      <c r="AM12" s="403">
        <v>0</v>
      </c>
      <c r="AO12" s="701">
        <f t="shared" si="0"/>
        <v>0.88</v>
      </c>
      <c r="AP12" s="424" t="s">
        <v>1332</v>
      </c>
      <c r="AQ12" s="702">
        <v>2</v>
      </c>
    </row>
    <row r="13" spans="1:43" x14ac:dyDescent="0.25">
      <c r="A13" s="880"/>
      <c r="B13" s="335">
        <v>1.8</v>
      </c>
      <c r="C13" s="588">
        <v>1.89</v>
      </c>
      <c r="D13" s="401">
        <v>13</v>
      </c>
      <c r="E13" s="402">
        <v>15.5</v>
      </c>
      <c r="F13" s="403">
        <v>12</v>
      </c>
      <c r="G13" s="401">
        <v>13</v>
      </c>
      <c r="H13" s="403">
        <v>14</v>
      </c>
      <c r="I13" s="401">
        <v>13.5</v>
      </c>
      <c r="J13" s="402">
        <v>10.5</v>
      </c>
      <c r="K13" s="457">
        <v>12.5</v>
      </c>
      <c r="L13" s="403">
        <v>11.5</v>
      </c>
      <c r="N13" s="622"/>
      <c r="O13" s="619">
        <v>4.01</v>
      </c>
      <c r="P13" s="623">
        <v>4.09</v>
      </c>
      <c r="Q13" s="644" t="s">
        <v>1133</v>
      </c>
      <c r="R13" s="401">
        <v>0</v>
      </c>
      <c r="S13" s="402">
        <v>0</v>
      </c>
      <c r="T13" s="403">
        <v>0</v>
      </c>
      <c r="U13" s="401">
        <v>0</v>
      </c>
      <c r="V13" s="402">
        <v>0</v>
      </c>
      <c r="W13" s="403">
        <v>0</v>
      </c>
      <c r="X13" s="661">
        <v>0</v>
      </c>
      <c r="Y13" s="402">
        <v>0</v>
      </c>
      <c r="Z13" s="403">
        <v>0</v>
      </c>
      <c r="AB13" s="868"/>
      <c r="AC13" s="335">
        <v>1.8</v>
      </c>
      <c r="AD13" s="409">
        <v>1.89</v>
      </c>
      <c r="AE13" s="401">
        <v>0</v>
      </c>
      <c r="AF13" s="402">
        <v>0</v>
      </c>
      <c r="AG13" s="403">
        <v>0</v>
      </c>
      <c r="AH13" s="401">
        <v>0</v>
      </c>
      <c r="AI13" s="403">
        <v>0</v>
      </c>
      <c r="AJ13" s="401">
        <v>0</v>
      </c>
      <c r="AK13" s="402">
        <v>0</v>
      </c>
      <c r="AL13" s="457">
        <v>0</v>
      </c>
      <c r="AM13" s="403">
        <v>0</v>
      </c>
      <c r="AO13" s="701">
        <f t="shared" si="0"/>
        <v>0.89</v>
      </c>
      <c r="AP13" s="424" t="s">
        <v>1333</v>
      </c>
      <c r="AQ13" s="702">
        <v>3</v>
      </c>
    </row>
    <row r="14" spans="1:43" x14ac:dyDescent="0.25">
      <c r="A14" s="881"/>
      <c r="B14" s="336">
        <v>1.9</v>
      </c>
      <c r="C14" s="711">
        <v>1.99</v>
      </c>
      <c r="D14" s="404">
        <v>18</v>
      </c>
      <c r="E14" s="405">
        <v>18.5</v>
      </c>
      <c r="F14" s="406">
        <v>15</v>
      </c>
      <c r="G14" s="404">
        <v>18</v>
      </c>
      <c r="H14" s="406">
        <v>18</v>
      </c>
      <c r="I14" s="404">
        <v>17.5</v>
      </c>
      <c r="J14" s="405">
        <v>17</v>
      </c>
      <c r="K14" s="458">
        <v>16</v>
      </c>
      <c r="L14" s="406">
        <v>17</v>
      </c>
      <c r="N14" s="622"/>
      <c r="O14" s="619">
        <v>4.0999999999999996</v>
      </c>
      <c r="P14" s="623">
        <v>4.24</v>
      </c>
      <c r="Q14" s="644" t="s">
        <v>1133</v>
      </c>
      <c r="R14" s="401">
        <v>0</v>
      </c>
      <c r="S14" s="402">
        <v>0</v>
      </c>
      <c r="T14" s="403">
        <v>0</v>
      </c>
      <c r="U14" s="401">
        <v>0</v>
      </c>
      <c r="V14" s="402">
        <v>0</v>
      </c>
      <c r="W14" s="403">
        <v>0</v>
      </c>
      <c r="X14" s="401">
        <v>0</v>
      </c>
      <c r="Y14" s="402">
        <v>0</v>
      </c>
      <c r="Z14" s="403">
        <v>0</v>
      </c>
      <c r="AB14" s="869"/>
      <c r="AC14" s="336">
        <v>1.9</v>
      </c>
      <c r="AD14" s="410">
        <v>1.99</v>
      </c>
      <c r="AE14" s="404">
        <v>0</v>
      </c>
      <c r="AF14" s="405">
        <v>0</v>
      </c>
      <c r="AG14" s="406">
        <v>0</v>
      </c>
      <c r="AH14" s="404">
        <v>0</v>
      </c>
      <c r="AI14" s="406">
        <v>0</v>
      </c>
      <c r="AJ14" s="404">
        <v>0</v>
      </c>
      <c r="AK14" s="405">
        <v>0</v>
      </c>
      <c r="AL14" s="458">
        <v>0</v>
      </c>
      <c r="AM14" s="406">
        <v>0</v>
      </c>
      <c r="AO14" s="701">
        <v>0.9</v>
      </c>
      <c r="AP14" s="424" t="s">
        <v>1031</v>
      </c>
      <c r="AQ14" s="702">
        <v>0</v>
      </c>
    </row>
    <row r="15" spans="1:43" x14ac:dyDescent="0.25">
      <c r="A15" s="882" t="s">
        <v>310</v>
      </c>
      <c r="B15" s="337">
        <v>2</v>
      </c>
      <c r="C15" s="718">
        <v>2</v>
      </c>
      <c r="D15" s="395">
        <v>-2.5</v>
      </c>
      <c r="E15" s="396">
        <v>-2</v>
      </c>
      <c r="F15" s="397">
        <v>-1</v>
      </c>
      <c r="G15" s="395">
        <v>-2</v>
      </c>
      <c r="H15" s="397">
        <v>-1.5</v>
      </c>
      <c r="I15" s="395">
        <v>0</v>
      </c>
      <c r="J15" s="396">
        <v>0</v>
      </c>
      <c r="K15" s="456">
        <v>0</v>
      </c>
      <c r="L15" s="397">
        <v>0</v>
      </c>
      <c r="N15" s="622"/>
      <c r="O15" s="619">
        <v>4.25</v>
      </c>
      <c r="P15" s="623">
        <v>4.49</v>
      </c>
      <c r="Q15" s="644" t="s">
        <v>1133</v>
      </c>
      <c r="R15" s="401">
        <v>0</v>
      </c>
      <c r="S15" s="402">
        <v>0</v>
      </c>
      <c r="T15" s="403">
        <v>0</v>
      </c>
      <c r="U15" s="401">
        <v>0</v>
      </c>
      <c r="V15" s="402">
        <v>0</v>
      </c>
      <c r="W15" s="403">
        <v>0</v>
      </c>
      <c r="X15" s="661">
        <v>0</v>
      </c>
      <c r="Y15" s="402">
        <v>0</v>
      </c>
      <c r="Z15" s="403">
        <v>0</v>
      </c>
      <c r="AB15" s="870" t="s">
        <v>310</v>
      </c>
      <c r="AC15" s="337">
        <v>2</v>
      </c>
      <c r="AD15" s="411">
        <v>2</v>
      </c>
      <c r="AE15" s="395">
        <v>-3</v>
      </c>
      <c r="AF15" s="396">
        <v>-3</v>
      </c>
      <c r="AG15" s="397">
        <v>-2</v>
      </c>
      <c r="AH15" s="395">
        <v>-3</v>
      </c>
      <c r="AI15" s="397">
        <v>-3</v>
      </c>
      <c r="AJ15" s="395">
        <v>-2</v>
      </c>
      <c r="AK15" s="396">
        <v>-3</v>
      </c>
      <c r="AL15" s="456">
        <v>-3</v>
      </c>
      <c r="AM15" s="397">
        <v>-2</v>
      </c>
      <c r="AO15" s="701">
        <f t="shared" si="0"/>
        <v>0.98</v>
      </c>
      <c r="AP15" s="424" t="s">
        <v>1334</v>
      </c>
      <c r="AQ15" s="702">
        <v>1</v>
      </c>
    </row>
    <row r="16" spans="1:43" x14ac:dyDescent="0.25">
      <c r="A16" s="882"/>
      <c r="B16" s="334">
        <v>2.0099999999999998</v>
      </c>
      <c r="C16" s="709">
        <v>2.09</v>
      </c>
      <c r="D16" s="398">
        <v>0</v>
      </c>
      <c r="E16" s="399">
        <v>0</v>
      </c>
      <c r="F16" s="400">
        <v>0</v>
      </c>
      <c r="G16" s="398">
        <v>0</v>
      </c>
      <c r="H16" s="400">
        <v>0</v>
      </c>
      <c r="I16" s="398">
        <v>0</v>
      </c>
      <c r="J16" s="399">
        <v>0</v>
      </c>
      <c r="K16" s="710">
        <v>0</v>
      </c>
      <c r="L16" s="400">
        <v>0</v>
      </c>
      <c r="N16" s="622"/>
      <c r="O16" s="617">
        <v>4.5</v>
      </c>
      <c r="P16" s="618">
        <v>4.99</v>
      </c>
      <c r="Q16" s="645" t="s">
        <v>1129</v>
      </c>
      <c r="R16" s="401">
        <v>3</v>
      </c>
      <c r="S16" s="402">
        <v>3</v>
      </c>
      <c r="T16" s="403">
        <v>3</v>
      </c>
      <c r="U16" s="401">
        <v>3</v>
      </c>
      <c r="V16" s="402">
        <v>3</v>
      </c>
      <c r="W16" s="403">
        <v>3</v>
      </c>
      <c r="X16" s="661">
        <v>3</v>
      </c>
      <c r="Y16" s="402">
        <v>3</v>
      </c>
      <c r="Z16" s="403">
        <v>3</v>
      </c>
      <c r="AB16" s="870"/>
      <c r="AC16" s="335">
        <v>2.0099999999999998</v>
      </c>
      <c r="AD16" s="409">
        <v>2.09</v>
      </c>
      <c r="AE16" s="401">
        <v>0</v>
      </c>
      <c r="AF16" s="402">
        <v>0</v>
      </c>
      <c r="AG16" s="403">
        <v>0</v>
      </c>
      <c r="AH16" s="401">
        <v>0</v>
      </c>
      <c r="AI16" s="403">
        <v>0</v>
      </c>
      <c r="AJ16" s="401">
        <v>0</v>
      </c>
      <c r="AK16" s="402">
        <v>0</v>
      </c>
      <c r="AL16" s="457">
        <v>0</v>
      </c>
      <c r="AM16" s="403">
        <v>0</v>
      </c>
      <c r="AO16" s="703">
        <f t="shared" si="0"/>
        <v>0.99</v>
      </c>
      <c r="AP16" s="610" t="s">
        <v>1335</v>
      </c>
      <c r="AQ16" s="704">
        <v>2</v>
      </c>
    </row>
    <row r="17" spans="1:39" x14ac:dyDescent="0.25">
      <c r="A17" s="882"/>
      <c r="B17" s="335">
        <v>2.1</v>
      </c>
      <c r="C17" s="588">
        <v>2.2400000000000002</v>
      </c>
      <c r="D17" s="401">
        <v>-2</v>
      </c>
      <c r="E17" s="402">
        <v>-1.5</v>
      </c>
      <c r="F17" s="403">
        <v>-1</v>
      </c>
      <c r="G17" s="401">
        <v>-1.5</v>
      </c>
      <c r="H17" s="403">
        <v>-1</v>
      </c>
      <c r="I17" s="401">
        <v>0</v>
      </c>
      <c r="J17" s="402">
        <v>-1</v>
      </c>
      <c r="K17" s="457">
        <v>0</v>
      </c>
      <c r="L17" s="403">
        <v>0</v>
      </c>
      <c r="N17" s="622"/>
      <c r="O17" s="641">
        <v>4.5</v>
      </c>
      <c r="P17" s="642">
        <v>4.99</v>
      </c>
      <c r="Q17" s="646" t="s">
        <v>1136</v>
      </c>
      <c r="R17" s="401">
        <v>1</v>
      </c>
      <c r="S17" s="402">
        <v>1</v>
      </c>
      <c r="T17" s="403">
        <v>1</v>
      </c>
      <c r="U17" s="401">
        <v>1</v>
      </c>
      <c r="V17" s="402">
        <v>1</v>
      </c>
      <c r="W17" s="403">
        <v>1</v>
      </c>
      <c r="X17" s="661">
        <v>1</v>
      </c>
      <c r="Y17" s="402">
        <v>1</v>
      </c>
      <c r="Z17" s="403">
        <v>1</v>
      </c>
      <c r="AB17" s="870"/>
      <c r="AC17" s="335">
        <v>2.1</v>
      </c>
      <c r="AD17" s="409">
        <v>2.2400000000000002</v>
      </c>
      <c r="AE17" s="401">
        <v>0</v>
      </c>
      <c r="AF17" s="402">
        <v>0</v>
      </c>
      <c r="AG17" s="403">
        <v>0</v>
      </c>
      <c r="AH17" s="401">
        <v>0</v>
      </c>
      <c r="AI17" s="403">
        <v>0</v>
      </c>
      <c r="AJ17" s="401">
        <v>0</v>
      </c>
      <c r="AK17" s="402">
        <v>0</v>
      </c>
      <c r="AL17" s="457">
        <v>0</v>
      </c>
      <c r="AM17" s="403">
        <v>0</v>
      </c>
    </row>
    <row r="18" spans="1:39" x14ac:dyDescent="0.25">
      <c r="A18" s="882"/>
      <c r="B18" s="335">
        <v>2.25</v>
      </c>
      <c r="C18" s="588">
        <v>2.4900000000000002</v>
      </c>
      <c r="D18" s="401">
        <v>1</v>
      </c>
      <c r="E18" s="402">
        <v>4</v>
      </c>
      <c r="F18" s="403">
        <v>5.5</v>
      </c>
      <c r="G18" s="401">
        <v>5.5</v>
      </c>
      <c r="H18" s="403">
        <v>4</v>
      </c>
      <c r="I18" s="401">
        <v>4</v>
      </c>
      <c r="J18" s="402">
        <v>4</v>
      </c>
      <c r="K18" s="457">
        <v>5</v>
      </c>
      <c r="L18" s="403">
        <v>4</v>
      </c>
      <c r="N18" s="624" t="s">
        <v>914</v>
      </c>
      <c r="O18" s="647">
        <v>5</v>
      </c>
      <c r="P18" s="651">
        <v>5</v>
      </c>
      <c r="Q18" s="655" t="s">
        <v>1133</v>
      </c>
      <c r="R18" s="395">
        <v>-3</v>
      </c>
      <c r="S18" s="396">
        <v>-3</v>
      </c>
      <c r="T18" s="397">
        <v>-2</v>
      </c>
      <c r="U18" s="395">
        <v>-3</v>
      </c>
      <c r="V18" s="396">
        <v>-2</v>
      </c>
      <c r="W18" s="397">
        <v>-2</v>
      </c>
      <c r="X18" s="659">
        <v>-3</v>
      </c>
      <c r="Y18" s="396">
        <v>-2</v>
      </c>
      <c r="Z18" s="397">
        <v>-2</v>
      </c>
      <c r="AB18" s="870"/>
      <c r="AC18" s="335">
        <v>2.25</v>
      </c>
      <c r="AD18" s="409">
        <v>2.4900000000000002</v>
      </c>
      <c r="AE18" s="401">
        <v>0</v>
      </c>
      <c r="AF18" s="402">
        <v>0</v>
      </c>
      <c r="AG18" s="403">
        <v>0</v>
      </c>
      <c r="AH18" s="401">
        <v>0</v>
      </c>
      <c r="AI18" s="403">
        <v>0</v>
      </c>
      <c r="AJ18" s="401">
        <v>0</v>
      </c>
      <c r="AK18" s="402">
        <v>0</v>
      </c>
      <c r="AL18" s="457">
        <v>0</v>
      </c>
      <c r="AM18" s="403">
        <v>0</v>
      </c>
    </row>
    <row r="19" spans="1:39" x14ac:dyDescent="0.25">
      <c r="A19" s="882"/>
      <c r="B19" s="335">
        <v>2.5</v>
      </c>
      <c r="C19" s="588">
        <v>2.69</v>
      </c>
      <c r="D19" s="401">
        <v>16</v>
      </c>
      <c r="E19" s="402">
        <v>15</v>
      </c>
      <c r="F19" s="403">
        <v>9</v>
      </c>
      <c r="G19" s="401">
        <v>16</v>
      </c>
      <c r="H19" s="403">
        <v>16</v>
      </c>
      <c r="I19" s="401">
        <v>12</v>
      </c>
      <c r="J19" s="402">
        <v>16</v>
      </c>
      <c r="K19" s="457">
        <v>16</v>
      </c>
      <c r="L19" s="403">
        <v>14</v>
      </c>
      <c r="N19" s="625"/>
      <c r="O19" s="648">
        <v>5.01</v>
      </c>
      <c r="P19" s="652">
        <v>5.09</v>
      </c>
      <c r="Q19" s="656" t="s">
        <v>1133</v>
      </c>
      <c r="R19" s="401">
        <v>0</v>
      </c>
      <c r="S19" s="402">
        <v>0</v>
      </c>
      <c r="T19" s="403">
        <v>0</v>
      </c>
      <c r="U19" s="401">
        <v>0</v>
      </c>
      <c r="V19" s="402">
        <v>0</v>
      </c>
      <c r="W19" s="403">
        <v>0</v>
      </c>
      <c r="X19" s="661">
        <v>0</v>
      </c>
      <c r="Y19" s="402">
        <v>0</v>
      </c>
      <c r="Z19" s="403">
        <v>0</v>
      </c>
      <c r="AB19" s="870"/>
      <c r="AC19" s="335">
        <v>2.5</v>
      </c>
      <c r="AD19" s="409">
        <v>2.69</v>
      </c>
      <c r="AE19" s="401">
        <v>0</v>
      </c>
      <c r="AF19" s="402">
        <v>0</v>
      </c>
      <c r="AG19" s="403">
        <v>0</v>
      </c>
      <c r="AH19" s="401">
        <v>0</v>
      </c>
      <c r="AI19" s="403">
        <v>0</v>
      </c>
      <c r="AJ19" s="401">
        <v>0</v>
      </c>
      <c r="AK19" s="402">
        <v>0</v>
      </c>
      <c r="AL19" s="457">
        <v>0</v>
      </c>
      <c r="AM19" s="403">
        <v>0</v>
      </c>
    </row>
    <row r="20" spans="1:39" x14ac:dyDescent="0.25">
      <c r="A20" s="882"/>
      <c r="B20" s="335">
        <v>2.7</v>
      </c>
      <c r="C20" s="588">
        <v>2.79</v>
      </c>
      <c r="D20" s="401">
        <v>18</v>
      </c>
      <c r="E20" s="402">
        <v>16</v>
      </c>
      <c r="F20" s="403">
        <v>10</v>
      </c>
      <c r="G20" s="401">
        <v>20</v>
      </c>
      <c r="H20" s="403">
        <v>19</v>
      </c>
      <c r="I20" s="401">
        <v>15</v>
      </c>
      <c r="J20" s="402">
        <v>17</v>
      </c>
      <c r="K20" s="457">
        <v>17</v>
      </c>
      <c r="L20" s="403">
        <v>15</v>
      </c>
      <c r="N20" s="625"/>
      <c r="O20" s="649">
        <v>5.0999999999999996</v>
      </c>
      <c r="P20" s="653">
        <v>5.24</v>
      </c>
      <c r="Q20" s="657" t="s">
        <v>1133</v>
      </c>
      <c r="R20" s="401">
        <v>0</v>
      </c>
      <c r="S20" s="402">
        <v>0</v>
      </c>
      <c r="T20" s="403">
        <v>0</v>
      </c>
      <c r="U20" s="401">
        <v>0</v>
      </c>
      <c r="V20" s="402">
        <v>0</v>
      </c>
      <c r="W20" s="403">
        <v>0</v>
      </c>
      <c r="X20" s="661">
        <v>0</v>
      </c>
      <c r="Y20" s="402">
        <v>0</v>
      </c>
      <c r="Z20" s="403">
        <v>0</v>
      </c>
      <c r="AB20" s="870"/>
      <c r="AC20" s="335">
        <v>2.7</v>
      </c>
      <c r="AD20" s="409">
        <v>2.79</v>
      </c>
      <c r="AE20" s="401">
        <v>0</v>
      </c>
      <c r="AF20" s="402">
        <v>0</v>
      </c>
      <c r="AG20" s="403">
        <v>0</v>
      </c>
      <c r="AH20" s="401">
        <v>0</v>
      </c>
      <c r="AI20" s="403">
        <v>0</v>
      </c>
      <c r="AJ20" s="401">
        <v>0</v>
      </c>
      <c r="AK20" s="402">
        <v>0</v>
      </c>
      <c r="AL20" s="457">
        <v>0</v>
      </c>
      <c r="AM20" s="403">
        <v>0</v>
      </c>
    </row>
    <row r="21" spans="1:39" x14ac:dyDescent="0.25">
      <c r="A21" s="882"/>
      <c r="B21" s="335">
        <v>2.8</v>
      </c>
      <c r="C21" s="588">
        <v>2.89</v>
      </c>
      <c r="D21" s="401">
        <v>19</v>
      </c>
      <c r="E21" s="402">
        <v>17</v>
      </c>
      <c r="F21" s="403">
        <v>11</v>
      </c>
      <c r="G21" s="401">
        <v>21</v>
      </c>
      <c r="H21" s="403">
        <v>20</v>
      </c>
      <c r="I21" s="401">
        <v>16</v>
      </c>
      <c r="J21" s="402">
        <v>18</v>
      </c>
      <c r="K21" s="457">
        <v>18</v>
      </c>
      <c r="L21" s="403">
        <v>16</v>
      </c>
      <c r="N21" s="625"/>
      <c r="O21" s="649">
        <v>5.25</v>
      </c>
      <c r="P21" s="653">
        <v>5.49</v>
      </c>
      <c r="Q21" s="657" t="s">
        <v>1133</v>
      </c>
      <c r="R21" s="401">
        <v>0</v>
      </c>
      <c r="S21" s="402">
        <v>0</v>
      </c>
      <c r="T21" s="403">
        <v>0</v>
      </c>
      <c r="U21" s="401">
        <v>0</v>
      </c>
      <c r="V21" s="402">
        <v>0</v>
      </c>
      <c r="W21" s="403">
        <v>0</v>
      </c>
      <c r="X21" s="661">
        <v>0</v>
      </c>
      <c r="Y21" s="402">
        <v>0</v>
      </c>
      <c r="Z21" s="403">
        <v>0</v>
      </c>
      <c r="AB21" s="870"/>
      <c r="AC21" s="335">
        <v>2.8</v>
      </c>
      <c r="AD21" s="409">
        <v>2.89</v>
      </c>
      <c r="AE21" s="401">
        <v>0</v>
      </c>
      <c r="AF21" s="402">
        <v>0</v>
      </c>
      <c r="AG21" s="403">
        <v>0</v>
      </c>
      <c r="AH21" s="401">
        <v>0</v>
      </c>
      <c r="AI21" s="403">
        <v>0</v>
      </c>
      <c r="AJ21" s="401">
        <v>0</v>
      </c>
      <c r="AK21" s="402">
        <v>0</v>
      </c>
      <c r="AL21" s="457">
        <v>0</v>
      </c>
      <c r="AM21" s="403">
        <v>0</v>
      </c>
    </row>
    <row r="22" spans="1:39" x14ac:dyDescent="0.25">
      <c r="A22" s="882"/>
      <c r="B22" s="336">
        <v>2.9</v>
      </c>
      <c r="C22" s="711">
        <v>2.99</v>
      </c>
      <c r="D22" s="404">
        <v>20.5</v>
      </c>
      <c r="E22" s="405">
        <v>18</v>
      </c>
      <c r="F22" s="406">
        <v>12</v>
      </c>
      <c r="G22" s="404">
        <v>22</v>
      </c>
      <c r="H22" s="406">
        <v>21</v>
      </c>
      <c r="I22" s="404">
        <v>17</v>
      </c>
      <c r="J22" s="405">
        <v>21</v>
      </c>
      <c r="K22" s="458">
        <v>19</v>
      </c>
      <c r="L22" s="406">
        <v>17</v>
      </c>
      <c r="N22" s="625"/>
      <c r="O22" s="649">
        <v>5.5</v>
      </c>
      <c r="P22" s="653">
        <v>5.69</v>
      </c>
      <c r="Q22" s="657" t="s">
        <v>1133</v>
      </c>
      <c r="R22" s="401">
        <v>0</v>
      </c>
      <c r="S22" s="402">
        <v>0</v>
      </c>
      <c r="T22" s="403">
        <v>0</v>
      </c>
      <c r="U22" s="401">
        <v>0</v>
      </c>
      <c r="V22" s="402">
        <v>0</v>
      </c>
      <c r="W22" s="403">
        <v>0</v>
      </c>
      <c r="X22" s="661">
        <v>0</v>
      </c>
      <c r="Y22" s="402">
        <v>0</v>
      </c>
      <c r="Z22" s="403">
        <v>0</v>
      </c>
      <c r="AB22" s="870"/>
      <c r="AC22" s="336">
        <v>2.9</v>
      </c>
      <c r="AD22" s="410">
        <v>2.99</v>
      </c>
      <c r="AE22" s="404">
        <v>0</v>
      </c>
      <c r="AF22" s="405">
        <v>0</v>
      </c>
      <c r="AG22" s="406">
        <v>0</v>
      </c>
      <c r="AH22" s="404">
        <v>0</v>
      </c>
      <c r="AI22" s="406">
        <v>0</v>
      </c>
      <c r="AJ22" s="404">
        <v>0</v>
      </c>
      <c r="AK22" s="405">
        <v>0</v>
      </c>
      <c r="AL22" s="458">
        <v>0</v>
      </c>
      <c r="AM22" s="406">
        <v>0</v>
      </c>
    </row>
    <row r="23" spans="1:39" ht="14.45" x14ac:dyDescent="0.3">
      <c r="N23" s="625"/>
      <c r="O23" s="649">
        <v>5.7</v>
      </c>
      <c r="P23" s="653">
        <v>5.89</v>
      </c>
      <c r="Q23" s="657" t="s">
        <v>1133</v>
      </c>
      <c r="R23" s="401">
        <v>0</v>
      </c>
      <c r="S23" s="402">
        <v>0</v>
      </c>
      <c r="T23" s="403">
        <v>0</v>
      </c>
      <c r="U23" s="401">
        <v>0</v>
      </c>
      <c r="V23" s="402">
        <v>0</v>
      </c>
      <c r="W23" s="403">
        <v>0</v>
      </c>
      <c r="X23" s="661">
        <v>0</v>
      </c>
      <c r="Y23" s="402">
        <v>0</v>
      </c>
      <c r="Z23" s="403">
        <v>0</v>
      </c>
      <c r="AB23" s="352" t="s">
        <v>912</v>
      </c>
      <c r="AC23" s="337">
        <v>3</v>
      </c>
      <c r="AD23" s="411">
        <v>3</v>
      </c>
      <c r="AE23" s="414">
        <v>-3</v>
      </c>
      <c r="AF23" s="415">
        <v>-2.5</v>
      </c>
      <c r="AG23" s="416">
        <v>-1.5</v>
      </c>
      <c r="AH23" s="414">
        <v>-3</v>
      </c>
      <c r="AI23" s="416">
        <v>-2</v>
      </c>
      <c r="AJ23" s="414">
        <v>-1.5</v>
      </c>
      <c r="AK23" s="415">
        <v>-1</v>
      </c>
      <c r="AL23" s="459">
        <v>-1</v>
      </c>
      <c r="AM23" s="416">
        <v>-1</v>
      </c>
    </row>
    <row r="24" spans="1:39" ht="14.45" x14ac:dyDescent="0.3">
      <c r="A24" s="599" t="s">
        <v>1131</v>
      </c>
      <c r="N24" s="628"/>
      <c r="O24" s="650">
        <v>5.9</v>
      </c>
      <c r="P24" s="654">
        <v>5.99</v>
      </c>
      <c r="Q24" s="658" t="s">
        <v>1133</v>
      </c>
      <c r="R24" s="404">
        <v>0</v>
      </c>
      <c r="S24" s="405">
        <v>0</v>
      </c>
      <c r="T24" s="406">
        <v>0</v>
      </c>
      <c r="U24" s="404">
        <v>0</v>
      </c>
      <c r="V24" s="405">
        <v>0</v>
      </c>
      <c r="W24" s="406">
        <v>0</v>
      </c>
      <c r="X24" s="662">
        <v>0</v>
      </c>
      <c r="Y24" s="405">
        <v>0</v>
      </c>
      <c r="Z24" s="406">
        <v>0</v>
      </c>
      <c r="AB24" s="412"/>
      <c r="AC24" s="334">
        <v>3.01</v>
      </c>
      <c r="AD24" s="408">
        <v>3.09</v>
      </c>
      <c r="AE24" s="417">
        <v>0</v>
      </c>
      <c r="AF24" s="418">
        <v>0</v>
      </c>
      <c r="AG24" s="419">
        <v>0</v>
      </c>
      <c r="AH24" s="417">
        <v>0</v>
      </c>
      <c r="AI24" s="419">
        <v>0</v>
      </c>
      <c r="AJ24" s="417">
        <v>0</v>
      </c>
      <c r="AK24" s="418">
        <v>0</v>
      </c>
      <c r="AL24" s="460">
        <v>0</v>
      </c>
      <c r="AM24" s="419">
        <v>0</v>
      </c>
    </row>
    <row r="25" spans="1:39" ht="14.45" x14ac:dyDescent="0.3">
      <c r="N25" s="631" t="s">
        <v>915</v>
      </c>
      <c r="O25" s="626">
        <v>6.5</v>
      </c>
      <c r="P25" s="627">
        <v>6.99</v>
      </c>
      <c r="Q25" s="620" t="s">
        <v>1129</v>
      </c>
      <c r="R25" s="401">
        <v>3</v>
      </c>
      <c r="S25" s="402">
        <v>3</v>
      </c>
      <c r="T25" s="403">
        <v>3</v>
      </c>
      <c r="U25" s="401">
        <v>3</v>
      </c>
      <c r="V25" s="402">
        <v>3</v>
      </c>
      <c r="W25" s="403">
        <v>3</v>
      </c>
      <c r="X25" s="661">
        <v>3</v>
      </c>
      <c r="Y25" s="402">
        <v>3</v>
      </c>
      <c r="Z25" s="403">
        <v>3</v>
      </c>
      <c r="AB25" s="412"/>
      <c r="AC25" s="335">
        <v>3.1</v>
      </c>
      <c r="AD25" s="409">
        <v>3.24</v>
      </c>
      <c r="AE25" s="420">
        <v>-1</v>
      </c>
      <c r="AF25" s="302">
        <v>0</v>
      </c>
      <c r="AG25" s="303">
        <v>0</v>
      </c>
      <c r="AH25" s="420">
        <v>-1</v>
      </c>
      <c r="AI25" s="303">
        <v>1</v>
      </c>
      <c r="AJ25" s="420">
        <v>1</v>
      </c>
      <c r="AK25" s="302">
        <v>1</v>
      </c>
      <c r="AL25" s="461">
        <v>1</v>
      </c>
      <c r="AM25" s="303">
        <v>0</v>
      </c>
    </row>
    <row r="26" spans="1:39" ht="14.45" x14ac:dyDescent="0.3">
      <c r="A26" s="671" t="s">
        <v>8</v>
      </c>
      <c r="B26" s="707" t="s">
        <v>14</v>
      </c>
      <c r="C26" s="707" t="s">
        <v>15</v>
      </c>
      <c r="D26" s="600" t="s">
        <v>1106</v>
      </c>
      <c r="N26" s="632"/>
      <c r="O26" s="633">
        <v>6.5</v>
      </c>
      <c r="P26" s="634">
        <v>6.99</v>
      </c>
      <c r="Q26" s="634" t="s">
        <v>1136</v>
      </c>
      <c r="R26" s="664">
        <v>2</v>
      </c>
      <c r="S26" s="663">
        <v>2</v>
      </c>
      <c r="T26" s="665">
        <v>2</v>
      </c>
      <c r="U26" s="664">
        <v>2</v>
      </c>
      <c r="V26" s="663">
        <v>2</v>
      </c>
      <c r="W26" s="665">
        <v>2</v>
      </c>
      <c r="X26" s="666">
        <v>2</v>
      </c>
      <c r="Y26" s="663">
        <v>2</v>
      </c>
      <c r="Z26" s="665">
        <v>2</v>
      </c>
      <c r="AB26" s="412"/>
      <c r="AC26" s="335">
        <v>3.25</v>
      </c>
      <c r="AD26" s="409">
        <v>3.49</v>
      </c>
      <c r="AE26" s="420">
        <v>2</v>
      </c>
      <c r="AF26" s="302">
        <v>2</v>
      </c>
      <c r="AG26" s="303">
        <v>2</v>
      </c>
      <c r="AH26" s="420">
        <v>2</v>
      </c>
      <c r="AI26" s="303">
        <v>2</v>
      </c>
      <c r="AJ26" s="420">
        <v>2</v>
      </c>
      <c r="AK26" s="302">
        <v>2</v>
      </c>
      <c r="AL26" s="461">
        <v>2</v>
      </c>
      <c r="AM26" s="303">
        <v>1</v>
      </c>
    </row>
    <row r="27" spans="1:39" x14ac:dyDescent="0.25">
      <c r="A27" s="871" t="s">
        <v>305</v>
      </c>
      <c r="B27" s="333">
        <v>1</v>
      </c>
      <c r="C27" s="708">
        <v>1</v>
      </c>
      <c r="D27" s="719">
        <v>-1.5</v>
      </c>
      <c r="O27" s="35"/>
      <c r="P27" s="35"/>
      <c r="AB27" s="412"/>
      <c r="AC27" s="335">
        <v>3.5</v>
      </c>
      <c r="AD27" s="409">
        <v>3.69</v>
      </c>
      <c r="AE27" s="420">
        <v>3.5</v>
      </c>
      <c r="AF27" s="302">
        <v>3.5</v>
      </c>
      <c r="AG27" s="303">
        <v>3</v>
      </c>
      <c r="AH27" s="420">
        <v>3.5</v>
      </c>
      <c r="AI27" s="303">
        <v>5</v>
      </c>
      <c r="AJ27" s="420">
        <v>5</v>
      </c>
      <c r="AK27" s="302">
        <v>5</v>
      </c>
      <c r="AL27" s="461">
        <v>4</v>
      </c>
      <c r="AM27" s="303">
        <v>3</v>
      </c>
    </row>
    <row r="28" spans="1:39" x14ac:dyDescent="0.25">
      <c r="A28" s="872"/>
      <c r="B28" s="334">
        <v>1.01</v>
      </c>
      <c r="C28" s="709">
        <v>1.03</v>
      </c>
      <c r="D28" s="720">
        <v>0</v>
      </c>
      <c r="N28" s="599" t="s">
        <v>1131</v>
      </c>
      <c r="O28" s="35"/>
      <c r="P28" s="35"/>
      <c r="AB28" s="412"/>
      <c r="AC28" s="601">
        <v>3.7</v>
      </c>
      <c r="AD28" s="602">
        <v>3.89</v>
      </c>
      <c r="AE28" s="603">
        <v>7</v>
      </c>
      <c r="AF28" s="604">
        <v>6</v>
      </c>
      <c r="AG28" s="605">
        <v>6</v>
      </c>
      <c r="AH28" s="603">
        <v>5</v>
      </c>
      <c r="AI28" s="605">
        <v>7</v>
      </c>
      <c r="AJ28" s="603">
        <v>6</v>
      </c>
      <c r="AK28" s="604">
        <v>6</v>
      </c>
      <c r="AL28" s="606">
        <v>5</v>
      </c>
      <c r="AM28" s="605">
        <v>4</v>
      </c>
    </row>
    <row r="29" spans="1:39" x14ac:dyDescent="0.25">
      <c r="A29" s="872"/>
      <c r="B29" s="335">
        <v>1.04</v>
      </c>
      <c r="C29" s="588">
        <v>1.0900000000000001</v>
      </c>
      <c r="D29" s="721">
        <v>-1</v>
      </c>
      <c r="O29" s="35"/>
      <c r="P29" s="35"/>
      <c r="AB29" s="413"/>
      <c r="AC29" s="336">
        <v>3.9</v>
      </c>
      <c r="AD29" s="410">
        <v>3.99</v>
      </c>
      <c r="AE29" s="421">
        <v>9</v>
      </c>
      <c r="AF29" s="304">
        <v>8</v>
      </c>
      <c r="AG29" s="305">
        <v>8</v>
      </c>
      <c r="AH29" s="421">
        <v>7</v>
      </c>
      <c r="AI29" s="305">
        <v>10</v>
      </c>
      <c r="AJ29" s="421">
        <v>8</v>
      </c>
      <c r="AK29" s="304">
        <v>8</v>
      </c>
      <c r="AL29" s="462">
        <v>8</v>
      </c>
      <c r="AM29" s="305">
        <v>7</v>
      </c>
    </row>
    <row r="30" spans="1:39" ht="15.75" x14ac:dyDescent="0.25">
      <c r="A30" s="872"/>
      <c r="B30" s="335">
        <v>1.1000000000000001</v>
      </c>
      <c r="C30" s="588">
        <v>1.19</v>
      </c>
      <c r="D30" s="721">
        <v>-3</v>
      </c>
      <c r="N30" s="612" t="s">
        <v>8</v>
      </c>
      <c r="O30" s="613" t="s">
        <v>14</v>
      </c>
      <c r="P30" s="614" t="s">
        <v>15</v>
      </c>
      <c r="Q30" s="613" t="s">
        <v>1138</v>
      </c>
      <c r="R30" s="600" t="s">
        <v>1106</v>
      </c>
      <c r="AB30" s="412" t="s">
        <v>913</v>
      </c>
      <c r="AC30" s="337">
        <v>4</v>
      </c>
      <c r="AD30" s="411">
        <v>4</v>
      </c>
      <c r="AE30" s="414">
        <v>-3</v>
      </c>
      <c r="AF30" s="415">
        <v>-3</v>
      </c>
      <c r="AG30" s="416">
        <v>-3</v>
      </c>
      <c r="AH30" s="414">
        <v>-3</v>
      </c>
      <c r="AI30" s="416">
        <v>-3</v>
      </c>
      <c r="AJ30" s="414">
        <v>-3</v>
      </c>
      <c r="AK30" s="415">
        <v>-3</v>
      </c>
      <c r="AL30" s="459">
        <v>-3</v>
      </c>
      <c r="AM30" s="416">
        <v>-3</v>
      </c>
    </row>
    <row r="31" spans="1:39" x14ac:dyDescent="0.25">
      <c r="A31" s="872"/>
      <c r="B31" s="335">
        <v>1.2</v>
      </c>
      <c r="C31" s="588">
        <v>1.29</v>
      </c>
      <c r="D31" s="721">
        <v>7</v>
      </c>
      <c r="N31" s="863" t="s">
        <v>1132</v>
      </c>
      <c r="O31" s="615">
        <v>3</v>
      </c>
      <c r="P31" s="616">
        <v>3</v>
      </c>
      <c r="Q31" s="635" t="s">
        <v>1133</v>
      </c>
      <c r="R31" s="396">
        <v>-2</v>
      </c>
      <c r="AB31" s="412"/>
      <c r="AC31" s="334">
        <v>4.01</v>
      </c>
      <c r="AD31" s="408">
        <v>4.09</v>
      </c>
      <c r="AE31" s="417">
        <v>0</v>
      </c>
      <c r="AF31" s="418">
        <v>0</v>
      </c>
      <c r="AG31" s="419">
        <v>0</v>
      </c>
      <c r="AH31" s="417">
        <v>0</v>
      </c>
      <c r="AI31" s="419">
        <v>0</v>
      </c>
      <c r="AJ31" s="417">
        <v>0</v>
      </c>
      <c r="AK31" s="418">
        <v>0</v>
      </c>
      <c r="AL31" s="460">
        <v>0</v>
      </c>
      <c r="AM31" s="419">
        <v>0</v>
      </c>
    </row>
    <row r="32" spans="1:39" x14ac:dyDescent="0.25">
      <c r="A32" s="872"/>
      <c r="B32" s="335">
        <v>1.3</v>
      </c>
      <c r="C32" s="588">
        <v>1.39</v>
      </c>
      <c r="D32" s="721">
        <v>13.5</v>
      </c>
      <c r="N32" s="864"/>
      <c r="O32" s="617">
        <v>3.01</v>
      </c>
      <c r="P32" s="618">
        <v>3.09</v>
      </c>
      <c r="Q32" s="636" t="s">
        <v>1133</v>
      </c>
      <c r="R32" s="399">
        <v>0</v>
      </c>
      <c r="AB32" s="412"/>
      <c r="AC32" s="335">
        <v>4.0999999999999996</v>
      </c>
      <c r="AD32" s="409">
        <v>4.24</v>
      </c>
      <c r="AE32" s="420">
        <v>0</v>
      </c>
      <c r="AF32" s="302">
        <v>1</v>
      </c>
      <c r="AG32" s="303">
        <v>1</v>
      </c>
      <c r="AH32" s="420">
        <v>0</v>
      </c>
      <c r="AI32" s="303">
        <v>2</v>
      </c>
      <c r="AJ32" s="420">
        <v>2</v>
      </c>
      <c r="AK32" s="302">
        <v>1</v>
      </c>
      <c r="AL32" s="461">
        <v>2</v>
      </c>
      <c r="AM32" s="303">
        <v>2</v>
      </c>
    </row>
    <row r="33" spans="1:39" x14ac:dyDescent="0.25">
      <c r="A33" s="873"/>
      <c r="B33" s="336">
        <v>1.4</v>
      </c>
      <c r="C33" s="711">
        <v>1.49</v>
      </c>
      <c r="D33" s="722">
        <v>19.5</v>
      </c>
      <c r="N33" s="864"/>
      <c r="O33" s="619">
        <v>3.1</v>
      </c>
      <c r="P33" s="620" t="s">
        <v>1134</v>
      </c>
      <c r="Q33" s="637" t="s">
        <v>1133</v>
      </c>
      <c r="R33" s="402">
        <v>0</v>
      </c>
      <c r="AB33" s="412"/>
      <c r="AC33" s="335">
        <v>4.25</v>
      </c>
      <c r="AD33" s="409">
        <v>4.49</v>
      </c>
      <c r="AE33" s="420">
        <v>2</v>
      </c>
      <c r="AF33" s="302">
        <v>3</v>
      </c>
      <c r="AG33" s="303">
        <v>3</v>
      </c>
      <c r="AH33" s="420">
        <v>2</v>
      </c>
      <c r="AI33" s="303">
        <v>3</v>
      </c>
      <c r="AJ33" s="420">
        <v>3</v>
      </c>
      <c r="AK33" s="302">
        <v>3</v>
      </c>
      <c r="AL33" s="461">
        <v>3</v>
      </c>
      <c r="AM33" s="303">
        <v>3</v>
      </c>
    </row>
    <row r="34" spans="1:39" x14ac:dyDescent="0.25">
      <c r="A34" s="874" t="s">
        <v>307</v>
      </c>
      <c r="B34" s="712">
        <v>1.5</v>
      </c>
      <c r="C34" s="713">
        <v>1.69</v>
      </c>
      <c r="D34" s="723">
        <v>0</v>
      </c>
      <c r="N34" s="864"/>
      <c r="O34" s="619">
        <v>3.25</v>
      </c>
      <c r="P34" s="620" t="s">
        <v>1135</v>
      </c>
      <c r="Q34" s="637" t="s">
        <v>1133</v>
      </c>
      <c r="R34" s="402">
        <v>0</v>
      </c>
      <c r="AB34" s="412"/>
      <c r="AC34" s="335">
        <v>4.5</v>
      </c>
      <c r="AD34" s="409">
        <v>4.6900000000000004</v>
      </c>
      <c r="AE34" s="420">
        <v>5</v>
      </c>
      <c r="AF34" s="302">
        <v>6</v>
      </c>
      <c r="AG34" s="303">
        <v>6</v>
      </c>
      <c r="AH34" s="420">
        <v>5</v>
      </c>
      <c r="AI34" s="303">
        <v>6</v>
      </c>
      <c r="AJ34" s="420">
        <v>6</v>
      </c>
      <c r="AK34" s="302">
        <v>5</v>
      </c>
      <c r="AL34" s="461">
        <v>6</v>
      </c>
      <c r="AM34" s="303">
        <v>6</v>
      </c>
    </row>
    <row r="35" spans="1:39" x14ac:dyDescent="0.25">
      <c r="A35" s="875"/>
      <c r="B35" s="335">
        <v>1.7</v>
      </c>
      <c r="C35" s="588">
        <v>1.79</v>
      </c>
      <c r="D35" s="721">
        <v>6.5</v>
      </c>
      <c r="N35" s="864"/>
      <c r="O35" s="619">
        <v>3.5</v>
      </c>
      <c r="P35" s="620" t="s">
        <v>1128</v>
      </c>
      <c r="Q35" s="637" t="s">
        <v>1129</v>
      </c>
      <c r="R35" s="402">
        <v>3</v>
      </c>
      <c r="AB35" s="412"/>
      <c r="AC35" s="601">
        <v>4.7</v>
      </c>
      <c r="AD35" s="602">
        <v>4.8899999999999997</v>
      </c>
      <c r="AE35" s="603">
        <v>8</v>
      </c>
      <c r="AF35" s="604">
        <v>10</v>
      </c>
      <c r="AG35" s="605">
        <v>8</v>
      </c>
      <c r="AH35" s="603">
        <v>8</v>
      </c>
      <c r="AI35" s="605">
        <v>10</v>
      </c>
      <c r="AJ35" s="603">
        <v>8</v>
      </c>
      <c r="AK35" s="604">
        <v>8</v>
      </c>
      <c r="AL35" s="606">
        <v>8</v>
      </c>
      <c r="AM35" s="605">
        <v>8</v>
      </c>
    </row>
    <row r="36" spans="1:39" x14ac:dyDescent="0.25">
      <c r="A36" s="875"/>
      <c r="B36" s="335">
        <v>1.8</v>
      </c>
      <c r="C36" s="588">
        <v>1.89</v>
      </c>
      <c r="D36" s="721">
        <v>14.5</v>
      </c>
      <c r="N36" s="864"/>
      <c r="O36" s="619">
        <v>3.5</v>
      </c>
      <c r="P36" s="620" t="s">
        <v>1128</v>
      </c>
      <c r="Q36" s="637" t="s">
        <v>1136</v>
      </c>
      <c r="R36" s="402">
        <v>1</v>
      </c>
      <c r="AB36" s="413"/>
      <c r="AC36" s="336">
        <v>4.9000000000000004</v>
      </c>
      <c r="AD36" s="410">
        <v>4.99</v>
      </c>
      <c r="AE36" s="421">
        <v>10</v>
      </c>
      <c r="AF36" s="304">
        <v>12</v>
      </c>
      <c r="AG36" s="305">
        <v>12</v>
      </c>
      <c r="AH36" s="421">
        <v>10</v>
      </c>
      <c r="AI36" s="305">
        <v>12</v>
      </c>
      <c r="AJ36" s="421">
        <v>12</v>
      </c>
      <c r="AK36" s="304">
        <v>10</v>
      </c>
      <c r="AL36" s="462">
        <v>12</v>
      </c>
      <c r="AM36" s="305">
        <v>12</v>
      </c>
    </row>
    <row r="37" spans="1:39" x14ac:dyDescent="0.25">
      <c r="A37" s="876"/>
      <c r="B37" s="336">
        <v>1.9</v>
      </c>
      <c r="C37" s="711">
        <v>1.99</v>
      </c>
      <c r="D37" s="722">
        <v>18</v>
      </c>
      <c r="N37" s="864"/>
      <c r="O37" s="619">
        <v>3.75</v>
      </c>
      <c r="P37" s="620" t="s">
        <v>1130</v>
      </c>
      <c r="Q37" s="637" t="s">
        <v>1129</v>
      </c>
      <c r="R37" s="402">
        <v>4</v>
      </c>
      <c r="AB37" s="412" t="s">
        <v>914</v>
      </c>
      <c r="AC37" s="337">
        <v>5</v>
      </c>
      <c r="AD37" s="411">
        <v>5</v>
      </c>
      <c r="AE37" s="414">
        <v>-3</v>
      </c>
      <c r="AF37" s="415">
        <v>-3</v>
      </c>
      <c r="AG37" s="416">
        <v>-2</v>
      </c>
      <c r="AH37" s="414">
        <v>-3</v>
      </c>
      <c r="AI37" s="416">
        <v>-2</v>
      </c>
      <c r="AJ37" s="414">
        <v>-2</v>
      </c>
      <c r="AK37" s="415">
        <v>-3</v>
      </c>
      <c r="AL37" s="459">
        <v>-2</v>
      </c>
      <c r="AM37" s="416">
        <v>-2</v>
      </c>
    </row>
    <row r="38" spans="1:39" x14ac:dyDescent="0.25">
      <c r="A38" s="877" t="s">
        <v>310</v>
      </c>
      <c r="B38" s="337">
        <v>2</v>
      </c>
      <c r="C38" s="718">
        <v>2</v>
      </c>
      <c r="D38" s="719">
        <v>-2.5</v>
      </c>
      <c r="N38" s="864"/>
      <c r="O38" s="619">
        <v>3.75</v>
      </c>
      <c r="P38" s="620" t="s">
        <v>1130</v>
      </c>
      <c r="Q38" s="640" t="s">
        <v>1136</v>
      </c>
      <c r="R38" s="402">
        <v>2</v>
      </c>
      <c r="AB38" s="412"/>
      <c r="AC38" s="334">
        <v>5.01</v>
      </c>
      <c r="AD38" s="408">
        <v>5.09</v>
      </c>
      <c r="AE38" s="417">
        <v>0</v>
      </c>
      <c r="AF38" s="418">
        <v>0</v>
      </c>
      <c r="AG38" s="419">
        <v>0</v>
      </c>
      <c r="AH38" s="417">
        <v>0</v>
      </c>
      <c r="AI38" s="419">
        <v>0</v>
      </c>
      <c r="AJ38" s="417">
        <v>0</v>
      </c>
      <c r="AK38" s="418">
        <v>0</v>
      </c>
      <c r="AL38" s="460">
        <v>0</v>
      </c>
      <c r="AM38" s="419">
        <v>0</v>
      </c>
    </row>
    <row r="39" spans="1:39" x14ac:dyDescent="0.25">
      <c r="A39" s="878"/>
      <c r="B39" s="334">
        <v>2.0099999999999998</v>
      </c>
      <c r="C39" s="709">
        <v>2.09</v>
      </c>
      <c r="D39" s="720">
        <v>0</v>
      </c>
      <c r="N39" s="621" t="s">
        <v>913</v>
      </c>
      <c r="O39" s="615">
        <v>4</v>
      </c>
      <c r="P39" s="616">
        <v>4</v>
      </c>
      <c r="Q39" s="643" t="s">
        <v>1133</v>
      </c>
      <c r="R39" s="396">
        <v>-2</v>
      </c>
      <c r="AB39" s="412"/>
      <c r="AC39" s="335">
        <v>5.0999999999999996</v>
      </c>
      <c r="AD39" s="409">
        <v>5.24</v>
      </c>
      <c r="AE39" s="420">
        <v>2</v>
      </c>
      <c r="AF39" s="302">
        <v>2</v>
      </c>
      <c r="AG39" s="303">
        <v>1</v>
      </c>
      <c r="AH39" s="420">
        <v>2</v>
      </c>
      <c r="AI39" s="303">
        <v>2</v>
      </c>
      <c r="AJ39" s="420">
        <v>1</v>
      </c>
      <c r="AK39" s="302">
        <v>2</v>
      </c>
      <c r="AL39" s="461">
        <v>2</v>
      </c>
      <c r="AM39" s="303">
        <v>1</v>
      </c>
    </row>
    <row r="40" spans="1:39" x14ac:dyDescent="0.25">
      <c r="A40" s="878"/>
      <c r="B40" s="335">
        <v>2.1</v>
      </c>
      <c r="C40" s="588">
        <v>2.2400000000000002</v>
      </c>
      <c r="D40" s="721">
        <v>-2</v>
      </c>
      <c r="N40" s="622"/>
      <c r="O40" s="619">
        <v>4.01</v>
      </c>
      <c r="P40" s="623">
        <v>4.09</v>
      </c>
      <c r="Q40" s="644" t="s">
        <v>1133</v>
      </c>
      <c r="R40" s="402">
        <v>0</v>
      </c>
      <c r="AB40" s="412"/>
      <c r="AC40" s="601">
        <v>5.25</v>
      </c>
      <c r="AD40" s="602">
        <v>5.49</v>
      </c>
      <c r="AE40" s="603">
        <v>4</v>
      </c>
      <c r="AF40" s="604">
        <v>5</v>
      </c>
      <c r="AG40" s="605">
        <v>3</v>
      </c>
      <c r="AH40" s="603">
        <v>4</v>
      </c>
      <c r="AI40" s="605">
        <v>3</v>
      </c>
      <c r="AJ40" s="603">
        <v>2</v>
      </c>
      <c r="AK40" s="604">
        <v>3</v>
      </c>
      <c r="AL40" s="606">
        <v>3</v>
      </c>
      <c r="AM40" s="605">
        <v>2</v>
      </c>
    </row>
    <row r="41" spans="1:39" x14ac:dyDescent="0.25">
      <c r="A41" s="878"/>
      <c r="B41" s="335">
        <v>2.25</v>
      </c>
      <c r="C41" s="588">
        <v>2.4900000000000002</v>
      </c>
      <c r="D41" s="724">
        <v>2</v>
      </c>
      <c r="N41" s="622"/>
      <c r="O41" s="619">
        <v>4.0999999999999996</v>
      </c>
      <c r="P41" s="623">
        <v>4.24</v>
      </c>
      <c r="Q41" s="644" t="s">
        <v>1133</v>
      </c>
      <c r="R41" s="402">
        <v>0</v>
      </c>
      <c r="AB41" s="412"/>
      <c r="AC41" s="601">
        <v>5.5</v>
      </c>
      <c r="AD41" s="602">
        <v>5.69</v>
      </c>
      <c r="AE41" s="603">
        <v>5</v>
      </c>
      <c r="AF41" s="604">
        <v>6</v>
      </c>
      <c r="AG41" s="605">
        <v>5</v>
      </c>
      <c r="AH41" s="603">
        <v>5</v>
      </c>
      <c r="AI41" s="605">
        <v>5</v>
      </c>
      <c r="AJ41" s="603">
        <v>4</v>
      </c>
      <c r="AK41" s="604">
        <v>5</v>
      </c>
      <c r="AL41" s="606">
        <v>5</v>
      </c>
      <c r="AM41" s="605">
        <v>4</v>
      </c>
    </row>
    <row r="42" spans="1:39" x14ac:dyDescent="0.25">
      <c r="A42" s="878"/>
      <c r="B42" s="335">
        <v>2.5</v>
      </c>
      <c r="C42" s="588">
        <v>2.69</v>
      </c>
      <c r="D42" s="721">
        <v>15</v>
      </c>
      <c r="N42" s="622"/>
      <c r="O42" s="619">
        <v>4.25</v>
      </c>
      <c r="P42" s="623">
        <v>4.49</v>
      </c>
      <c r="Q42" s="644" t="s">
        <v>1133</v>
      </c>
      <c r="R42" s="402">
        <v>0</v>
      </c>
      <c r="AB42" s="412"/>
      <c r="AC42" s="601">
        <v>5.7</v>
      </c>
      <c r="AD42" s="602">
        <v>5.89</v>
      </c>
      <c r="AE42" s="603">
        <v>7</v>
      </c>
      <c r="AF42" s="604">
        <v>7</v>
      </c>
      <c r="AG42" s="605">
        <v>6</v>
      </c>
      <c r="AH42" s="603">
        <v>6</v>
      </c>
      <c r="AI42" s="605">
        <v>6</v>
      </c>
      <c r="AJ42" s="603">
        <v>5</v>
      </c>
      <c r="AK42" s="604">
        <v>6</v>
      </c>
      <c r="AL42" s="606">
        <v>6</v>
      </c>
      <c r="AM42" s="605">
        <v>5</v>
      </c>
    </row>
    <row r="43" spans="1:39" x14ac:dyDescent="0.25">
      <c r="A43" s="878"/>
      <c r="B43" s="335">
        <v>2.7</v>
      </c>
      <c r="C43" s="588">
        <v>2.79</v>
      </c>
      <c r="D43" s="721">
        <v>16</v>
      </c>
      <c r="N43" s="622"/>
      <c r="O43" s="619">
        <v>4.5</v>
      </c>
      <c r="P43" s="623">
        <v>4.99</v>
      </c>
      <c r="Q43" s="645" t="s">
        <v>1129</v>
      </c>
      <c r="R43" s="399">
        <v>3</v>
      </c>
      <c r="AB43" s="412"/>
      <c r="AC43" s="336">
        <v>5.9</v>
      </c>
      <c r="AD43" s="410">
        <v>5.99</v>
      </c>
      <c r="AE43" s="421">
        <v>9</v>
      </c>
      <c r="AF43" s="304">
        <v>9</v>
      </c>
      <c r="AG43" s="305">
        <v>9</v>
      </c>
      <c r="AH43" s="421">
        <v>9</v>
      </c>
      <c r="AI43" s="305">
        <v>9</v>
      </c>
      <c r="AJ43" s="421">
        <v>8</v>
      </c>
      <c r="AK43" s="304">
        <v>8</v>
      </c>
      <c r="AL43" s="462">
        <v>8</v>
      </c>
      <c r="AM43" s="305">
        <v>7</v>
      </c>
    </row>
    <row r="44" spans="1:39" x14ac:dyDescent="0.25">
      <c r="A44" s="878"/>
      <c r="B44" s="335">
        <v>2.8</v>
      </c>
      <c r="C44" s="588">
        <v>2.89</v>
      </c>
      <c r="D44" s="721">
        <v>18</v>
      </c>
      <c r="N44" s="622"/>
      <c r="O44" s="619">
        <v>4.5</v>
      </c>
      <c r="P44" s="623">
        <v>4.99</v>
      </c>
      <c r="Q44" s="646" t="s">
        <v>1136</v>
      </c>
      <c r="R44" s="399">
        <v>1</v>
      </c>
      <c r="AB44" s="352" t="s">
        <v>915</v>
      </c>
      <c r="AC44" s="335">
        <v>6</v>
      </c>
      <c r="AD44" s="409">
        <v>6.49</v>
      </c>
      <c r="AE44" s="420">
        <v>2</v>
      </c>
      <c r="AF44" s="302">
        <v>2</v>
      </c>
      <c r="AG44" s="303">
        <v>2</v>
      </c>
      <c r="AH44" s="420">
        <v>2</v>
      </c>
      <c r="AI44" s="303">
        <v>2</v>
      </c>
      <c r="AJ44" s="420">
        <v>2</v>
      </c>
      <c r="AK44" s="302">
        <v>2</v>
      </c>
      <c r="AL44" s="461">
        <v>2</v>
      </c>
      <c r="AM44" s="303">
        <v>2</v>
      </c>
    </row>
    <row r="45" spans="1:39" x14ac:dyDescent="0.25">
      <c r="A45" s="879"/>
      <c r="B45" s="336">
        <v>2.9</v>
      </c>
      <c r="C45" s="711">
        <v>2.99</v>
      </c>
      <c r="D45" s="722">
        <v>20</v>
      </c>
      <c r="N45" s="624" t="s">
        <v>914</v>
      </c>
      <c r="O45" s="615">
        <v>5</v>
      </c>
      <c r="P45" s="616">
        <v>5</v>
      </c>
      <c r="Q45" s="655" t="s">
        <v>1133</v>
      </c>
      <c r="R45" s="396">
        <v>-1</v>
      </c>
      <c r="AB45" s="413"/>
      <c r="AC45" s="336">
        <v>6.5</v>
      </c>
      <c r="AD45" s="410">
        <v>6.99</v>
      </c>
      <c r="AE45" s="421">
        <v>4</v>
      </c>
      <c r="AF45" s="304">
        <v>4</v>
      </c>
      <c r="AG45" s="305">
        <v>4</v>
      </c>
      <c r="AH45" s="421">
        <v>4</v>
      </c>
      <c r="AI45" s="305">
        <v>4</v>
      </c>
      <c r="AJ45" s="421">
        <v>4</v>
      </c>
      <c r="AK45" s="304">
        <v>4</v>
      </c>
      <c r="AL45" s="462">
        <v>4</v>
      </c>
      <c r="AM45" s="305">
        <v>4</v>
      </c>
    </row>
    <row r="46" spans="1:39" x14ac:dyDescent="0.25">
      <c r="N46" s="625"/>
      <c r="O46" s="619">
        <v>5.01</v>
      </c>
      <c r="P46" s="623">
        <v>5.09</v>
      </c>
      <c r="Q46" s="656" t="s">
        <v>1133</v>
      </c>
      <c r="R46" s="402">
        <v>0</v>
      </c>
    </row>
    <row r="47" spans="1:39" x14ac:dyDescent="0.25">
      <c r="A47" s="861" t="s">
        <v>1353</v>
      </c>
      <c r="B47" s="861"/>
      <c r="C47" s="861"/>
      <c r="D47" s="861"/>
      <c r="E47" s="861"/>
      <c r="F47" s="861"/>
      <c r="G47" s="861"/>
      <c r="H47" s="861"/>
      <c r="I47" s="861"/>
      <c r="J47" s="861"/>
      <c r="K47" s="861"/>
      <c r="L47" s="861"/>
      <c r="N47" s="625"/>
      <c r="O47" s="626">
        <v>5.0999999999999996</v>
      </c>
      <c r="P47" s="627">
        <v>5.24</v>
      </c>
      <c r="Q47" s="657" t="s">
        <v>1133</v>
      </c>
      <c r="R47" s="402">
        <v>0</v>
      </c>
    </row>
    <row r="48" spans="1:39" x14ac:dyDescent="0.25">
      <c r="D48" s="854" t="s">
        <v>315</v>
      </c>
      <c r="E48" s="854"/>
      <c r="F48" s="854"/>
      <c r="G48" s="854"/>
      <c r="H48" s="854"/>
      <c r="I48" s="854"/>
      <c r="J48" s="854"/>
      <c r="K48" s="854"/>
      <c r="L48" s="435"/>
      <c r="N48" s="625"/>
      <c r="O48" s="626">
        <v>5.25</v>
      </c>
      <c r="P48" s="627">
        <v>5.49</v>
      </c>
      <c r="Q48" s="657" t="s">
        <v>1133</v>
      </c>
      <c r="R48" s="402">
        <v>0</v>
      </c>
    </row>
    <row r="49" spans="1:18" x14ac:dyDescent="0.25">
      <c r="A49" s="671" t="s">
        <v>8</v>
      </c>
      <c r="B49" s="707" t="s">
        <v>14</v>
      </c>
      <c r="C49" s="707" t="s">
        <v>15</v>
      </c>
      <c r="D49" s="339">
        <v>1</v>
      </c>
      <c r="E49" s="340">
        <v>2</v>
      </c>
      <c r="F49" s="340">
        <v>3</v>
      </c>
      <c r="G49" s="340">
        <v>4</v>
      </c>
      <c r="H49" s="340">
        <v>5</v>
      </c>
      <c r="I49" s="340">
        <v>6</v>
      </c>
      <c r="J49" s="340">
        <v>7</v>
      </c>
      <c r="K49" s="455">
        <v>8</v>
      </c>
      <c r="L49" s="463">
        <v>9</v>
      </c>
      <c r="N49" s="625"/>
      <c r="O49" s="626">
        <v>5.5</v>
      </c>
      <c r="P49" s="627">
        <v>5.69</v>
      </c>
      <c r="Q49" s="657" t="s">
        <v>1133</v>
      </c>
      <c r="R49" s="402">
        <v>0</v>
      </c>
    </row>
    <row r="50" spans="1:18" x14ac:dyDescent="0.25">
      <c r="A50" s="866" t="s">
        <v>305</v>
      </c>
      <c r="B50" s="333">
        <v>1</v>
      </c>
      <c r="C50" s="708">
        <v>1</v>
      </c>
      <c r="D50" s="395">
        <v>-1.5</v>
      </c>
      <c r="E50" s="396">
        <v>-1</v>
      </c>
      <c r="F50" s="397">
        <v>0</v>
      </c>
      <c r="G50" s="395">
        <v>-1</v>
      </c>
      <c r="H50" s="397">
        <v>-1</v>
      </c>
      <c r="I50" s="395">
        <v>0</v>
      </c>
      <c r="J50" s="396">
        <v>0</v>
      </c>
      <c r="K50" s="456">
        <v>0</v>
      </c>
      <c r="L50" s="397">
        <v>0</v>
      </c>
      <c r="N50" s="625"/>
      <c r="O50" s="626">
        <v>5.7</v>
      </c>
      <c r="P50" s="627">
        <v>5.89</v>
      </c>
      <c r="Q50" s="657" t="s">
        <v>1133</v>
      </c>
      <c r="R50" s="402">
        <v>0</v>
      </c>
    </row>
    <row r="51" spans="1:18" x14ac:dyDescent="0.25">
      <c r="A51" s="866"/>
      <c r="B51" s="334">
        <v>1.01</v>
      </c>
      <c r="C51" s="709">
        <v>1.03</v>
      </c>
      <c r="D51" s="398">
        <v>0</v>
      </c>
      <c r="E51" s="399">
        <v>0</v>
      </c>
      <c r="F51" s="400">
        <v>0</v>
      </c>
      <c r="G51" s="398">
        <v>0</v>
      </c>
      <c r="H51" s="400">
        <v>0</v>
      </c>
      <c r="I51" s="398">
        <v>0</v>
      </c>
      <c r="J51" s="399">
        <v>0</v>
      </c>
      <c r="K51" s="710">
        <v>0</v>
      </c>
      <c r="L51" s="400">
        <v>0</v>
      </c>
      <c r="N51" s="628"/>
      <c r="O51" s="629">
        <v>5.9</v>
      </c>
      <c r="P51" s="630">
        <v>5.99</v>
      </c>
      <c r="Q51" s="658" t="s">
        <v>1133</v>
      </c>
      <c r="R51" s="405">
        <v>0</v>
      </c>
    </row>
    <row r="52" spans="1:18" x14ac:dyDescent="0.25">
      <c r="A52" s="866"/>
      <c r="B52" s="335">
        <v>1.04</v>
      </c>
      <c r="C52" s="588">
        <v>1.0900000000000001</v>
      </c>
      <c r="D52" s="401">
        <v>-1</v>
      </c>
      <c r="E52" s="402">
        <v>-1</v>
      </c>
      <c r="F52" s="403">
        <v>0</v>
      </c>
      <c r="G52" s="401">
        <v>-1</v>
      </c>
      <c r="H52" s="403">
        <v>-1</v>
      </c>
      <c r="I52" s="401">
        <v>0</v>
      </c>
      <c r="J52" s="402">
        <v>0</v>
      </c>
      <c r="K52" s="457">
        <v>0</v>
      </c>
      <c r="L52" s="403">
        <v>0</v>
      </c>
      <c r="N52" s="631" t="s">
        <v>915</v>
      </c>
      <c r="O52" s="626">
        <v>6.5</v>
      </c>
      <c r="P52" s="627">
        <v>6.99</v>
      </c>
      <c r="Q52" s="620" t="s">
        <v>1129</v>
      </c>
      <c r="R52" s="402">
        <v>3</v>
      </c>
    </row>
    <row r="53" spans="1:18" x14ac:dyDescent="0.25">
      <c r="A53" s="866"/>
      <c r="B53" s="335">
        <v>1.1000000000000001</v>
      </c>
      <c r="C53" s="588">
        <v>1.19</v>
      </c>
      <c r="D53" s="401">
        <v>-3</v>
      </c>
      <c r="E53" s="402">
        <v>-3</v>
      </c>
      <c r="F53" s="403">
        <v>-2</v>
      </c>
      <c r="G53" s="401">
        <v>-3</v>
      </c>
      <c r="H53" s="403">
        <v>-3</v>
      </c>
      <c r="I53" s="401">
        <v>-2</v>
      </c>
      <c r="J53" s="402">
        <v>-2</v>
      </c>
      <c r="K53" s="457">
        <v>-1.5</v>
      </c>
      <c r="L53" s="403">
        <v>-1.5</v>
      </c>
      <c r="N53" s="632"/>
      <c r="O53" s="633">
        <v>6.5</v>
      </c>
      <c r="P53" s="634">
        <v>6.99</v>
      </c>
      <c r="Q53" s="634" t="s">
        <v>1136</v>
      </c>
      <c r="R53" s="663">
        <v>2</v>
      </c>
    </row>
    <row r="54" spans="1:18" x14ac:dyDescent="0.25">
      <c r="A54" s="866"/>
      <c r="B54" s="335">
        <v>1.2</v>
      </c>
      <c r="C54" s="588">
        <v>1.29</v>
      </c>
      <c r="D54" s="401">
        <f>CEILING(D8/2,0.5)</f>
        <v>3</v>
      </c>
      <c r="E54" s="402">
        <f t="shared" ref="E54:L54" si="1">CEILING(E8/2,0.5)</f>
        <v>3.5</v>
      </c>
      <c r="F54" s="403">
        <f t="shared" si="1"/>
        <v>3</v>
      </c>
      <c r="G54" s="401">
        <f t="shared" si="1"/>
        <v>4.5</v>
      </c>
      <c r="H54" s="403">
        <f t="shared" si="1"/>
        <v>3.5</v>
      </c>
      <c r="I54" s="401">
        <f t="shared" si="1"/>
        <v>3.5</v>
      </c>
      <c r="J54" s="402">
        <f t="shared" si="1"/>
        <v>4</v>
      </c>
      <c r="K54" s="402">
        <f t="shared" si="1"/>
        <v>5.5</v>
      </c>
      <c r="L54" s="403">
        <f t="shared" si="1"/>
        <v>3</v>
      </c>
    </row>
    <row r="55" spans="1:18" x14ac:dyDescent="0.25">
      <c r="A55" s="866"/>
      <c r="B55" s="335">
        <v>1.3</v>
      </c>
      <c r="C55" s="588">
        <v>1.39</v>
      </c>
      <c r="D55" s="401">
        <f t="shared" ref="D55:E56" si="2">IF(CEILING(D9/2,0.5)=D54,CEILING(D9/2,0.5)+0.5,CEILING(D9/2,0.5))</f>
        <v>5</v>
      </c>
      <c r="E55" s="402">
        <f t="shared" si="2"/>
        <v>7</v>
      </c>
      <c r="F55" s="403">
        <f>IF(CEILING(F9/2,0.5)=F54,CEILING(F9/2,0.5)+0.5,CEILING(F9/2,0.5))</f>
        <v>4.5</v>
      </c>
      <c r="G55" s="401">
        <f t="shared" ref="G55:L56" si="3">IF(CEILING(G9/2,0.5)=G54,CEILING(G9/2,0.5)+0.5,CEILING(G9/2,0.5))</f>
        <v>7</v>
      </c>
      <c r="H55" s="403">
        <f t="shared" si="3"/>
        <v>6</v>
      </c>
      <c r="I55" s="401">
        <f t="shared" si="3"/>
        <v>5.5</v>
      </c>
      <c r="J55" s="402">
        <f t="shared" si="3"/>
        <v>7.5</v>
      </c>
      <c r="K55" s="402">
        <f t="shared" si="3"/>
        <v>6.5</v>
      </c>
      <c r="L55" s="403">
        <f t="shared" si="3"/>
        <v>3.5</v>
      </c>
    </row>
    <row r="56" spans="1:18" x14ac:dyDescent="0.25">
      <c r="A56" s="866"/>
      <c r="B56" s="336">
        <v>1.4</v>
      </c>
      <c r="C56" s="711">
        <v>1.49</v>
      </c>
      <c r="D56" s="404">
        <f t="shared" si="2"/>
        <v>7.5</v>
      </c>
      <c r="E56" s="405">
        <f t="shared" si="2"/>
        <v>10.5</v>
      </c>
      <c r="F56" s="406">
        <f>IF(CEILING(F10/2,0.5)=F55,CEILING(F10/2,0.5)+0.5,CEILING(F10/2,0.5))</f>
        <v>9</v>
      </c>
      <c r="G56" s="404">
        <f t="shared" si="3"/>
        <v>11</v>
      </c>
      <c r="H56" s="406">
        <f t="shared" si="3"/>
        <v>10.5</v>
      </c>
      <c r="I56" s="404">
        <f t="shared" si="3"/>
        <v>9</v>
      </c>
      <c r="J56" s="405">
        <f t="shared" si="3"/>
        <v>9.5</v>
      </c>
      <c r="K56" s="405">
        <f t="shared" si="3"/>
        <v>10.5</v>
      </c>
      <c r="L56" s="406">
        <f t="shared" si="3"/>
        <v>7.5</v>
      </c>
    </row>
    <row r="57" spans="1:18" x14ac:dyDescent="0.25">
      <c r="A57" s="874" t="s">
        <v>307</v>
      </c>
      <c r="B57" s="712">
        <v>1.5</v>
      </c>
      <c r="C57" s="713">
        <v>1.69</v>
      </c>
      <c r="D57" s="714">
        <v>0</v>
      </c>
      <c r="E57" s="715">
        <v>0</v>
      </c>
      <c r="F57" s="716">
        <v>0</v>
      </c>
      <c r="G57" s="714">
        <v>0</v>
      </c>
      <c r="H57" s="716">
        <v>0</v>
      </c>
      <c r="I57" s="714">
        <v>0</v>
      </c>
      <c r="J57" s="715">
        <v>0</v>
      </c>
      <c r="K57" s="717">
        <v>0</v>
      </c>
      <c r="L57" s="716">
        <v>0</v>
      </c>
    </row>
    <row r="58" spans="1:18" x14ac:dyDescent="0.25">
      <c r="A58" s="880"/>
      <c r="B58" s="335">
        <v>1.7</v>
      </c>
      <c r="C58" s="588">
        <v>1.79</v>
      </c>
      <c r="D58" s="401">
        <f t="shared" ref="D58:L58" si="4">CEILING(D12/2,0.5)</f>
        <v>3</v>
      </c>
      <c r="E58" s="402">
        <f t="shared" si="4"/>
        <v>4</v>
      </c>
      <c r="F58" s="403">
        <f t="shared" si="4"/>
        <v>5.5</v>
      </c>
      <c r="G58" s="401">
        <f t="shared" si="4"/>
        <v>3.5</v>
      </c>
      <c r="H58" s="403">
        <f t="shared" si="4"/>
        <v>4</v>
      </c>
      <c r="I58" s="401">
        <f t="shared" si="4"/>
        <v>4.5</v>
      </c>
      <c r="J58" s="402">
        <f t="shared" si="4"/>
        <v>4.5</v>
      </c>
      <c r="K58" s="402">
        <f t="shared" si="4"/>
        <v>4</v>
      </c>
      <c r="L58" s="403">
        <f t="shared" si="4"/>
        <v>3.5</v>
      </c>
    </row>
    <row r="59" spans="1:18" x14ac:dyDescent="0.25">
      <c r="A59" s="880"/>
      <c r="B59" s="335">
        <v>1.8</v>
      </c>
      <c r="C59" s="588">
        <v>1.89</v>
      </c>
      <c r="D59" s="401">
        <f t="shared" ref="D59:E60" si="5">IF(CEILING(D13/2,0.5)=D58,CEILING(D13/2,0.5)+0.5,CEILING(D13/2,0.5))</f>
        <v>6.5</v>
      </c>
      <c r="E59" s="402">
        <f t="shared" si="5"/>
        <v>8</v>
      </c>
      <c r="F59" s="403">
        <f>IF(CEILING(F13/2,0.5)=F58,CEILING(F13/2,0.5)+0.5,CEILING(F13/2,0.5))</f>
        <v>6</v>
      </c>
      <c r="G59" s="401">
        <f t="shared" ref="G59:L60" si="6">IF(CEILING(G13/2,0.5)=G58,CEILING(G13/2,0.5)+0.5,CEILING(G13/2,0.5))</f>
        <v>6.5</v>
      </c>
      <c r="H59" s="403">
        <f t="shared" si="6"/>
        <v>7</v>
      </c>
      <c r="I59" s="401">
        <f t="shared" si="6"/>
        <v>7</v>
      </c>
      <c r="J59" s="402">
        <f t="shared" si="6"/>
        <v>5.5</v>
      </c>
      <c r="K59" s="402">
        <f t="shared" si="6"/>
        <v>6.5</v>
      </c>
      <c r="L59" s="403">
        <f t="shared" si="6"/>
        <v>6</v>
      </c>
    </row>
    <row r="60" spans="1:18" x14ac:dyDescent="0.25">
      <c r="A60" s="881"/>
      <c r="B60" s="336">
        <v>1.9</v>
      </c>
      <c r="C60" s="711">
        <v>1.99</v>
      </c>
      <c r="D60" s="404">
        <f t="shared" si="5"/>
        <v>9</v>
      </c>
      <c r="E60" s="405">
        <f t="shared" si="5"/>
        <v>9.5</v>
      </c>
      <c r="F60" s="406">
        <f>IF(CEILING(F14/2,0.5)=F59,CEILING(F14/2,0.5)+0.5,CEILING(F14/2,0.5))</f>
        <v>7.5</v>
      </c>
      <c r="G60" s="404">
        <f t="shared" si="6"/>
        <v>9</v>
      </c>
      <c r="H60" s="406">
        <f t="shared" si="6"/>
        <v>9</v>
      </c>
      <c r="I60" s="404">
        <f t="shared" si="6"/>
        <v>9</v>
      </c>
      <c r="J60" s="405">
        <f t="shared" si="6"/>
        <v>8.5</v>
      </c>
      <c r="K60" s="405">
        <f t="shared" si="6"/>
        <v>8</v>
      </c>
      <c r="L60" s="406">
        <f t="shared" si="6"/>
        <v>8.5</v>
      </c>
    </row>
    <row r="61" spans="1:18" x14ac:dyDescent="0.25">
      <c r="A61" s="882" t="s">
        <v>310</v>
      </c>
      <c r="B61" s="337">
        <v>2</v>
      </c>
      <c r="C61" s="718">
        <v>2</v>
      </c>
      <c r="D61" s="395">
        <v>-2.5</v>
      </c>
      <c r="E61" s="396">
        <v>-2</v>
      </c>
      <c r="F61" s="397">
        <v>-1</v>
      </c>
      <c r="G61" s="395">
        <v>-2</v>
      </c>
      <c r="H61" s="397">
        <v>-1.5</v>
      </c>
      <c r="I61" s="395">
        <v>0</v>
      </c>
      <c r="J61" s="396">
        <v>0</v>
      </c>
      <c r="K61" s="456">
        <v>0</v>
      </c>
      <c r="L61" s="397">
        <v>0</v>
      </c>
    </row>
    <row r="62" spans="1:18" x14ac:dyDescent="0.25">
      <c r="A62" s="882"/>
      <c r="B62" s="334">
        <v>2.0099999999999998</v>
      </c>
      <c r="C62" s="709">
        <v>2.09</v>
      </c>
      <c r="D62" s="398">
        <v>0</v>
      </c>
      <c r="E62" s="399">
        <v>0</v>
      </c>
      <c r="F62" s="400">
        <v>0</v>
      </c>
      <c r="G62" s="398">
        <v>0</v>
      </c>
      <c r="H62" s="400">
        <v>0</v>
      </c>
      <c r="I62" s="398">
        <v>0</v>
      </c>
      <c r="J62" s="399">
        <v>0</v>
      </c>
      <c r="K62" s="710">
        <v>0</v>
      </c>
      <c r="L62" s="400">
        <v>0</v>
      </c>
    </row>
    <row r="63" spans="1:18" x14ac:dyDescent="0.25">
      <c r="A63" s="882"/>
      <c r="B63" s="335">
        <v>2.1</v>
      </c>
      <c r="C63" s="588">
        <v>2.2400000000000002</v>
      </c>
      <c r="D63" s="401">
        <v>-2</v>
      </c>
      <c r="E63" s="402">
        <v>-1.5</v>
      </c>
      <c r="F63" s="403">
        <v>-1</v>
      </c>
      <c r="G63" s="401">
        <v>-1.5</v>
      </c>
      <c r="H63" s="403">
        <v>-1</v>
      </c>
      <c r="I63" s="401">
        <v>0</v>
      </c>
      <c r="J63" s="402">
        <v>-1</v>
      </c>
      <c r="K63" s="457">
        <v>0</v>
      </c>
      <c r="L63" s="403">
        <v>0</v>
      </c>
    </row>
    <row r="64" spans="1:18" x14ac:dyDescent="0.25">
      <c r="A64" s="882"/>
      <c r="B64" s="335">
        <v>2.25</v>
      </c>
      <c r="C64" s="588">
        <v>2.4900000000000002</v>
      </c>
      <c r="D64" s="401">
        <f>CEILING(D18/2,0.5)</f>
        <v>0.5</v>
      </c>
      <c r="E64" s="402">
        <f t="shared" ref="E64:L64" si="7">CEILING(E18/2,0.5)</f>
        <v>2</v>
      </c>
      <c r="F64" s="403">
        <f t="shared" si="7"/>
        <v>3</v>
      </c>
      <c r="G64" s="401">
        <f t="shared" si="7"/>
        <v>3</v>
      </c>
      <c r="H64" s="403">
        <f t="shared" si="7"/>
        <v>2</v>
      </c>
      <c r="I64" s="401">
        <f t="shared" si="7"/>
        <v>2</v>
      </c>
      <c r="J64" s="402">
        <f t="shared" si="7"/>
        <v>2</v>
      </c>
      <c r="K64" s="402">
        <f t="shared" si="7"/>
        <v>2.5</v>
      </c>
      <c r="L64" s="403">
        <f t="shared" si="7"/>
        <v>2</v>
      </c>
    </row>
    <row r="65" spans="1:12" x14ac:dyDescent="0.25">
      <c r="A65" s="882"/>
      <c r="B65" s="335">
        <v>2.5</v>
      </c>
      <c r="C65" s="588">
        <v>2.69</v>
      </c>
      <c r="D65" s="401">
        <f t="shared" ref="D65:E68" si="8">IF(CEILING(D19/2,0.5)=D64,CEILING(D19/2,0.5)+0.5,CEILING(D19/2,0.5))</f>
        <v>8</v>
      </c>
      <c r="E65" s="402">
        <f t="shared" si="8"/>
        <v>7.5</v>
      </c>
      <c r="F65" s="402">
        <f>IF(CEILING(F19/2,0.5)=F64,CEILING(F19/2,0.5)+0.5,CEILING(F19/2,0.5))</f>
        <v>4.5</v>
      </c>
      <c r="G65" s="401">
        <f t="shared" ref="G65:L68" si="9">IF(CEILING(G19/2,0.5)=G64,CEILING(G19/2,0.5)+0.5,CEILING(G19/2,0.5))</f>
        <v>8</v>
      </c>
      <c r="H65" s="403">
        <f t="shared" si="9"/>
        <v>8</v>
      </c>
      <c r="I65" s="401">
        <f t="shared" si="9"/>
        <v>6</v>
      </c>
      <c r="J65" s="402">
        <f t="shared" si="9"/>
        <v>8</v>
      </c>
      <c r="K65" s="402">
        <f t="shared" si="9"/>
        <v>8</v>
      </c>
      <c r="L65" s="403">
        <f t="shared" si="9"/>
        <v>7</v>
      </c>
    </row>
    <row r="66" spans="1:12" x14ac:dyDescent="0.25">
      <c r="A66" s="882"/>
      <c r="B66" s="335">
        <v>2.7</v>
      </c>
      <c r="C66" s="588">
        <v>2.79</v>
      </c>
      <c r="D66" s="401">
        <f t="shared" si="8"/>
        <v>9</v>
      </c>
      <c r="E66" s="402">
        <f t="shared" si="8"/>
        <v>8</v>
      </c>
      <c r="F66" s="402">
        <f>IF(CEILING(F20/2,0.5)=F65,CEILING(F20/2,0.5)+0.5,CEILING(F20/2,0.5))</f>
        <v>5</v>
      </c>
      <c r="G66" s="401">
        <f t="shared" si="9"/>
        <v>10</v>
      </c>
      <c r="H66" s="403">
        <f t="shared" si="9"/>
        <v>9.5</v>
      </c>
      <c r="I66" s="401">
        <f t="shared" si="9"/>
        <v>7.5</v>
      </c>
      <c r="J66" s="402">
        <f t="shared" si="9"/>
        <v>8.5</v>
      </c>
      <c r="K66" s="402">
        <f t="shared" si="9"/>
        <v>8.5</v>
      </c>
      <c r="L66" s="403">
        <f t="shared" si="9"/>
        <v>7.5</v>
      </c>
    </row>
    <row r="67" spans="1:12" x14ac:dyDescent="0.25">
      <c r="A67" s="882"/>
      <c r="B67" s="335">
        <v>2.8</v>
      </c>
      <c r="C67" s="588">
        <v>2.89</v>
      </c>
      <c r="D67" s="401">
        <f t="shared" si="8"/>
        <v>9.5</v>
      </c>
      <c r="E67" s="402">
        <f t="shared" si="8"/>
        <v>8.5</v>
      </c>
      <c r="F67" s="402">
        <f>IF(CEILING(F21/2,0.5)=F66,CEILING(F21/2,0.5)+0.5,CEILING(F21/2,0.5))</f>
        <v>5.5</v>
      </c>
      <c r="G67" s="401">
        <f t="shared" si="9"/>
        <v>10.5</v>
      </c>
      <c r="H67" s="403">
        <f t="shared" si="9"/>
        <v>10</v>
      </c>
      <c r="I67" s="401">
        <f t="shared" si="9"/>
        <v>8</v>
      </c>
      <c r="J67" s="402">
        <f t="shared" si="9"/>
        <v>9</v>
      </c>
      <c r="K67" s="402">
        <f t="shared" si="9"/>
        <v>9</v>
      </c>
      <c r="L67" s="403">
        <f t="shared" si="9"/>
        <v>8</v>
      </c>
    </row>
    <row r="68" spans="1:12" x14ac:dyDescent="0.25">
      <c r="A68" s="882"/>
      <c r="B68" s="336">
        <v>2.9</v>
      </c>
      <c r="C68" s="711">
        <v>2.99</v>
      </c>
      <c r="D68" s="404">
        <f t="shared" si="8"/>
        <v>10.5</v>
      </c>
      <c r="E68" s="405">
        <f t="shared" si="8"/>
        <v>9</v>
      </c>
      <c r="F68" s="406">
        <f>IF(CEILING(F22/2,0.5)=F67,CEILING(F22/2,0.5)+0.5,CEILING(F22/2,0.5))</f>
        <v>6</v>
      </c>
      <c r="G68" s="404">
        <f t="shared" si="9"/>
        <v>11</v>
      </c>
      <c r="H68" s="406">
        <f t="shared" si="9"/>
        <v>10.5</v>
      </c>
      <c r="I68" s="404">
        <f t="shared" si="9"/>
        <v>8.5</v>
      </c>
      <c r="J68" s="405">
        <f t="shared" si="9"/>
        <v>10.5</v>
      </c>
      <c r="K68" s="405">
        <f t="shared" si="9"/>
        <v>9.5</v>
      </c>
      <c r="L68" s="406">
        <f t="shared" si="9"/>
        <v>8.5</v>
      </c>
    </row>
    <row r="70" spans="1:12" x14ac:dyDescent="0.25">
      <c r="A70" s="599" t="s">
        <v>1131</v>
      </c>
    </row>
    <row r="72" spans="1:12" x14ac:dyDescent="0.25">
      <c r="A72" s="671" t="s">
        <v>8</v>
      </c>
      <c r="B72" s="707" t="s">
        <v>14</v>
      </c>
      <c r="C72" s="707" t="s">
        <v>15</v>
      </c>
      <c r="D72" s="600" t="s">
        <v>1106</v>
      </c>
    </row>
    <row r="73" spans="1:12" x14ac:dyDescent="0.25">
      <c r="A73" s="871" t="s">
        <v>305</v>
      </c>
      <c r="B73" s="333">
        <v>1</v>
      </c>
      <c r="C73" s="708">
        <v>1</v>
      </c>
      <c r="D73" s="719">
        <v>-1.5</v>
      </c>
      <c r="H73" s="28"/>
    </row>
    <row r="74" spans="1:12" x14ac:dyDescent="0.25">
      <c r="A74" s="872"/>
      <c r="B74" s="334">
        <v>1.01</v>
      </c>
      <c r="C74" s="709">
        <v>1.03</v>
      </c>
      <c r="D74" s="720">
        <v>0</v>
      </c>
    </row>
    <row r="75" spans="1:12" x14ac:dyDescent="0.25">
      <c r="A75" s="872"/>
      <c r="B75" s="335">
        <v>1.04</v>
      </c>
      <c r="C75" s="588">
        <v>1.0900000000000001</v>
      </c>
      <c r="D75" s="721">
        <v>-1</v>
      </c>
    </row>
    <row r="76" spans="1:12" x14ac:dyDescent="0.25">
      <c r="A76" s="872"/>
      <c r="B76" s="335">
        <v>1.1000000000000001</v>
      </c>
      <c r="C76" s="588">
        <v>1.19</v>
      </c>
      <c r="D76" s="721">
        <v>-3</v>
      </c>
    </row>
    <row r="77" spans="1:12" x14ac:dyDescent="0.25">
      <c r="A77" s="872"/>
      <c r="B77" s="335">
        <v>1.2</v>
      </c>
      <c r="C77" s="588">
        <v>1.29</v>
      </c>
      <c r="D77" s="721">
        <f>CEILING(D31/2,0.5)</f>
        <v>3.5</v>
      </c>
    </row>
    <row r="78" spans="1:12" x14ac:dyDescent="0.25">
      <c r="A78" s="872"/>
      <c r="B78" s="335">
        <v>1.3</v>
      </c>
      <c r="C78" s="588">
        <v>1.39</v>
      </c>
      <c r="D78" s="721">
        <f>CEILING(D32/2,0.5)</f>
        <v>7</v>
      </c>
    </row>
    <row r="79" spans="1:12" x14ac:dyDescent="0.25">
      <c r="A79" s="873"/>
      <c r="B79" s="336">
        <v>1.4</v>
      </c>
      <c r="C79" s="711">
        <v>1.49</v>
      </c>
      <c r="D79" s="721">
        <f>CEILING(D33/2,0.5)</f>
        <v>10</v>
      </c>
    </row>
    <row r="80" spans="1:12" x14ac:dyDescent="0.25">
      <c r="A80" s="874" t="s">
        <v>307</v>
      </c>
      <c r="B80" s="712">
        <v>1.5</v>
      </c>
      <c r="C80" s="713">
        <v>1.69</v>
      </c>
      <c r="D80" s="723">
        <v>0</v>
      </c>
    </row>
    <row r="81" spans="1:4" x14ac:dyDescent="0.25">
      <c r="A81" s="875"/>
      <c r="B81" s="335">
        <v>1.7</v>
      </c>
      <c r="C81" s="588">
        <v>1.79</v>
      </c>
      <c r="D81" s="721">
        <f>CEILING(D35/2,0.5)</f>
        <v>3.5</v>
      </c>
    </row>
    <row r="82" spans="1:4" x14ac:dyDescent="0.25">
      <c r="A82" s="875"/>
      <c r="B82" s="335">
        <v>1.8</v>
      </c>
      <c r="C82" s="588">
        <v>1.89</v>
      </c>
      <c r="D82" s="721">
        <f>CEILING(D36/2,0.5)</f>
        <v>7.5</v>
      </c>
    </row>
    <row r="83" spans="1:4" x14ac:dyDescent="0.25">
      <c r="A83" s="876"/>
      <c r="B83" s="336">
        <v>1.9</v>
      </c>
      <c r="C83" s="711">
        <v>1.99</v>
      </c>
      <c r="D83" s="721">
        <f>CEILING(D37/2,0.5)</f>
        <v>9</v>
      </c>
    </row>
    <row r="84" spans="1:4" x14ac:dyDescent="0.25">
      <c r="A84" s="877" t="s">
        <v>310</v>
      </c>
      <c r="B84" s="337">
        <v>2</v>
      </c>
      <c r="C84" s="718">
        <v>2</v>
      </c>
      <c r="D84" s="719">
        <v>-2.5</v>
      </c>
    </row>
    <row r="85" spans="1:4" x14ac:dyDescent="0.25">
      <c r="A85" s="878"/>
      <c r="B85" s="334">
        <v>2.0099999999999998</v>
      </c>
      <c r="C85" s="709">
        <v>2.09</v>
      </c>
      <c r="D85" s="720">
        <v>0</v>
      </c>
    </row>
    <row r="86" spans="1:4" x14ac:dyDescent="0.25">
      <c r="A86" s="878"/>
      <c r="B86" s="335">
        <v>2.1</v>
      </c>
      <c r="C86" s="588">
        <v>2.2400000000000002</v>
      </c>
      <c r="D86" s="721">
        <v>-2</v>
      </c>
    </row>
    <row r="87" spans="1:4" x14ac:dyDescent="0.25">
      <c r="A87" s="878"/>
      <c r="B87" s="335">
        <v>2.25</v>
      </c>
      <c r="C87" s="588">
        <v>2.4900000000000002</v>
      </c>
      <c r="D87" s="721">
        <f>CEILING(D41/2,0.5)</f>
        <v>1</v>
      </c>
    </row>
    <row r="88" spans="1:4" x14ac:dyDescent="0.25">
      <c r="A88" s="878"/>
      <c r="B88" s="335">
        <v>2.5</v>
      </c>
      <c r="C88" s="588">
        <v>2.69</v>
      </c>
      <c r="D88" s="721">
        <f>IF(CEILING(D42/2,0.5)=D87,CEILING(D42/2,0.5)+0.5,CEILING(D42/2,0.5))</f>
        <v>7.5</v>
      </c>
    </row>
    <row r="89" spans="1:4" x14ac:dyDescent="0.25">
      <c r="A89" s="878"/>
      <c r="B89" s="335">
        <v>2.7</v>
      </c>
      <c r="C89" s="588">
        <v>2.79</v>
      </c>
      <c r="D89" s="721">
        <f>IF(CEILING(D43/2,0.5)=D88,CEILING(D43/2,0.5)+0.5,CEILING(D43/2,0.5))</f>
        <v>8</v>
      </c>
    </row>
    <row r="90" spans="1:4" x14ac:dyDescent="0.25">
      <c r="A90" s="878"/>
      <c r="B90" s="335">
        <v>2.8</v>
      </c>
      <c r="C90" s="588">
        <v>2.89</v>
      </c>
      <c r="D90" s="721">
        <f>IF(CEILING(D44/2,0.5)=D89,CEILING(D44/2,0.5)+0.5,CEILING(D44/2,0.5))</f>
        <v>9</v>
      </c>
    </row>
    <row r="91" spans="1:4" x14ac:dyDescent="0.25">
      <c r="A91" s="879"/>
      <c r="B91" s="336">
        <v>2.9</v>
      </c>
      <c r="C91" s="711">
        <v>2.99</v>
      </c>
      <c r="D91" s="722">
        <f>IF(CEILING(D45/2,0.5)=D90,CEILING(D45/2,0.5)+0.5,CEILING(D45/2,0.5))</f>
        <v>10</v>
      </c>
    </row>
  </sheetData>
  <sheetProtection algorithmName="SHA-512" hashValue="bjlViETY+4OMUE2SPHCKfc+AI2WYtckO79nsvPvMaEviCY9TYgxQPO9UU5TlTnwO5R7EurhX9NOho5+y1Ag6nA==" saltValue="u7/ZbPrJboro6XpTiT0ADQ==" spinCount="100000" sheet="1" objects="1" scenarios="1" autoFilter="0"/>
  <mergeCells count="24">
    <mergeCell ref="A73:A79"/>
    <mergeCell ref="A80:A83"/>
    <mergeCell ref="A84:A91"/>
    <mergeCell ref="A47:L47"/>
    <mergeCell ref="D48:K48"/>
    <mergeCell ref="A50:A56"/>
    <mergeCell ref="A57:A60"/>
    <mergeCell ref="A61:A68"/>
    <mergeCell ref="A1:L1"/>
    <mergeCell ref="AB1:AM1"/>
    <mergeCell ref="N4:N11"/>
    <mergeCell ref="N31:N38"/>
    <mergeCell ref="R2:Y2"/>
    <mergeCell ref="AE2:AL2"/>
    <mergeCell ref="AB4:AB10"/>
    <mergeCell ref="AB11:AB14"/>
    <mergeCell ref="AB15:AB22"/>
    <mergeCell ref="A27:A33"/>
    <mergeCell ref="A34:A37"/>
    <mergeCell ref="A38:A45"/>
    <mergeCell ref="D2:K2"/>
    <mergeCell ref="A4:A10"/>
    <mergeCell ref="A11:A14"/>
    <mergeCell ref="A15:A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U15"/>
  <sheetViews>
    <sheetView workbookViewId="0">
      <selection activeCell="Q6" sqref="Q6"/>
    </sheetView>
  </sheetViews>
  <sheetFormatPr defaultRowHeight="15" x14ac:dyDescent="0.25"/>
  <cols>
    <col min="2" max="2" width="19.7109375" customWidth="1"/>
    <col min="4" max="4" width="11.28515625" hidden="1" customWidth="1"/>
    <col min="5" max="5" width="10.7109375" hidden="1" customWidth="1"/>
    <col min="6" max="6" width="14" customWidth="1"/>
    <col min="7" max="8" width="9.7109375" bestFit="1" customWidth="1"/>
    <col min="9" max="9" width="9" bestFit="1" customWidth="1"/>
    <col min="10" max="10" width="9.7109375" bestFit="1" customWidth="1"/>
    <col min="18" max="18" width="10.28515625" customWidth="1"/>
    <col min="19" max="19" width="11" customWidth="1"/>
    <col min="20" max="20" width="11.28515625" customWidth="1"/>
    <col min="21" max="21" width="13.28515625" customWidth="1"/>
  </cols>
  <sheetData>
    <row r="1" spans="2:21" x14ac:dyDescent="0.3">
      <c r="B1" s="1" t="s">
        <v>1091</v>
      </c>
      <c r="Q1" s="1" t="s">
        <v>1115</v>
      </c>
    </row>
    <row r="3" spans="2:21" x14ac:dyDescent="0.3">
      <c r="D3" s="883" t="s">
        <v>1088</v>
      </c>
      <c r="E3" s="883"/>
      <c r="F3" t="s">
        <v>1087</v>
      </c>
    </row>
    <row r="4" spans="2:21" x14ac:dyDescent="0.3">
      <c r="C4" s="576" t="s">
        <v>167</v>
      </c>
      <c r="D4" s="576" t="s">
        <v>14</v>
      </c>
      <c r="E4" s="576" t="s">
        <v>15</v>
      </c>
      <c r="F4" s="576"/>
      <c r="G4" s="576">
        <v>1</v>
      </c>
      <c r="H4" s="576">
        <v>2</v>
      </c>
      <c r="I4" s="576">
        <v>3</v>
      </c>
      <c r="J4" s="576">
        <v>4</v>
      </c>
      <c r="K4" s="576">
        <v>5</v>
      </c>
      <c r="L4" s="576">
        <v>6</v>
      </c>
      <c r="M4" s="576">
        <v>7</v>
      </c>
      <c r="N4" s="576">
        <v>8</v>
      </c>
      <c r="O4" s="576">
        <v>9</v>
      </c>
      <c r="Q4" t="s">
        <v>1114</v>
      </c>
    </row>
    <row r="5" spans="2:21" x14ac:dyDescent="0.3">
      <c r="B5" s="580" t="s">
        <v>1086</v>
      </c>
      <c r="C5" s="581" t="s">
        <v>188</v>
      </c>
      <c r="D5" s="581"/>
      <c r="E5" s="581"/>
      <c r="F5" s="582"/>
      <c r="G5" s="583"/>
      <c r="H5" s="583"/>
      <c r="I5" s="583"/>
      <c r="J5" s="583"/>
      <c r="K5" s="583"/>
      <c r="L5" s="583"/>
      <c r="M5" s="584"/>
      <c r="N5" s="584"/>
      <c r="O5" s="585"/>
    </row>
    <row r="6" spans="2:21" x14ac:dyDescent="0.3">
      <c r="B6" s="586"/>
      <c r="C6" s="424"/>
      <c r="D6" s="424"/>
      <c r="E6" s="424"/>
      <c r="F6" s="587"/>
      <c r="G6" s="577"/>
      <c r="H6" s="577"/>
      <c r="I6" s="577"/>
      <c r="J6" s="577"/>
      <c r="K6" s="577"/>
      <c r="L6" s="577"/>
      <c r="M6" s="578"/>
      <c r="N6" s="578"/>
      <c r="O6" s="579"/>
      <c r="Q6" s="607" t="s">
        <v>1121</v>
      </c>
      <c r="R6" s="581" t="s">
        <v>1111</v>
      </c>
      <c r="S6" s="581" t="s">
        <v>1112</v>
      </c>
      <c r="T6" s="581" t="s">
        <v>1116</v>
      </c>
      <c r="U6" s="608" t="s">
        <v>1113</v>
      </c>
    </row>
    <row r="7" spans="2:21" x14ac:dyDescent="0.3">
      <c r="B7" s="586"/>
      <c r="C7" s="424" t="s">
        <v>202</v>
      </c>
      <c r="D7" s="588">
        <v>0</v>
      </c>
      <c r="E7" s="589" t="s">
        <v>1085</v>
      </c>
      <c r="F7" s="587" t="s">
        <v>1083</v>
      </c>
      <c r="G7" s="592">
        <v>-0.5</v>
      </c>
      <c r="H7" s="592">
        <v>-0.5</v>
      </c>
      <c r="I7" s="592">
        <v>-0.5</v>
      </c>
      <c r="J7" s="592">
        <v>-0.5</v>
      </c>
      <c r="K7" s="592">
        <v>-0.05</v>
      </c>
      <c r="L7" s="592">
        <v>-0.5</v>
      </c>
      <c r="M7" s="593">
        <v>0</v>
      </c>
      <c r="N7" s="593">
        <v>0</v>
      </c>
      <c r="O7" s="594">
        <v>0</v>
      </c>
      <c r="Q7" s="570"/>
      <c r="R7" s="424" t="s">
        <v>1117</v>
      </c>
      <c r="S7" s="424" t="s">
        <v>1118</v>
      </c>
      <c r="T7" s="424" t="s">
        <v>1119</v>
      </c>
      <c r="U7" s="609" t="s">
        <v>1120</v>
      </c>
    </row>
    <row r="8" spans="2:21" x14ac:dyDescent="0.3">
      <c r="B8" s="586"/>
      <c r="C8" s="424"/>
      <c r="D8" s="424">
        <v>0.63</v>
      </c>
      <c r="E8" s="424" t="s">
        <v>1082</v>
      </c>
      <c r="F8" s="587" t="s">
        <v>1084</v>
      </c>
      <c r="G8" s="592">
        <v>1.5</v>
      </c>
      <c r="H8" s="592">
        <v>1.5</v>
      </c>
      <c r="I8" s="592">
        <v>1.5</v>
      </c>
      <c r="J8" s="592">
        <v>1.5</v>
      </c>
      <c r="K8" s="592">
        <v>1.5</v>
      </c>
      <c r="L8" s="592">
        <v>1.5</v>
      </c>
      <c r="M8" s="592">
        <v>1</v>
      </c>
      <c r="N8" s="593">
        <v>1</v>
      </c>
      <c r="O8" s="594">
        <v>0</v>
      </c>
      <c r="Q8" s="570" t="s">
        <v>1122</v>
      </c>
      <c r="R8" s="424">
        <v>10</v>
      </c>
      <c r="S8" s="424">
        <v>6</v>
      </c>
      <c r="T8" s="424">
        <v>16</v>
      </c>
      <c r="U8" s="609">
        <v>5</v>
      </c>
    </row>
    <row r="9" spans="2:21" x14ac:dyDescent="0.3">
      <c r="B9" s="586"/>
      <c r="C9" s="424" t="s">
        <v>215</v>
      </c>
      <c r="D9" s="424"/>
      <c r="E9" s="424"/>
      <c r="F9" s="587"/>
      <c r="G9" s="577"/>
      <c r="H9" s="577"/>
      <c r="I9" s="577"/>
      <c r="J9" s="577"/>
      <c r="K9" s="577"/>
      <c r="L9" s="577"/>
      <c r="M9" s="577"/>
      <c r="N9" s="578"/>
      <c r="O9" s="590"/>
      <c r="Q9" s="570" t="s">
        <v>1123</v>
      </c>
      <c r="R9" s="424">
        <v>14</v>
      </c>
      <c r="S9" s="424">
        <v>9</v>
      </c>
      <c r="T9" s="424">
        <v>10</v>
      </c>
      <c r="U9" s="609">
        <v>6</v>
      </c>
    </row>
    <row r="10" spans="2:21" x14ac:dyDescent="0.3">
      <c r="B10" s="591"/>
      <c r="C10" s="304"/>
      <c r="D10" s="304"/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5"/>
      <c r="Q10" s="570" t="s">
        <v>1124</v>
      </c>
      <c r="R10" s="424">
        <v>10</v>
      </c>
      <c r="S10" s="424">
        <v>7</v>
      </c>
      <c r="T10" s="424">
        <v>5</v>
      </c>
      <c r="U10" s="609">
        <v>6</v>
      </c>
    </row>
    <row r="11" spans="2:21" x14ac:dyDescent="0.3">
      <c r="Q11" s="570" t="s">
        <v>1125</v>
      </c>
      <c r="R11" s="424">
        <v>10</v>
      </c>
      <c r="S11" s="424">
        <v>5</v>
      </c>
      <c r="T11" s="424">
        <v>4</v>
      </c>
      <c r="U11" s="609">
        <v>5</v>
      </c>
    </row>
    <row r="12" spans="2:21" x14ac:dyDescent="0.3">
      <c r="B12" s="1" t="s">
        <v>1092</v>
      </c>
      <c r="Q12" s="570" t="s">
        <v>1126</v>
      </c>
      <c r="R12" s="424">
        <v>10</v>
      </c>
      <c r="S12" s="424">
        <v>6</v>
      </c>
      <c r="T12" s="424">
        <v>9</v>
      </c>
      <c r="U12" s="609">
        <v>6</v>
      </c>
    </row>
    <row r="13" spans="2:21" x14ac:dyDescent="0.3">
      <c r="Q13" s="571" t="s">
        <v>1127</v>
      </c>
      <c r="R13" s="610">
        <v>10</v>
      </c>
      <c r="S13" s="610">
        <v>6</v>
      </c>
      <c r="T13" s="610">
        <v>9</v>
      </c>
      <c r="U13" s="611">
        <v>6</v>
      </c>
    </row>
    <row r="14" spans="2:21" x14ac:dyDescent="0.3">
      <c r="B14" t="s">
        <v>1093</v>
      </c>
    </row>
    <row r="15" spans="2:21" x14ac:dyDescent="0.3">
      <c r="B15" t="s">
        <v>1094</v>
      </c>
    </row>
  </sheetData>
  <sheetProtection algorithmName="SHA-512" hashValue="6PFhkixQEuNT32Aii8WzPcfZh2jCLw9D7w79jFEcTWaa6e4c0oRpPSnCZRANv0CysYeQIWyVv/6k8vcxaIa56g==" saltValue="L1eBHY5uaz/MYG9hOEGknQ==" spinCount="100000" sheet="1" objects="1" scenarios="1" autoFilter="0"/>
  <mergeCells count="1">
    <mergeCell ref="D3:E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workbookViewId="0"/>
  </sheetViews>
  <sheetFormatPr defaultRowHeight="15" x14ac:dyDescent="0.25"/>
  <cols>
    <col min="1" max="1" width="57" bestFit="1" customWidth="1"/>
  </cols>
  <sheetData>
    <row r="1" spans="1:2" x14ac:dyDescent="0.3">
      <c r="A1" s="1" t="s">
        <v>1470</v>
      </c>
    </row>
    <row r="3" spans="1:2" x14ac:dyDescent="0.3">
      <c r="A3" s="671" t="s">
        <v>1346</v>
      </c>
      <c r="B3" s="819" t="s">
        <v>1347</v>
      </c>
    </row>
    <row r="4" spans="1:2" x14ac:dyDescent="0.3">
      <c r="A4" s="300" t="s">
        <v>1348</v>
      </c>
      <c r="B4" s="819">
        <v>-1</v>
      </c>
    </row>
    <row r="5" spans="1:2" x14ac:dyDescent="0.3">
      <c r="A5" s="300" t="s">
        <v>1349</v>
      </c>
      <c r="B5" s="819">
        <v>-1</v>
      </c>
    </row>
    <row r="7" spans="1:2" x14ac:dyDescent="0.3">
      <c r="A7" s="706" t="s">
        <v>1350</v>
      </c>
    </row>
  </sheetData>
  <sheetProtection algorithmName="SHA-512" hashValue="PddwCA23WbaEMQonEiODkcebE6YW+Az6BOiZmrELaEu6Gprz+Cs/9JN3YAVioHD/RE2de6sTtiL2nsCovYgzyQ==" saltValue="v/Zkf2sYGqQRSveSvBcHtQ==" spinCount="100000" sheet="1" objects="1" scenarios="1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O9"/>
  <sheetViews>
    <sheetView workbookViewId="0">
      <selection activeCell="D16" sqref="D16"/>
    </sheetView>
  </sheetViews>
  <sheetFormatPr defaultRowHeight="15" x14ac:dyDescent="0.25"/>
  <cols>
    <col min="6" max="6" width="17.7109375" customWidth="1"/>
  </cols>
  <sheetData>
    <row r="2" spans="2:15" x14ac:dyDescent="0.3">
      <c r="B2" s="1" t="s">
        <v>1103</v>
      </c>
    </row>
    <row r="4" spans="2:15" x14ac:dyDescent="0.3">
      <c r="B4" s="888" t="s">
        <v>1089</v>
      </c>
      <c r="C4" s="888"/>
      <c r="D4" s="888"/>
      <c r="E4" s="888"/>
      <c r="F4" s="888"/>
      <c r="G4" s="576">
        <v>1</v>
      </c>
      <c r="H4" s="576">
        <v>2</v>
      </c>
      <c r="I4" s="576">
        <v>3</v>
      </c>
      <c r="J4" s="576">
        <v>4</v>
      </c>
      <c r="K4" s="576">
        <v>5</v>
      </c>
      <c r="L4" s="576">
        <v>6</v>
      </c>
      <c r="M4" s="576">
        <v>7</v>
      </c>
      <c r="N4" s="576">
        <v>8</v>
      </c>
      <c r="O4" s="576">
        <v>9</v>
      </c>
    </row>
    <row r="5" spans="2:15" x14ac:dyDescent="0.3">
      <c r="B5" s="884" t="s">
        <v>1104</v>
      </c>
      <c r="C5" s="885"/>
      <c r="D5" s="885"/>
      <c r="E5" s="885"/>
      <c r="F5" s="885"/>
      <c r="G5" s="242">
        <v>1</v>
      </c>
      <c r="H5" s="242">
        <v>1</v>
      </c>
      <c r="I5" s="242">
        <v>1</v>
      </c>
      <c r="J5" s="242">
        <v>1.5</v>
      </c>
      <c r="K5" s="242">
        <v>1.5</v>
      </c>
      <c r="L5" s="595">
        <v>1</v>
      </c>
      <c r="M5" s="595">
        <v>3</v>
      </c>
      <c r="N5" s="595">
        <v>0</v>
      </c>
      <c r="O5" s="596">
        <v>0</v>
      </c>
    </row>
    <row r="6" spans="2:15" x14ac:dyDescent="0.3">
      <c r="B6" s="886" t="s">
        <v>1090</v>
      </c>
      <c r="C6" s="887"/>
      <c r="D6" s="887"/>
      <c r="E6" s="887"/>
      <c r="F6" s="887"/>
      <c r="G6" s="597">
        <v>-1</v>
      </c>
      <c r="H6" s="597">
        <v>-1</v>
      </c>
      <c r="I6" s="597">
        <v>-1</v>
      </c>
      <c r="J6" s="597">
        <v>-1</v>
      </c>
      <c r="K6" s="597">
        <v>-1</v>
      </c>
      <c r="L6" s="597">
        <v>0</v>
      </c>
      <c r="M6" s="597">
        <v>0</v>
      </c>
      <c r="N6" s="597">
        <v>0</v>
      </c>
      <c r="O6" s="598">
        <v>0</v>
      </c>
    </row>
    <row r="8" spans="2:15" x14ac:dyDescent="0.3">
      <c r="B8" t="s">
        <v>1092</v>
      </c>
    </row>
    <row r="9" spans="2:15" x14ac:dyDescent="0.3">
      <c r="B9" t="s">
        <v>1095</v>
      </c>
    </row>
  </sheetData>
  <sheetProtection algorithmName="SHA-512" hashValue="PmYS6J/0f/m9tmWiO3zx4S1ecj5AvT2vI+pu6DAqq2yEYcOLjioEkSl5CzzYNhMFVmfU7JrTBLQBnaKA8PTdgQ==" saltValue="gOin5f2UkouXwk9vpfK4KA==" spinCount="100000" sheet="1" objects="1" scenarios="1" autoFilter="0"/>
  <mergeCells count="3">
    <mergeCell ref="B5:F5"/>
    <mergeCell ref="B6:F6"/>
    <mergeCell ref="B4:F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9"/>
  <sheetViews>
    <sheetView workbookViewId="0">
      <selection activeCell="D6" sqref="D6"/>
    </sheetView>
  </sheetViews>
  <sheetFormatPr defaultRowHeight="15" x14ac:dyDescent="0.25"/>
  <cols>
    <col min="2" max="2" width="10.42578125" customWidth="1"/>
  </cols>
  <sheetData>
    <row r="2" spans="2:4" x14ac:dyDescent="0.3">
      <c r="B2" s="1" t="s">
        <v>1139</v>
      </c>
    </row>
    <row r="4" spans="2:4" x14ac:dyDescent="0.3">
      <c r="B4" s="552" t="s">
        <v>1024</v>
      </c>
      <c r="C4" s="552" t="s">
        <v>188</v>
      </c>
      <c r="D4" s="552" t="s">
        <v>1025</v>
      </c>
    </row>
    <row r="5" spans="2:4" x14ac:dyDescent="0.3">
      <c r="B5" s="553">
        <v>0</v>
      </c>
      <c r="C5" s="554">
        <v>-7.0000000000000007E-2</v>
      </c>
      <c r="D5" s="554">
        <v>-7.0000000000000007E-2</v>
      </c>
    </row>
    <row r="6" spans="2:4" x14ac:dyDescent="0.3">
      <c r="B6" s="553">
        <v>1</v>
      </c>
      <c r="C6" s="554">
        <v>-7.0000000000000007E-2</v>
      </c>
      <c r="D6" s="554">
        <v>-7.0000000000000007E-2</v>
      </c>
    </row>
    <row r="7" spans="2:4" x14ac:dyDescent="0.3">
      <c r="B7" s="553">
        <v>1.5</v>
      </c>
      <c r="C7" s="554">
        <v>-7.0000000000000007E-2</v>
      </c>
      <c r="D7" s="554">
        <v>-7.0000000000000007E-2</v>
      </c>
    </row>
    <row r="8" spans="2:4" x14ac:dyDescent="0.3">
      <c r="B8" s="553">
        <v>2</v>
      </c>
      <c r="C8" s="554">
        <v>-7.0000000000000007E-2</v>
      </c>
      <c r="D8" s="554">
        <v>-7.0000000000000007E-2</v>
      </c>
    </row>
    <row r="9" spans="2:4" x14ac:dyDescent="0.3">
      <c r="B9" s="553">
        <v>3</v>
      </c>
      <c r="C9" s="554">
        <v>-7.0000000000000007E-2</v>
      </c>
      <c r="D9" s="554">
        <v>-7.0000000000000007E-2</v>
      </c>
    </row>
  </sheetData>
  <sheetProtection algorithmName="SHA-512" hashValue="4ykymS+T+ZaZordCrHYUkEuv9XKEHFUxNMFBeNqiCfFb9Y+jZp6A81We6LMrqk3c4wrNcsdrRGg5yXRupJ3Vkg==" saltValue="a3O9cMY2+g6YEhaZcBFJsg==" spinCount="100000" sheet="1" objects="1" scenarios="1" autoFilter="0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:Z185"/>
  <sheetViews>
    <sheetView topLeftCell="B3" workbookViewId="0"/>
  </sheetViews>
  <sheetFormatPr defaultRowHeight="15" x14ac:dyDescent="0.25"/>
  <cols>
    <col min="1" max="1" width="20.28515625" hidden="1" customWidth="1"/>
    <col min="2" max="2" width="12.7109375" customWidth="1"/>
    <col min="3" max="3" width="11.7109375" customWidth="1"/>
  </cols>
  <sheetData>
    <row r="1" spans="1:13" ht="14.45" hidden="1" x14ac:dyDescent="0.3">
      <c r="F1" s="33" t="s">
        <v>273</v>
      </c>
      <c r="G1" s="33" t="s">
        <v>279</v>
      </c>
      <c r="H1" s="33" t="s">
        <v>282</v>
      </c>
      <c r="I1" s="33" t="s">
        <v>285</v>
      </c>
      <c r="J1" s="33" t="s">
        <v>287</v>
      </c>
      <c r="K1" s="33" t="s">
        <v>289</v>
      </c>
      <c r="L1" s="33" t="s">
        <v>291</v>
      </c>
      <c r="M1" s="159" t="s">
        <v>292</v>
      </c>
    </row>
    <row r="2" spans="1:13" ht="14.45" hidden="1" x14ac:dyDescent="0.3"/>
    <row r="3" spans="1:13" ht="14.45" x14ac:dyDescent="0.3">
      <c r="F3" s="160"/>
    </row>
    <row r="4" spans="1:13" ht="14.45" x14ac:dyDescent="0.3">
      <c r="F4" s="161" t="s">
        <v>273</v>
      </c>
      <c r="G4" s="161" t="s">
        <v>279</v>
      </c>
      <c r="H4" s="161" t="s">
        <v>282</v>
      </c>
      <c r="I4" s="161" t="s">
        <v>285</v>
      </c>
      <c r="J4" s="161" t="s">
        <v>287</v>
      </c>
      <c r="K4" s="161" t="s">
        <v>289</v>
      </c>
      <c r="L4" s="161" t="s">
        <v>291</v>
      </c>
      <c r="M4" s="161" t="s">
        <v>292</v>
      </c>
    </row>
    <row r="5" spans="1:13" ht="14.45" x14ac:dyDescent="0.3">
      <c r="K5" s="896"/>
      <c r="L5" s="896"/>
      <c r="M5" s="896"/>
    </row>
    <row r="6" spans="1:13" x14ac:dyDescent="0.25">
      <c r="A6" t="str">
        <f>B6&amp;"/"&amp;C6&amp;"/"&amp;D6&amp;"/"&amp;E6</f>
        <v>1.000-1.199//EX/D</v>
      </c>
      <c r="B6" s="897" t="s">
        <v>300</v>
      </c>
      <c r="C6" s="162"/>
      <c r="D6" s="891" t="s">
        <v>188</v>
      </c>
      <c r="E6" s="158" t="s">
        <v>186</v>
      </c>
      <c r="F6" s="163">
        <v>3000</v>
      </c>
      <c r="G6" s="163">
        <v>2750</v>
      </c>
      <c r="H6" s="163">
        <v>2200</v>
      </c>
      <c r="I6" s="163"/>
      <c r="J6" s="163"/>
      <c r="K6" s="163"/>
      <c r="L6" s="163"/>
      <c r="M6" s="163"/>
    </row>
    <row r="7" spans="1:13" x14ac:dyDescent="0.25">
      <c r="A7" t="str">
        <f>B6&amp;"/"&amp;C6&amp;"/"&amp;D6&amp;"/"&amp;E7</f>
        <v>1.000-1.199//EX/E</v>
      </c>
      <c r="B7" s="889"/>
      <c r="C7" s="164"/>
      <c r="D7" s="892"/>
      <c r="E7" s="155" t="s">
        <v>213</v>
      </c>
      <c r="F7" s="163">
        <v>2950</v>
      </c>
      <c r="G7" s="163">
        <v>2700</v>
      </c>
      <c r="H7" s="163">
        <v>2200</v>
      </c>
      <c r="I7" s="163"/>
      <c r="J7" s="163"/>
      <c r="K7" s="163"/>
      <c r="L7" s="163"/>
      <c r="M7" s="163"/>
    </row>
    <row r="8" spans="1:13" x14ac:dyDescent="0.25">
      <c r="A8" t="str">
        <f>B6&amp;"/"&amp;C6&amp;"/"&amp;D6&amp;"/"&amp;E8</f>
        <v>1.000-1.199//EX/F</v>
      </c>
      <c r="B8" s="889"/>
      <c r="C8" s="164"/>
      <c r="D8" s="892"/>
      <c r="E8" s="155" t="s">
        <v>232</v>
      </c>
      <c r="F8" s="163">
        <v>2950</v>
      </c>
      <c r="G8" s="163">
        <v>2700</v>
      </c>
      <c r="H8" s="163">
        <v>2200</v>
      </c>
      <c r="I8" s="163"/>
      <c r="J8" s="163"/>
      <c r="K8" s="163"/>
      <c r="L8" s="163"/>
      <c r="M8" s="163"/>
    </row>
    <row r="9" spans="1:13" x14ac:dyDescent="0.25">
      <c r="A9" t="str">
        <f>B6&amp;"/"&amp;C6&amp;"/"&amp;D6&amp;"/"&amp;E9</f>
        <v>1.000-1.199//EX/G</v>
      </c>
      <c r="B9" s="889"/>
      <c r="C9" s="164"/>
      <c r="D9" s="892"/>
      <c r="E9" s="155" t="s">
        <v>215</v>
      </c>
      <c r="F9" s="163">
        <v>2850</v>
      </c>
      <c r="G9" s="163">
        <v>2625</v>
      </c>
      <c r="H9" s="163">
        <v>2150</v>
      </c>
      <c r="I9" s="163"/>
      <c r="J9" s="163"/>
      <c r="K9" s="163"/>
      <c r="L9" s="163"/>
      <c r="M9" s="163"/>
    </row>
    <row r="10" spans="1:13" x14ac:dyDescent="0.25">
      <c r="A10" t="str">
        <f>B6&amp;"/"&amp;C6&amp;"/"&amp;D6&amp;"/"&amp;E10</f>
        <v>1.000-1.199//EX/H</v>
      </c>
      <c r="B10" s="889"/>
      <c r="C10" s="164"/>
      <c r="D10" s="892"/>
      <c r="E10" s="155" t="s">
        <v>249</v>
      </c>
      <c r="F10" s="163">
        <v>2850</v>
      </c>
      <c r="G10" s="163">
        <v>2625</v>
      </c>
      <c r="H10" s="163">
        <v>2150</v>
      </c>
      <c r="I10" s="163"/>
      <c r="J10" s="163"/>
      <c r="K10" s="163"/>
      <c r="L10" s="163"/>
      <c r="M10" s="163"/>
    </row>
    <row r="11" spans="1:13" x14ac:dyDescent="0.25">
      <c r="A11" t="str">
        <f>B6&amp;"/"&amp;C6&amp;"/"&amp;D6&amp;"/"&amp;E11</f>
        <v>1.000-1.199//EX/I</v>
      </c>
      <c r="B11" s="889"/>
      <c r="C11" s="164"/>
      <c r="D11" s="892"/>
      <c r="E11" s="155" t="s">
        <v>257</v>
      </c>
      <c r="F11" s="163">
        <v>2850</v>
      </c>
      <c r="G11" s="163">
        <v>2625</v>
      </c>
      <c r="H11" s="163">
        <v>2150</v>
      </c>
      <c r="I11" s="163"/>
      <c r="J11" s="163"/>
      <c r="K11" s="163"/>
      <c r="L11" s="163"/>
      <c r="M11" s="163"/>
    </row>
    <row r="12" spans="1:13" x14ac:dyDescent="0.25">
      <c r="A12" t="str">
        <f>B6&amp;"/"&amp;C6&amp;"/"&amp;D6&amp;"/"&amp;E12</f>
        <v>1.000-1.199//EX/J</v>
      </c>
      <c r="B12" s="889"/>
      <c r="C12" s="164"/>
      <c r="D12" s="892"/>
      <c r="E12" s="155" t="s">
        <v>264</v>
      </c>
      <c r="F12" s="163">
        <v>2450</v>
      </c>
      <c r="G12" s="163">
        <v>2350</v>
      </c>
      <c r="H12" s="163">
        <v>2000</v>
      </c>
      <c r="I12" s="163"/>
      <c r="J12" s="163"/>
      <c r="K12" s="163"/>
      <c r="L12" s="163"/>
      <c r="M12" s="163"/>
    </row>
    <row r="13" spans="1:13" x14ac:dyDescent="0.25">
      <c r="A13" t="str">
        <f>B6&amp;"/"&amp;C6&amp;"/"&amp;D6&amp;"/"&amp;E13</f>
        <v>1.000-1.199//EX/K</v>
      </c>
      <c r="B13" s="889"/>
      <c r="C13" s="164"/>
      <c r="D13" s="892"/>
      <c r="E13" s="155" t="s">
        <v>272</v>
      </c>
      <c r="F13" s="163">
        <v>1750</v>
      </c>
      <c r="G13" s="163">
        <v>1650</v>
      </c>
      <c r="H13" s="163">
        <v>1375</v>
      </c>
      <c r="I13" s="163"/>
      <c r="J13" s="163"/>
      <c r="K13" s="163"/>
      <c r="L13" s="163"/>
      <c r="M13" s="163"/>
    </row>
    <row r="14" spans="1:13" x14ac:dyDescent="0.25">
      <c r="A14" t="str">
        <f>B6&amp;"/"&amp;C6&amp;"/"&amp;D6&amp;"/"&amp;E14</f>
        <v>1.000-1.199//EX/L</v>
      </c>
      <c r="B14" s="889"/>
      <c r="C14" s="164"/>
      <c r="D14" s="892"/>
      <c r="E14" s="155" t="s">
        <v>278</v>
      </c>
      <c r="F14" s="163">
        <v>1750</v>
      </c>
      <c r="G14" s="163">
        <v>1650</v>
      </c>
      <c r="H14" s="163">
        <v>1375</v>
      </c>
      <c r="I14" s="163"/>
      <c r="J14" s="163"/>
      <c r="K14" s="163"/>
      <c r="L14" s="163"/>
      <c r="M14" s="163"/>
    </row>
    <row r="15" spans="1:13" x14ac:dyDescent="0.25">
      <c r="A15" t="str">
        <f>B6&amp;"/"&amp;C6&amp;"/"&amp;D6&amp;"/"&amp;E15</f>
        <v>1.000-1.199//EX/M</v>
      </c>
      <c r="B15" s="889"/>
      <c r="C15" s="164"/>
      <c r="D15" s="892"/>
      <c r="E15" s="155" t="s">
        <v>284</v>
      </c>
      <c r="F15" s="163">
        <v>1675</v>
      </c>
      <c r="G15" s="163">
        <v>1550</v>
      </c>
      <c r="H15" s="163">
        <v>1300</v>
      </c>
      <c r="I15" s="163"/>
      <c r="J15" s="163"/>
      <c r="K15" s="163"/>
      <c r="L15" s="163"/>
      <c r="M15" s="163"/>
    </row>
    <row r="16" spans="1:13" x14ac:dyDescent="0.25">
      <c r="A16" t="str">
        <f>B6&amp;"/"&amp;C6&amp;"/"&amp;D6&amp;"/"&amp;E16</f>
        <v>1.000-1.199//EX/N</v>
      </c>
      <c r="B16" s="889"/>
      <c r="C16" s="164"/>
      <c r="D16" s="892"/>
      <c r="E16" s="155" t="s">
        <v>748</v>
      </c>
      <c r="F16" s="163"/>
      <c r="G16" s="163"/>
      <c r="H16" s="163"/>
      <c r="I16" s="163"/>
      <c r="J16" s="163"/>
      <c r="K16" s="163"/>
      <c r="L16" s="163"/>
      <c r="M16" s="163"/>
    </row>
    <row r="17" spans="1:13" x14ac:dyDescent="0.25">
      <c r="A17" t="str">
        <f>B6&amp;"/"&amp;C6&amp;"/"&amp;D6&amp;"/"&amp;E17</f>
        <v>1.000-1.199//EX/O</v>
      </c>
      <c r="B17" s="889"/>
      <c r="C17" s="164"/>
      <c r="D17" s="893"/>
      <c r="E17" s="155" t="s">
        <v>749</v>
      </c>
      <c r="F17" s="163"/>
      <c r="G17" s="163"/>
      <c r="H17" s="163"/>
      <c r="I17" s="163"/>
      <c r="J17" s="163"/>
      <c r="K17" s="163"/>
      <c r="L17" s="163"/>
      <c r="M17" s="163"/>
    </row>
    <row r="18" spans="1:13" x14ac:dyDescent="0.25">
      <c r="A18" t="str">
        <f>B6&amp;"/"&amp;C6&amp;"/"&amp;D18&amp;"/"&amp;E18</f>
        <v>1.000-1.199//VG/D</v>
      </c>
      <c r="B18" s="889"/>
      <c r="C18" s="164"/>
      <c r="D18" s="157" t="s">
        <v>202</v>
      </c>
      <c r="E18" s="158" t="s">
        <v>186</v>
      </c>
      <c r="F18" s="163">
        <v>2875</v>
      </c>
      <c r="G18" s="163">
        <v>2650</v>
      </c>
      <c r="H18" s="163">
        <v>2150</v>
      </c>
      <c r="I18" s="163">
        <v>1725</v>
      </c>
      <c r="J18" s="163"/>
      <c r="K18" s="163"/>
      <c r="L18" s="163"/>
      <c r="M18" s="163"/>
    </row>
    <row r="19" spans="1:13" x14ac:dyDescent="0.25">
      <c r="A19" t="str">
        <f>B6&amp;"/"&amp;C6&amp;"/"&amp;D18&amp;"/"&amp;E19</f>
        <v>1.000-1.199//VG/E</v>
      </c>
      <c r="B19" s="889"/>
      <c r="C19" s="164"/>
      <c r="D19" s="154"/>
      <c r="E19" s="155" t="s">
        <v>213</v>
      </c>
      <c r="F19" s="163">
        <v>2825</v>
      </c>
      <c r="G19" s="163">
        <v>2600</v>
      </c>
      <c r="H19" s="163">
        <v>2150</v>
      </c>
      <c r="I19" s="163">
        <v>1725</v>
      </c>
      <c r="J19" s="163"/>
      <c r="K19" s="163"/>
      <c r="L19" s="163"/>
      <c r="M19" s="163"/>
    </row>
    <row r="20" spans="1:13" x14ac:dyDescent="0.25">
      <c r="A20" t="str">
        <f>B6&amp;"/"&amp;C6&amp;"/"&amp;D18&amp;"/"&amp;E20</f>
        <v>1.000-1.199//VG/F</v>
      </c>
      <c r="B20" s="889"/>
      <c r="C20" s="164"/>
      <c r="D20" s="156"/>
      <c r="E20" s="155" t="s">
        <v>232</v>
      </c>
      <c r="F20" s="163">
        <v>2825</v>
      </c>
      <c r="G20" s="163">
        <v>2600</v>
      </c>
      <c r="H20" s="163">
        <v>2150</v>
      </c>
      <c r="I20" s="163">
        <v>1725</v>
      </c>
      <c r="J20" s="163"/>
      <c r="K20" s="163"/>
      <c r="L20" s="163"/>
      <c r="M20" s="163"/>
    </row>
    <row r="21" spans="1:13" x14ac:dyDescent="0.25">
      <c r="A21" t="str">
        <f>B6&amp;"/"&amp;C6&amp;"/"&amp;D18&amp;"/"&amp;E21</f>
        <v>1.000-1.199//VG/G</v>
      </c>
      <c r="B21" s="889"/>
      <c r="C21" s="164"/>
      <c r="D21" s="156"/>
      <c r="E21" s="155" t="s">
        <v>215</v>
      </c>
      <c r="F21" s="163">
        <v>2750</v>
      </c>
      <c r="G21" s="163">
        <v>2525</v>
      </c>
      <c r="H21" s="163">
        <v>2100</v>
      </c>
      <c r="I21" s="163">
        <v>1675</v>
      </c>
      <c r="J21" s="163"/>
      <c r="K21" s="163"/>
      <c r="L21" s="163"/>
      <c r="M21" s="163"/>
    </row>
    <row r="22" spans="1:13" x14ac:dyDescent="0.25">
      <c r="A22" t="str">
        <f>B6&amp;"/"&amp;C6&amp;"/"&amp;D18&amp;"/"&amp;E22</f>
        <v>1.000-1.199//VG/H</v>
      </c>
      <c r="B22" s="889"/>
      <c r="C22" s="164"/>
      <c r="D22" s="156"/>
      <c r="E22" s="155" t="s">
        <v>249</v>
      </c>
      <c r="F22" s="163">
        <v>2750</v>
      </c>
      <c r="G22" s="163">
        <v>2525</v>
      </c>
      <c r="H22" s="163">
        <v>2100</v>
      </c>
      <c r="I22" s="163">
        <v>1675</v>
      </c>
      <c r="J22" s="163"/>
      <c r="K22" s="163"/>
      <c r="L22" s="163"/>
      <c r="M22" s="163"/>
    </row>
    <row r="23" spans="1:13" x14ac:dyDescent="0.25">
      <c r="A23" t="str">
        <f>B6&amp;"/"&amp;C6&amp;"/"&amp;D18&amp;"/"&amp;E23</f>
        <v>1.000-1.199//VG/I</v>
      </c>
      <c r="B23" s="889"/>
      <c r="C23" s="164"/>
      <c r="D23" s="156"/>
      <c r="E23" s="155" t="s">
        <v>257</v>
      </c>
      <c r="F23" s="163">
        <v>2750</v>
      </c>
      <c r="G23" s="163">
        <v>2525</v>
      </c>
      <c r="H23" s="163">
        <v>2100</v>
      </c>
      <c r="I23" s="163">
        <v>1675</v>
      </c>
      <c r="J23" s="163"/>
      <c r="K23" s="163"/>
      <c r="L23" s="163"/>
      <c r="M23" s="163"/>
    </row>
    <row r="24" spans="1:13" x14ac:dyDescent="0.25">
      <c r="A24" t="str">
        <f>B6&amp;"/"&amp;C6&amp;"/"&amp;D18&amp;"/"&amp;E24</f>
        <v>1.000-1.199//VG/J</v>
      </c>
      <c r="B24" s="889"/>
      <c r="C24" s="164"/>
      <c r="D24" s="156"/>
      <c r="E24" s="155" t="s">
        <v>264</v>
      </c>
      <c r="F24" s="163">
        <v>2375</v>
      </c>
      <c r="G24" s="163">
        <v>2275</v>
      </c>
      <c r="H24" s="163">
        <v>1950</v>
      </c>
      <c r="I24" s="163">
        <v>1550</v>
      </c>
      <c r="J24" s="163"/>
      <c r="K24" s="163"/>
      <c r="L24" s="163"/>
      <c r="M24" s="163"/>
    </row>
    <row r="25" spans="1:13" x14ac:dyDescent="0.25">
      <c r="A25" t="str">
        <f>B6&amp;"/"&amp;C6&amp;"/"&amp;D18&amp;"/"&amp;E25</f>
        <v>1.000-1.199//VG/K</v>
      </c>
      <c r="B25" s="889"/>
      <c r="C25" s="164"/>
      <c r="D25" s="165"/>
      <c r="E25" s="155" t="s">
        <v>272</v>
      </c>
      <c r="F25" s="163">
        <v>1700</v>
      </c>
      <c r="G25" s="163">
        <v>1600</v>
      </c>
      <c r="H25" s="163">
        <v>1350</v>
      </c>
      <c r="I25" s="163">
        <v>1175</v>
      </c>
      <c r="J25" s="163"/>
      <c r="K25" s="163"/>
      <c r="L25" s="163"/>
      <c r="M25" s="163"/>
    </row>
    <row r="26" spans="1:13" x14ac:dyDescent="0.25">
      <c r="A26" t="str">
        <f>B6&amp;"/"&amp;C6&amp;"/"&amp;D18&amp;"/"&amp;E26</f>
        <v>1.000-1.199//VG/L</v>
      </c>
      <c r="B26" s="889"/>
      <c r="C26" s="164"/>
      <c r="D26" s="165"/>
      <c r="E26" s="155" t="s">
        <v>278</v>
      </c>
      <c r="F26" s="163">
        <v>1700</v>
      </c>
      <c r="G26" s="163">
        <v>1600</v>
      </c>
      <c r="H26" s="163">
        <v>1350</v>
      </c>
      <c r="I26" s="163">
        <v>1175</v>
      </c>
      <c r="J26" s="163"/>
      <c r="K26" s="163"/>
      <c r="L26" s="163"/>
      <c r="M26" s="163"/>
    </row>
    <row r="27" spans="1:13" x14ac:dyDescent="0.25">
      <c r="A27" t="str">
        <f>B6&amp;"/"&amp;C6&amp;"/"&amp;D18&amp;"/"&amp;E27</f>
        <v>1.000-1.199//VG/M</v>
      </c>
      <c r="B27" s="889"/>
      <c r="C27" s="164"/>
      <c r="D27" s="165"/>
      <c r="E27" s="155" t="s">
        <v>284</v>
      </c>
      <c r="F27" s="163">
        <v>1625</v>
      </c>
      <c r="G27" s="163">
        <v>1500</v>
      </c>
      <c r="H27" s="163">
        <v>1275</v>
      </c>
      <c r="I27" s="163">
        <v>1125</v>
      </c>
      <c r="J27" s="163"/>
      <c r="K27" s="163"/>
      <c r="L27" s="163"/>
      <c r="M27" s="163"/>
    </row>
    <row r="28" spans="1:13" x14ac:dyDescent="0.25">
      <c r="A28" t="str">
        <f>B6&amp;"/"&amp;C6&amp;"/"&amp;D18&amp;"/"&amp;E28</f>
        <v>1.000-1.199//VG/N</v>
      </c>
      <c r="B28" s="889"/>
      <c r="C28" s="164"/>
      <c r="D28" s="165"/>
      <c r="E28" s="155" t="s">
        <v>748</v>
      </c>
      <c r="F28" s="163"/>
      <c r="G28" s="163"/>
      <c r="H28" s="163"/>
      <c r="I28" s="163"/>
      <c r="J28" s="163"/>
      <c r="K28" s="163"/>
      <c r="L28" s="163"/>
      <c r="M28" s="163"/>
    </row>
    <row r="29" spans="1:13" x14ac:dyDescent="0.25">
      <c r="A29" t="str">
        <f>B6&amp;"/"&amp;C6&amp;"/"&amp;D18&amp;"/"&amp;E29</f>
        <v>1.000-1.199//VG/O</v>
      </c>
      <c r="B29" s="889"/>
      <c r="C29" s="164"/>
      <c r="D29" s="165"/>
      <c r="E29" s="155" t="s">
        <v>749</v>
      </c>
      <c r="F29" s="163"/>
      <c r="G29" s="163"/>
      <c r="H29" s="163"/>
      <c r="I29" s="163"/>
      <c r="J29" s="163"/>
      <c r="K29" s="163"/>
      <c r="L29" s="163"/>
      <c r="M29" s="163"/>
    </row>
    <row r="30" spans="1:13" x14ac:dyDescent="0.25">
      <c r="A30" t="str">
        <f>B6&amp;"/"&amp;C6&amp;"/"&amp;D30&amp;"/"&amp;E30</f>
        <v>1.000-1.199//Good/D</v>
      </c>
      <c r="B30" s="889"/>
      <c r="C30" s="164"/>
      <c r="D30" s="157" t="s">
        <v>764</v>
      </c>
      <c r="E30" s="158" t="s">
        <v>186</v>
      </c>
      <c r="F30" s="163">
        <v>2775</v>
      </c>
      <c r="G30" s="163">
        <v>2575</v>
      </c>
      <c r="H30" s="163">
        <v>2100</v>
      </c>
      <c r="I30" s="163">
        <v>1675</v>
      </c>
      <c r="J30" s="163">
        <v>1150</v>
      </c>
      <c r="K30" s="163">
        <v>825</v>
      </c>
      <c r="L30" s="163">
        <v>600</v>
      </c>
      <c r="M30" s="163">
        <v>325</v>
      </c>
    </row>
    <row r="31" spans="1:13" x14ac:dyDescent="0.25">
      <c r="A31" t="str">
        <f>B6&amp;"/"&amp;C6&amp;"/"&amp;D30&amp;"/"&amp;E31</f>
        <v>1.000-1.199//Good/E</v>
      </c>
      <c r="B31" s="889"/>
      <c r="C31" s="164"/>
      <c r="D31" s="154"/>
      <c r="E31" s="155" t="s">
        <v>213</v>
      </c>
      <c r="F31" s="163">
        <v>2750</v>
      </c>
      <c r="G31" s="163">
        <v>2525</v>
      </c>
      <c r="H31" s="163">
        <v>2100</v>
      </c>
      <c r="I31" s="163">
        <v>1675</v>
      </c>
      <c r="J31" s="163">
        <v>1150</v>
      </c>
      <c r="K31" s="163">
        <v>825</v>
      </c>
      <c r="L31" s="163">
        <v>600</v>
      </c>
      <c r="M31" s="163">
        <v>325</v>
      </c>
    </row>
    <row r="32" spans="1:13" x14ac:dyDescent="0.25">
      <c r="A32" t="str">
        <f>B6&amp;"/"&amp;C6&amp;"/"&amp;D30&amp;"/"&amp;E32</f>
        <v>1.000-1.199//Good/F</v>
      </c>
      <c r="B32" s="889"/>
      <c r="C32" s="164"/>
      <c r="D32" s="156"/>
      <c r="E32" s="155" t="s">
        <v>232</v>
      </c>
      <c r="F32" s="163">
        <v>2750</v>
      </c>
      <c r="G32" s="163">
        <v>2525</v>
      </c>
      <c r="H32" s="163">
        <v>2100</v>
      </c>
      <c r="I32" s="163">
        <v>1675</v>
      </c>
      <c r="J32" s="163">
        <v>1150</v>
      </c>
      <c r="K32" s="163">
        <v>825</v>
      </c>
      <c r="L32" s="163">
        <v>600</v>
      </c>
      <c r="M32" s="163">
        <v>325</v>
      </c>
    </row>
    <row r="33" spans="1:13" x14ac:dyDescent="0.25">
      <c r="A33" t="str">
        <f>B6&amp;"/"&amp;C6&amp;"/"&amp;D30&amp;"/"&amp;E33</f>
        <v>1.000-1.199//Good/G</v>
      </c>
      <c r="B33" s="889"/>
      <c r="C33" s="164"/>
      <c r="D33" s="156"/>
      <c r="E33" s="155" t="s">
        <v>215</v>
      </c>
      <c r="F33" s="163">
        <v>2675</v>
      </c>
      <c r="G33" s="163">
        <v>2450</v>
      </c>
      <c r="H33" s="163">
        <v>2050</v>
      </c>
      <c r="I33" s="163">
        <v>1650</v>
      </c>
      <c r="J33" s="163">
        <v>1150</v>
      </c>
      <c r="K33" s="163">
        <v>825</v>
      </c>
      <c r="L33" s="163">
        <v>600</v>
      </c>
      <c r="M33" s="163">
        <v>325</v>
      </c>
    </row>
    <row r="34" spans="1:13" x14ac:dyDescent="0.25">
      <c r="A34" t="str">
        <f>B6&amp;"/"&amp;C6&amp;"/"&amp;D30&amp;"/"&amp;E34</f>
        <v>1.000-1.199//Good/H</v>
      </c>
      <c r="B34" s="889"/>
      <c r="C34" s="164"/>
      <c r="D34" s="156"/>
      <c r="E34" s="155" t="s">
        <v>249</v>
      </c>
      <c r="F34" s="163">
        <v>2675</v>
      </c>
      <c r="G34" s="163">
        <v>2450</v>
      </c>
      <c r="H34" s="163">
        <v>2050</v>
      </c>
      <c r="I34" s="163">
        <v>1650</v>
      </c>
      <c r="J34" s="163">
        <v>1150</v>
      </c>
      <c r="K34" s="163">
        <v>825</v>
      </c>
      <c r="L34" s="163">
        <v>600</v>
      </c>
      <c r="M34" s="163">
        <v>325</v>
      </c>
    </row>
    <row r="35" spans="1:13" x14ac:dyDescent="0.25">
      <c r="A35" t="str">
        <f>B6&amp;"/"&amp;C6&amp;"/"&amp;D30&amp;"/"&amp;E35</f>
        <v>1.000-1.199//Good/I</v>
      </c>
      <c r="B35" s="889"/>
      <c r="C35" s="164"/>
      <c r="D35" s="156"/>
      <c r="E35" s="155" t="s">
        <v>257</v>
      </c>
      <c r="F35" s="163">
        <v>2675</v>
      </c>
      <c r="G35" s="163">
        <v>2450</v>
      </c>
      <c r="H35" s="163">
        <v>2050</v>
      </c>
      <c r="I35" s="163">
        <v>1650</v>
      </c>
      <c r="J35" s="163">
        <v>1150</v>
      </c>
      <c r="K35" s="163">
        <v>825</v>
      </c>
      <c r="L35" s="163">
        <v>600</v>
      </c>
      <c r="M35" s="163">
        <v>325</v>
      </c>
    </row>
    <row r="36" spans="1:13" x14ac:dyDescent="0.25">
      <c r="A36" t="str">
        <f>B6&amp;"/"&amp;C6&amp;"/"&amp;D30&amp;"/"&amp;E36</f>
        <v>1.000-1.199//Good/J</v>
      </c>
      <c r="B36" s="889"/>
      <c r="C36" s="164"/>
      <c r="D36" s="156"/>
      <c r="E36" s="155" t="s">
        <v>264</v>
      </c>
      <c r="F36" s="163">
        <v>2300</v>
      </c>
      <c r="G36" s="163">
        <v>2200</v>
      </c>
      <c r="H36" s="163">
        <v>1900</v>
      </c>
      <c r="I36" s="163">
        <v>1500</v>
      </c>
      <c r="J36" s="163">
        <v>1100</v>
      </c>
      <c r="K36" s="163">
        <v>800</v>
      </c>
      <c r="L36" s="163">
        <v>600</v>
      </c>
      <c r="M36" s="163">
        <v>325</v>
      </c>
    </row>
    <row r="37" spans="1:13" x14ac:dyDescent="0.25">
      <c r="A37" t="str">
        <f>B6&amp;"/"&amp;C6&amp;"/"&amp;D30&amp;"/"&amp;E37</f>
        <v>1.000-1.199//Good/K</v>
      </c>
      <c r="B37" s="889"/>
      <c r="C37" s="164"/>
      <c r="D37" s="165"/>
      <c r="E37" s="155" t="s">
        <v>272</v>
      </c>
      <c r="F37" s="163">
        <v>1650</v>
      </c>
      <c r="G37" s="163">
        <v>1550</v>
      </c>
      <c r="H37" s="163">
        <v>1325</v>
      </c>
      <c r="I37" s="163">
        <v>1125</v>
      </c>
      <c r="J37" s="163">
        <v>825</v>
      </c>
      <c r="K37" s="163">
        <v>575</v>
      </c>
      <c r="L37" s="163">
        <v>375</v>
      </c>
      <c r="M37" s="163">
        <v>225</v>
      </c>
    </row>
    <row r="38" spans="1:13" x14ac:dyDescent="0.25">
      <c r="A38" t="str">
        <f>B6&amp;"/"&amp;C6&amp;"/"&amp;D30&amp;"/"&amp;E38</f>
        <v>1.000-1.199//Good/L</v>
      </c>
      <c r="B38" s="889"/>
      <c r="C38" s="164"/>
      <c r="D38" s="165"/>
      <c r="E38" s="155" t="s">
        <v>278</v>
      </c>
      <c r="F38" s="163">
        <v>1650</v>
      </c>
      <c r="G38" s="163">
        <v>1550</v>
      </c>
      <c r="H38" s="163">
        <v>1325</v>
      </c>
      <c r="I38" s="163">
        <v>1125</v>
      </c>
      <c r="J38" s="163">
        <v>825</v>
      </c>
      <c r="K38" s="163">
        <v>575</v>
      </c>
      <c r="L38" s="163">
        <v>375</v>
      </c>
      <c r="M38" s="163">
        <v>225</v>
      </c>
    </row>
    <row r="39" spans="1:13" x14ac:dyDescent="0.25">
      <c r="A39" t="str">
        <f>B6&amp;"/"&amp;C6&amp;"/"&amp;D30&amp;"/"&amp;E39</f>
        <v>1.000-1.199//Good/M</v>
      </c>
      <c r="B39" s="889"/>
      <c r="C39" s="164"/>
      <c r="D39" s="165"/>
      <c r="E39" s="155" t="s">
        <v>284</v>
      </c>
      <c r="F39" s="163">
        <v>1650</v>
      </c>
      <c r="G39" s="163">
        <v>1450</v>
      </c>
      <c r="H39" s="163">
        <v>1250</v>
      </c>
      <c r="I39" s="163">
        <v>1100</v>
      </c>
      <c r="J39" s="163">
        <v>825</v>
      </c>
      <c r="K39" s="163">
        <v>575</v>
      </c>
      <c r="L39" s="163">
        <v>375</v>
      </c>
      <c r="M39" s="163">
        <v>225</v>
      </c>
    </row>
    <row r="40" spans="1:13" x14ac:dyDescent="0.25">
      <c r="A40" t="str">
        <f>B6&amp;"/"&amp;C6&amp;"/"&amp;D30&amp;"/"&amp;E40</f>
        <v>1.000-1.199//Good/N</v>
      </c>
      <c r="B40" s="889"/>
      <c r="C40" s="164"/>
      <c r="D40" s="165"/>
      <c r="E40" s="155" t="s">
        <v>748</v>
      </c>
      <c r="F40" s="163"/>
      <c r="G40" s="163"/>
      <c r="H40" s="163"/>
      <c r="I40" s="163"/>
      <c r="J40" s="163"/>
      <c r="K40" s="163"/>
      <c r="L40" s="163"/>
      <c r="M40" s="163"/>
    </row>
    <row r="41" spans="1:13" x14ac:dyDescent="0.25">
      <c r="A41" t="str">
        <f>B6&amp;"/"&amp;C6&amp;"/"&amp;D30&amp;"/"&amp;E41</f>
        <v>1.000-1.199//Good/O</v>
      </c>
      <c r="B41" s="889"/>
      <c r="C41" s="164"/>
      <c r="D41" s="165"/>
      <c r="E41" s="155" t="s">
        <v>749</v>
      </c>
      <c r="F41" s="163"/>
      <c r="G41" s="163"/>
      <c r="H41" s="163"/>
      <c r="I41" s="163"/>
      <c r="J41" s="163"/>
      <c r="K41" s="163"/>
      <c r="L41" s="163"/>
      <c r="M41" s="163"/>
    </row>
    <row r="42" spans="1:13" x14ac:dyDescent="0.25">
      <c r="A42" t="str">
        <f>B42&amp;"/"&amp;C42&amp;"/"&amp;D42&amp;"/"&amp;E42</f>
        <v>1.200-1.499//EX/D</v>
      </c>
      <c r="B42" s="889" t="s">
        <v>765</v>
      </c>
      <c r="C42" s="164"/>
      <c r="D42" s="891" t="s">
        <v>188</v>
      </c>
      <c r="E42" s="158" t="s">
        <v>186</v>
      </c>
      <c r="F42" s="163">
        <v>3200</v>
      </c>
      <c r="G42" s="163">
        <v>2875</v>
      </c>
      <c r="H42" s="163">
        <v>2250</v>
      </c>
      <c r="I42" s="163"/>
      <c r="J42" s="163"/>
      <c r="K42" s="163"/>
      <c r="L42" s="163"/>
      <c r="M42" s="163"/>
    </row>
    <row r="43" spans="1:13" x14ac:dyDescent="0.25">
      <c r="A43" t="str">
        <f>B42&amp;"/"&amp;C42&amp;"/"&amp;D42&amp;"/"&amp;E43</f>
        <v>1.200-1.499//EX/E</v>
      </c>
      <c r="B43" s="889"/>
      <c r="C43" s="164"/>
      <c r="D43" s="892"/>
      <c r="E43" s="155" t="s">
        <v>213</v>
      </c>
      <c r="F43" s="163">
        <v>3125</v>
      </c>
      <c r="G43" s="163">
        <v>2825</v>
      </c>
      <c r="H43" s="163">
        <v>2250</v>
      </c>
      <c r="I43" s="163"/>
      <c r="J43" s="163"/>
      <c r="K43" s="163"/>
      <c r="L43" s="163"/>
      <c r="M43" s="163"/>
    </row>
    <row r="44" spans="1:13" x14ac:dyDescent="0.25">
      <c r="A44" t="str">
        <f>B42&amp;"/"&amp;C42&amp;"/"&amp;D42&amp;"/"&amp;E44</f>
        <v>1.200-1.499//EX/F</v>
      </c>
      <c r="B44" s="889"/>
      <c r="C44" s="164"/>
      <c r="D44" s="892"/>
      <c r="E44" s="155" t="s">
        <v>232</v>
      </c>
      <c r="F44" s="163">
        <v>3125</v>
      </c>
      <c r="G44" s="163">
        <v>2825</v>
      </c>
      <c r="H44" s="163">
        <v>2250</v>
      </c>
      <c r="I44" s="163"/>
      <c r="J44" s="163"/>
      <c r="K44" s="163"/>
      <c r="L44" s="163"/>
      <c r="M44" s="163"/>
    </row>
    <row r="45" spans="1:13" x14ac:dyDescent="0.25">
      <c r="A45" t="str">
        <f>B42&amp;"/"&amp;C42&amp;"/"&amp;D42&amp;"/"&amp;E45</f>
        <v>1.200-1.499//EX/G</v>
      </c>
      <c r="B45" s="889"/>
      <c r="C45" s="164"/>
      <c r="D45" s="892"/>
      <c r="E45" s="155" t="s">
        <v>215</v>
      </c>
      <c r="F45" s="163">
        <v>3000</v>
      </c>
      <c r="G45" s="163">
        <v>2750</v>
      </c>
      <c r="H45" s="163">
        <v>2200</v>
      </c>
      <c r="I45" s="163"/>
      <c r="J45" s="163"/>
      <c r="K45" s="163"/>
      <c r="L45" s="163"/>
      <c r="M45" s="163"/>
    </row>
    <row r="46" spans="1:13" x14ac:dyDescent="0.25">
      <c r="A46" t="str">
        <f>B42&amp;"/"&amp;C42&amp;"/"&amp;D42&amp;"/"&amp;E46</f>
        <v>1.200-1.499//EX/H</v>
      </c>
      <c r="B46" s="889"/>
      <c r="C46" s="164"/>
      <c r="D46" s="892"/>
      <c r="E46" s="155" t="s">
        <v>249</v>
      </c>
      <c r="F46" s="163">
        <v>3000</v>
      </c>
      <c r="G46" s="163">
        <v>2750</v>
      </c>
      <c r="H46" s="163">
        <v>2200</v>
      </c>
      <c r="I46" s="163"/>
      <c r="J46" s="163"/>
      <c r="K46" s="163"/>
      <c r="L46" s="163"/>
      <c r="M46" s="163"/>
    </row>
    <row r="47" spans="1:13" x14ac:dyDescent="0.25">
      <c r="A47" t="str">
        <f>B42&amp;"/"&amp;C42&amp;"/"&amp;D42&amp;"/"&amp;E47</f>
        <v>1.200-1.499//EX/I</v>
      </c>
      <c r="B47" s="889"/>
      <c r="C47" s="164"/>
      <c r="D47" s="892"/>
      <c r="E47" s="155" t="s">
        <v>257</v>
      </c>
      <c r="F47" s="163">
        <v>3000</v>
      </c>
      <c r="G47" s="163">
        <v>2750</v>
      </c>
      <c r="H47" s="163">
        <v>2200</v>
      </c>
      <c r="I47" s="163"/>
      <c r="J47" s="163"/>
      <c r="K47" s="163"/>
      <c r="L47" s="163"/>
      <c r="M47" s="163"/>
    </row>
    <row r="48" spans="1:13" x14ac:dyDescent="0.25">
      <c r="A48" t="str">
        <f>B42&amp;"/"&amp;C42&amp;"/"&amp;D42&amp;"/"&amp;E48</f>
        <v>1.200-1.499//EX/J</v>
      </c>
      <c r="B48" s="889"/>
      <c r="C48" s="164"/>
      <c r="D48" s="892"/>
      <c r="E48" s="155" t="s">
        <v>264</v>
      </c>
      <c r="F48" s="163">
        <v>2575</v>
      </c>
      <c r="G48" s="163">
        <v>2450</v>
      </c>
      <c r="H48" s="163">
        <v>2050</v>
      </c>
      <c r="I48" s="163"/>
      <c r="J48" s="163"/>
      <c r="K48" s="163"/>
      <c r="L48" s="163"/>
      <c r="M48" s="163"/>
    </row>
    <row r="49" spans="1:13" x14ac:dyDescent="0.25">
      <c r="A49" t="str">
        <f>B42&amp;"/"&amp;C42&amp;"/"&amp;D42&amp;"/"&amp;E49</f>
        <v>1.200-1.499//EX/K</v>
      </c>
      <c r="B49" s="889"/>
      <c r="C49" s="164"/>
      <c r="D49" s="892"/>
      <c r="E49" s="155" t="s">
        <v>272</v>
      </c>
      <c r="F49" s="163">
        <v>1850</v>
      </c>
      <c r="G49" s="163">
        <v>1725</v>
      </c>
      <c r="H49" s="163">
        <v>1400</v>
      </c>
      <c r="I49" s="163"/>
      <c r="J49" s="163"/>
      <c r="K49" s="163"/>
      <c r="L49" s="163"/>
      <c r="M49" s="163"/>
    </row>
    <row r="50" spans="1:13" x14ac:dyDescent="0.25">
      <c r="A50" t="str">
        <f>B42&amp;"/"&amp;C42&amp;"/"&amp;D42&amp;"/"&amp;E50</f>
        <v>1.200-1.499//EX/L</v>
      </c>
      <c r="B50" s="889"/>
      <c r="C50" s="164"/>
      <c r="D50" s="892"/>
      <c r="E50" s="155" t="s">
        <v>278</v>
      </c>
      <c r="F50" s="163">
        <v>1850</v>
      </c>
      <c r="G50" s="163">
        <v>1725</v>
      </c>
      <c r="H50" s="163">
        <v>1400</v>
      </c>
      <c r="I50" s="163"/>
      <c r="J50" s="163"/>
      <c r="K50" s="163"/>
      <c r="L50" s="163"/>
      <c r="M50" s="163"/>
    </row>
    <row r="51" spans="1:13" x14ac:dyDescent="0.25">
      <c r="A51" t="str">
        <f>B42&amp;"/"&amp;C42&amp;"/"&amp;D42&amp;"/"&amp;E51</f>
        <v>1.200-1.499//EX/M</v>
      </c>
      <c r="B51" s="889"/>
      <c r="C51" s="164"/>
      <c r="D51" s="892"/>
      <c r="E51" s="155" t="s">
        <v>284</v>
      </c>
      <c r="F51" s="163">
        <v>1750</v>
      </c>
      <c r="G51" s="163">
        <v>1625</v>
      </c>
      <c r="H51" s="163">
        <v>1350</v>
      </c>
      <c r="I51" s="163"/>
      <c r="J51" s="163"/>
      <c r="K51" s="163"/>
      <c r="L51" s="163"/>
      <c r="M51" s="163"/>
    </row>
    <row r="52" spans="1:13" x14ac:dyDescent="0.25">
      <c r="A52" t="str">
        <f>B42&amp;"/"&amp;C42&amp;"/"&amp;D42&amp;"/"&amp;E52</f>
        <v>1.200-1.499//EX/N</v>
      </c>
      <c r="B52" s="889"/>
      <c r="C52" s="164"/>
      <c r="D52" s="892"/>
      <c r="E52" s="155" t="s">
        <v>748</v>
      </c>
      <c r="F52" s="163"/>
      <c r="G52" s="163"/>
      <c r="H52" s="163"/>
      <c r="I52" s="163"/>
      <c r="J52" s="163"/>
      <c r="K52" s="163"/>
      <c r="L52" s="163"/>
      <c r="M52" s="163"/>
    </row>
    <row r="53" spans="1:13" x14ac:dyDescent="0.25">
      <c r="A53" t="str">
        <f>B42&amp;"/"&amp;C42&amp;"/"&amp;D42&amp;"/"&amp;E53</f>
        <v>1.200-1.499//EX/O</v>
      </c>
      <c r="B53" s="889"/>
      <c r="C53" s="164"/>
      <c r="D53" s="893"/>
      <c r="E53" s="155" t="s">
        <v>749</v>
      </c>
      <c r="F53" s="163"/>
      <c r="G53" s="163"/>
      <c r="H53" s="163"/>
      <c r="I53" s="163"/>
      <c r="J53" s="163"/>
      <c r="K53" s="163"/>
      <c r="L53" s="163"/>
      <c r="M53" s="163"/>
    </row>
    <row r="54" spans="1:13" x14ac:dyDescent="0.25">
      <c r="A54" t="str">
        <f>B42&amp;"/"&amp;C42&amp;"/"&amp;D54&amp;"/"&amp;E54</f>
        <v>1.200-1.499//VG/D</v>
      </c>
      <c r="B54" s="889"/>
      <c r="C54" s="164"/>
      <c r="D54" s="157" t="s">
        <v>202</v>
      </c>
      <c r="E54" s="158" t="s">
        <v>186</v>
      </c>
      <c r="F54" s="163">
        <v>3100</v>
      </c>
      <c r="G54" s="163">
        <v>2800</v>
      </c>
      <c r="H54" s="163">
        <v>2200</v>
      </c>
      <c r="I54" s="163">
        <v>1750</v>
      </c>
      <c r="J54" s="163"/>
      <c r="K54" s="163"/>
      <c r="L54" s="163"/>
      <c r="M54" s="163"/>
    </row>
    <row r="55" spans="1:13" x14ac:dyDescent="0.25">
      <c r="A55" t="str">
        <f>B42&amp;"/"&amp;C42&amp;"/"&amp;D54&amp;"/"&amp;E55</f>
        <v>1.200-1.499//VG/E</v>
      </c>
      <c r="B55" s="889"/>
      <c r="C55" s="164"/>
      <c r="D55" s="154"/>
      <c r="E55" s="155" t="s">
        <v>213</v>
      </c>
      <c r="F55" s="163">
        <v>3050</v>
      </c>
      <c r="G55" s="163">
        <v>2750</v>
      </c>
      <c r="H55" s="163">
        <v>2200</v>
      </c>
      <c r="I55" s="163">
        <v>1750</v>
      </c>
      <c r="J55" s="163"/>
      <c r="K55" s="163"/>
      <c r="L55" s="163"/>
      <c r="M55" s="163"/>
    </row>
    <row r="56" spans="1:13" x14ac:dyDescent="0.25">
      <c r="A56" t="str">
        <f>B42&amp;"/"&amp;C42&amp;"/"&amp;D54&amp;"/"&amp;E56</f>
        <v>1.200-1.499//VG/F</v>
      </c>
      <c r="B56" s="889"/>
      <c r="C56" s="164"/>
      <c r="D56" s="156"/>
      <c r="E56" s="155" t="s">
        <v>232</v>
      </c>
      <c r="F56" s="163">
        <v>3050</v>
      </c>
      <c r="G56" s="163">
        <v>2750</v>
      </c>
      <c r="H56" s="163">
        <v>2200</v>
      </c>
      <c r="I56" s="163">
        <v>1750</v>
      </c>
      <c r="J56" s="163"/>
      <c r="K56" s="163"/>
      <c r="L56" s="163"/>
      <c r="M56" s="163"/>
    </row>
    <row r="57" spans="1:13" x14ac:dyDescent="0.25">
      <c r="A57" t="str">
        <f>B42&amp;"/"&amp;C42&amp;"/"&amp;D54&amp;"/"&amp;E57</f>
        <v>1.200-1.499//VG/G</v>
      </c>
      <c r="B57" s="889"/>
      <c r="C57" s="164"/>
      <c r="D57" s="156"/>
      <c r="E57" s="155" t="s">
        <v>215</v>
      </c>
      <c r="F57" s="163">
        <v>2900</v>
      </c>
      <c r="G57" s="163">
        <v>2700</v>
      </c>
      <c r="H57" s="163">
        <v>2125</v>
      </c>
      <c r="I57" s="163">
        <v>1725</v>
      </c>
      <c r="J57" s="163"/>
      <c r="K57" s="163"/>
      <c r="L57" s="163"/>
      <c r="M57" s="163"/>
    </row>
    <row r="58" spans="1:13" x14ac:dyDescent="0.25">
      <c r="A58" t="str">
        <f>B42&amp;"/"&amp;C42&amp;"/"&amp;D54&amp;"/"&amp;E58</f>
        <v>1.200-1.499//VG/H</v>
      </c>
      <c r="B58" s="889"/>
      <c r="C58" s="164"/>
      <c r="D58" s="156"/>
      <c r="E58" s="155" t="s">
        <v>249</v>
      </c>
      <c r="F58" s="163">
        <v>2900</v>
      </c>
      <c r="G58" s="163">
        <v>2700</v>
      </c>
      <c r="H58" s="163">
        <v>2125</v>
      </c>
      <c r="I58" s="163">
        <v>1725</v>
      </c>
      <c r="J58" s="163"/>
      <c r="K58" s="163"/>
      <c r="L58" s="163"/>
      <c r="M58" s="163"/>
    </row>
    <row r="59" spans="1:13" x14ac:dyDescent="0.25">
      <c r="A59" t="str">
        <f>B42&amp;"/"&amp;C42&amp;"/"&amp;D54&amp;"/"&amp;E59</f>
        <v>1.200-1.499//VG/I</v>
      </c>
      <c r="B59" s="889"/>
      <c r="C59" s="164"/>
      <c r="D59" s="156"/>
      <c r="E59" s="155" t="s">
        <v>257</v>
      </c>
      <c r="F59" s="163">
        <v>2900</v>
      </c>
      <c r="G59" s="163">
        <v>2700</v>
      </c>
      <c r="H59" s="163">
        <v>2125</v>
      </c>
      <c r="I59" s="163">
        <v>1725</v>
      </c>
      <c r="J59" s="163"/>
      <c r="K59" s="163"/>
      <c r="L59" s="163"/>
      <c r="M59" s="163"/>
    </row>
    <row r="60" spans="1:13" x14ac:dyDescent="0.25">
      <c r="A60" t="str">
        <f>B42&amp;"/"&amp;C42&amp;"/"&amp;D54&amp;"/"&amp;E60</f>
        <v>1.200-1.499//VG/J</v>
      </c>
      <c r="B60" s="889"/>
      <c r="C60" s="164"/>
      <c r="D60" s="156"/>
      <c r="E60" s="155" t="s">
        <v>264</v>
      </c>
      <c r="F60" s="163">
        <v>2500</v>
      </c>
      <c r="G60" s="163">
        <v>2375</v>
      </c>
      <c r="H60" s="163">
        <v>2000</v>
      </c>
      <c r="I60" s="163">
        <v>1575</v>
      </c>
      <c r="J60" s="163"/>
      <c r="K60" s="163"/>
      <c r="L60" s="163"/>
      <c r="M60" s="163"/>
    </row>
    <row r="61" spans="1:13" x14ac:dyDescent="0.25">
      <c r="A61" t="str">
        <f>B42&amp;"/"&amp;C42&amp;"/"&amp;D54&amp;"/"&amp;E61</f>
        <v>1.200-1.499//VG/K</v>
      </c>
      <c r="B61" s="889"/>
      <c r="C61" s="164"/>
      <c r="D61" s="165"/>
      <c r="E61" s="155" t="s">
        <v>272</v>
      </c>
      <c r="F61" s="163">
        <v>1800</v>
      </c>
      <c r="G61" s="163">
        <v>1675</v>
      </c>
      <c r="H61" s="163">
        <v>1350</v>
      </c>
      <c r="I61" s="163">
        <v>1175</v>
      </c>
      <c r="J61" s="163"/>
      <c r="K61" s="163"/>
      <c r="L61" s="163"/>
      <c r="M61" s="163"/>
    </row>
    <row r="62" spans="1:13" x14ac:dyDescent="0.25">
      <c r="A62" t="str">
        <f>B42&amp;"/"&amp;C42&amp;"/"&amp;D54&amp;"/"&amp;E62</f>
        <v>1.200-1.499//VG/L</v>
      </c>
      <c r="B62" s="889"/>
      <c r="C62" s="164"/>
      <c r="D62" s="165"/>
      <c r="E62" s="155" t="s">
        <v>278</v>
      </c>
      <c r="F62" s="163">
        <v>1800</v>
      </c>
      <c r="G62" s="163">
        <v>1675</v>
      </c>
      <c r="H62" s="163">
        <v>1350</v>
      </c>
      <c r="I62" s="163">
        <v>1175</v>
      </c>
      <c r="J62" s="163"/>
      <c r="K62" s="163"/>
      <c r="L62" s="163"/>
      <c r="M62" s="163"/>
    </row>
    <row r="63" spans="1:13" x14ac:dyDescent="0.25">
      <c r="A63" t="str">
        <f>B42&amp;"/"&amp;C42&amp;"/"&amp;D54&amp;"/"&amp;E63</f>
        <v>1.200-1.499//VG/M</v>
      </c>
      <c r="B63" s="889"/>
      <c r="C63" s="164"/>
      <c r="D63" s="165"/>
      <c r="E63" s="155" t="s">
        <v>284</v>
      </c>
      <c r="F63" s="163">
        <v>1700</v>
      </c>
      <c r="G63" s="163">
        <v>1575</v>
      </c>
      <c r="H63" s="163">
        <v>1300</v>
      </c>
      <c r="I63" s="163">
        <v>1150</v>
      </c>
      <c r="J63" s="163"/>
      <c r="K63" s="163"/>
      <c r="L63" s="163"/>
      <c r="M63" s="163"/>
    </row>
    <row r="64" spans="1:13" x14ac:dyDescent="0.25">
      <c r="A64" t="str">
        <f>B42&amp;"/"&amp;C42&amp;"/"&amp;D54&amp;"/"&amp;E64</f>
        <v>1.200-1.499//VG/N</v>
      </c>
      <c r="B64" s="889"/>
      <c r="C64" s="164"/>
      <c r="D64" s="165"/>
      <c r="E64" s="155" t="s">
        <v>748</v>
      </c>
      <c r="F64" s="163"/>
      <c r="G64" s="163"/>
      <c r="H64" s="163"/>
      <c r="I64" s="163"/>
      <c r="J64" s="163"/>
      <c r="K64" s="163"/>
      <c r="L64" s="163"/>
      <c r="M64" s="163"/>
    </row>
    <row r="65" spans="1:13" x14ac:dyDescent="0.25">
      <c r="A65" t="str">
        <f>B42&amp;"/"&amp;C42&amp;"/"&amp;D54&amp;"/"&amp;E65</f>
        <v>1.200-1.499//VG/O</v>
      </c>
      <c r="B65" s="889"/>
      <c r="C65" s="164"/>
      <c r="D65" s="165"/>
      <c r="E65" s="155" t="s">
        <v>749</v>
      </c>
      <c r="F65" s="163"/>
      <c r="G65" s="163"/>
      <c r="H65" s="163"/>
      <c r="I65" s="163"/>
      <c r="J65" s="163"/>
      <c r="K65" s="163"/>
      <c r="L65" s="163"/>
      <c r="M65" s="163"/>
    </row>
    <row r="66" spans="1:13" x14ac:dyDescent="0.25">
      <c r="A66" t="str">
        <f>B42&amp;"/"&amp;C42&amp;"/"&amp;D66&amp;"/"&amp;E66</f>
        <v>1.200-1.499//Good/D</v>
      </c>
      <c r="B66" s="889"/>
      <c r="C66" s="164"/>
      <c r="D66" s="157" t="s">
        <v>764</v>
      </c>
      <c r="E66" s="158" t="s">
        <v>186</v>
      </c>
      <c r="F66" s="163">
        <v>3000</v>
      </c>
      <c r="G66" s="163">
        <v>2725</v>
      </c>
      <c r="H66" s="163">
        <v>2150</v>
      </c>
      <c r="I66" s="163">
        <v>1725</v>
      </c>
      <c r="J66" s="163">
        <v>1150</v>
      </c>
      <c r="K66" s="163">
        <v>825</v>
      </c>
      <c r="L66" s="163">
        <v>600</v>
      </c>
      <c r="M66" s="163">
        <v>325</v>
      </c>
    </row>
    <row r="67" spans="1:13" x14ac:dyDescent="0.25">
      <c r="A67" t="str">
        <f>B42&amp;"/"&amp;C42&amp;"/"&amp;D66&amp;"/"&amp;E67</f>
        <v>1.200-1.499//Good/E</v>
      </c>
      <c r="B67" s="889"/>
      <c r="C67" s="164"/>
      <c r="D67" s="154"/>
      <c r="E67" s="155" t="s">
        <v>213</v>
      </c>
      <c r="F67" s="163">
        <v>2950</v>
      </c>
      <c r="G67" s="163">
        <v>2675</v>
      </c>
      <c r="H67" s="163">
        <v>2150</v>
      </c>
      <c r="I67" s="163">
        <v>1725</v>
      </c>
      <c r="J67" s="163">
        <v>1150</v>
      </c>
      <c r="K67" s="163">
        <v>825</v>
      </c>
      <c r="L67" s="163">
        <v>600</v>
      </c>
      <c r="M67" s="163">
        <v>325</v>
      </c>
    </row>
    <row r="68" spans="1:13" x14ac:dyDescent="0.25">
      <c r="A68" t="str">
        <f>B42&amp;"/"&amp;C42&amp;"/"&amp;D66&amp;"/"&amp;E68</f>
        <v>1.200-1.499//Good/F</v>
      </c>
      <c r="B68" s="889"/>
      <c r="C68" s="164"/>
      <c r="D68" s="156"/>
      <c r="E68" s="155" t="s">
        <v>232</v>
      </c>
      <c r="F68" s="163">
        <v>2950</v>
      </c>
      <c r="G68" s="163">
        <v>2675</v>
      </c>
      <c r="H68" s="163">
        <v>2150</v>
      </c>
      <c r="I68" s="163">
        <v>1725</v>
      </c>
      <c r="J68" s="163">
        <v>1150</v>
      </c>
      <c r="K68" s="163">
        <v>825</v>
      </c>
      <c r="L68" s="163">
        <v>600</v>
      </c>
      <c r="M68" s="163">
        <v>325</v>
      </c>
    </row>
    <row r="69" spans="1:13" x14ac:dyDescent="0.25">
      <c r="A69" t="str">
        <f>B42&amp;"/"&amp;C42&amp;"/"&amp;D66&amp;"/"&amp;E69</f>
        <v>1.200-1.499//Good/G</v>
      </c>
      <c r="B69" s="889"/>
      <c r="C69" s="164"/>
      <c r="D69" s="156"/>
      <c r="E69" s="155" t="s">
        <v>215</v>
      </c>
      <c r="F69" s="163">
        <v>2800</v>
      </c>
      <c r="G69" s="163">
        <v>2625</v>
      </c>
      <c r="H69" s="163">
        <v>2050</v>
      </c>
      <c r="I69" s="163">
        <v>1700</v>
      </c>
      <c r="J69" s="163">
        <v>1150</v>
      </c>
      <c r="K69" s="163">
        <v>825</v>
      </c>
      <c r="L69" s="163">
        <v>600</v>
      </c>
      <c r="M69" s="163">
        <v>325</v>
      </c>
    </row>
    <row r="70" spans="1:13" x14ac:dyDescent="0.25">
      <c r="A70" t="str">
        <f>B42&amp;"/"&amp;C42&amp;"/"&amp;D66&amp;"/"&amp;E70</f>
        <v>1.200-1.499//Good/H</v>
      </c>
      <c r="B70" s="889"/>
      <c r="C70" s="164"/>
      <c r="D70" s="156"/>
      <c r="E70" s="155" t="s">
        <v>249</v>
      </c>
      <c r="F70" s="163">
        <v>2800</v>
      </c>
      <c r="G70" s="163">
        <v>2625</v>
      </c>
      <c r="H70" s="163">
        <v>2050</v>
      </c>
      <c r="I70" s="163">
        <v>1700</v>
      </c>
      <c r="J70" s="163">
        <v>1150</v>
      </c>
      <c r="K70" s="163">
        <v>825</v>
      </c>
      <c r="L70" s="163">
        <v>600</v>
      </c>
      <c r="M70" s="163">
        <v>325</v>
      </c>
    </row>
    <row r="71" spans="1:13" x14ac:dyDescent="0.25">
      <c r="A71" t="str">
        <f>B42&amp;"/"&amp;C42&amp;"/"&amp;D66&amp;"/"&amp;E71</f>
        <v>1.200-1.499//Good/I</v>
      </c>
      <c r="B71" s="889"/>
      <c r="C71" s="164"/>
      <c r="D71" s="156"/>
      <c r="E71" s="155" t="s">
        <v>257</v>
      </c>
      <c r="F71" s="163">
        <v>2800</v>
      </c>
      <c r="G71" s="163">
        <v>2625</v>
      </c>
      <c r="H71" s="163">
        <v>2050</v>
      </c>
      <c r="I71" s="163">
        <v>1700</v>
      </c>
      <c r="J71" s="163">
        <v>1150</v>
      </c>
      <c r="K71" s="163">
        <v>825</v>
      </c>
      <c r="L71" s="163">
        <v>600</v>
      </c>
      <c r="M71" s="163">
        <v>325</v>
      </c>
    </row>
    <row r="72" spans="1:13" x14ac:dyDescent="0.25">
      <c r="A72" t="str">
        <f>B42&amp;"/"&amp;C42&amp;"/"&amp;D66&amp;"/"&amp;E72</f>
        <v>1.200-1.499//Good/J</v>
      </c>
      <c r="B72" s="889"/>
      <c r="C72" s="164"/>
      <c r="D72" s="156"/>
      <c r="E72" s="155" t="s">
        <v>264</v>
      </c>
      <c r="F72" s="163">
        <v>2425</v>
      </c>
      <c r="G72" s="163">
        <v>2300</v>
      </c>
      <c r="H72" s="163">
        <v>1950</v>
      </c>
      <c r="I72" s="163">
        <v>1550</v>
      </c>
      <c r="J72" s="163">
        <v>1100</v>
      </c>
      <c r="K72" s="163">
        <v>800</v>
      </c>
      <c r="L72" s="163">
        <v>600</v>
      </c>
      <c r="M72" s="163">
        <v>325</v>
      </c>
    </row>
    <row r="73" spans="1:13" x14ac:dyDescent="0.25">
      <c r="A73" t="str">
        <f>B42&amp;"/"&amp;C42&amp;"/"&amp;D66&amp;"/"&amp;E73</f>
        <v>1.200-1.499//Good/K</v>
      </c>
      <c r="B73" s="889"/>
      <c r="C73" s="164"/>
      <c r="D73" s="165"/>
      <c r="E73" s="155" t="s">
        <v>272</v>
      </c>
      <c r="F73" s="163">
        <v>1750</v>
      </c>
      <c r="G73" s="163">
        <v>1625</v>
      </c>
      <c r="H73" s="163">
        <v>1300</v>
      </c>
      <c r="I73" s="163">
        <v>1150</v>
      </c>
      <c r="J73" s="163">
        <v>825</v>
      </c>
      <c r="K73" s="163">
        <v>575</v>
      </c>
      <c r="L73" s="163">
        <v>375</v>
      </c>
      <c r="M73" s="163">
        <v>225</v>
      </c>
    </row>
    <row r="74" spans="1:13" x14ac:dyDescent="0.25">
      <c r="A74" t="str">
        <f>B42&amp;"/"&amp;C42&amp;"/"&amp;D66&amp;"/"&amp;E74</f>
        <v>1.200-1.499//Good/L</v>
      </c>
      <c r="B74" s="889"/>
      <c r="C74" s="164"/>
      <c r="D74" s="165"/>
      <c r="E74" s="155" t="s">
        <v>278</v>
      </c>
      <c r="F74" s="163">
        <v>1750</v>
      </c>
      <c r="G74" s="163">
        <v>1625</v>
      </c>
      <c r="H74" s="163">
        <v>1300</v>
      </c>
      <c r="I74" s="163">
        <v>1150</v>
      </c>
      <c r="J74" s="163">
        <v>825</v>
      </c>
      <c r="K74" s="163">
        <v>575</v>
      </c>
      <c r="L74" s="163">
        <v>375</v>
      </c>
      <c r="M74" s="163">
        <v>225</v>
      </c>
    </row>
    <row r="75" spans="1:13" x14ac:dyDescent="0.25">
      <c r="A75" t="str">
        <f>B42&amp;"/"&amp;C42&amp;"/"&amp;D66&amp;"/"&amp;E75</f>
        <v>1.200-1.499//Good/M</v>
      </c>
      <c r="B75" s="889"/>
      <c r="C75" s="164"/>
      <c r="D75" s="165"/>
      <c r="E75" s="155" t="s">
        <v>284</v>
      </c>
      <c r="F75" s="163">
        <v>1650</v>
      </c>
      <c r="G75" s="163">
        <v>1525</v>
      </c>
      <c r="H75" s="163">
        <v>1250</v>
      </c>
      <c r="I75" s="163">
        <v>1125</v>
      </c>
      <c r="J75" s="163">
        <v>825</v>
      </c>
      <c r="K75" s="163">
        <v>575</v>
      </c>
      <c r="L75" s="163">
        <v>375</v>
      </c>
      <c r="M75" s="163">
        <v>225</v>
      </c>
    </row>
    <row r="76" spans="1:13" x14ac:dyDescent="0.25">
      <c r="A76" t="str">
        <f>B42&amp;"/"&amp;C42&amp;"/"&amp;D66&amp;"/"&amp;E76</f>
        <v>1.200-1.499//Good/N</v>
      </c>
      <c r="B76" s="889"/>
      <c r="C76" s="164"/>
      <c r="D76" s="165"/>
      <c r="E76" s="155" t="s">
        <v>748</v>
      </c>
      <c r="F76" s="163"/>
      <c r="G76" s="163"/>
      <c r="H76" s="163"/>
      <c r="I76" s="163"/>
      <c r="J76" s="163"/>
      <c r="K76" s="163"/>
      <c r="L76" s="163"/>
      <c r="M76" s="163"/>
    </row>
    <row r="77" spans="1:13" x14ac:dyDescent="0.25">
      <c r="A77" t="str">
        <f>B42&amp;"/"&amp;C42&amp;"/"&amp;D66&amp;"/"&amp;E77</f>
        <v>1.200-1.499//Good/O</v>
      </c>
      <c r="B77" s="889"/>
      <c r="C77" s="164"/>
      <c r="D77" s="165"/>
      <c r="E77" s="155" t="s">
        <v>749</v>
      </c>
      <c r="F77" s="163"/>
      <c r="G77" s="163"/>
      <c r="H77" s="163"/>
      <c r="I77" s="163"/>
      <c r="J77" s="163"/>
      <c r="K77" s="163"/>
      <c r="L77" s="163"/>
      <c r="M77" s="163"/>
    </row>
    <row r="78" spans="1:13" x14ac:dyDescent="0.25">
      <c r="A78" t="str">
        <f>B78&amp;"/"&amp;C78&amp;"/"&amp;D78&amp;"/"&amp;E78</f>
        <v>1.500-1.699//EX/D</v>
      </c>
      <c r="B78" s="889" t="s">
        <v>306</v>
      </c>
      <c r="C78" s="164"/>
      <c r="D78" s="891" t="s">
        <v>188</v>
      </c>
      <c r="E78" s="158" t="s">
        <v>186</v>
      </c>
      <c r="F78" s="163">
        <v>3750</v>
      </c>
      <c r="G78" s="163">
        <v>3500</v>
      </c>
      <c r="H78" s="163">
        <v>3100</v>
      </c>
      <c r="I78" s="163"/>
      <c r="J78" s="163"/>
      <c r="K78" s="163"/>
      <c r="L78" s="163"/>
      <c r="M78" s="163"/>
    </row>
    <row r="79" spans="1:13" x14ac:dyDescent="0.25">
      <c r="A79" t="str">
        <f>B78&amp;"/"&amp;C78&amp;"/"&amp;D78&amp;"/"&amp;E79</f>
        <v>1.500-1.699//EX/E</v>
      </c>
      <c r="B79" s="889"/>
      <c r="C79" s="164"/>
      <c r="D79" s="892"/>
      <c r="E79" s="155" t="s">
        <v>213</v>
      </c>
      <c r="F79" s="163">
        <v>3675</v>
      </c>
      <c r="G79" s="163">
        <v>3425</v>
      </c>
      <c r="H79" s="163">
        <v>3025</v>
      </c>
      <c r="I79" s="163"/>
      <c r="J79" s="163"/>
      <c r="K79" s="163"/>
      <c r="L79" s="163"/>
      <c r="M79" s="163"/>
    </row>
    <row r="80" spans="1:13" x14ac:dyDescent="0.25">
      <c r="A80" t="str">
        <f>B78&amp;"/"&amp;C78&amp;"/"&amp;D78&amp;"/"&amp;E80</f>
        <v>1.500-1.699//EX/F</v>
      </c>
      <c r="B80" s="889"/>
      <c r="C80" s="164"/>
      <c r="D80" s="892"/>
      <c r="E80" s="155" t="s">
        <v>232</v>
      </c>
      <c r="F80" s="163">
        <v>3675</v>
      </c>
      <c r="G80" s="163">
        <v>3425</v>
      </c>
      <c r="H80" s="163">
        <v>3025</v>
      </c>
      <c r="I80" s="163"/>
      <c r="J80" s="163"/>
      <c r="K80" s="163"/>
      <c r="L80" s="163"/>
      <c r="M80" s="163"/>
    </row>
    <row r="81" spans="1:13" x14ac:dyDescent="0.25">
      <c r="A81" t="str">
        <f>B78&amp;"/"&amp;C78&amp;"/"&amp;D78&amp;"/"&amp;E81</f>
        <v>1.500-1.699//EX/G</v>
      </c>
      <c r="B81" s="889"/>
      <c r="C81" s="164"/>
      <c r="D81" s="892"/>
      <c r="E81" s="155" t="s">
        <v>215</v>
      </c>
      <c r="F81" s="163">
        <v>3575</v>
      </c>
      <c r="G81" s="163">
        <v>3325</v>
      </c>
      <c r="H81" s="163">
        <v>2925</v>
      </c>
      <c r="I81" s="163"/>
      <c r="J81" s="163"/>
      <c r="K81" s="163"/>
      <c r="L81" s="163"/>
      <c r="M81" s="163"/>
    </row>
    <row r="82" spans="1:13" x14ac:dyDescent="0.25">
      <c r="A82" t="str">
        <f>B78&amp;"/"&amp;C78&amp;"/"&amp;D78&amp;"/"&amp;E82</f>
        <v>1.500-1.699//EX/H</v>
      </c>
      <c r="B82" s="889"/>
      <c r="C82" s="164"/>
      <c r="D82" s="892"/>
      <c r="E82" s="155" t="s">
        <v>249</v>
      </c>
      <c r="F82" s="163">
        <v>3575</v>
      </c>
      <c r="G82" s="163">
        <v>3325</v>
      </c>
      <c r="H82" s="163">
        <v>2925</v>
      </c>
      <c r="I82" s="163"/>
      <c r="J82" s="163"/>
      <c r="K82" s="163"/>
      <c r="L82" s="163"/>
      <c r="M82" s="163"/>
    </row>
    <row r="83" spans="1:13" x14ac:dyDescent="0.25">
      <c r="A83" t="str">
        <f>B78&amp;"/"&amp;C78&amp;"/"&amp;D78&amp;"/"&amp;E83</f>
        <v>1.500-1.699//EX/I</v>
      </c>
      <c r="B83" s="889"/>
      <c r="C83" s="164"/>
      <c r="D83" s="892"/>
      <c r="E83" s="155" t="s">
        <v>257</v>
      </c>
      <c r="F83" s="163">
        <v>3575</v>
      </c>
      <c r="G83" s="163">
        <v>3325</v>
      </c>
      <c r="H83" s="163">
        <v>2925</v>
      </c>
      <c r="I83" s="163"/>
      <c r="J83" s="163"/>
      <c r="K83" s="163"/>
      <c r="L83" s="163"/>
      <c r="M83" s="163"/>
    </row>
    <row r="84" spans="1:13" x14ac:dyDescent="0.25">
      <c r="A84" t="str">
        <f>B78&amp;"/"&amp;C78&amp;"/"&amp;D78&amp;"/"&amp;E84</f>
        <v>1.500-1.699//EX/J</v>
      </c>
      <c r="B84" s="889"/>
      <c r="C84" s="164"/>
      <c r="D84" s="892"/>
      <c r="E84" s="155" t="s">
        <v>264</v>
      </c>
      <c r="F84" s="163">
        <v>3225</v>
      </c>
      <c r="G84" s="163">
        <v>3000</v>
      </c>
      <c r="H84" s="163">
        <v>2650</v>
      </c>
      <c r="I84" s="163"/>
      <c r="J84" s="163"/>
      <c r="K84" s="163"/>
      <c r="L84" s="163"/>
      <c r="M84" s="163"/>
    </row>
    <row r="85" spans="1:13" x14ac:dyDescent="0.25">
      <c r="A85" t="str">
        <f>B78&amp;"/"&amp;C78&amp;"/"&amp;D78&amp;"/"&amp;E85</f>
        <v>1.500-1.699//EX/K</v>
      </c>
      <c r="B85" s="889"/>
      <c r="C85" s="164"/>
      <c r="D85" s="892"/>
      <c r="E85" s="155" t="s">
        <v>272</v>
      </c>
      <c r="F85" s="163">
        <v>2250</v>
      </c>
      <c r="G85" s="163">
        <v>2100</v>
      </c>
      <c r="H85" s="163">
        <v>1875</v>
      </c>
      <c r="I85" s="163"/>
      <c r="J85" s="163"/>
      <c r="K85" s="163"/>
      <c r="L85" s="163"/>
      <c r="M85" s="163"/>
    </row>
    <row r="86" spans="1:13" x14ac:dyDescent="0.25">
      <c r="A86" t="str">
        <f>B78&amp;"/"&amp;C78&amp;"/"&amp;D78&amp;"/"&amp;E86</f>
        <v>1.500-1.699//EX/L</v>
      </c>
      <c r="B86" s="889"/>
      <c r="C86" s="164"/>
      <c r="D86" s="892"/>
      <c r="E86" s="155" t="s">
        <v>278</v>
      </c>
      <c r="F86" s="163">
        <v>2250</v>
      </c>
      <c r="G86" s="163">
        <v>2100</v>
      </c>
      <c r="H86" s="163">
        <v>1875</v>
      </c>
      <c r="I86" s="163"/>
      <c r="J86" s="163"/>
      <c r="K86" s="163"/>
      <c r="L86" s="163"/>
      <c r="M86" s="163"/>
    </row>
    <row r="87" spans="1:13" x14ac:dyDescent="0.25">
      <c r="A87" t="str">
        <f>B78&amp;"/"&amp;C78&amp;"/"&amp;D78&amp;"/"&amp;E87</f>
        <v>1.500-1.699//EX/M</v>
      </c>
      <c r="B87" s="889"/>
      <c r="C87" s="164"/>
      <c r="D87" s="892"/>
      <c r="E87" s="155" t="s">
        <v>284</v>
      </c>
      <c r="F87" s="163">
        <v>2150</v>
      </c>
      <c r="G87" s="163">
        <v>2000</v>
      </c>
      <c r="H87" s="163">
        <v>1800</v>
      </c>
      <c r="I87" s="163"/>
      <c r="J87" s="163"/>
      <c r="K87" s="163"/>
      <c r="L87" s="163"/>
      <c r="M87" s="163"/>
    </row>
    <row r="88" spans="1:13" x14ac:dyDescent="0.25">
      <c r="A88" t="str">
        <f>B78&amp;"/"&amp;C78&amp;"/"&amp;D78&amp;"/"&amp;E88</f>
        <v>1.500-1.699//EX/N</v>
      </c>
      <c r="B88" s="889"/>
      <c r="C88" s="164"/>
      <c r="D88" s="892"/>
      <c r="E88" s="155" t="s">
        <v>748</v>
      </c>
      <c r="F88" s="163"/>
      <c r="G88" s="163"/>
      <c r="H88" s="163"/>
      <c r="I88" s="163"/>
      <c r="J88" s="163"/>
      <c r="K88" s="163"/>
      <c r="L88" s="163"/>
      <c r="M88" s="163"/>
    </row>
    <row r="89" spans="1:13" x14ac:dyDescent="0.25">
      <c r="A89" t="str">
        <f>B78&amp;"/"&amp;C78&amp;"/"&amp;D78&amp;"/"&amp;E89</f>
        <v>1.500-1.699//EX/O</v>
      </c>
      <c r="B89" s="889"/>
      <c r="C89" s="164"/>
      <c r="D89" s="893"/>
      <c r="E89" s="155" t="s">
        <v>749</v>
      </c>
      <c r="F89" s="163"/>
      <c r="G89" s="163"/>
      <c r="H89" s="163"/>
      <c r="I89" s="163"/>
      <c r="J89" s="163"/>
      <c r="K89" s="163"/>
      <c r="L89" s="163"/>
      <c r="M89" s="163"/>
    </row>
    <row r="90" spans="1:13" x14ac:dyDescent="0.25">
      <c r="A90" t="str">
        <f>B78&amp;"/"&amp;C78&amp;"/"&amp;D90&amp;"/"&amp;E90</f>
        <v>1.500-1.699//VG/D</v>
      </c>
      <c r="B90" s="889"/>
      <c r="C90" s="164"/>
      <c r="D90" s="157" t="s">
        <v>202</v>
      </c>
      <c r="E90" s="158" t="s">
        <v>186</v>
      </c>
      <c r="F90" s="163">
        <v>3650</v>
      </c>
      <c r="G90" s="163">
        <v>3375</v>
      </c>
      <c r="H90" s="163">
        <v>2875</v>
      </c>
      <c r="I90" s="163">
        <v>2200</v>
      </c>
      <c r="J90" s="163"/>
      <c r="K90" s="163"/>
      <c r="L90" s="163"/>
      <c r="M90" s="163"/>
    </row>
    <row r="91" spans="1:13" x14ac:dyDescent="0.25">
      <c r="A91" t="str">
        <f>B78&amp;"/"&amp;C78&amp;"/"&amp;D90&amp;"/"&amp;E91</f>
        <v>1.500-1.699//VG/E</v>
      </c>
      <c r="B91" s="889"/>
      <c r="C91" s="164"/>
      <c r="D91" s="154"/>
      <c r="E91" s="155" t="s">
        <v>213</v>
      </c>
      <c r="F91" s="163">
        <v>3550</v>
      </c>
      <c r="G91" s="163">
        <v>3300</v>
      </c>
      <c r="H91" s="163">
        <v>2800</v>
      </c>
      <c r="I91" s="163">
        <v>2200</v>
      </c>
      <c r="J91" s="163"/>
      <c r="K91" s="163"/>
      <c r="L91" s="163"/>
      <c r="M91" s="163"/>
    </row>
    <row r="92" spans="1:13" x14ac:dyDescent="0.25">
      <c r="A92" t="str">
        <f>B78&amp;"/"&amp;C78&amp;"/"&amp;D90&amp;"/"&amp;E92</f>
        <v>1.500-1.699//VG/F</v>
      </c>
      <c r="B92" s="889"/>
      <c r="C92" s="164"/>
      <c r="D92" s="156"/>
      <c r="E92" s="155" t="s">
        <v>232</v>
      </c>
      <c r="F92" s="163">
        <v>3550</v>
      </c>
      <c r="G92" s="163">
        <v>3300</v>
      </c>
      <c r="H92" s="163">
        <v>2800</v>
      </c>
      <c r="I92" s="163">
        <v>2200</v>
      </c>
      <c r="J92" s="163"/>
      <c r="K92" s="163"/>
      <c r="L92" s="163"/>
      <c r="M92" s="163"/>
    </row>
    <row r="93" spans="1:13" x14ac:dyDescent="0.25">
      <c r="A93" t="str">
        <f>B78&amp;"/"&amp;C78&amp;"/"&amp;D90&amp;"/"&amp;E93</f>
        <v>1.500-1.699//VG/G</v>
      </c>
      <c r="B93" s="889"/>
      <c r="C93" s="164"/>
      <c r="D93" s="156"/>
      <c r="E93" s="155" t="s">
        <v>215</v>
      </c>
      <c r="F93" s="163">
        <v>3450</v>
      </c>
      <c r="G93" s="163">
        <v>3200</v>
      </c>
      <c r="H93" s="163">
        <v>2725</v>
      </c>
      <c r="I93" s="163">
        <v>2150</v>
      </c>
      <c r="J93" s="163"/>
      <c r="K93" s="163"/>
      <c r="L93" s="163"/>
      <c r="M93" s="163"/>
    </row>
    <row r="94" spans="1:13" x14ac:dyDescent="0.25">
      <c r="A94" t="str">
        <f>B78&amp;"/"&amp;C78&amp;"/"&amp;D90&amp;"/"&amp;E94</f>
        <v>1.500-1.699//VG/H</v>
      </c>
      <c r="B94" s="889"/>
      <c r="C94" s="164"/>
      <c r="D94" s="156"/>
      <c r="E94" s="155" t="s">
        <v>249</v>
      </c>
      <c r="F94" s="163">
        <v>3450</v>
      </c>
      <c r="G94" s="163">
        <v>3200</v>
      </c>
      <c r="H94" s="163">
        <v>2725</v>
      </c>
      <c r="I94" s="163">
        <v>2150</v>
      </c>
      <c r="J94" s="163"/>
      <c r="K94" s="163"/>
      <c r="L94" s="163"/>
      <c r="M94" s="163"/>
    </row>
    <row r="95" spans="1:13" x14ac:dyDescent="0.25">
      <c r="A95" t="str">
        <f>B78&amp;"/"&amp;C78&amp;"/"&amp;D90&amp;"/"&amp;E95</f>
        <v>1.500-1.699//VG/I</v>
      </c>
      <c r="B95" s="889"/>
      <c r="C95" s="164"/>
      <c r="D95" s="156"/>
      <c r="E95" s="155" t="s">
        <v>257</v>
      </c>
      <c r="F95" s="163">
        <v>3450</v>
      </c>
      <c r="G95" s="163">
        <v>3200</v>
      </c>
      <c r="H95" s="163">
        <v>2725</v>
      </c>
      <c r="I95" s="163">
        <v>2150</v>
      </c>
      <c r="J95" s="163"/>
      <c r="K95" s="163"/>
      <c r="L95" s="163"/>
      <c r="M95" s="163"/>
    </row>
    <row r="96" spans="1:13" x14ac:dyDescent="0.25">
      <c r="A96" t="str">
        <f>B78&amp;"/"&amp;C78&amp;"/"&amp;D90&amp;"/"&amp;E96</f>
        <v>1.500-1.699//VG/J</v>
      </c>
      <c r="B96" s="889"/>
      <c r="C96" s="164"/>
      <c r="D96" s="156"/>
      <c r="E96" s="155" t="s">
        <v>264</v>
      </c>
      <c r="F96" s="163">
        <v>3125</v>
      </c>
      <c r="G96" s="163">
        <v>2875</v>
      </c>
      <c r="H96" s="163">
        <v>2450</v>
      </c>
      <c r="I96" s="163">
        <v>1975</v>
      </c>
      <c r="J96" s="163"/>
      <c r="K96" s="163"/>
      <c r="L96" s="163"/>
      <c r="M96" s="163"/>
    </row>
    <row r="97" spans="1:13" x14ac:dyDescent="0.25">
      <c r="A97" t="str">
        <f>B78&amp;"/"&amp;C78&amp;"/"&amp;D90&amp;"/"&amp;E97</f>
        <v>1.500-1.699//VG/K</v>
      </c>
      <c r="B97" s="889"/>
      <c r="C97" s="164"/>
      <c r="D97" s="165"/>
      <c r="E97" s="155" t="s">
        <v>272</v>
      </c>
      <c r="F97" s="163">
        <v>2200</v>
      </c>
      <c r="G97" s="163">
        <v>2025</v>
      </c>
      <c r="H97" s="163">
        <v>1725</v>
      </c>
      <c r="I97" s="163">
        <v>1400</v>
      </c>
      <c r="J97" s="163"/>
      <c r="K97" s="163"/>
      <c r="L97" s="163"/>
      <c r="M97" s="163"/>
    </row>
    <row r="98" spans="1:13" x14ac:dyDescent="0.25">
      <c r="A98" t="str">
        <f>B78&amp;"/"&amp;C78&amp;"/"&amp;D90&amp;"/"&amp;E98</f>
        <v>1.500-1.699//VG/L</v>
      </c>
      <c r="B98" s="889"/>
      <c r="C98" s="164"/>
      <c r="D98" s="165"/>
      <c r="E98" s="155" t="s">
        <v>278</v>
      </c>
      <c r="F98" s="163">
        <v>2200</v>
      </c>
      <c r="G98" s="163">
        <v>2025</v>
      </c>
      <c r="H98" s="163">
        <v>1725</v>
      </c>
      <c r="I98" s="163">
        <v>1400</v>
      </c>
      <c r="J98" s="163"/>
      <c r="K98" s="163"/>
      <c r="L98" s="163"/>
      <c r="M98" s="163"/>
    </row>
    <row r="99" spans="1:13" x14ac:dyDescent="0.25">
      <c r="A99" t="str">
        <f>B78&amp;"/"&amp;C78&amp;"/"&amp;D90&amp;"/"&amp;E99</f>
        <v>1.500-1.699//VG/M</v>
      </c>
      <c r="B99" s="889"/>
      <c r="C99" s="164"/>
      <c r="D99" s="165"/>
      <c r="E99" s="155" t="s">
        <v>284</v>
      </c>
      <c r="F99" s="163">
        <v>2075</v>
      </c>
      <c r="G99" s="163">
        <v>1950</v>
      </c>
      <c r="H99" s="163">
        <v>1650</v>
      </c>
      <c r="I99" s="163">
        <v>1325</v>
      </c>
      <c r="J99" s="163"/>
      <c r="K99" s="163"/>
      <c r="L99" s="163"/>
      <c r="M99" s="163"/>
    </row>
    <row r="100" spans="1:13" x14ac:dyDescent="0.25">
      <c r="A100" t="str">
        <f>B78&amp;"/"&amp;C78&amp;"/"&amp;D90&amp;"/"&amp;E100</f>
        <v>1.500-1.699//VG/N</v>
      </c>
      <c r="B100" s="889"/>
      <c r="C100" s="164"/>
      <c r="D100" s="165"/>
      <c r="E100" s="155" t="s">
        <v>748</v>
      </c>
      <c r="F100" s="163"/>
      <c r="G100" s="163"/>
      <c r="H100" s="163"/>
      <c r="I100" s="163"/>
      <c r="J100" s="163"/>
      <c r="K100" s="163"/>
      <c r="L100" s="163"/>
      <c r="M100" s="163"/>
    </row>
    <row r="101" spans="1:13" x14ac:dyDescent="0.25">
      <c r="A101" t="str">
        <f>B78&amp;"/"&amp;C78&amp;"/"&amp;D90&amp;"/"&amp;E101</f>
        <v>1.500-1.699//VG/O</v>
      </c>
      <c r="B101" s="889"/>
      <c r="C101" s="164"/>
      <c r="D101" s="165"/>
      <c r="E101" s="155" t="s">
        <v>749</v>
      </c>
      <c r="F101" s="163"/>
      <c r="G101" s="163"/>
      <c r="H101" s="163"/>
      <c r="I101" s="163"/>
      <c r="J101" s="163"/>
      <c r="K101" s="163"/>
      <c r="L101" s="163"/>
      <c r="M101" s="163"/>
    </row>
    <row r="102" spans="1:13" x14ac:dyDescent="0.25">
      <c r="A102" t="str">
        <f>B78&amp;"/"&amp;C78&amp;"/"&amp;D102&amp;"/"&amp;E102</f>
        <v>1.500-1.699//Good/D</v>
      </c>
      <c r="B102" s="889"/>
      <c r="C102" s="164"/>
      <c r="D102" s="157" t="s">
        <v>764</v>
      </c>
      <c r="E102" s="158" t="s">
        <v>186</v>
      </c>
      <c r="F102" s="163">
        <v>3450</v>
      </c>
      <c r="G102" s="163">
        <v>3250</v>
      </c>
      <c r="H102" s="163">
        <v>2750</v>
      </c>
      <c r="I102" s="163">
        <v>2125</v>
      </c>
      <c r="J102" s="163">
        <v>1475</v>
      </c>
      <c r="K102" s="163">
        <v>1000</v>
      </c>
      <c r="L102" s="163">
        <v>700</v>
      </c>
      <c r="M102" s="163">
        <v>375</v>
      </c>
    </row>
    <row r="103" spans="1:13" x14ac:dyDescent="0.25">
      <c r="A103" t="str">
        <f>B78&amp;"/"&amp;C78&amp;"/"&amp;D102&amp;"/"&amp;E103</f>
        <v>1.500-1.699//Good/E</v>
      </c>
      <c r="B103" s="889"/>
      <c r="C103" s="164"/>
      <c r="D103" s="154"/>
      <c r="E103" s="155" t="s">
        <v>213</v>
      </c>
      <c r="F103" s="163">
        <v>3375</v>
      </c>
      <c r="G103" s="163">
        <v>3175</v>
      </c>
      <c r="H103" s="163">
        <v>2675</v>
      </c>
      <c r="I103" s="163">
        <v>2125</v>
      </c>
      <c r="J103" s="163">
        <v>1475</v>
      </c>
      <c r="K103" s="163">
        <v>1000</v>
      </c>
      <c r="L103" s="163">
        <v>700</v>
      </c>
      <c r="M103" s="163">
        <v>375</v>
      </c>
    </row>
    <row r="104" spans="1:13" x14ac:dyDescent="0.25">
      <c r="A104" t="str">
        <f>B78&amp;"/"&amp;C78&amp;"/"&amp;D102&amp;"/"&amp;E104</f>
        <v>1.500-1.699//Good/F</v>
      </c>
      <c r="B104" s="889"/>
      <c r="C104" s="164"/>
      <c r="D104" s="156"/>
      <c r="E104" s="155" t="s">
        <v>232</v>
      </c>
      <c r="F104" s="163">
        <v>3375</v>
      </c>
      <c r="G104" s="163">
        <v>3175</v>
      </c>
      <c r="H104" s="163">
        <v>2675</v>
      </c>
      <c r="I104" s="163">
        <v>2125</v>
      </c>
      <c r="J104" s="163">
        <v>1475</v>
      </c>
      <c r="K104" s="163">
        <v>1000</v>
      </c>
      <c r="L104" s="163">
        <v>700</v>
      </c>
      <c r="M104" s="163">
        <v>375</v>
      </c>
    </row>
    <row r="105" spans="1:13" x14ac:dyDescent="0.25">
      <c r="A105" t="str">
        <f>B78&amp;"/"&amp;C78&amp;"/"&amp;D102&amp;"/"&amp;E105</f>
        <v>1.500-1.699//Good/G</v>
      </c>
      <c r="B105" s="889"/>
      <c r="C105" s="164"/>
      <c r="D105" s="156"/>
      <c r="E105" s="155" t="s">
        <v>215</v>
      </c>
      <c r="F105" s="163">
        <v>3275</v>
      </c>
      <c r="G105" s="163">
        <v>3075</v>
      </c>
      <c r="H105" s="163">
        <v>2600</v>
      </c>
      <c r="I105" s="163">
        <v>2100</v>
      </c>
      <c r="J105" s="163">
        <v>1450</v>
      </c>
      <c r="K105" s="163">
        <v>1000</v>
      </c>
      <c r="L105" s="163">
        <v>700</v>
      </c>
      <c r="M105" s="163">
        <v>375</v>
      </c>
    </row>
    <row r="106" spans="1:13" x14ac:dyDescent="0.25">
      <c r="A106" t="str">
        <f>B78&amp;"/"&amp;C78&amp;"/"&amp;D102&amp;"/"&amp;E106</f>
        <v>1.500-1.699//Good/H</v>
      </c>
      <c r="B106" s="889"/>
      <c r="C106" s="164"/>
      <c r="D106" s="156"/>
      <c r="E106" s="155" t="s">
        <v>249</v>
      </c>
      <c r="F106" s="163">
        <v>3275</v>
      </c>
      <c r="G106" s="163">
        <v>3075</v>
      </c>
      <c r="H106" s="163">
        <v>2600</v>
      </c>
      <c r="I106" s="163">
        <v>2100</v>
      </c>
      <c r="J106" s="163">
        <v>1450</v>
      </c>
      <c r="K106" s="163">
        <v>1000</v>
      </c>
      <c r="L106" s="163">
        <v>700</v>
      </c>
      <c r="M106" s="163">
        <v>375</v>
      </c>
    </row>
    <row r="107" spans="1:13" x14ac:dyDescent="0.25">
      <c r="A107" t="str">
        <f>B78&amp;"/"&amp;C78&amp;"/"&amp;D102&amp;"/"&amp;E107</f>
        <v>1.500-1.699//Good/I</v>
      </c>
      <c r="B107" s="889"/>
      <c r="C107" s="164"/>
      <c r="D107" s="156"/>
      <c r="E107" s="155" t="s">
        <v>257</v>
      </c>
      <c r="F107" s="163">
        <v>3275</v>
      </c>
      <c r="G107" s="163">
        <v>3075</v>
      </c>
      <c r="H107" s="163">
        <v>2600</v>
      </c>
      <c r="I107" s="163">
        <v>2100</v>
      </c>
      <c r="J107" s="163">
        <v>1450</v>
      </c>
      <c r="K107" s="163">
        <v>1000</v>
      </c>
      <c r="L107" s="163">
        <v>700</v>
      </c>
      <c r="M107" s="163">
        <v>375</v>
      </c>
    </row>
    <row r="108" spans="1:13" x14ac:dyDescent="0.25">
      <c r="A108" t="str">
        <f>B78&amp;"/"&amp;C78&amp;"/"&amp;D102&amp;"/"&amp;E108</f>
        <v>1.500-1.699//Good/J</v>
      </c>
      <c r="B108" s="889"/>
      <c r="C108" s="164"/>
      <c r="D108" s="156"/>
      <c r="E108" s="155" t="s">
        <v>264</v>
      </c>
      <c r="F108" s="163">
        <v>2925</v>
      </c>
      <c r="G108" s="163">
        <v>2750</v>
      </c>
      <c r="H108" s="163">
        <v>2375</v>
      </c>
      <c r="I108" s="163">
        <v>1925</v>
      </c>
      <c r="J108" s="163">
        <v>1375</v>
      </c>
      <c r="K108" s="163">
        <v>925</v>
      </c>
      <c r="L108" s="163">
        <v>700</v>
      </c>
      <c r="M108" s="163">
        <v>375</v>
      </c>
    </row>
    <row r="109" spans="1:13" x14ac:dyDescent="0.25">
      <c r="A109" t="str">
        <f>B78&amp;"/"&amp;C78&amp;"/"&amp;D102&amp;"/"&amp;E109</f>
        <v>1.500-1.699//Good/K</v>
      </c>
      <c r="B109" s="889"/>
      <c r="C109" s="164"/>
      <c r="D109" s="165"/>
      <c r="E109" s="155" t="s">
        <v>272</v>
      </c>
      <c r="F109" s="163">
        <v>2100</v>
      </c>
      <c r="G109" s="163">
        <v>1950</v>
      </c>
      <c r="H109" s="163">
        <v>1650</v>
      </c>
      <c r="I109" s="163">
        <v>1375</v>
      </c>
      <c r="J109" s="163">
        <v>900</v>
      </c>
      <c r="K109" s="163">
        <v>650</v>
      </c>
      <c r="L109" s="163">
        <v>425</v>
      </c>
      <c r="M109" s="163">
        <v>275</v>
      </c>
    </row>
    <row r="110" spans="1:13" x14ac:dyDescent="0.25">
      <c r="A110" t="str">
        <f>B78&amp;"/"&amp;C78&amp;"/"&amp;D102&amp;"/"&amp;E110</f>
        <v>1.500-1.699//Good/L</v>
      </c>
      <c r="B110" s="889"/>
      <c r="C110" s="164"/>
      <c r="D110" s="165"/>
      <c r="E110" s="155" t="s">
        <v>278</v>
      </c>
      <c r="F110" s="163">
        <v>2100</v>
      </c>
      <c r="G110" s="163">
        <v>1950</v>
      </c>
      <c r="H110" s="163">
        <v>1650</v>
      </c>
      <c r="I110" s="163">
        <v>1375</v>
      </c>
      <c r="J110" s="163">
        <v>900</v>
      </c>
      <c r="K110" s="163">
        <v>650</v>
      </c>
      <c r="L110" s="163">
        <v>425</v>
      </c>
      <c r="M110" s="163">
        <v>275</v>
      </c>
    </row>
    <row r="111" spans="1:13" x14ac:dyDescent="0.25">
      <c r="A111" t="str">
        <f>B78&amp;"/"&amp;C78&amp;"/"&amp;D102&amp;"/"&amp;E111</f>
        <v>1.500-1.699//Good/M</v>
      </c>
      <c r="B111" s="889"/>
      <c r="C111" s="164"/>
      <c r="D111" s="165"/>
      <c r="E111" s="155" t="s">
        <v>284</v>
      </c>
      <c r="F111" s="163">
        <v>1975</v>
      </c>
      <c r="G111" s="163">
        <v>1875</v>
      </c>
      <c r="H111" s="163">
        <v>1575</v>
      </c>
      <c r="I111" s="163">
        <v>1300</v>
      </c>
      <c r="J111" s="163">
        <v>900</v>
      </c>
      <c r="K111" s="163">
        <v>650</v>
      </c>
      <c r="L111" s="163">
        <v>425</v>
      </c>
      <c r="M111" s="163">
        <v>275</v>
      </c>
    </row>
    <row r="112" spans="1:13" x14ac:dyDescent="0.25">
      <c r="A112" t="str">
        <f>B78&amp;"/"&amp;C78&amp;"/"&amp;D102&amp;"/"&amp;E112</f>
        <v>1.500-1.699//Good/N</v>
      </c>
      <c r="B112" s="889"/>
      <c r="C112" s="164"/>
      <c r="D112" s="165"/>
      <c r="E112" s="155" t="s">
        <v>748</v>
      </c>
      <c r="F112" s="163"/>
      <c r="G112" s="163"/>
      <c r="H112" s="163"/>
      <c r="I112" s="163"/>
      <c r="J112" s="163"/>
      <c r="K112" s="163"/>
      <c r="L112" s="163"/>
      <c r="M112" s="163"/>
    </row>
    <row r="113" spans="1:13" x14ac:dyDescent="0.25">
      <c r="A113" t="str">
        <f>B78&amp;"/"&amp;C78&amp;"/"&amp;D102&amp;"/"&amp;E113</f>
        <v>1.500-1.699//Good/O</v>
      </c>
      <c r="B113" s="889"/>
      <c r="C113" s="164"/>
      <c r="D113" s="165"/>
      <c r="E113" s="155" t="s">
        <v>749</v>
      </c>
      <c r="F113" s="163"/>
      <c r="G113" s="163"/>
      <c r="H113" s="163"/>
      <c r="I113" s="163"/>
      <c r="J113" s="163"/>
      <c r="K113" s="163"/>
      <c r="L113" s="163"/>
      <c r="M113" s="163"/>
    </row>
    <row r="114" spans="1:13" x14ac:dyDescent="0.25">
      <c r="A114" t="str">
        <f>B114&amp;"/"&amp;C114&amp;"/"&amp;D114&amp;"/"&amp;E114</f>
        <v>1.700-1.999//EX/D</v>
      </c>
      <c r="B114" s="889" t="s">
        <v>309</v>
      </c>
      <c r="C114" s="164"/>
      <c r="D114" s="891" t="s">
        <v>188</v>
      </c>
      <c r="E114" s="158" t="s">
        <v>186</v>
      </c>
      <c r="F114" s="163">
        <v>3825</v>
      </c>
      <c r="G114" s="163">
        <v>3600</v>
      </c>
      <c r="H114" s="163">
        <v>3150</v>
      </c>
      <c r="I114" s="163"/>
      <c r="J114" s="163"/>
      <c r="K114" s="163"/>
      <c r="L114" s="163"/>
      <c r="M114" s="163"/>
    </row>
    <row r="115" spans="1:13" x14ac:dyDescent="0.25">
      <c r="A115" t="str">
        <f>B114&amp;"/"&amp;C114&amp;"/"&amp;D114&amp;"/"&amp;E115</f>
        <v>1.700-1.999//EX/E</v>
      </c>
      <c r="B115" s="889"/>
      <c r="C115" s="164"/>
      <c r="D115" s="892"/>
      <c r="E115" s="155" t="s">
        <v>213</v>
      </c>
      <c r="F115" s="163">
        <v>3775</v>
      </c>
      <c r="G115" s="163">
        <v>3525</v>
      </c>
      <c r="H115" s="163">
        <v>3075</v>
      </c>
      <c r="I115" s="163"/>
      <c r="J115" s="163"/>
      <c r="K115" s="163"/>
      <c r="L115" s="163"/>
      <c r="M115" s="163"/>
    </row>
    <row r="116" spans="1:13" x14ac:dyDescent="0.25">
      <c r="A116" t="str">
        <f>B114&amp;"/"&amp;C114&amp;"/"&amp;D114&amp;"/"&amp;E116</f>
        <v>1.700-1.999//EX/F</v>
      </c>
      <c r="B116" s="889"/>
      <c r="C116" s="164"/>
      <c r="D116" s="892"/>
      <c r="E116" s="155" t="s">
        <v>232</v>
      </c>
      <c r="F116" s="163">
        <v>3775</v>
      </c>
      <c r="G116" s="163">
        <v>3525</v>
      </c>
      <c r="H116" s="163">
        <v>3075</v>
      </c>
      <c r="I116" s="163"/>
      <c r="J116" s="163"/>
      <c r="K116" s="163"/>
      <c r="L116" s="163"/>
      <c r="M116" s="163"/>
    </row>
    <row r="117" spans="1:13" x14ac:dyDescent="0.25">
      <c r="A117" t="str">
        <f>B114&amp;"/"&amp;C114&amp;"/"&amp;D114&amp;"/"&amp;E117</f>
        <v>1.700-1.999//EX/G</v>
      </c>
      <c r="B117" s="889"/>
      <c r="C117" s="164"/>
      <c r="D117" s="892"/>
      <c r="E117" s="155" t="s">
        <v>215</v>
      </c>
      <c r="F117" s="163">
        <v>3700</v>
      </c>
      <c r="G117" s="163">
        <v>3425</v>
      </c>
      <c r="H117" s="163">
        <v>2975</v>
      </c>
      <c r="I117" s="163"/>
      <c r="J117" s="163"/>
      <c r="K117" s="163"/>
      <c r="L117" s="163"/>
      <c r="M117" s="163"/>
    </row>
    <row r="118" spans="1:13" x14ac:dyDescent="0.25">
      <c r="A118" t="str">
        <f>B114&amp;"/"&amp;C114&amp;"/"&amp;D114&amp;"/"&amp;E118</f>
        <v>1.700-1.999//EX/H</v>
      </c>
      <c r="B118" s="889"/>
      <c r="C118" s="164"/>
      <c r="D118" s="892"/>
      <c r="E118" s="155" t="s">
        <v>249</v>
      </c>
      <c r="F118" s="163">
        <v>3700</v>
      </c>
      <c r="G118" s="163">
        <v>3425</v>
      </c>
      <c r="H118" s="163">
        <v>2975</v>
      </c>
      <c r="I118" s="163"/>
      <c r="J118" s="163"/>
      <c r="K118" s="163"/>
      <c r="L118" s="163"/>
      <c r="M118" s="163"/>
    </row>
    <row r="119" spans="1:13" x14ac:dyDescent="0.25">
      <c r="A119" t="str">
        <f>B114&amp;"/"&amp;C114&amp;"/"&amp;D114&amp;"/"&amp;E119</f>
        <v>1.700-1.999//EX/I</v>
      </c>
      <c r="B119" s="889"/>
      <c r="C119" s="164"/>
      <c r="D119" s="892"/>
      <c r="E119" s="155" t="s">
        <v>257</v>
      </c>
      <c r="F119" s="163">
        <v>3700</v>
      </c>
      <c r="G119" s="163">
        <v>3425</v>
      </c>
      <c r="H119" s="163">
        <v>2975</v>
      </c>
      <c r="I119" s="163"/>
      <c r="J119" s="163"/>
      <c r="K119" s="163"/>
      <c r="L119" s="163"/>
      <c r="M119" s="163"/>
    </row>
    <row r="120" spans="1:13" x14ac:dyDescent="0.25">
      <c r="A120" t="str">
        <f>B114&amp;"/"&amp;C114&amp;"/"&amp;D114&amp;"/"&amp;E120</f>
        <v>1.700-1.999//EX/J</v>
      </c>
      <c r="B120" s="889"/>
      <c r="C120" s="164"/>
      <c r="D120" s="892"/>
      <c r="E120" s="155" t="s">
        <v>264</v>
      </c>
      <c r="F120" s="163">
        <v>3300</v>
      </c>
      <c r="G120" s="163">
        <v>3100</v>
      </c>
      <c r="H120" s="163">
        <v>2700</v>
      </c>
      <c r="I120" s="163"/>
      <c r="J120" s="163"/>
      <c r="K120" s="163"/>
      <c r="L120" s="163"/>
      <c r="M120" s="163"/>
    </row>
    <row r="121" spans="1:13" x14ac:dyDescent="0.25">
      <c r="A121" t="str">
        <f>B114&amp;"/"&amp;C114&amp;"/"&amp;D114&amp;"/"&amp;E121</f>
        <v>1.700-1.999//EX/K</v>
      </c>
      <c r="B121" s="889"/>
      <c r="C121" s="164"/>
      <c r="D121" s="892"/>
      <c r="E121" s="155" t="s">
        <v>272</v>
      </c>
      <c r="F121" s="163">
        <v>2300</v>
      </c>
      <c r="G121" s="163">
        <v>2150</v>
      </c>
      <c r="H121" s="163">
        <v>1900</v>
      </c>
      <c r="I121" s="163"/>
      <c r="J121" s="163"/>
      <c r="K121" s="163"/>
      <c r="L121" s="163"/>
      <c r="M121" s="163"/>
    </row>
    <row r="122" spans="1:13" x14ac:dyDescent="0.25">
      <c r="A122" t="str">
        <f>B114&amp;"/"&amp;C114&amp;"/"&amp;D114&amp;"/"&amp;E122</f>
        <v>1.700-1.999//EX/L</v>
      </c>
      <c r="B122" s="889"/>
      <c r="C122" s="164"/>
      <c r="D122" s="892"/>
      <c r="E122" s="155" t="s">
        <v>278</v>
      </c>
      <c r="F122" s="163">
        <v>2300</v>
      </c>
      <c r="G122" s="163">
        <v>2150</v>
      </c>
      <c r="H122" s="163">
        <v>1900</v>
      </c>
      <c r="I122" s="163"/>
      <c r="J122" s="163"/>
      <c r="K122" s="163"/>
      <c r="L122" s="163"/>
      <c r="M122" s="163"/>
    </row>
    <row r="123" spans="1:13" x14ac:dyDescent="0.25">
      <c r="A123" t="str">
        <f>B114&amp;"/"&amp;C114&amp;"/"&amp;D114&amp;"/"&amp;E123</f>
        <v>1.700-1.999//EX/M</v>
      </c>
      <c r="B123" s="889"/>
      <c r="C123" s="164"/>
      <c r="D123" s="892"/>
      <c r="E123" s="155" t="s">
        <v>284</v>
      </c>
      <c r="F123" s="163">
        <v>2200</v>
      </c>
      <c r="G123" s="163">
        <v>2050</v>
      </c>
      <c r="H123" s="163">
        <v>1825</v>
      </c>
      <c r="I123" s="163"/>
      <c r="J123" s="163"/>
      <c r="K123" s="163"/>
      <c r="L123" s="163"/>
      <c r="M123" s="163"/>
    </row>
    <row r="124" spans="1:13" x14ac:dyDescent="0.25">
      <c r="A124" t="str">
        <f>B114&amp;"/"&amp;C114&amp;"/"&amp;D114&amp;"/"&amp;E124</f>
        <v>1.700-1.999//EX/N</v>
      </c>
      <c r="B124" s="889"/>
      <c r="C124" s="164"/>
      <c r="D124" s="892"/>
      <c r="E124" s="155" t="s">
        <v>748</v>
      </c>
      <c r="F124" s="163"/>
      <c r="G124" s="163"/>
      <c r="H124" s="163"/>
      <c r="I124" s="163"/>
      <c r="J124" s="163"/>
      <c r="K124" s="163"/>
      <c r="L124" s="163"/>
      <c r="M124" s="163"/>
    </row>
    <row r="125" spans="1:13" x14ac:dyDescent="0.25">
      <c r="A125" t="str">
        <f>B114&amp;"/"&amp;C114&amp;"/"&amp;D114&amp;"/"&amp;E125</f>
        <v>1.700-1.999//EX/O</v>
      </c>
      <c r="B125" s="889"/>
      <c r="C125" s="164"/>
      <c r="D125" s="893"/>
      <c r="E125" s="155" t="s">
        <v>749</v>
      </c>
      <c r="F125" s="163"/>
      <c r="G125" s="163"/>
      <c r="H125" s="163"/>
      <c r="I125" s="163"/>
      <c r="J125" s="163"/>
      <c r="K125" s="163"/>
      <c r="L125" s="163"/>
      <c r="M125" s="163"/>
    </row>
    <row r="126" spans="1:13" x14ac:dyDescent="0.25">
      <c r="A126" t="str">
        <f>B114&amp;"/"&amp;C114&amp;"/"&amp;D126&amp;"/"&amp;E126</f>
        <v>1.700-1.999//VG/D</v>
      </c>
      <c r="B126" s="889"/>
      <c r="C126" s="164"/>
      <c r="D126" s="157" t="s">
        <v>202</v>
      </c>
      <c r="E126" s="158" t="s">
        <v>186</v>
      </c>
      <c r="F126" s="163">
        <v>3700</v>
      </c>
      <c r="G126" s="163">
        <v>3500</v>
      </c>
      <c r="H126" s="163">
        <v>3075</v>
      </c>
      <c r="I126" s="163"/>
      <c r="J126" s="163"/>
      <c r="K126" s="163"/>
      <c r="L126" s="163"/>
      <c r="M126" s="163"/>
    </row>
    <row r="127" spans="1:13" x14ac:dyDescent="0.25">
      <c r="A127" t="str">
        <f>B114&amp;"/"&amp;C114&amp;"/"&amp;D126&amp;"/"&amp;E127</f>
        <v>1.700-1.999//VG/E</v>
      </c>
      <c r="B127" s="889"/>
      <c r="C127" s="164"/>
      <c r="D127" s="154"/>
      <c r="E127" s="155" t="s">
        <v>213</v>
      </c>
      <c r="F127" s="163">
        <v>3650</v>
      </c>
      <c r="G127" s="163">
        <v>3425</v>
      </c>
      <c r="H127" s="163">
        <v>3000</v>
      </c>
      <c r="I127" s="163"/>
      <c r="J127" s="163"/>
      <c r="K127" s="163"/>
      <c r="L127" s="163"/>
      <c r="M127" s="163"/>
    </row>
    <row r="128" spans="1:13" x14ac:dyDescent="0.25">
      <c r="A128" t="str">
        <f>B114&amp;"/"&amp;C114&amp;"/"&amp;D126&amp;"/"&amp;E128</f>
        <v>1.700-1.999//VG/F</v>
      </c>
      <c r="B128" s="889"/>
      <c r="C128" s="164"/>
      <c r="D128" s="156"/>
      <c r="E128" s="155" t="s">
        <v>232</v>
      </c>
      <c r="F128" s="163">
        <v>3650</v>
      </c>
      <c r="G128" s="163">
        <v>3425</v>
      </c>
      <c r="H128" s="163">
        <v>3000</v>
      </c>
      <c r="I128" s="163"/>
      <c r="J128" s="163"/>
      <c r="K128" s="163"/>
      <c r="L128" s="163"/>
      <c r="M128" s="163"/>
    </row>
    <row r="129" spans="1:13" x14ac:dyDescent="0.25">
      <c r="A129" t="str">
        <f>B114&amp;"/"&amp;C114&amp;"/"&amp;D126&amp;"/"&amp;E129</f>
        <v>1.700-1.999//VG/G</v>
      </c>
      <c r="B129" s="889"/>
      <c r="C129" s="164"/>
      <c r="D129" s="156"/>
      <c r="E129" s="155" t="s">
        <v>215</v>
      </c>
      <c r="F129" s="163">
        <v>3575</v>
      </c>
      <c r="G129" s="163">
        <v>3325</v>
      </c>
      <c r="H129" s="163">
        <v>2925</v>
      </c>
      <c r="I129" s="163"/>
      <c r="J129" s="163"/>
      <c r="K129" s="163"/>
      <c r="L129" s="163"/>
      <c r="M129" s="163"/>
    </row>
    <row r="130" spans="1:13" x14ac:dyDescent="0.25">
      <c r="A130" t="str">
        <f>B114&amp;"/"&amp;C114&amp;"/"&amp;D126&amp;"/"&amp;E130</f>
        <v>1.700-1.999//VG/H</v>
      </c>
      <c r="B130" s="889"/>
      <c r="C130" s="164"/>
      <c r="D130" s="156"/>
      <c r="E130" s="155" t="s">
        <v>249</v>
      </c>
      <c r="F130" s="163">
        <v>3575</v>
      </c>
      <c r="G130" s="163">
        <v>3325</v>
      </c>
      <c r="H130" s="163">
        <v>2925</v>
      </c>
      <c r="I130" s="163"/>
      <c r="J130" s="163"/>
      <c r="K130" s="163"/>
      <c r="L130" s="163"/>
      <c r="M130" s="163"/>
    </row>
    <row r="131" spans="1:13" x14ac:dyDescent="0.25">
      <c r="A131" t="str">
        <f>B114&amp;"/"&amp;C114&amp;"/"&amp;D126&amp;"/"&amp;E131</f>
        <v>1.700-1.999//VG/I</v>
      </c>
      <c r="B131" s="889"/>
      <c r="C131" s="164"/>
      <c r="D131" s="156"/>
      <c r="E131" s="155" t="s">
        <v>257</v>
      </c>
      <c r="F131" s="163">
        <v>3575</v>
      </c>
      <c r="G131" s="163">
        <v>3325</v>
      </c>
      <c r="H131" s="163">
        <v>2925</v>
      </c>
      <c r="I131" s="163"/>
      <c r="J131" s="163"/>
      <c r="K131" s="163"/>
      <c r="L131" s="163"/>
      <c r="M131" s="163"/>
    </row>
    <row r="132" spans="1:13" x14ac:dyDescent="0.25">
      <c r="A132" t="str">
        <f>B114&amp;"/"&amp;C114&amp;"/"&amp;D126&amp;"/"&amp;E132</f>
        <v>1.700-1.999//VG/J</v>
      </c>
      <c r="B132" s="889"/>
      <c r="C132" s="164"/>
      <c r="D132" s="156"/>
      <c r="E132" s="155" t="s">
        <v>264</v>
      </c>
      <c r="F132" s="163">
        <v>3175</v>
      </c>
      <c r="G132" s="163">
        <v>3000</v>
      </c>
      <c r="H132" s="163">
        <v>2650</v>
      </c>
      <c r="I132" s="163"/>
      <c r="J132" s="163"/>
      <c r="K132" s="163"/>
      <c r="L132" s="163"/>
      <c r="M132" s="163"/>
    </row>
    <row r="133" spans="1:13" x14ac:dyDescent="0.25">
      <c r="A133" t="str">
        <f>B114&amp;"/"&amp;C114&amp;"/"&amp;D126&amp;"/"&amp;E133</f>
        <v>1.700-1.999//VG/K</v>
      </c>
      <c r="B133" s="889"/>
      <c r="C133" s="164"/>
      <c r="D133" s="165"/>
      <c r="E133" s="155" t="s">
        <v>272</v>
      </c>
      <c r="F133" s="163">
        <v>2225</v>
      </c>
      <c r="G133" s="163">
        <v>2075</v>
      </c>
      <c r="H133" s="163">
        <v>1850</v>
      </c>
      <c r="I133" s="163"/>
      <c r="J133" s="163"/>
      <c r="K133" s="163"/>
      <c r="L133" s="163"/>
      <c r="M133" s="163"/>
    </row>
    <row r="134" spans="1:13" x14ac:dyDescent="0.25">
      <c r="A134" t="str">
        <f>B114&amp;"/"&amp;C114&amp;"/"&amp;D126&amp;"/"&amp;E134</f>
        <v>1.700-1.999//VG/L</v>
      </c>
      <c r="B134" s="889"/>
      <c r="C134" s="164"/>
      <c r="D134" s="165"/>
      <c r="E134" s="155" t="s">
        <v>278</v>
      </c>
      <c r="F134" s="163">
        <v>2225</v>
      </c>
      <c r="G134" s="163">
        <v>2075</v>
      </c>
      <c r="H134" s="163">
        <v>1850</v>
      </c>
      <c r="I134" s="163"/>
      <c r="J134" s="163"/>
      <c r="K134" s="163"/>
      <c r="L134" s="163"/>
      <c r="M134" s="163"/>
    </row>
    <row r="135" spans="1:13" x14ac:dyDescent="0.25">
      <c r="A135" t="str">
        <f>B114&amp;"/"&amp;C114&amp;"/"&amp;D126&amp;"/"&amp;E135</f>
        <v>1.700-1.999//VG/M</v>
      </c>
      <c r="B135" s="889"/>
      <c r="C135" s="164"/>
      <c r="D135" s="165"/>
      <c r="E135" s="155" t="s">
        <v>284</v>
      </c>
      <c r="F135" s="163">
        <v>2125</v>
      </c>
      <c r="G135" s="163">
        <v>1975</v>
      </c>
      <c r="H135" s="163">
        <v>1775</v>
      </c>
      <c r="I135" s="163"/>
      <c r="J135" s="163"/>
      <c r="K135" s="163"/>
      <c r="L135" s="163"/>
      <c r="M135" s="163"/>
    </row>
    <row r="136" spans="1:13" x14ac:dyDescent="0.25">
      <c r="A136" t="str">
        <f>B114&amp;"/"&amp;C114&amp;"/"&amp;D126&amp;"/"&amp;E136</f>
        <v>1.700-1.999//VG/N</v>
      </c>
      <c r="B136" s="889"/>
      <c r="C136" s="164"/>
      <c r="D136" s="165"/>
      <c r="E136" s="155" t="s">
        <v>748</v>
      </c>
      <c r="F136" s="163"/>
      <c r="G136" s="163"/>
      <c r="H136" s="163"/>
      <c r="I136" s="163"/>
      <c r="J136" s="163"/>
      <c r="K136" s="163"/>
      <c r="L136" s="163"/>
      <c r="M136" s="163"/>
    </row>
    <row r="137" spans="1:13" x14ac:dyDescent="0.25">
      <c r="A137" t="str">
        <f>B114&amp;"/"&amp;C114&amp;"/"&amp;D126&amp;"/"&amp;E137</f>
        <v>1.700-1.999//VG/O</v>
      </c>
      <c r="B137" s="889"/>
      <c r="C137" s="164"/>
      <c r="D137" s="165"/>
      <c r="E137" s="155" t="s">
        <v>749</v>
      </c>
      <c r="F137" s="163"/>
      <c r="G137" s="163"/>
      <c r="H137" s="163"/>
      <c r="I137" s="163"/>
      <c r="J137" s="163"/>
      <c r="K137" s="163"/>
      <c r="L137" s="163"/>
      <c r="M137" s="163"/>
    </row>
    <row r="138" spans="1:13" x14ac:dyDescent="0.25">
      <c r="A138" t="str">
        <f>B114&amp;"/"&amp;C114&amp;"/"&amp;D138&amp;"/"&amp;E138</f>
        <v>1.700-1.999//Good/D</v>
      </c>
      <c r="B138" s="889"/>
      <c r="C138" s="164"/>
      <c r="D138" s="157" t="s">
        <v>764</v>
      </c>
      <c r="E138" s="158" t="s">
        <v>186</v>
      </c>
      <c r="F138" s="163">
        <v>3525</v>
      </c>
      <c r="G138" s="163">
        <v>3325</v>
      </c>
      <c r="H138" s="163">
        <v>2950</v>
      </c>
      <c r="I138" s="163">
        <v>2175</v>
      </c>
      <c r="J138" s="163">
        <v>1475</v>
      </c>
      <c r="K138" s="163">
        <v>1000</v>
      </c>
      <c r="L138" s="163">
        <v>700</v>
      </c>
      <c r="M138" s="163">
        <v>375</v>
      </c>
    </row>
    <row r="139" spans="1:13" x14ac:dyDescent="0.25">
      <c r="A139" t="str">
        <f>B114&amp;"/"&amp;C114&amp;"/"&amp;D138&amp;"/"&amp;E139</f>
        <v>1.700-1.999//Good/E</v>
      </c>
      <c r="B139" s="889"/>
      <c r="C139" s="164"/>
      <c r="D139" s="154"/>
      <c r="E139" s="155" t="s">
        <v>213</v>
      </c>
      <c r="F139" s="163">
        <v>3475</v>
      </c>
      <c r="G139" s="163">
        <v>3250</v>
      </c>
      <c r="H139" s="163">
        <v>2875</v>
      </c>
      <c r="I139" s="163">
        <v>2175</v>
      </c>
      <c r="J139" s="163">
        <v>1475</v>
      </c>
      <c r="K139" s="163">
        <v>1000</v>
      </c>
      <c r="L139" s="163">
        <v>700</v>
      </c>
      <c r="M139" s="163">
        <v>375</v>
      </c>
    </row>
    <row r="140" spans="1:13" x14ac:dyDescent="0.25">
      <c r="A140" t="str">
        <f>B114&amp;"/"&amp;C114&amp;"/"&amp;D138&amp;"/"&amp;E140</f>
        <v>1.700-1.999//Good/F</v>
      </c>
      <c r="B140" s="889"/>
      <c r="C140" s="164"/>
      <c r="D140" s="156"/>
      <c r="E140" s="155" t="s">
        <v>232</v>
      </c>
      <c r="F140" s="163">
        <v>3475</v>
      </c>
      <c r="G140" s="163">
        <v>3250</v>
      </c>
      <c r="H140" s="163">
        <v>2875</v>
      </c>
      <c r="I140" s="163">
        <v>2175</v>
      </c>
      <c r="J140" s="163">
        <v>1475</v>
      </c>
      <c r="K140" s="163">
        <v>1000</v>
      </c>
      <c r="L140" s="163">
        <v>700</v>
      </c>
      <c r="M140" s="163">
        <v>375</v>
      </c>
    </row>
    <row r="141" spans="1:13" x14ac:dyDescent="0.25">
      <c r="A141" t="str">
        <f>B114&amp;"/"&amp;C114&amp;"/"&amp;D138&amp;"/"&amp;E141</f>
        <v>1.700-1.999//Good/G</v>
      </c>
      <c r="B141" s="889"/>
      <c r="C141" s="164"/>
      <c r="D141" s="156"/>
      <c r="E141" s="155" t="s">
        <v>215</v>
      </c>
      <c r="F141" s="163">
        <v>3400</v>
      </c>
      <c r="G141" s="163">
        <v>3150</v>
      </c>
      <c r="H141" s="163">
        <v>2800</v>
      </c>
      <c r="I141" s="163">
        <v>2150</v>
      </c>
      <c r="J141" s="163">
        <v>1450</v>
      </c>
      <c r="K141" s="163">
        <v>1000</v>
      </c>
      <c r="L141" s="163">
        <v>700</v>
      </c>
      <c r="M141" s="163">
        <v>375</v>
      </c>
    </row>
    <row r="142" spans="1:13" x14ac:dyDescent="0.25">
      <c r="A142" t="str">
        <f>B114&amp;"/"&amp;C114&amp;"/"&amp;D138&amp;"/"&amp;E142</f>
        <v>1.700-1.999//Good/H</v>
      </c>
      <c r="B142" s="889"/>
      <c r="C142" s="164"/>
      <c r="D142" s="156"/>
      <c r="E142" s="155" t="s">
        <v>249</v>
      </c>
      <c r="F142" s="163">
        <v>3400</v>
      </c>
      <c r="G142" s="163">
        <v>3150</v>
      </c>
      <c r="H142" s="163">
        <v>2800</v>
      </c>
      <c r="I142" s="163">
        <v>2150</v>
      </c>
      <c r="J142" s="163">
        <v>1450</v>
      </c>
      <c r="K142" s="163">
        <v>1000</v>
      </c>
      <c r="L142" s="163">
        <v>700</v>
      </c>
      <c r="M142" s="163">
        <v>375</v>
      </c>
    </row>
    <row r="143" spans="1:13" x14ac:dyDescent="0.25">
      <c r="A143" t="str">
        <f>B114&amp;"/"&amp;C114&amp;"/"&amp;D138&amp;"/"&amp;E143</f>
        <v>1.700-1.999//Good/I</v>
      </c>
      <c r="B143" s="889"/>
      <c r="C143" s="164"/>
      <c r="D143" s="156"/>
      <c r="E143" s="155" t="s">
        <v>257</v>
      </c>
      <c r="F143" s="163">
        <v>3400</v>
      </c>
      <c r="G143" s="163">
        <v>3150</v>
      </c>
      <c r="H143" s="163">
        <v>2800</v>
      </c>
      <c r="I143" s="163">
        <v>2150</v>
      </c>
      <c r="J143" s="163">
        <v>1450</v>
      </c>
      <c r="K143" s="163">
        <v>1000</v>
      </c>
      <c r="L143" s="163">
        <v>700</v>
      </c>
      <c r="M143" s="163">
        <v>375</v>
      </c>
    </row>
    <row r="144" spans="1:13" x14ac:dyDescent="0.25">
      <c r="A144" t="str">
        <f>B114&amp;"/"&amp;C114&amp;"/"&amp;D138&amp;"/"&amp;E144</f>
        <v>1.700-1.999//Good/J</v>
      </c>
      <c r="B144" s="889"/>
      <c r="C144" s="164"/>
      <c r="D144" s="156"/>
      <c r="E144" s="155" t="s">
        <v>264</v>
      </c>
      <c r="F144" s="163">
        <v>3025</v>
      </c>
      <c r="G144" s="163">
        <v>2850</v>
      </c>
      <c r="H144" s="163">
        <v>2550</v>
      </c>
      <c r="I144" s="163">
        <v>1975</v>
      </c>
      <c r="J144" s="163">
        <v>1375</v>
      </c>
      <c r="K144" s="163">
        <v>925</v>
      </c>
      <c r="L144" s="163">
        <v>700</v>
      </c>
      <c r="M144" s="163">
        <v>375</v>
      </c>
    </row>
    <row r="145" spans="1:26" x14ac:dyDescent="0.25">
      <c r="A145" t="str">
        <f>B114&amp;"/"&amp;C114&amp;"/"&amp;D138&amp;"/"&amp;E145</f>
        <v>1.700-1.999//Good/K</v>
      </c>
      <c r="B145" s="889"/>
      <c r="C145" s="164"/>
      <c r="D145" s="165"/>
      <c r="E145" s="155" t="s">
        <v>272</v>
      </c>
      <c r="F145" s="163">
        <v>2100</v>
      </c>
      <c r="G145" s="163">
        <v>1975</v>
      </c>
      <c r="H145" s="163">
        <v>1775</v>
      </c>
      <c r="I145" s="163">
        <v>1400</v>
      </c>
      <c r="J145" s="163">
        <v>900</v>
      </c>
      <c r="K145" s="163">
        <v>650</v>
      </c>
      <c r="L145" s="163">
        <v>425</v>
      </c>
      <c r="M145" s="163">
        <v>275</v>
      </c>
    </row>
    <row r="146" spans="1:26" x14ac:dyDescent="0.25">
      <c r="A146" t="str">
        <f>B114&amp;"/"&amp;C114&amp;"/"&amp;D138&amp;"/"&amp;E146</f>
        <v>1.700-1.999//Good/L</v>
      </c>
      <c r="B146" s="889"/>
      <c r="C146" s="164"/>
      <c r="D146" s="165"/>
      <c r="E146" s="155" t="s">
        <v>278</v>
      </c>
      <c r="F146" s="163">
        <v>2100</v>
      </c>
      <c r="G146" s="163">
        <v>1975</v>
      </c>
      <c r="H146" s="163">
        <v>1775</v>
      </c>
      <c r="I146" s="163">
        <v>1400</v>
      </c>
      <c r="J146" s="163">
        <v>900</v>
      </c>
      <c r="K146" s="163">
        <v>650</v>
      </c>
      <c r="L146" s="163">
        <v>425</v>
      </c>
      <c r="M146" s="163">
        <v>275</v>
      </c>
    </row>
    <row r="147" spans="1:26" x14ac:dyDescent="0.25">
      <c r="A147" t="str">
        <f>B114&amp;"/"&amp;C114&amp;"/"&amp;D138&amp;"/"&amp;E147</f>
        <v>1.700-1.999//Good/M</v>
      </c>
      <c r="B147" s="889"/>
      <c r="C147" s="164"/>
      <c r="D147" s="165"/>
      <c r="E147" s="155" t="s">
        <v>284</v>
      </c>
      <c r="F147" s="163">
        <v>2025</v>
      </c>
      <c r="G147" s="163">
        <v>1875</v>
      </c>
      <c r="H147" s="163">
        <v>1700</v>
      </c>
      <c r="I147" s="163">
        <v>1325</v>
      </c>
      <c r="J147" s="163">
        <v>900</v>
      </c>
      <c r="K147" s="163">
        <v>650</v>
      </c>
      <c r="L147" s="163">
        <v>425</v>
      </c>
      <c r="M147" s="163">
        <v>275</v>
      </c>
    </row>
    <row r="148" spans="1:26" x14ac:dyDescent="0.25">
      <c r="A148" t="str">
        <f>B114&amp;"/"&amp;C114&amp;"/"&amp;D138&amp;"/"&amp;E148</f>
        <v>1.700-1.999//Good/N</v>
      </c>
      <c r="B148" s="889"/>
      <c r="C148" s="164"/>
      <c r="D148" s="165"/>
      <c r="E148" s="155" t="s">
        <v>748</v>
      </c>
      <c r="F148" s="163"/>
      <c r="G148" s="163"/>
      <c r="H148" s="163"/>
      <c r="I148" s="163"/>
      <c r="J148" s="163"/>
      <c r="K148" s="163"/>
      <c r="L148" s="163"/>
      <c r="M148" s="163"/>
    </row>
    <row r="149" spans="1:26" x14ac:dyDescent="0.25">
      <c r="A149" t="str">
        <f>B114&amp;"/"&amp;C114&amp;"/"&amp;D138&amp;"/"&amp;E149</f>
        <v>1.700-1.999//Good/O</v>
      </c>
      <c r="B149" s="890"/>
      <c r="C149" s="166"/>
      <c r="D149" s="167"/>
      <c r="E149" s="168" t="s">
        <v>749</v>
      </c>
      <c r="F149" s="163"/>
      <c r="G149" s="163"/>
      <c r="H149" s="163"/>
      <c r="I149" s="163"/>
      <c r="J149" s="163"/>
      <c r="K149" s="163"/>
      <c r="L149" s="163"/>
      <c r="M149" s="163"/>
    </row>
    <row r="150" spans="1:26" x14ac:dyDescent="0.25">
      <c r="A150" t="str">
        <f>B150&amp;"/"&amp;C150&amp;"/"&amp;D150&amp;"/"&amp;E150</f>
        <v>2.000-2.199//EX/D</v>
      </c>
      <c r="B150" s="894" t="s">
        <v>311</v>
      </c>
      <c r="C150" s="20"/>
      <c r="D150" s="891" t="s">
        <v>188</v>
      </c>
      <c r="E150" s="158" t="s">
        <v>186</v>
      </c>
      <c r="F150" s="163">
        <v>4650</v>
      </c>
      <c r="G150" s="163">
        <v>4400</v>
      </c>
      <c r="H150" s="163">
        <v>3650</v>
      </c>
      <c r="I150" s="163"/>
      <c r="J150" s="163"/>
      <c r="K150" s="163"/>
      <c r="L150" s="163"/>
      <c r="M150" s="163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</row>
    <row r="151" spans="1:26" x14ac:dyDescent="0.25">
      <c r="A151" t="str">
        <f>B150&amp;"/"&amp;C150&amp;"/"&amp;D150&amp;"/"&amp;E151</f>
        <v>2.000-2.199//EX/E</v>
      </c>
      <c r="B151" s="894"/>
      <c r="C151" s="20"/>
      <c r="D151" s="892"/>
      <c r="E151" s="155" t="s">
        <v>213</v>
      </c>
      <c r="F151" s="163">
        <v>4550</v>
      </c>
      <c r="G151" s="163">
        <v>4325</v>
      </c>
      <c r="H151" s="163">
        <v>3650</v>
      </c>
      <c r="I151" s="163"/>
      <c r="J151" s="163"/>
      <c r="K151" s="163"/>
      <c r="L151" s="163"/>
      <c r="M151" s="163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</row>
    <row r="152" spans="1:26" x14ac:dyDescent="0.25">
      <c r="A152" t="str">
        <f>B150&amp;"/"&amp;C150&amp;"/"&amp;D150&amp;"/"&amp;E152</f>
        <v>2.000-2.199//EX/F</v>
      </c>
      <c r="B152" s="894"/>
      <c r="C152" s="20"/>
      <c r="D152" s="892"/>
      <c r="E152" s="155" t="s">
        <v>232</v>
      </c>
      <c r="F152" s="163">
        <v>4550</v>
      </c>
      <c r="G152" s="163">
        <v>4325</v>
      </c>
      <c r="H152" s="163">
        <v>3650</v>
      </c>
      <c r="I152" s="163"/>
      <c r="J152" s="163"/>
      <c r="K152" s="163"/>
      <c r="L152" s="163"/>
      <c r="M152" s="163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</row>
    <row r="153" spans="1:26" x14ac:dyDescent="0.25">
      <c r="A153" t="str">
        <f>B150&amp;"/"&amp;C150&amp;"/"&amp;D150&amp;"/"&amp;E153</f>
        <v>2.000-2.199//EX/G</v>
      </c>
      <c r="B153" s="894"/>
      <c r="C153" s="20"/>
      <c r="D153" s="892"/>
      <c r="E153" s="155" t="s">
        <v>215</v>
      </c>
      <c r="F153" s="163">
        <v>4275</v>
      </c>
      <c r="G153" s="163">
        <v>3975</v>
      </c>
      <c r="H153" s="163">
        <v>3550</v>
      </c>
      <c r="I153" s="163"/>
      <c r="J153" s="163"/>
      <c r="K153" s="163"/>
      <c r="L153" s="163"/>
      <c r="M153" s="163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</row>
    <row r="154" spans="1:26" x14ac:dyDescent="0.25">
      <c r="A154" t="str">
        <f>B150&amp;"/"&amp;C150&amp;"/"&amp;D150&amp;"/"&amp;E154</f>
        <v>2.000-2.199//EX/H</v>
      </c>
      <c r="B154" s="894"/>
      <c r="C154" s="20"/>
      <c r="D154" s="892"/>
      <c r="E154" s="155" t="s">
        <v>249</v>
      </c>
      <c r="F154" s="163">
        <v>4275</v>
      </c>
      <c r="G154" s="163">
        <v>3975</v>
      </c>
      <c r="H154" s="163">
        <v>3550</v>
      </c>
      <c r="I154" s="163"/>
      <c r="J154" s="163"/>
      <c r="K154" s="163"/>
      <c r="L154" s="163"/>
      <c r="M154" s="163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</row>
    <row r="155" spans="1:26" x14ac:dyDescent="0.25">
      <c r="A155" t="str">
        <f>B150&amp;"/"&amp;C150&amp;"/"&amp;D150&amp;"/"&amp;E155</f>
        <v>2.000-2.199//EX/I</v>
      </c>
      <c r="B155" s="894"/>
      <c r="C155" s="20"/>
      <c r="D155" s="892"/>
      <c r="E155" s="155" t="s">
        <v>257</v>
      </c>
      <c r="F155" s="163">
        <v>4275</v>
      </c>
      <c r="G155" s="163">
        <v>3975</v>
      </c>
      <c r="H155" s="163">
        <v>3550</v>
      </c>
      <c r="I155" s="163"/>
      <c r="J155" s="163"/>
      <c r="K155" s="163"/>
      <c r="L155" s="163"/>
      <c r="M155" s="163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</row>
    <row r="156" spans="1:26" x14ac:dyDescent="0.25">
      <c r="A156" t="str">
        <f>B150&amp;"/"&amp;C150&amp;"/"&amp;D150&amp;"/"&amp;E156</f>
        <v>2.000-2.199//EX/J</v>
      </c>
      <c r="B156" s="894"/>
      <c r="C156" s="20"/>
      <c r="D156" s="892"/>
      <c r="E156" s="155" t="s">
        <v>264</v>
      </c>
      <c r="F156" s="163">
        <v>3800</v>
      </c>
      <c r="G156" s="163">
        <v>3675</v>
      </c>
      <c r="H156" s="163">
        <v>3325</v>
      </c>
      <c r="I156" s="163"/>
      <c r="J156" s="163"/>
      <c r="K156" s="163"/>
      <c r="L156" s="163"/>
      <c r="M156" s="163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</row>
    <row r="157" spans="1:26" x14ac:dyDescent="0.25">
      <c r="A157" t="str">
        <f>B150&amp;"/"&amp;C150&amp;"/"&amp;D150&amp;"/"&amp;E157</f>
        <v>2.000-2.199//EX/K</v>
      </c>
      <c r="B157" s="894"/>
      <c r="C157" s="20"/>
      <c r="D157" s="892"/>
      <c r="E157" s="155" t="s">
        <v>272</v>
      </c>
      <c r="F157" s="163">
        <v>2550</v>
      </c>
      <c r="G157" s="163">
        <v>2500</v>
      </c>
      <c r="H157" s="163">
        <v>2250</v>
      </c>
      <c r="I157" s="163"/>
      <c r="J157" s="163"/>
      <c r="K157" s="163"/>
      <c r="L157" s="163"/>
      <c r="M157" s="163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</row>
    <row r="158" spans="1:26" x14ac:dyDescent="0.25">
      <c r="A158" t="str">
        <f>B150&amp;"/"&amp;C150&amp;"/"&amp;D150&amp;"/"&amp;E158</f>
        <v>2.000-2.199//EX/L</v>
      </c>
      <c r="B158" s="894"/>
      <c r="C158" s="20"/>
      <c r="D158" s="892"/>
      <c r="E158" s="155" t="s">
        <v>278</v>
      </c>
      <c r="F158" s="163">
        <v>2550</v>
      </c>
      <c r="G158" s="163">
        <v>2500</v>
      </c>
      <c r="H158" s="163">
        <v>2250</v>
      </c>
      <c r="I158" s="163"/>
      <c r="J158" s="163"/>
      <c r="K158" s="163"/>
      <c r="L158" s="163"/>
      <c r="M158" s="163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</row>
    <row r="159" spans="1:26" x14ac:dyDescent="0.25">
      <c r="A159" t="str">
        <f>B150&amp;"/"&amp;C150&amp;"/"&amp;D150&amp;"/"&amp;E159</f>
        <v>2.000-2.199//EX/M</v>
      </c>
      <c r="B159" s="894"/>
      <c r="C159" s="20"/>
      <c r="D159" s="892"/>
      <c r="E159" s="155" t="s">
        <v>284</v>
      </c>
      <c r="F159" s="163">
        <v>2425</v>
      </c>
      <c r="G159" s="163">
        <v>2425</v>
      </c>
      <c r="H159" s="163">
        <v>2150</v>
      </c>
      <c r="I159" s="163"/>
      <c r="J159" s="163"/>
      <c r="K159" s="163"/>
      <c r="L159" s="163"/>
      <c r="M159" s="163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</row>
    <row r="160" spans="1:26" x14ac:dyDescent="0.25">
      <c r="A160" t="str">
        <f>B150&amp;"/"&amp;C150&amp;"/"&amp;D150&amp;"/"&amp;E160</f>
        <v>2.000-2.199//EX/N</v>
      </c>
      <c r="B160" s="894"/>
      <c r="C160" s="20"/>
      <c r="D160" s="892"/>
      <c r="E160" s="155" t="s">
        <v>748</v>
      </c>
      <c r="F160" s="163"/>
      <c r="G160" s="163"/>
      <c r="H160" s="163"/>
      <c r="I160" s="163"/>
      <c r="J160" s="163"/>
      <c r="K160" s="163"/>
      <c r="L160" s="163"/>
      <c r="M160" s="163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</row>
    <row r="161" spans="1:26" x14ac:dyDescent="0.25">
      <c r="A161" t="str">
        <f>B150&amp;"/"&amp;C150&amp;"/"&amp;D150&amp;"/"&amp;E161</f>
        <v>2.000-2.199//EX/O</v>
      </c>
      <c r="B161" s="894"/>
      <c r="C161" s="20"/>
      <c r="D161" s="893"/>
      <c r="E161" s="155" t="s">
        <v>749</v>
      </c>
      <c r="F161" s="163"/>
      <c r="G161" s="163"/>
      <c r="H161" s="163"/>
      <c r="I161" s="163"/>
      <c r="J161" s="163"/>
      <c r="K161" s="163"/>
      <c r="L161" s="163"/>
      <c r="M161" s="163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</row>
    <row r="162" spans="1:26" x14ac:dyDescent="0.25">
      <c r="A162" t="str">
        <f>B150&amp;"/"&amp;C150&amp;"/"&amp;D162&amp;"/"&amp;E162</f>
        <v>2.000-2.199//VG/D</v>
      </c>
      <c r="B162" s="894"/>
      <c r="C162" s="20"/>
      <c r="D162" s="157" t="s">
        <v>202</v>
      </c>
      <c r="E162" s="158" t="s">
        <v>186</v>
      </c>
      <c r="F162" s="163">
        <v>4400</v>
      </c>
      <c r="G162" s="163">
        <v>4200</v>
      </c>
      <c r="H162" s="163">
        <v>3500</v>
      </c>
      <c r="I162" s="163">
        <v>2600</v>
      </c>
      <c r="J162" s="163"/>
      <c r="K162" s="163"/>
      <c r="L162" s="163"/>
      <c r="M162" s="163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</row>
    <row r="163" spans="1:26" x14ac:dyDescent="0.25">
      <c r="A163" t="str">
        <f>B150&amp;"/"&amp;C150&amp;"/"&amp;D162&amp;"/"&amp;E163</f>
        <v>2.000-2.199//VG/E</v>
      </c>
      <c r="B163" s="894"/>
      <c r="C163" s="20"/>
      <c r="D163" s="154"/>
      <c r="E163" s="155" t="s">
        <v>213</v>
      </c>
      <c r="F163" s="163">
        <v>4300</v>
      </c>
      <c r="G163" s="163">
        <v>4150</v>
      </c>
      <c r="H163" s="163">
        <v>3500</v>
      </c>
      <c r="I163" s="163">
        <v>2600</v>
      </c>
      <c r="J163" s="163"/>
      <c r="K163" s="163"/>
      <c r="L163" s="163"/>
      <c r="M163" s="163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</row>
    <row r="164" spans="1:26" x14ac:dyDescent="0.25">
      <c r="A164" t="str">
        <f>B150&amp;"/"&amp;C150&amp;"/"&amp;D162&amp;"/"&amp;E164</f>
        <v>2.000-2.199//VG/F</v>
      </c>
      <c r="B164" s="894"/>
      <c r="C164" s="20"/>
      <c r="D164" s="156"/>
      <c r="E164" s="155" t="s">
        <v>232</v>
      </c>
      <c r="F164" s="163">
        <v>4300</v>
      </c>
      <c r="G164" s="163">
        <v>4150</v>
      </c>
      <c r="H164" s="163">
        <v>3500</v>
      </c>
      <c r="I164" s="163">
        <v>2600</v>
      </c>
      <c r="J164" s="163"/>
      <c r="K164" s="163"/>
      <c r="L164" s="163"/>
      <c r="M164" s="163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</row>
    <row r="165" spans="1:26" x14ac:dyDescent="0.25">
      <c r="A165" t="str">
        <f>B150&amp;"/"&amp;C150&amp;"/"&amp;D162&amp;"/"&amp;E165</f>
        <v>2.000-2.199//VG/G</v>
      </c>
      <c r="B165" s="894"/>
      <c r="C165" s="20"/>
      <c r="D165" s="156"/>
      <c r="E165" s="155" t="s">
        <v>215</v>
      </c>
      <c r="F165" s="163">
        <v>4075</v>
      </c>
      <c r="G165" s="163">
        <v>3800</v>
      </c>
      <c r="H165" s="163">
        <v>3400</v>
      </c>
      <c r="I165" s="163">
        <v>2525</v>
      </c>
      <c r="J165" s="163"/>
      <c r="K165" s="163"/>
      <c r="L165" s="163"/>
      <c r="M165" s="163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</row>
    <row r="166" spans="1:26" x14ac:dyDescent="0.25">
      <c r="A166" t="str">
        <f>B150&amp;"/"&amp;C150&amp;"/"&amp;D162&amp;"/"&amp;E166</f>
        <v>2.000-2.199//VG/H</v>
      </c>
      <c r="B166" s="894"/>
      <c r="C166" s="20"/>
      <c r="D166" s="156"/>
      <c r="E166" s="155" t="s">
        <v>249</v>
      </c>
      <c r="F166" s="163">
        <v>4075</v>
      </c>
      <c r="G166" s="163">
        <v>3800</v>
      </c>
      <c r="H166" s="163">
        <v>3400</v>
      </c>
      <c r="I166" s="163">
        <v>2525</v>
      </c>
      <c r="J166" s="163"/>
      <c r="K166" s="163"/>
      <c r="L166" s="163"/>
      <c r="M166" s="163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</row>
    <row r="167" spans="1:26" x14ac:dyDescent="0.25">
      <c r="A167" t="str">
        <f>B150&amp;"/"&amp;C150&amp;"/"&amp;D162&amp;"/"&amp;E167</f>
        <v>2.000-2.199//VG/I</v>
      </c>
      <c r="B167" s="894"/>
      <c r="C167" s="20"/>
      <c r="D167" s="156"/>
      <c r="E167" s="155" t="s">
        <v>257</v>
      </c>
      <c r="F167" s="163">
        <v>4075</v>
      </c>
      <c r="G167" s="163">
        <v>3800</v>
      </c>
      <c r="H167" s="163">
        <v>3400</v>
      </c>
      <c r="I167" s="163">
        <v>2525</v>
      </c>
      <c r="J167" s="163"/>
      <c r="K167" s="163"/>
      <c r="L167" s="163"/>
      <c r="M167" s="163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</row>
    <row r="168" spans="1:26" x14ac:dyDescent="0.25">
      <c r="A168" t="str">
        <f>B150&amp;"/"&amp;C150&amp;"/"&amp;D162&amp;"/"&amp;E168</f>
        <v>2.000-2.199//VG/J</v>
      </c>
      <c r="B168" s="894"/>
      <c r="C168" s="20"/>
      <c r="D168" s="156"/>
      <c r="E168" s="155" t="s">
        <v>264</v>
      </c>
      <c r="F168" s="163">
        <v>3650</v>
      </c>
      <c r="G168" s="163">
        <v>3500</v>
      </c>
      <c r="H168" s="163">
        <v>3200</v>
      </c>
      <c r="I168" s="163">
        <v>2400</v>
      </c>
      <c r="J168" s="163"/>
      <c r="K168" s="163"/>
      <c r="L168" s="163"/>
      <c r="M168" s="163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</row>
    <row r="169" spans="1:26" x14ac:dyDescent="0.25">
      <c r="A169" t="str">
        <f>B150&amp;"/"&amp;C150&amp;"/"&amp;D162&amp;"/"&amp;E169</f>
        <v>2.000-2.199//VG/K</v>
      </c>
      <c r="B169" s="894"/>
      <c r="C169" s="20"/>
      <c r="D169" s="165"/>
      <c r="E169" s="155" t="s">
        <v>272</v>
      </c>
      <c r="F169" s="163">
        <v>2475</v>
      </c>
      <c r="G169" s="163">
        <v>2375</v>
      </c>
      <c r="H169" s="163">
        <v>2150</v>
      </c>
      <c r="I169" s="163">
        <v>1625</v>
      </c>
      <c r="J169" s="163"/>
      <c r="K169" s="163"/>
      <c r="L169" s="163"/>
      <c r="M169" s="163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</row>
    <row r="170" spans="1:26" x14ac:dyDescent="0.25">
      <c r="A170" t="str">
        <f>B150&amp;"/"&amp;C150&amp;"/"&amp;D162&amp;"/"&amp;E170</f>
        <v>2.000-2.199//VG/L</v>
      </c>
      <c r="B170" s="894"/>
      <c r="C170" s="20"/>
      <c r="D170" s="165"/>
      <c r="E170" s="155" t="s">
        <v>278</v>
      </c>
      <c r="F170" s="163">
        <v>2475</v>
      </c>
      <c r="G170" s="163">
        <v>2375</v>
      </c>
      <c r="H170" s="163">
        <v>2150</v>
      </c>
      <c r="I170" s="163">
        <v>1625</v>
      </c>
      <c r="J170" s="163"/>
      <c r="K170" s="163"/>
      <c r="L170" s="163"/>
      <c r="M170" s="163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</row>
    <row r="171" spans="1:26" x14ac:dyDescent="0.25">
      <c r="A171" t="str">
        <f>B150&amp;"/"&amp;C150&amp;"/"&amp;D162&amp;"/"&amp;E171</f>
        <v>2.000-2.199//VG/M</v>
      </c>
      <c r="B171" s="894"/>
      <c r="C171" s="20"/>
      <c r="D171" s="165"/>
      <c r="E171" s="155" t="s">
        <v>284</v>
      </c>
      <c r="F171" s="163">
        <v>2375</v>
      </c>
      <c r="G171" s="163">
        <v>2325</v>
      </c>
      <c r="H171" s="163">
        <v>2050</v>
      </c>
      <c r="I171" s="163">
        <v>1550</v>
      </c>
      <c r="J171" s="163"/>
      <c r="K171" s="163"/>
      <c r="L171" s="163"/>
      <c r="M171" s="163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</row>
    <row r="172" spans="1:26" x14ac:dyDescent="0.25">
      <c r="A172" t="str">
        <f>B150&amp;"/"&amp;C150&amp;"/"&amp;D162&amp;"/"&amp;E172</f>
        <v>2.000-2.199//VG/N</v>
      </c>
      <c r="B172" s="894"/>
      <c r="C172" s="20"/>
      <c r="D172" s="165"/>
      <c r="E172" s="155" t="s">
        <v>748</v>
      </c>
      <c r="F172" s="163"/>
      <c r="G172" s="163"/>
      <c r="H172" s="163"/>
      <c r="I172" s="163"/>
      <c r="J172" s="163"/>
      <c r="K172" s="163"/>
      <c r="L172" s="163"/>
      <c r="M172" s="163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</row>
    <row r="173" spans="1:26" x14ac:dyDescent="0.25">
      <c r="A173" t="str">
        <f>B150&amp;"/"&amp;C150&amp;"/"&amp;D162&amp;"/"&amp;E173</f>
        <v>2.000-2.199//VG/O</v>
      </c>
      <c r="B173" s="894"/>
      <c r="C173" s="20"/>
      <c r="D173" s="165"/>
      <c r="E173" s="155" t="s">
        <v>749</v>
      </c>
      <c r="F173" s="163"/>
      <c r="G173" s="163"/>
      <c r="H173" s="163"/>
      <c r="I173" s="163"/>
      <c r="J173" s="163"/>
      <c r="K173" s="163"/>
      <c r="L173" s="163"/>
      <c r="M173" s="163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</row>
    <row r="174" spans="1:26" x14ac:dyDescent="0.25">
      <c r="A174" t="str">
        <f>B150&amp;"/"&amp;C150&amp;"/"&amp;D174&amp;"/"&amp;E174</f>
        <v>2.000-2.199//Good/D</v>
      </c>
      <c r="B174" s="894"/>
      <c r="C174" s="20"/>
      <c r="D174" s="157" t="s">
        <v>764</v>
      </c>
      <c r="E174" s="158" t="s">
        <v>186</v>
      </c>
      <c r="F174" s="163">
        <v>4150</v>
      </c>
      <c r="G174" s="163">
        <v>4000</v>
      </c>
      <c r="H174" s="163">
        <v>3375</v>
      </c>
      <c r="I174" s="163">
        <v>2525</v>
      </c>
      <c r="J174" s="163">
        <v>1750</v>
      </c>
      <c r="K174" s="163">
        <v>1150</v>
      </c>
      <c r="L174" s="163">
        <v>825</v>
      </c>
      <c r="M174" s="163">
        <v>450</v>
      </c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</row>
    <row r="175" spans="1:26" x14ac:dyDescent="0.25">
      <c r="A175" t="str">
        <f>B150&amp;"/"&amp;C150&amp;"/"&amp;D174&amp;"/"&amp;E175</f>
        <v>2.000-2.199//Good/E</v>
      </c>
      <c r="B175" s="894"/>
      <c r="C175" s="20"/>
      <c r="D175" s="154"/>
      <c r="E175" s="155" t="s">
        <v>213</v>
      </c>
      <c r="F175" s="163">
        <v>4050</v>
      </c>
      <c r="G175" s="163">
        <v>3950</v>
      </c>
      <c r="H175" s="163">
        <v>3325</v>
      </c>
      <c r="I175" s="163">
        <v>2525</v>
      </c>
      <c r="J175" s="163">
        <v>1750</v>
      </c>
      <c r="K175" s="163">
        <v>1150</v>
      </c>
      <c r="L175" s="163">
        <v>825</v>
      </c>
      <c r="M175" s="163">
        <v>450</v>
      </c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</row>
    <row r="176" spans="1:26" x14ac:dyDescent="0.25">
      <c r="A176" t="str">
        <f>B150&amp;"/"&amp;C150&amp;"/"&amp;D174&amp;"/"&amp;E176</f>
        <v>2.000-2.199//Good/F</v>
      </c>
      <c r="B176" s="894"/>
      <c r="C176" s="20"/>
      <c r="D176" s="156"/>
      <c r="E176" s="155" t="s">
        <v>232</v>
      </c>
      <c r="F176" s="163">
        <v>4050</v>
      </c>
      <c r="G176" s="163">
        <v>3950</v>
      </c>
      <c r="H176" s="163">
        <v>3325</v>
      </c>
      <c r="I176" s="163">
        <v>2525</v>
      </c>
      <c r="J176" s="163">
        <v>1750</v>
      </c>
      <c r="K176" s="163">
        <v>1150</v>
      </c>
      <c r="L176" s="163">
        <v>825</v>
      </c>
      <c r="M176" s="163">
        <v>450</v>
      </c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</row>
    <row r="177" spans="1:26" x14ac:dyDescent="0.25">
      <c r="A177" t="str">
        <f>B150&amp;"/"&amp;C150&amp;"/"&amp;D174&amp;"/"&amp;E177</f>
        <v>2.000-2.199//Good/G</v>
      </c>
      <c r="B177" s="894"/>
      <c r="C177" s="20"/>
      <c r="D177" s="156"/>
      <c r="E177" s="155" t="s">
        <v>215</v>
      </c>
      <c r="F177" s="163">
        <v>3875</v>
      </c>
      <c r="G177" s="163">
        <v>3600</v>
      </c>
      <c r="H177" s="163">
        <v>3225</v>
      </c>
      <c r="I177" s="163">
        <v>2450</v>
      </c>
      <c r="J177" s="163">
        <v>1700</v>
      </c>
      <c r="K177" s="163">
        <v>1150</v>
      </c>
      <c r="L177" s="163">
        <v>825</v>
      </c>
      <c r="M177" s="163">
        <v>450</v>
      </c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</row>
    <row r="178" spans="1:26" x14ac:dyDescent="0.25">
      <c r="A178" t="str">
        <f>B150&amp;"/"&amp;C150&amp;"/"&amp;D174&amp;"/"&amp;E178</f>
        <v>2.000-2.199//Good/H</v>
      </c>
      <c r="B178" s="894"/>
      <c r="C178" s="20"/>
      <c r="D178" s="156"/>
      <c r="E178" s="155" t="s">
        <v>249</v>
      </c>
      <c r="F178" s="163">
        <v>3875</v>
      </c>
      <c r="G178" s="163">
        <v>3600</v>
      </c>
      <c r="H178" s="163">
        <v>3225</v>
      </c>
      <c r="I178" s="163">
        <v>2450</v>
      </c>
      <c r="J178" s="163">
        <v>1700</v>
      </c>
      <c r="K178" s="163">
        <v>1150</v>
      </c>
      <c r="L178" s="163">
        <v>825</v>
      </c>
      <c r="M178" s="163">
        <v>450</v>
      </c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</row>
    <row r="179" spans="1:26" x14ac:dyDescent="0.25">
      <c r="A179" t="str">
        <f>B150&amp;"/"&amp;C150&amp;"/"&amp;D174&amp;"/"&amp;E179</f>
        <v>2.000-2.199//Good/I</v>
      </c>
      <c r="B179" s="894"/>
      <c r="C179" s="20"/>
      <c r="D179" s="156"/>
      <c r="E179" s="155" t="s">
        <v>257</v>
      </c>
      <c r="F179" s="163">
        <v>3875</v>
      </c>
      <c r="G179" s="163">
        <v>3600</v>
      </c>
      <c r="H179" s="163">
        <v>3225</v>
      </c>
      <c r="I179" s="163">
        <v>2450</v>
      </c>
      <c r="J179" s="163">
        <v>1700</v>
      </c>
      <c r="K179" s="163">
        <v>1150</v>
      </c>
      <c r="L179" s="163">
        <v>825</v>
      </c>
      <c r="M179" s="163">
        <v>450</v>
      </c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</row>
    <row r="180" spans="1:26" x14ac:dyDescent="0.25">
      <c r="A180" t="str">
        <f>B150&amp;"/"&amp;C150&amp;"/"&amp;D174&amp;"/"&amp;E180</f>
        <v>2.000-2.199//Good/J</v>
      </c>
      <c r="B180" s="894"/>
      <c r="C180" s="20"/>
      <c r="D180" s="156"/>
      <c r="E180" s="155" t="s">
        <v>264</v>
      </c>
      <c r="F180" s="163">
        <v>3450</v>
      </c>
      <c r="G180" s="163">
        <v>3325</v>
      </c>
      <c r="H180" s="163">
        <v>3050</v>
      </c>
      <c r="I180" s="163">
        <v>2300</v>
      </c>
      <c r="J180" s="163">
        <v>1600</v>
      </c>
      <c r="K180" s="163">
        <v>1100</v>
      </c>
      <c r="L180" s="163">
        <v>825</v>
      </c>
      <c r="M180" s="163">
        <v>450</v>
      </c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</row>
    <row r="181" spans="1:26" x14ac:dyDescent="0.25">
      <c r="A181" t="str">
        <f>B150&amp;"/"&amp;C150&amp;"/"&amp;D174&amp;"/"&amp;E181</f>
        <v>2.000-2.199//Good/K</v>
      </c>
      <c r="B181" s="894"/>
      <c r="C181" s="20"/>
      <c r="D181" s="165"/>
      <c r="E181" s="155" t="s">
        <v>272</v>
      </c>
      <c r="F181" s="163">
        <v>2350</v>
      </c>
      <c r="G181" s="163">
        <v>2250</v>
      </c>
      <c r="H181" s="163">
        <v>2050</v>
      </c>
      <c r="I181" s="163">
        <v>1585</v>
      </c>
      <c r="J181" s="163">
        <v>1100</v>
      </c>
      <c r="K181" s="163">
        <v>750</v>
      </c>
      <c r="L181" s="163">
        <v>475</v>
      </c>
      <c r="M181" s="163">
        <v>300</v>
      </c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</row>
    <row r="182" spans="1:26" x14ac:dyDescent="0.25">
      <c r="A182" t="str">
        <f>B150&amp;"/"&amp;C150&amp;"/"&amp;D174&amp;"/"&amp;E182</f>
        <v>2.000-2.199//Good/L</v>
      </c>
      <c r="B182" s="894"/>
      <c r="C182" s="20"/>
      <c r="D182" s="165"/>
      <c r="E182" s="155" t="s">
        <v>278</v>
      </c>
      <c r="F182" s="163">
        <v>2350</v>
      </c>
      <c r="G182" s="163">
        <v>2250</v>
      </c>
      <c r="H182" s="163">
        <v>2050</v>
      </c>
      <c r="I182" s="163">
        <v>1585</v>
      </c>
      <c r="J182" s="163">
        <v>1100</v>
      </c>
      <c r="K182" s="163">
        <v>750</v>
      </c>
      <c r="L182" s="163">
        <v>475</v>
      </c>
      <c r="M182" s="163">
        <v>300</v>
      </c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</row>
    <row r="183" spans="1:26" x14ac:dyDescent="0.25">
      <c r="A183" t="str">
        <f>B150&amp;"/"&amp;C150&amp;"/"&amp;D174&amp;"/"&amp;E183</f>
        <v>2.000-2.199//Good/M</v>
      </c>
      <c r="B183" s="894"/>
      <c r="C183" s="20"/>
      <c r="D183" s="165"/>
      <c r="E183" s="155" t="s">
        <v>284</v>
      </c>
      <c r="F183" s="163">
        <v>2250</v>
      </c>
      <c r="G183" s="163">
        <v>2200</v>
      </c>
      <c r="H183" s="163">
        <v>1950</v>
      </c>
      <c r="I183" s="163">
        <v>1500</v>
      </c>
      <c r="J183" s="163">
        <v>1050</v>
      </c>
      <c r="K183" s="163">
        <v>750</v>
      </c>
      <c r="L183" s="163">
        <v>475</v>
      </c>
      <c r="M183" s="163">
        <v>300</v>
      </c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</row>
    <row r="184" spans="1:26" x14ac:dyDescent="0.25">
      <c r="A184" t="str">
        <f>B150&amp;"/"&amp;C150&amp;"/"&amp;D174&amp;"/"&amp;E184</f>
        <v>2.000-2.199//Good/N</v>
      </c>
      <c r="B184" s="894"/>
      <c r="C184" s="20"/>
      <c r="D184" s="165"/>
      <c r="E184" s="155" t="s">
        <v>748</v>
      </c>
      <c r="F184" s="163"/>
      <c r="G184" s="163"/>
      <c r="H184" s="163"/>
      <c r="I184" s="163"/>
      <c r="J184" s="163"/>
      <c r="K184" s="163"/>
      <c r="L184" s="163"/>
      <c r="M184" s="163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</row>
    <row r="185" spans="1:26" x14ac:dyDescent="0.25">
      <c r="A185" t="str">
        <f>B150&amp;"/"&amp;C150&amp;"/"&amp;D174&amp;"/"&amp;E185</f>
        <v>2.000-2.199//Good/O</v>
      </c>
      <c r="B185" s="895"/>
      <c r="C185" s="169"/>
      <c r="D185" s="170"/>
      <c r="E185" s="171" t="s">
        <v>749</v>
      </c>
      <c r="F185" s="163"/>
      <c r="G185" s="163"/>
      <c r="H185" s="163"/>
      <c r="I185" s="163"/>
      <c r="J185" s="163"/>
      <c r="K185" s="163"/>
      <c r="L185" s="163"/>
      <c r="M185" s="163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</row>
  </sheetData>
  <sheetProtection algorithmName="SHA-512" hashValue="xAymaEgRblnRYQlZdlUk60spaFgLN+4zHwnJKPX3HwSmLoXl/wNf1nFPas5cOos8PO0gSk8p7Rg42zqtPrJcaA==" saltValue="aRYFijZDGJifnpYtxHudHQ==" spinCount="100000" sheet="1" objects="1" scenarios="1" autoFilter="0"/>
  <mergeCells count="11">
    <mergeCell ref="B114:B149"/>
    <mergeCell ref="D114:D125"/>
    <mergeCell ref="B150:B185"/>
    <mergeCell ref="D150:D161"/>
    <mergeCell ref="K5:M5"/>
    <mergeCell ref="B6:B41"/>
    <mergeCell ref="D6:D17"/>
    <mergeCell ref="B42:B77"/>
    <mergeCell ref="D42:D53"/>
    <mergeCell ref="B78:B113"/>
    <mergeCell ref="D78:D89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:G3389"/>
  <sheetViews>
    <sheetView workbookViewId="0">
      <selection activeCell="A2" sqref="A2"/>
    </sheetView>
  </sheetViews>
  <sheetFormatPr defaultRowHeight="15" x14ac:dyDescent="0.25"/>
  <cols>
    <col min="1" max="1" width="11.28515625" customWidth="1"/>
    <col min="4" max="4" width="7.7109375" customWidth="1"/>
    <col min="5" max="5" width="9.7109375" style="35" customWidth="1"/>
    <col min="6" max="6" width="9.28515625" style="35"/>
    <col min="7" max="7" width="10.28515625" style="35" bestFit="1" customWidth="1"/>
  </cols>
  <sheetData>
    <row r="1" spans="1:7" ht="14.45" x14ac:dyDescent="0.3">
      <c r="A1" s="172" t="s">
        <v>766</v>
      </c>
      <c r="B1" s="172" t="s">
        <v>13</v>
      </c>
      <c r="C1" s="172" t="s">
        <v>164</v>
      </c>
      <c r="D1" s="172" t="s">
        <v>165</v>
      </c>
      <c r="E1" s="173" t="s">
        <v>767</v>
      </c>
      <c r="F1" s="173" t="s">
        <v>768</v>
      </c>
      <c r="G1" s="173" t="s">
        <v>769</v>
      </c>
    </row>
    <row r="2" spans="1:7" ht="14.45" x14ac:dyDescent="0.3">
      <c r="A2">
        <v>20221028</v>
      </c>
      <c r="B2" t="s">
        <v>770</v>
      </c>
      <c r="C2" t="s">
        <v>186</v>
      </c>
      <c r="D2" t="s">
        <v>187</v>
      </c>
      <c r="E2" s="35">
        <v>8.9999999999999993E-3</v>
      </c>
      <c r="F2" s="35">
        <v>3.7999999999999999E-2</v>
      </c>
      <c r="G2" s="35">
        <v>800</v>
      </c>
    </row>
    <row r="3" spans="1:7" ht="14.45" x14ac:dyDescent="0.3">
      <c r="A3">
        <v>20221028</v>
      </c>
      <c r="B3" t="s">
        <v>770</v>
      </c>
      <c r="C3" t="s">
        <v>186</v>
      </c>
      <c r="D3" t="s">
        <v>214</v>
      </c>
      <c r="E3" s="35">
        <v>8.9999999999999993E-3</v>
      </c>
      <c r="F3" s="35">
        <v>3.7999999999999999E-2</v>
      </c>
      <c r="G3" s="35">
        <v>800</v>
      </c>
    </row>
    <row r="4" spans="1:7" ht="14.45" x14ac:dyDescent="0.3">
      <c r="A4">
        <v>20221028</v>
      </c>
      <c r="B4" t="s">
        <v>770</v>
      </c>
      <c r="C4" t="s">
        <v>186</v>
      </c>
      <c r="D4" t="s">
        <v>233</v>
      </c>
      <c r="E4" s="35">
        <v>8.9999999999999993E-3</v>
      </c>
      <c r="F4" s="35">
        <v>3.7999999999999999E-2</v>
      </c>
      <c r="G4" s="35">
        <v>800</v>
      </c>
    </row>
    <row r="5" spans="1:7" ht="14.45" x14ac:dyDescent="0.3">
      <c r="A5">
        <v>20221028</v>
      </c>
      <c r="B5" t="s">
        <v>770</v>
      </c>
      <c r="C5" t="s">
        <v>186</v>
      </c>
      <c r="D5" t="s">
        <v>242</v>
      </c>
      <c r="E5" s="35">
        <v>8.9999999999999993E-3</v>
      </c>
      <c r="F5" s="35">
        <v>3.7999999999999999E-2</v>
      </c>
      <c r="G5" s="35">
        <v>720</v>
      </c>
    </row>
    <row r="6" spans="1:7" ht="14.45" x14ac:dyDescent="0.3">
      <c r="A6">
        <v>20221028</v>
      </c>
      <c r="B6" t="s">
        <v>770</v>
      </c>
      <c r="C6" t="s">
        <v>186</v>
      </c>
      <c r="D6" t="s">
        <v>250</v>
      </c>
      <c r="E6" s="35">
        <v>8.9999999999999993E-3</v>
      </c>
      <c r="F6" s="35">
        <v>3.7999999999999999E-2</v>
      </c>
      <c r="G6" s="35">
        <v>720</v>
      </c>
    </row>
    <row r="7" spans="1:7" ht="14.45" x14ac:dyDescent="0.3">
      <c r="A7">
        <v>20221028</v>
      </c>
      <c r="B7" t="s">
        <v>770</v>
      </c>
      <c r="C7" t="s">
        <v>186</v>
      </c>
      <c r="D7" t="s">
        <v>258</v>
      </c>
      <c r="E7" s="35">
        <v>8.9999999999999993E-3</v>
      </c>
      <c r="F7" s="35">
        <v>3.7999999999999999E-2</v>
      </c>
      <c r="G7" s="35">
        <v>610</v>
      </c>
    </row>
    <row r="8" spans="1:7" ht="14.45" x14ac:dyDescent="0.3">
      <c r="A8">
        <v>20221028</v>
      </c>
      <c r="B8" t="s">
        <v>770</v>
      </c>
      <c r="C8" t="s">
        <v>186</v>
      </c>
      <c r="D8" t="s">
        <v>265</v>
      </c>
      <c r="E8" s="35">
        <v>8.9999999999999993E-3</v>
      </c>
      <c r="F8" s="35">
        <v>3.7999999999999999E-2</v>
      </c>
      <c r="G8" s="35">
        <v>540</v>
      </c>
    </row>
    <row r="9" spans="1:7" ht="14.45" x14ac:dyDescent="0.3">
      <c r="A9">
        <v>20221028</v>
      </c>
      <c r="B9" t="s">
        <v>770</v>
      </c>
      <c r="C9" t="s">
        <v>186</v>
      </c>
      <c r="D9" t="s">
        <v>273</v>
      </c>
      <c r="E9" s="35">
        <v>8.9999999999999993E-3</v>
      </c>
      <c r="F9" s="35">
        <v>3.7999999999999999E-2</v>
      </c>
      <c r="G9" s="35">
        <v>470</v>
      </c>
    </row>
    <row r="10" spans="1:7" ht="14.45" x14ac:dyDescent="0.3">
      <c r="A10">
        <v>20221028</v>
      </c>
      <c r="B10" t="s">
        <v>770</v>
      </c>
      <c r="C10" t="s">
        <v>186</v>
      </c>
      <c r="D10" t="s">
        <v>279</v>
      </c>
      <c r="E10" s="35">
        <v>8.9999999999999993E-3</v>
      </c>
      <c r="F10" s="35">
        <v>3.7999999999999999E-2</v>
      </c>
      <c r="G10" s="35">
        <v>410</v>
      </c>
    </row>
    <row r="11" spans="1:7" ht="14.45" x14ac:dyDescent="0.3">
      <c r="A11">
        <v>20221028</v>
      </c>
      <c r="B11" t="s">
        <v>770</v>
      </c>
      <c r="C11" t="s">
        <v>186</v>
      </c>
      <c r="D11" t="s">
        <v>285</v>
      </c>
      <c r="E11" s="35">
        <v>8.9999999999999993E-3</v>
      </c>
      <c r="F11" s="35">
        <v>3.7999999999999999E-2</v>
      </c>
      <c r="G11" s="35">
        <v>350</v>
      </c>
    </row>
    <row r="12" spans="1:7" ht="14.45" x14ac:dyDescent="0.3">
      <c r="A12">
        <v>20221028</v>
      </c>
      <c r="B12" t="s">
        <v>770</v>
      </c>
      <c r="C12" t="s">
        <v>186</v>
      </c>
      <c r="D12" t="s">
        <v>289</v>
      </c>
      <c r="E12" s="35">
        <v>8.9999999999999993E-3</v>
      </c>
      <c r="F12" s="35">
        <v>3.7999999999999999E-2</v>
      </c>
      <c r="G12" s="35">
        <v>280</v>
      </c>
    </row>
    <row r="13" spans="1:7" ht="14.45" x14ac:dyDescent="0.3">
      <c r="A13">
        <v>20221028</v>
      </c>
      <c r="B13" t="s">
        <v>770</v>
      </c>
      <c r="C13" t="s">
        <v>213</v>
      </c>
      <c r="D13" t="s">
        <v>187</v>
      </c>
      <c r="E13" s="35">
        <v>8.9999999999999993E-3</v>
      </c>
      <c r="F13" s="35">
        <v>3.7999999999999999E-2</v>
      </c>
      <c r="G13" s="35">
        <v>800</v>
      </c>
    </row>
    <row r="14" spans="1:7" ht="14.45" x14ac:dyDescent="0.3">
      <c r="A14">
        <v>20221028</v>
      </c>
      <c r="B14" t="s">
        <v>770</v>
      </c>
      <c r="C14" t="s">
        <v>213</v>
      </c>
      <c r="D14" t="s">
        <v>214</v>
      </c>
      <c r="E14" s="35">
        <v>8.9999999999999993E-3</v>
      </c>
      <c r="F14" s="35">
        <v>3.7999999999999999E-2</v>
      </c>
      <c r="G14" s="35">
        <v>800</v>
      </c>
    </row>
    <row r="15" spans="1:7" ht="14.45" x14ac:dyDescent="0.3">
      <c r="A15">
        <v>20221028</v>
      </c>
      <c r="B15" t="s">
        <v>770</v>
      </c>
      <c r="C15" t="s">
        <v>213</v>
      </c>
      <c r="D15" t="s">
        <v>233</v>
      </c>
      <c r="E15" s="35">
        <v>8.9999999999999993E-3</v>
      </c>
      <c r="F15" s="35">
        <v>3.7999999999999999E-2</v>
      </c>
      <c r="G15" s="35">
        <v>800</v>
      </c>
    </row>
    <row r="16" spans="1:7" ht="14.45" x14ac:dyDescent="0.3">
      <c r="A16">
        <v>20221028</v>
      </c>
      <c r="B16" t="s">
        <v>770</v>
      </c>
      <c r="C16" t="s">
        <v>213</v>
      </c>
      <c r="D16" t="s">
        <v>242</v>
      </c>
      <c r="E16" s="35">
        <v>8.9999999999999993E-3</v>
      </c>
      <c r="F16" s="35">
        <v>3.7999999999999999E-2</v>
      </c>
      <c r="G16" s="35">
        <v>720</v>
      </c>
    </row>
    <row r="17" spans="1:7" ht="14.45" x14ac:dyDescent="0.3">
      <c r="A17">
        <v>20221028</v>
      </c>
      <c r="B17" t="s">
        <v>770</v>
      </c>
      <c r="C17" t="s">
        <v>213</v>
      </c>
      <c r="D17" t="s">
        <v>250</v>
      </c>
      <c r="E17" s="35">
        <v>8.9999999999999993E-3</v>
      </c>
      <c r="F17" s="35">
        <v>3.7999999999999999E-2</v>
      </c>
      <c r="G17" s="35">
        <v>720</v>
      </c>
    </row>
    <row r="18" spans="1:7" ht="14.45" x14ac:dyDescent="0.3">
      <c r="A18">
        <v>20221028</v>
      </c>
      <c r="B18" t="s">
        <v>770</v>
      </c>
      <c r="C18" t="s">
        <v>213</v>
      </c>
      <c r="D18" t="s">
        <v>258</v>
      </c>
      <c r="E18" s="35">
        <v>8.9999999999999993E-3</v>
      </c>
      <c r="F18" s="35">
        <v>3.7999999999999999E-2</v>
      </c>
      <c r="G18" s="35">
        <v>610</v>
      </c>
    </row>
    <row r="19" spans="1:7" ht="14.45" x14ac:dyDescent="0.3">
      <c r="A19">
        <v>20221028</v>
      </c>
      <c r="B19" t="s">
        <v>770</v>
      </c>
      <c r="C19" t="s">
        <v>213</v>
      </c>
      <c r="D19" t="s">
        <v>265</v>
      </c>
      <c r="E19" s="35">
        <v>8.9999999999999993E-3</v>
      </c>
      <c r="F19" s="35">
        <v>3.7999999999999999E-2</v>
      </c>
      <c r="G19" s="35">
        <v>540</v>
      </c>
    </row>
    <row r="20" spans="1:7" ht="14.45" x14ac:dyDescent="0.3">
      <c r="A20">
        <v>20221028</v>
      </c>
      <c r="B20" t="s">
        <v>770</v>
      </c>
      <c r="C20" t="s">
        <v>213</v>
      </c>
      <c r="D20" t="s">
        <v>273</v>
      </c>
      <c r="E20" s="35">
        <v>8.9999999999999993E-3</v>
      </c>
      <c r="F20" s="35">
        <v>3.7999999999999999E-2</v>
      </c>
      <c r="G20" s="35">
        <v>470</v>
      </c>
    </row>
    <row r="21" spans="1:7" ht="14.45" x14ac:dyDescent="0.3">
      <c r="A21">
        <v>20221028</v>
      </c>
      <c r="B21" t="s">
        <v>770</v>
      </c>
      <c r="C21" t="s">
        <v>213</v>
      </c>
      <c r="D21" t="s">
        <v>279</v>
      </c>
      <c r="E21" s="35">
        <v>8.9999999999999993E-3</v>
      </c>
      <c r="F21" s="35">
        <v>3.7999999999999999E-2</v>
      </c>
      <c r="G21" s="35">
        <v>410</v>
      </c>
    </row>
    <row r="22" spans="1:7" ht="14.45" x14ac:dyDescent="0.3">
      <c r="A22">
        <v>20221028</v>
      </c>
      <c r="B22" t="s">
        <v>770</v>
      </c>
      <c r="C22" t="s">
        <v>213</v>
      </c>
      <c r="D22" t="s">
        <v>285</v>
      </c>
      <c r="E22" s="35">
        <v>8.9999999999999993E-3</v>
      </c>
      <c r="F22" s="35">
        <v>3.7999999999999999E-2</v>
      </c>
      <c r="G22" s="35">
        <v>350</v>
      </c>
    </row>
    <row r="23" spans="1:7" ht="14.45" x14ac:dyDescent="0.3">
      <c r="A23">
        <v>20221028</v>
      </c>
      <c r="B23" t="s">
        <v>770</v>
      </c>
      <c r="C23" t="s">
        <v>213</v>
      </c>
      <c r="D23" t="s">
        <v>289</v>
      </c>
      <c r="E23" s="35">
        <v>8.9999999999999993E-3</v>
      </c>
      <c r="F23" s="35">
        <v>3.7999999999999999E-2</v>
      </c>
      <c r="G23" s="35">
        <v>280</v>
      </c>
    </row>
    <row r="24" spans="1:7" ht="14.45" x14ac:dyDescent="0.3">
      <c r="A24">
        <v>20221028</v>
      </c>
      <c r="B24" t="s">
        <v>770</v>
      </c>
      <c r="C24" t="s">
        <v>232</v>
      </c>
      <c r="D24" t="s">
        <v>187</v>
      </c>
      <c r="E24" s="35">
        <v>8.9999999999999993E-3</v>
      </c>
      <c r="F24" s="35">
        <v>3.7999999999999999E-2</v>
      </c>
      <c r="G24" s="35">
        <v>800</v>
      </c>
    </row>
    <row r="25" spans="1:7" ht="14.45" x14ac:dyDescent="0.3">
      <c r="A25">
        <v>20221028</v>
      </c>
      <c r="B25" t="s">
        <v>770</v>
      </c>
      <c r="C25" t="s">
        <v>232</v>
      </c>
      <c r="D25" t="s">
        <v>214</v>
      </c>
      <c r="E25" s="35">
        <v>8.9999999999999993E-3</v>
      </c>
      <c r="F25" s="35">
        <v>3.7999999999999999E-2</v>
      </c>
      <c r="G25" s="35">
        <v>800</v>
      </c>
    </row>
    <row r="26" spans="1:7" ht="14.45" x14ac:dyDescent="0.3">
      <c r="A26">
        <v>20221028</v>
      </c>
      <c r="B26" t="s">
        <v>770</v>
      </c>
      <c r="C26" t="s">
        <v>232</v>
      </c>
      <c r="D26" t="s">
        <v>233</v>
      </c>
      <c r="E26" s="35">
        <v>8.9999999999999993E-3</v>
      </c>
      <c r="F26" s="35">
        <v>3.7999999999999999E-2</v>
      </c>
      <c r="G26" s="35">
        <v>800</v>
      </c>
    </row>
    <row r="27" spans="1:7" x14ac:dyDescent="0.25">
      <c r="A27">
        <v>20221028</v>
      </c>
      <c r="B27" t="s">
        <v>770</v>
      </c>
      <c r="C27" t="s">
        <v>232</v>
      </c>
      <c r="D27" t="s">
        <v>242</v>
      </c>
      <c r="E27" s="35">
        <v>8.9999999999999993E-3</v>
      </c>
      <c r="F27" s="35">
        <v>3.7999999999999999E-2</v>
      </c>
      <c r="G27" s="35">
        <v>720</v>
      </c>
    </row>
    <row r="28" spans="1:7" x14ac:dyDescent="0.25">
      <c r="A28">
        <v>20221028</v>
      </c>
      <c r="B28" t="s">
        <v>770</v>
      </c>
      <c r="C28" t="s">
        <v>232</v>
      </c>
      <c r="D28" t="s">
        <v>250</v>
      </c>
      <c r="E28" s="35">
        <v>8.9999999999999993E-3</v>
      </c>
      <c r="F28" s="35">
        <v>3.7999999999999999E-2</v>
      </c>
      <c r="G28" s="35">
        <v>720</v>
      </c>
    </row>
    <row r="29" spans="1:7" x14ac:dyDescent="0.25">
      <c r="A29">
        <v>20221028</v>
      </c>
      <c r="B29" t="s">
        <v>770</v>
      </c>
      <c r="C29" t="s">
        <v>232</v>
      </c>
      <c r="D29" t="s">
        <v>258</v>
      </c>
      <c r="E29" s="35">
        <v>8.9999999999999993E-3</v>
      </c>
      <c r="F29" s="35">
        <v>3.7999999999999999E-2</v>
      </c>
      <c r="G29" s="35">
        <v>610</v>
      </c>
    </row>
    <row r="30" spans="1:7" x14ac:dyDescent="0.25">
      <c r="A30">
        <v>20221028</v>
      </c>
      <c r="B30" t="s">
        <v>770</v>
      </c>
      <c r="C30" t="s">
        <v>232</v>
      </c>
      <c r="D30" t="s">
        <v>265</v>
      </c>
      <c r="E30" s="35">
        <v>8.9999999999999993E-3</v>
      </c>
      <c r="F30" s="35">
        <v>3.7999999999999999E-2</v>
      </c>
      <c r="G30" s="35">
        <v>540</v>
      </c>
    </row>
    <row r="31" spans="1:7" x14ac:dyDescent="0.25">
      <c r="A31">
        <v>20221028</v>
      </c>
      <c r="B31" t="s">
        <v>770</v>
      </c>
      <c r="C31" t="s">
        <v>232</v>
      </c>
      <c r="D31" t="s">
        <v>273</v>
      </c>
      <c r="E31" s="35">
        <v>8.9999999999999993E-3</v>
      </c>
      <c r="F31" s="35">
        <v>3.7999999999999999E-2</v>
      </c>
      <c r="G31" s="35">
        <v>470</v>
      </c>
    </row>
    <row r="32" spans="1:7" x14ac:dyDescent="0.25">
      <c r="A32">
        <v>20221028</v>
      </c>
      <c r="B32" t="s">
        <v>770</v>
      </c>
      <c r="C32" t="s">
        <v>232</v>
      </c>
      <c r="D32" t="s">
        <v>279</v>
      </c>
      <c r="E32" s="35">
        <v>8.9999999999999993E-3</v>
      </c>
      <c r="F32" s="35">
        <v>3.7999999999999999E-2</v>
      </c>
      <c r="G32" s="35">
        <v>410</v>
      </c>
    </row>
    <row r="33" spans="1:7" x14ac:dyDescent="0.25">
      <c r="A33">
        <v>20221028</v>
      </c>
      <c r="B33" t="s">
        <v>770</v>
      </c>
      <c r="C33" t="s">
        <v>232</v>
      </c>
      <c r="D33" t="s">
        <v>285</v>
      </c>
      <c r="E33" s="35">
        <v>8.9999999999999993E-3</v>
      </c>
      <c r="F33" s="35">
        <v>3.7999999999999999E-2</v>
      </c>
      <c r="G33" s="35">
        <v>350</v>
      </c>
    </row>
    <row r="34" spans="1:7" x14ac:dyDescent="0.25">
      <c r="A34">
        <v>20221028</v>
      </c>
      <c r="B34" t="s">
        <v>770</v>
      </c>
      <c r="C34" t="s">
        <v>232</v>
      </c>
      <c r="D34" t="s">
        <v>289</v>
      </c>
      <c r="E34" s="35">
        <v>8.9999999999999993E-3</v>
      </c>
      <c r="F34" s="35">
        <v>3.7999999999999999E-2</v>
      </c>
      <c r="G34" s="35">
        <v>280</v>
      </c>
    </row>
    <row r="35" spans="1:7" x14ac:dyDescent="0.25">
      <c r="A35">
        <v>20221028</v>
      </c>
      <c r="B35" t="s">
        <v>770</v>
      </c>
      <c r="C35" t="s">
        <v>215</v>
      </c>
      <c r="D35" t="s">
        <v>187</v>
      </c>
      <c r="E35" s="35">
        <v>8.9999999999999993E-3</v>
      </c>
      <c r="F35" s="35">
        <v>3.7999999999999999E-2</v>
      </c>
      <c r="G35" s="35">
        <v>720</v>
      </c>
    </row>
    <row r="36" spans="1:7" x14ac:dyDescent="0.25">
      <c r="A36">
        <v>20221028</v>
      </c>
      <c r="B36" t="s">
        <v>770</v>
      </c>
      <c r="C36" t="s">
        <v>215</v>
      </c>
      <c r="D36" t="s">
        <v>214</v>
      </c>
      <c r="E36" s="35">
        <v>8.9999999999999993E-3</v>
      </c>
      <c r="F36" s="35">
        <v>3.7999999999999999E-2</v>
      </c>
      <c r="G36" s="35">
        <v>720</v>
      </c>
    </row>
    <row r="37" spans="1:7" x14ac:dyDescent="0.25">
      <c r="A37">
        <v>20221028</v>
      </c>
      <c r="B37" t="s">
        <v>770</v>
      </c>
      <c r="C37" t="s">
        <v>215</v>
      </c>
      <c r="D37" t="s">
        <v>233</v>
      </c>
      <c r="E37" s="35">
        <v>8.9999999999999993E-3</v>
      </c>
      <c r="F37" s="35">
        <v>3.7999999999999999E-2</v>
      </c>
      <c r="G37" s="35">
        <v>720</v>
      </c>
    </row>
    <row r="38" spans="1:7" x14ac:dyDescent="0.25">
      <c r="A38">
        <v>20221028</v>
      </c>
      <c r="B38" t="s">
        <v>770</v>
      </c>
      <c r="C38" t="s">
        <v>215</v>
      </c>
      <c r="D38" t="s">
        <v>242</v>
      </c>
      <c r="E38" s="35">
        <v>8.9999999999999993E-3</v>
      </c>
      <c r="F38" s="35">
        <v>3.7999999999999999E-2</v>
      </c>
      <c r="G38" s="35">
        <v>640</v>
      </c>
    </row>
    <row r="39" spans="1:7" x14ac:dyDescent="0.25">
      <c r="A39">
        <v>20221028</v>
      </c>
      <c r="B39" t="s">
        <v>770</v>
      </c>
      <c r="C39" t="s">
        <v>215</v>
      </c>
      <c r="D39" t="s">
        <v>250</v>
      </c>
      <c r="E39" s="35">
        <v>8.9999999999999993E-3</v>
      </c>
      <c r="F39" s="35">
        <v>3.7999999999999999E-2</v>
      </c>
      <c r="G39" s="35">
        <v>640</v>
      </c>
    </row>
    <row r="40" spans="1:7" x14ac:dyDescent="0.25">
      <c r="A40">
        <v>20221028</v>
      </c>
      <c r="B40" t="s">
        <v>770</v>
      </c>
      <c r="C40" t="s">
        <v>215</v>
      </c>
      <c r="D40" t="s">
        <v>258</v>
      </c>
      <c r="E40" s="35">
        <v>8.9999999999999993E-3</v>
      </c>
      <c r="F40" s="35">
        <v>3.7999999999999999E-2</v>
      </c>
      <c r="G40" s="35">
        <v>550</v>
      </c>
    </row>
    <row r="41" spans="1:7" x14ac:dyDescent="0.25">
      <c r="A41">
        <v>20221028</v>
      </c>
      <c r="B41" t="s">
        <v>770</v>
      </c>
      <c r="C41" t="s">
        <v>215</v>
      </c>
      <c r="D41" t="s">
        <v>265</v>
      </c>
      <c r="E41" s="35">
        <v>8.9999999999999993E-3</v>
      </c>
      <c r="F41" s="35">
        <v>3.7999999999999999E-2</v>
      </c>
      <c r="G41" s="35">
        <v>480</v>
      </c>
    </row>
    <row r="42" spans="1:7" x14ac:dyDescent="0.25">
      <c r="A42">
        <v>20221028</v>
      </c>
      <c r="B42" t="s">
        <v>770</v>
      </c>
      <c r="C42" t="s">
        <v>215</v>
      </c>
      <c r="D42" t="s">
        <v>273</v>
      </c>
      <c r="E42" s="35">
        <v>8.9999999999999993E-3</v>
      </c>
      <c r="F42" s="35">
        <v>3.7999999999999999E-2</v>
      </c>
      <c r="G42" s="35">
        <v>420</v>
      </c>
    </row>
    <row r="43" spans="1:7" x14ac:dyDescent="0.25">
      <c r="A43">
        <v>20221028</v>
      </c>
      <c r="B43" t="s">
        <v>770</v>
      </c>
      <c r="C43" t="s">
        <v>215</v>
      </c>
      <c r="D43" t="s">
        <v>279</v>
      </c>
      <c r="E43" s="35">
        <v>8.9999999999999993E-3</v>
      </c>
      <c r="F43" s="35">
        <v>3.7999999999999999E-2</v>
      </c>
      <c r="G43" s="35">
        <v>370</v>
      </c>
    </row>
    <row r="44" spans="1:7" x14ac:dyDescent="0.25">
      <c r="A44">
        <v>20221028</v>
      </c>
      <c r="B44" t="s">
        <v>770</v>
      </c>
      <c r="C44" t="s">
        <v>215</v>
      </c>
      <c r="D44" t="s">
        <v>285</v>
      </c>
      <c r="E44" s="35">
        <v>8.9999999999999993E-3</v>
      </c>
      <c r="F44" s="35">
        <v>3.7999999999999999E-2</v>
      </c>
      <c r="G44" s="35">
        <v>310</v>
      </c>
    </row>
    <row r="45" spans="1:7" x14ac:dyDescent="0.25">
      <c r="A45">
        <v>20221028</v>
      </c>
      <c r="B45" t="s">
        <v>770</v>
      </c>
      <c r="C45" t="s">
        <v>215</v>
      </c>
      <c r="D45" t="s">
        <v>289</v>
      </c>
      <c r="E45" s="35">
        <v>8.9999999999999993E-3</v>
      </c>
      <c r="F45" s="35">
        <v>3.7999999999999999E-2</v>
      </c>
      <c r="G45" s="35">
        <v>260</v>
      </c>
    </row>
    <row r="46" spans="1:7" x14ac:dyDescent="0.25">
      <c r="A46">
        <v>20221028</v>
      </c>
      <c r="B46" t="s">
        <v>770</v>
      </c>
      <c r="C46" t="s">
        <v>249</v>
      </c>
      <c r="D46" t="s">
        <v>187</v>
      </c>
      <c r="E46" s="35">
        <v>8.9999999999999993E-3</v>
      </c>
      <c r="F46" s="35">
        <v>3.7999999999999999E-2</v>
      </c>
      <c r="G46" s="35">
        <v>720</v>
      </c>
    </row>
    <row r="47" spans="1:7" x14ac:dyDescent="0.25">
      <c r="A47">
        <v>20221028</v>
      </c>
      <c r="B47" t="s">
        <v>770</v>
      </c>
      <c r="C47" t="s">
        <v>249</v>
      </c>
      <c r="D47" t="s">
        <v>214</v>
      </c>
      <c r="E47" s="35">
        <v>8.9999999999999993E-3</v>
      </c>
      <c r="F47" s="35">
        <v>3.7999999999999999E-2</v>
      </c>
      <c r="G47" s="35">
        <v>720</v>
      </c>
    </row>
    <row r="48" spans="1:7" x14ac:dyDescent="0.25">
      <c r="A48">
        <v>20221028</v>
      </c>
      <c r="B48" t="s">
        <v>770</v>
      </c>
      <c r="C48" t="s">
        <v>249</v>
      </c>
      <c r="D48" t="s">
        <v>233</v>
      </c>
      <c r="E48" s="35">
        <v>8.9999999999999993E-3</v>
      </c>
      <c r="F48" s="35">
        <v>3.7999999999999999E-2</v>
      </c>
      <c r="G48" s="35">
        <v>720</v>
      </c>
    </row>
    <row r="49" spans="1:7" x14ac:dyDescent="0.25">
      <c r="A49">
        <v>20221028</v>
      </c>
      <c r="B49" t="s">
        <v>770</v>
      </c>
      <c r="C49" t="s">
        <v>249</v>
      </c>
      <c r="D49" t="s">
        <v>242</v>
      </c>
      <c r="E49" s="35">
        <v>8.9999999999999993E-3</v>
      </c>
      <c r="F49" s="35">
        <v>3.7999999999999999E-2</v>
      </c>
      <c r="G49" s="35">
        <v>640</v>
      </c>
    </row>
    <row r="50" spans="1:7" x14ac:dyDescent="0.25">
      <c r="A50">
        <v>20221028</v>
      </c>
      <c r="B50" t="s">
        <v>770</v>
      </c>
      <c r="C50" t="s">
        <v>249</v>
      </c>
      <c r="D50" t="s">
        <v>250</v>
      </c>
      <c r="E50" s="35">
        <v>8.9999999999999993E-3</v>
      </c>
      <c r="F50" s="35">
        <v>3.7999999999999999E-2</v>
      </c>
      <c r="G50" s="35">
        <v>640</v>
      </c>
    </row>
    <row r="51" spans="1:7" x14ac:dyDescent="0.25">
      <c r="A51">
        <v>20221028</v>
      </c>
      <c r="B51" t="s">
        <v>770</v>
      </c>
      <c r="C51" t="s">
        <v>249</v>
      </c>
      <c r="D51" t="s">
        <v>258</v>
      </c>
      <c r="E51" s="35">
        <v>8.9999999999999993E-3</v>
      </c>
      <c r="F51" s="35">
        <v>3.7999999999999999E-2</v>
      </c>
      <c r="G51" s="35">
        <v>550</v>
      </c>
    </row>
    <row r="52" spans="1:7" x14ac:dyDescent="0.25">
      <c r="A52">
        <v>20221028</v>
      </c>
      <c r="B52" t="s">
        <v>770</v>
      </c>
      <c r="C52" t="s">
        <v>249</v>
      </c>
      <c r="D52" t="s">
        <v>265</v>
      </c>
      <c r="E52" s="35">
        <v>8.9999999999999993E-3</v>
      </c>
      <c r="F52" s="35">
        <v>3.7999999999999999E-2</v>
      </c>
      <c r="G52" s="35">
        <v>480</v>
      </c>
    </row>
    <row r="53" spans="1:7" x14ac:dyDescent="0.25">
      <c r="A53">
        <v>20221028</v>
      </c>
      <c r="B53" t="s">
        <v>770</v>
      </c>
      <c r="C53" t="s">
        <v>249</v>
      </c>
      <c r="D53" t="s">
        <v>273</v>
      </c>
      <c r="E53" s="35">
        <v>8.9999999999999993E-3</v>
      </c>
      <c r="F53" s="35">
        <v>3.7999999999999999E-2</v>
      </c>
      <c r="G53" s="35">
        <v>420</v>
      </c>
    </row>
    <row r="54" spans="1:7" x14ac:dyDescent="0.25">
      <c r="A54">
        <v>20221028</v>
      </c>
      <c r="B54" t="s">
        <v>770</v>
      </c>
      <c r="C54" t="s">
        <v>249</v>
      </c>
      <c r="D54" t="s">
        <v>279</v>
      </c>
      <c r="E54" s="35">
        <v>8.9999999999999993E-3</v>
      </c>
      <c r="F54" s="35">
        <v>3.7999999999999999E-2</v>
      </c>
      <c r="G54" s="35">
        <v>370</v>
      </c>
    </row>
    <row r="55" spans="1:7" x14ac:dyDescent="0.25">
      <c r="A55">
        <v>20221028</v>
      </c>
      <c r="B55" t="s">
        <v>770</v>
      </c>
      <c r="C55" t="s">
        <v>249</v>
      </c>
      <c r="D55" t="s">
        <v>285</v>
      </c>
      <c r="E55" s="35">
        <v>8.9999999999999993E-3</v>
      </c>
      <c r="F55" s="35">
        <v>3.7999999999999999E-2</v>
      </c>
      <c r="G55" s="35">
        <v>310</v>
      </c>
    </row>
    <row r="56" spans="1:7" x14ac:dyDescent="0.25">
      <c r="A56">
        <v>20221028</v>
      </c>
      <c r="B56" t="s">
        <v>770</v>
      </c>
      <c r="C56" t="s">
        <v>249</v>
      </c>
      <c r="D56" t="s">
        <v>289</v>
      </c>
      <c r="E56" s="35">
        <v>8.9999999999999993E-3</v>
      </c>
      <c r="F56" s="35">
        <v>3.7999999999999999E-2</v>
      </c>
      <c r="G56" s="35">
        <v>260</v>
      </c>
    </row>
    <row r="57" spans="1:7" x14ac:dyDescent="0.25">
      <c r="A57">
        <v>20221028</v>
      </c>
      <c r="B57" t="s">
        <v>770</v>
      </c>
      <c r="C57" t="s">
        <v>257</v>
      </c>
      <c r="D57" t="s">
        <v>187</v>
      </c>
      <c r="E57" s="35">
        <v>8.9999999999999993E-3</v>
      </c>
      <c r="F57" s="35">
        <v>3.7999999999999999E-2</v>
      </c>
      <c r="G57" s="35">
        <v>640</v>
      </c>
    </row>
    <row r="58" spans="1:7" x14ac:dyDescent="0.25">
      <c r="A58">
        <v>20221028</v>
      </c>
      <c r="B58" t="s">
        <v>770</v>
      </c>
      <c r="C58" t="s">
        <v>257</v>
      </c>
      <c r="D58" t="s">
        <v>214</v>
      </c>
      <c r="E58" s="35">
        <v>8.9999999999999993E-3</v>
      </c>
      <c r="F58" s="35">
        <v>3.7999999999999999E-2</v>
      </c>
      <c r="G58" s="35">
        <v>640</v>
      </c>
    </row>
    <row r="59" spans="1:7" x14ac:dyDescent="0.25">
      <c r="A59">
        <v>20221028</v>
      </c>
      <c r="B59" t="s">
        <v>770</v>
      </c>
      <c r="C59" t="s">
        <v>257</v>
      </c>
      <c r="D59" t="s">
        <v>233</v>
      </c>
      <c r="E59" s="35">
        <v>8.9999999999999993E-3</v>
      </c>
      <c r="F59" s="35">
        <v>3.7999999999999999E-2</v>
      </c>
      <c r="G59" s="35">
        <v>640</v>
      </c>
    </row>
    <row r="60" spans="1:7" x14ac:dyDescent="0.25">
      <c r="A60">
        <v>20221028</v>
      </c>
      <c r="B60" t="s">
        <v>770</v>
      </c>
      <c r="C60" t="s">
        <v>257</v>
      </c>
      <c r="D60" t="s">
        <v>242</v>
      </c>
      <c r="E60" s="35">
        <v>8.9999999999999993E-3</v>
      </c>
      <c r="F60" s="35">
        <v>3.7999999999999999E-2</v>
      </c>
      <c r="G60" s="35">
        <v>570</v>
      </c>
    </row>
    <row r="61" spans="1:7" x14ac:dyDescent="0.25">
      <c r="A61">
        <v>20221028</v>
      </c>
      <c r="B61" t="s">
        <v>770</v>
      </c>
      <c r="C61" t="s">
        <v>257</v>
      </c>
      <c r="D61" t="s">
        <v>250</v>
      </c>
      <c r="E61" s="35">
        <v>8.9999999999999993E-3</v>
      </c>
      <c r="F61" s="35">
        <v>3.7999999999999999E-2</v>
      </c>
      <c r="G61" s="35">
        <v>570</v>
      </c>
    </row>
    <row r="62" spans="1:7" x14ac:dyDescent="0.25">
      <c r="A62">
        <v>20221028</v>
      </c>
      <c r="B62" t="s">
        <v>770</v>
      </c>
      <c r="C62" t="s">
        <v>257</v>
      </c>
      <c r="D62" t="s">
        <v>258</v>
      </c>
      <c r="E62" s="35">
        <v>8.9999999999999993E-3</v>
      </c>
      <c r="F62" s="35">
        <v>3.7999999999999999E-2</v>
      </c>
      <c r="G62" s="35">
        <v>500</v>
      </c>
    </row>
    <row r="63" spans="1:7" x14ac:dyDescent="0.25">
      <c r="A63">
        <v>20221028</v>
      </c>
      <c r="B63" t="s">
        <v>770</v>
      </c>
      <c r="C63" t="s">
        <v>257</v>
      </c>
      <c r="D63" t="s">
        <v>265</v>
      </c>
      <c r="E63" s="35">
        <v>8.9999999999999993E-3</v>
      </c>
      <c r="F63" s="35">
        <v>3.7999999999999999E-2</v>
      </c>
      <c r="G63" s="35">
        <v>440</v>
      </c>
    </row>
    <row r="64" spans="1:7" x14ac:dyDescent="0.25">
      <c r="A64">
        <v>20221028</v>
      </c>
      <c r="B64" t="s">
        <v>770</v>
      </c>
      <c r="C64" t="s">
        <v>257</v>
      </c>
      <c r="D64" t="s">
        <v>273</v>
      </c>
      <c r="E64" s="35">
        <v>8.9999999999999993E-3</v>
      </c>
      <c r="F64" s="35">
        <v>3.7999999999999999E-2</v>
      </c>
      <c r="G64" s="35">
        <v>380</v>
      </c>
    </row>
    <row r="65" spans="1:7" x14ac:dyDescent="0.25">
      <c r="A65">
        <v>20221028</v>
      </c>
      <c r="B65" t="s">
        <v>770</v>
      </c>
      <c r="C65" t="s">
        <v>257</v>
      </c>
      <c r="D65" t="s">
        <v>279</v>
      </c>
      <c r="E65" s="35">
        <v>8.9999999999999993E-3</v>
      </c>
      <c r="F65" s="35">
        <v>3.7999999999999999E-2</v>
      </c>
      <c r="G65" s="35">
        <v>330</v>
      </c>
    </row>
    <row r="66" spans="1:7" x14ac:dyDescent="0.25">
      <c r="A66">
        <v>20221028</v>
      </c>
      <c r="B66" t="s">
        <v>770</v>
      </c>
      <c r="C66" t="s">
        <v>257</v>
      </c>
      <c r="D66" t="s">
        <v>285</v>
      </c>
      <c r="E66" s="35">
        <v>8.9999999999999993E-3</v>
      </c>
      <c r="F66" s="35">
        <v>3.7999999999999999E-2</v>
      </c>
      <c r="G66" s="35">
        <v>280</v>
      </c>
    </row>
    <row r="67" spans="1:7" x14ac:dyDescent="0.25">
      <c r="A67">
        <v>20221028</v>
      </c>
      <c r="B67" t="s">
        <v>770</v>
      </c>
      <c r="C67" t="s">
        <v>257</v>
      </c>
      <c r="D67" t="s">
        <v>289</v>
      </c>
      <c r="E67" s="35">
        <v>8.9999999999999993E-3</v>
      </c>
      <c r="F67" s="35">
        <v>3.7999999999999999E-2</v>
      </c>
      <c r="G67" s="35">
        <v>240</v>
      </c>
    </row>
    <row r="68" spans="1:7" x14ac:dyDescent="0.25">
      <c r="A68">
        <v>20221028</v>
      </c>
      <c r="B68" t="s">
        <v>770</v>
      </c>
      <c r="C68" t="s">
        <v>264</v>
      </c>
      <c r="D68" t="s">
        <v>187</v>
      </c>
      <c r="E68" s="35">
        <v>8.9999999999999993E-3</v>
      </c>
      <c r="F68" s="35">
        <v>3.7999999999999999E-2</v>
      </c>
      <c r="G68" s="35">
        <v>640</v>
      </c>
    </row>
    <row r="69" spans="1:7" x14ac:dyDescent="0.25">
      <c r="A69">
        <v>20221028</v>
      </c>
      <c r="B69" t="s">
        <v>770</v>
      </c>
      <c r="C69" t="s">
        <v>264</v>
      </c>
      <c r="D69" t="s">
        <v>214</v>
      </c>
      <c r="E69" s="35">
        <v>8.9999999999999993E-3</v>
      </c>
      <c r="F69" s="35">
        <v>3.7999999999999999E-2</v>
      </c>
      <c r="G69" s="35">
        <v>640</v>
      </c>
    </row>
    <row r="70" spans="1:7" x14ac:dyDescent="0.25">
      <c r="A70">
        <v>20221028</v>
      </c>
      <c r="B70" t="s">
        <v>770</v>
      </c>
      <c r="C70" t="s">
        <v>264</v>
      </c>
      <c r="D70" t="s">
        <v>233</v>
      </c>
      <c r="E70" s="35">
        <v>8.9999999999999993E-3</v>
      </c>
      <c r="F70" s="35">
        <v>3.7999999999999999E-2</v>
      </c>
      <c r="G70" s="35">
        <v>640</v>
      </c>
    </row>
    <row r="71" spans="1:7" x14ac:dyDescent="0.25">
      <c r="A71">
        <v>20221028</v>
      </c>
      <c r="B71" t="s">
        <v>770</v>
      </c>
      <c r="C71" t="s">
        <v>264</v>
      </c>
      <c r="D71" t="s">
        <v>242</v>
      </c>
      <c r="E71" s="35">
        <v>8.9999999999999993E-3</v>
      </c>
      <c r="F71" s="35">
        <v>3.7999999999999999E-2</v>
      </c>
      <c r="G71" s="35">
        <v>570</v>
      </c>
    </row>
    <row r="72" spans="1:7" x14ac:dyDescent="0.25">
      <c r="A72">
        <v>20221028</v>
      </c>
      <c r="B72" t="s">
        <v>770</v>
      </c>
      <c r="C72" t="s">
        <v>264</v>
      </c>
      <c r="D72" t="s">
        <v>250</v>
      </c>
      <c r="E72" s="35">
        <v>8.9999999999999993E-3</v>
      </c>
      <c r="F72" s="35">
        <v>3.7999999999999999E-2</v>
      </c>
      <c r="G72" s="35">
        <v>570</v>
      </c>
    </row>
    <row r="73" spans="1:7" x14ac:dyDescent="0.25">
      <c r="A73">
        <v>20221028</v>
      </c>
      <c r="B73" t="s">
        <v>770</v>
      </c>
      <c r="C73" t="s">
        <v>264</v>
      </c>
      <c r="D73" t="s">
        <v>258</v>
      </c>
      <c r="E73" s="35">
        <v>8.9999999999999993E-3</v>
      </c>
      <c r="F73" s="35">
        <v>3.7999999999999999E-2</v>
      </c>
      <c r="G73" s="35">
        <v>500</v>
      </c>
    </row>
    <row r="74" spans="1:7" x14ac:dyDescent="0.25">
      <c r="A74">
        <v>20221028</v>
      </c>
      <c r="B74" t="s">
        <v>770</v>
      </c>
      <c r="C74" t="s">
        <v>264</v>
      </c>
      <c r="D74" t="s">
        <v>265</v>
      </c>
      <c r="E74" s="35">
        <v>8.9999999999999993E-3</v>
      </c>
      <c r="F74" s="35">
        <v>3.7999999999999999E-2</v>
      </c>
      <c r="G74" s="35">
        <v>440</v>
      </c>
    </row>
    <row r="75" spans="1:7" x14ac:dyDescent="0.25">
      <c r="A75">
        <v>20221028</v>
      </c>
      <c r="B75" t="s">
        <v>770</v>
      </c>
      <c r="C75" t="s">
        <v>264</v>
      </c>
      <c r="D75" t="s">
        <v>273</v>
      </c>
      <c r="E75" s="35">
        <v>8.9999999999999993E-3</v>
      </c>
      <c r="F75" s="35">
        <v>3.7999999999999999E-2</v>
      </c>
      <c r="G75" s="35">
        <v>380</v>
      </c>
    </row>
    <row r="76" spans="1:7" x14ac:dyDescent="0.25">
      <c r="A76">
        <v>20221028</v>
      </c>
      <c r="B76" t="s">
        <v>770</v>
      </c>
      <c r="C76" t="s">
        <v>264</v>
      </c>
      <c r="D76" t="s">
        <v>279</v>
      </c>
      <c r="E76" s="35">
        <v>8.9999999999999993E-3</v>
      </c>
      <c r="F76" s="35">
        <v>3.7999999999999999E-2</v>
      </c>
      <c r="G76" s="35">
        <v>330</v>
      </c>
    </row>
    <row r="77" spans="1:7" x14ac:dyDescent="0.25">
      <c r="A77">
        <v>20221028</v>
      </c>
      <c r="B77" t="s">
        <v>770</v>
      </c>
      <c r="C77" t="s">
        <v>264</v>
      </c>
      <c r="D77" t="s">
        <v>285</v>
      </c>
      <c r="E77" s="35">
        <v>8.9999999999999993E-3</v>
      </c>
      <c r="F77" s="35">
        <v>3.7999999999999999E-2</v>
      </c>
      <c r="G77" s="35">
        <v>280</v>
      </c>
    </row>
    <row r="78" spans="1:7" x14ac:dyDescent="0.25">
      <c r="A78">
        <v>20221028</v>
      </c>
      <c r="B78" t="s">
        <v>770</v>
      </c>
      <c r="C78" t="s">
        <v>264</v>
      </c>
      <c r="D78" t="s">
        <v>289</v>
      </c>
      <c r="E78" s="35">
        <v>8.9999999999999993E-3</v>
      </c>
      <c r="F78" s="35">
        <v>3.7999999999999999E-2</v>
      </c>
      <c r="G78" s="35">
        <v>240</v>
      </c>
    </row>
    <row r="79" spans="1:7" x14ac:dyDescent="0.25">
      <c r="A79">
        <v>20221028</v>
      </c>
      <c r="B79" t="s">
        <v>770</v>
      </c>
      <c r="C79" t="s">
        <v>272</v>
      </c>
      <c r="D79" t="s">
        <v>187</v>
      </c>
      <c r="E79" s="35">
        <v>8.9999999999999993E-3</v>
      </c>
      <c r="F79" s="35">
        <v>3.7999999999999999E-2</v>
      </c>
      <c r="G79" s="35">
        <v>460</v>
      </c>
    </row>
    <row r="80" spans="1:7" x14ac:dyDescent="0.25">
      <c r="A80">
        <v>20221028</v>
      </c>
      <c r="B80" t="s">
        <v>770</v>
      </c>
      <c r="C80" t="s">
        <v>272</v>
      </c>
      <c r="D80" t="s">
        <v>214</v>
      </c>
      <c r="E80" s="35">
        <v>8.9999999999999993E-3</v>
      </c>
      <c r="F80" s="35">
        <v>3.7999999999999999E-2</v>
      </c>
      <c r="G80" s="35">
        <v>460</v>
      </c>
    </row>
    <row r="81" spans="1:7" x14ac:dyDescent="0.25">
      <c r="A81">
        <v>20221028</v>
      </c>
      <c r="B81" t="s">
        <v>770</v>
      </c>
      <c r="C81" t="s">
        <v>272</v>
      </c>
      <c r="D81" t="s">
        <v>233</v>
      </c>
      <c r="E81" s="35">
        <v>8.9999999999999993E-3</v>
      </c>
      <c r="F81" s="35">
        <v>3.7999999999999999E-2</v>
      </c>
      <c r="G81" s="35">
        <v>460</v>
      </c>
    </row>
    <row r="82" spans="1:7" x14ac:dyDescent="0.25">
      <c r="A82">
        <v>20221028</v>
      </c>
      <c r="B82" t="s">
        <v>770</v>
      </c>
      <c r="C82" t="s">
        <v>272</v>
      </c>
      <c r="D82" t="s">
        <v>242</v>
      </c>
      <c r="E82" s="35">
        <v>8.9999999999999993E-3</v>
      </c>
      <c r="F82" s="35">
        <v>3.7999999999999999E-2</v>
      </c>
      <c r="G82" s="35">
        <v>410</v>
      </c>
    </row>
    <row r="83" spans="1:7" x14ac:dyDescent="0.25">
      <c r="A83">
        <v>20221028</v>
      </c>
      <c r="B83" t="s">
        <v>770</v>
      </c>
      <c r="C83" t="s">
        <v>272</v>
      </c>
      <c r="D83" t="s">
        <v>250</v>
      </c>
      <c r="E83" s="35">
        <v>8.9999999999999993E-3</v>
      </c>
      <c r="F83" s="35">
        <v>3.7999999999999999E-2</v>
      </c>
      <c r="G83" s="35">
        <v>410</v>
      </c>
    </row>
    <row r="84" spans="1:7" x14ac:dyDescent="0.25">
      <c r="A84">
        <v>20221028</v>
      </c>
      <c r="B84" t="s">
        <v>770</v>
      </c>
      <c r="C84" t="s">
        <v>272</v>
      </c>
      <c r="D84" t="s">
        <v>258</v>
      </c>
      <c r="E84" s="35">
        <v>8.9999999999999993E-3</v>
      </c>
      <c r="F84" s="35">
        <v>3.7999999999999999E-2</v>
      </c>
      <c r="G84" s="35">
        <v>360</v>
      </c>
    </row>
    <row r="85" spans="1:7" x14ac:dyDescent="0.25">
      <c r="A85">
        <v>20221028</v>
      </c>
      <c r="B85" t="s">
        <v>770</v>
      </c>
      <c r="C85" t="s">
        <v>272</v>
      </c>
      <c r="D85" t="s">
        <v>265</v>
      </c>
      <c r="E85" s="35">
        <v>8.9999999999999993E-3</v>
      </c>
      <c r="F85" s="35">
        <v>3.7999999999999999E-2</v>
      </c>
      <c r="G85" s="35">
        <v>320</v>
      </c>
    </row>
    <row r="86" spans="1:7" x14ac:dyDescent="0.25">
      <c r="A86">
        <v>20221028</v>
      </c>
      <c r="B86" t="s">
        <v>770</v>
      </c>
      <c r="C86" t="s">
        <v>272</v>
      </c>
      <c r="D86" t="s">
        <v>273</v>
      </c>
      <c r="E86" s="35">
        <v>8.9999999999999993E-3</v>
      </c>
      <c r="F86" s="35">
        <v>3.7999999999999999E-2</v>
      </c>
      <c r="G86" s="35">
        <v>280</v>
      </c>
    </row>
    <row r="87" spans="1:7" x14ac:dyDescent="0.25">
      <c r="A87">
        <v>20221028</v>
      </c>
      <c r="B87" t="s">
        <v>770</v>
      </c>
      <c r="C87" t="s">
        <v>272</v>
      </c>
      <c r="D87" t="s">
        <v>279</v>
      </c>
      <c r="E87" s="35">
        <v>8.9999999999999993E-3</v>
      </c>
      <c r="F87" s="35">
        <v>3.7999999999999999E-2</v>
      </c>
      <c r="G87" s="35">
        <v>250</v>
      </c>
    </row>
    <row r="88" spans="1:7" x14ac:dyDescent="0.25">
      <c r="A88">
        <v>20221028</v>
      </c>
      <c r="B88" t="s">
        <v>770</v>
      </c>
      <c r="C88" t="s">
        <v>272</v>
      </c>
      <c r="D88" t="s">
        <v>285</v>
      </c>
      <c r="E88" s="35">
        <v>8.9999999999999993E-3</v>
      </c>
      <c r="F88" s="35">
        <v>3.7999999999999999E-2</v>
      </c>
      <c r="G88" s="35">
        <v>200</v>
      </c>
    </row>
    <row r="89" spans="1:7" x14ac:dyDescent="0.25">
      <c r="A89">
        <v>20221028</v>
      </c>
      <c r="B89" t="s">
        <v>770</v>
      </c>
      <c r="C89" t="s">
        <v>272</v>
      </c>
      <c r="D89" t="s">
        <v>289</v>
      </c>
      <c r="E89" s="35">
        <v>8.9999999999999993E-3</v>
      </c>
      <c r="F89" s="35">
        <v>3.7999999999999999E-2</v>
      </c>
      <c r="G89" s="35">
        <v>160</v>
      </c>
    </row>
    <row r="90" spans="1:7" x14ac:dyDescent="0.25">
      <c r="A90">
        <v>20221028</v>
      </c>
      <c r="B90" t="s">
        <v>770</v>
      </c>
      <c r="C90" t="s">
        <v>278</v>
      </c>
      <c r="D90" t="s">
        <v>187</v>
      </c>
      <c r="E90" s="35">
        <v>8.9999999999999993E-3</v>
      </c>
      <c r="F90" s="35">
        <v>3.7999999999999999E-2</v>
      </c>
      <c r="G90" s="35">
        <v>460</v>
      </c>
    </row>
    <row r="91" spans="1:7" x14ac:dyDescent="0.25">
      <c r="A91">
        <v>20221028</v>
      </c>
      <c r="B91" t="s">
        <v>770</v>
      </c>
      <c r="C91" t="s">
        <v>278</v>
      </c>
      <c r="D91" t="s">
        <v>214</v>
      </c>
      <c r="E91" s="35">
        <v>8.9999999999999993E-3</v>
      </c>
      <c r="F91" s="35">
        <v>3.7999999999999999E-2</v>
      </c>
      <c r="G91" s="35">
        <v>460</v>
      </c>
    </row>
    <row r="92" spans="1:7" x14ac:dyDescent="0.25">
      <c r="A92">
        <v>20221028</v>
      </c>
      <c r="B92" t="s">
        <v>770</v>
      </c>
      <c r="C92" t="s">
        <v>278</v>
      </c>
      <c r="D92" t="s">
        <v>233</v>
      </c>
      <c r="E92" s="35">
        <v>8.9999999999999993E-3</v>
      </c>
      <c r="F92" s="35">
        <v>3.7999999999999999E-2</v>
      </c>
      <c r="G92" s="35">
        <v>460</v>
      </c>
    </row>
    <row r="93" spans="1:7" x14ac:dyDescent="0.25">
      <c r="A93">
        <v>20221028</v>
      </c>
      <c r="B93" t="s">
        <v>770</v>
      </c>
      <c r="C93" t="s">
        <v>278</v>
      </c>
      <c r="D93" t="s">
        <v>242</v>
      </c>
      <c r="E93" s="35">
        <v>8.9999999999999993E-3</v>
      </c>
      <c r="F93" s="35">
        <v>3.7999999999999999E-2</v>
      </c>
      <c r="G93" s="35">
        <v>410</v>
      </c>
    </row>
    <row r="94" spans="1:7" x14ac:dyDescent="0.25">
      <c r="A94">
        <v>20221028</v>
      </c>
      <c r="B94" t="s">
        <v>770</v>
      </c>
      <c r="C94" t="s">
        <v>278</v>
      </c>
      <c r="D94" t="s">
        <v>250</v>
      </c>
      <c r="E94" s="35">
        <v>8.9999999999999993E-3</v>
      </c>
      <c r="F94" s="35">
        <v>3.7999999999999999E-2</v>
      </c>
      <c r="G94" s="35">
        <v>410</v>
      </c>
    </row>
    <row r="95" spans="1:7" x14ac:dyDescent="0.25">
      <c r="A95">
        <v>20221028</v>
      </c>
      <c r="B95" t="s">
        <v>770</v>
      </c>
      <c r="C95" t="s">
        <v>278</v>
      </c>
      <c r="D95" t="s">
        <v>258</v>
      </c>
      <c r="E95" s="35">
        <v>8.9999999999999993E-3</v>
      </c>
      <c r="F95" s="35">
        <v>3.7999999999999999E-2</v>
      </c>
      <c r="G95" s="35">
        <v>360</v>
      </c>
    </row>
    <row r="96" spans="1:7" x14ac:dyDescent="0.25">
      <c r="A96">
        <v>20221028</v>
      </c>
      <c r="B96" t="s">
        <v>770</v>
      </c>
      <c r="C96" t="s">
        <v>278</v>
      </c>
      <c r="D96" t="s">
        <v>265</v>
      </c>
      <c r="E96" s="35">
        <v>8.9999999999999993E-3</v>
      </c>
      <c r="F96" s="35">
        <v>3.7999999999999999E-2</v>
      </c>
      <c r="G96" s="35">
        <v>320</v>
      </c>
    </row>
    <row r="97" spans="1:7" x14ac:dyDescent="0.25">
      <c r="A97">
        <v>20221028</v>
      </c>
      <c r="B97" t="s">
        <v>770</v>
      </c>
      <c r="C97" t="s">
        <v>278</v>
      </c>
      <c r="D97" t="s">
        <v>273</v>
      </c>
      <c r="E97" s="35">
        <v>8.9999999999999993E-3</v>
      </c>
      <c r="F97" s="35">
        <v>3.7999999999999999E-2</v>
      </c>
      <c r="G97" s="35">
        <v>280</v>
      </c>
    </row>
    <row r="98" spans="1:7" x14ac:dyDescent="0.25">
      <c r="A98">
        <v>20221028</v>
      </c>
      <c r="B98" t="s">
        <v>770</v>
      </c>
      <c r="C98" t="s">
        <v>278</v>
      </c>
      <c r="D98" t="s">
        <v>279</v>
      </c>
      <c r="E98" s="35">
        <v>8.9999999999999993E-3</v>
      </c>
      <c r="F98" s="35">
        <v>3.7999999999999999E-2</v>
      </c>
      <c r="G98" s="35">
        <v>250</v>
      </c>
    </row>
    <row r="99" spans="1:7" x14ac:dyDescent="0.25">
      <c r="A99">
        <v>20221028</v>
      </c>
      <c r="B99" t="s">
        <v>770</v>
      </c>
      <c r="C99" t="s">
        <v>278</v>
      </c>
      <c r="D99" t="s">
        <v>285</v>
      </c>
      <c r="E99" s="35">
        <v>8.9999999999999993E-3</v>
      </c>
      <c r="F99" s="35">
        <v>3.7999999999999999E-2</v>
      </c>
      <c r="G99" s="35">
        <v>200</v>
      </c>
    </row>
    <row r="100" spans="1:7" x14ac:dyDescent="0.25">
      <c r="A100">
        <v>20221028</v>
      </c>
      <c r="B100" t="s">
        <v>770</v>
      </c>
      <c r="C100" t="s">
        <v>278</v>
      </c>
      <c r="D100" t="s">
        <v>289</v>
      </c>
      <c r="E100" s="35">
        <v>8.9999999999999993E-3</v>
      </c>
      <c r="F100" s="35">
        <v>3.7999999999999999E-2</v>
      </c>
      <c r="G100" s="35">
        <v>160</v>
      </c>
    </row>
    <row r="101" spans="1:7" x14ac:dyDescent="0.25">
      <c r="A101">
        <v>20221028</v>
      </c>
      <c r="B101" t="s">
        <v>770</v>
      </c>
      <c r="C101" t="s">
        <v>284</v>
      </c>
      <c r="D101" t="s">
        <v>187</v>
      </c>
      <c r="E101" s="35">
        <v>8.9999999999999993E-3</v>
      </c>
      <c r="F101" s="35">
        <v>3.7999999999999999E-2</v>
      </c>
      <c r="G101" s="35">
        <v>310</v>
      </c>
    </row>
    <row r="102" spans="1:7" x14ac:dyDescent="0.25">
      <c r="A102">
        <v>20221028</v>
      </c>
      <c r="B102" t="s">
        <v>770</v>
      </c>
      <c r="C102" t="s">
        <v>284</v>
      </c>
      <c r="D102" t="s">
        <v>214</v>
      </c>
      <c r="E102" s="35">
        <v>8.9999999999999993E-3</v>
      </c>
      <c r="F102" s="35">
        <v>3.7999999999999999E-2</v>
      </c>
      <c r="G102" s="35">
        <v>310</v>
      </c>
    </row>
    <row r="103" spans="1:7" x14ac:dyDescent="0.25">
      <c r="A103">
        <v>20221028</v>
      </c>
      <c r="B103" t="s">
        <v>770</v>
      </c>
      <c r="C103" t="s">
        <v>284</v>
      </c>
      <c r="D103" t="s">
        <v>233</v>
      </c>
      <c r="E103" s="35">
        <v>8.9999999999999993E-3</v>
      </c>
      <c r="F103" s="35">
        <v>3.7999999999999999E-2</v>
      </c>
      <c r="G103" s="35">
        <v>310</v>
      </c>
    </row>
    <row r="104" spans="1:7" x14ac:dyDescent="0.25">
      <c r="A104">
        <v>20221028</v>
      </c>
      <c r="B104" t="s">
        <v>770</v>
      </c>
      <c r="C104" t="s">
        <v>284</v>
      </c>
      <c r="D104" t="s">
        <v>242</v>
      </c>
      <c r="E104" s="35">
        <v>8.9999999999999993E-3</v>
      </c>
      <c r="F104" s="35">
        <v>3.7999999999999999E-2</v>
      </c>
      <c r="G104" s="35">
        <v>270</v>
      </c>
    </row>
    <row r="105" spans="1:7" x14ac:dyDescent="0.25">
      <c r="A105">
        <v>20221028</v>
      </c>
      <c r="B105" t="s">
        <v>770</v>
      </c>
      <c r="C105" t="s">
        <v>284</v>
      </c>
      <c r="D105" t="s">
        <v>250</v>
      </c>
      <c r="E105" s="35">
        <v>8.9999999999999993E-3</v>
      </c>
      <c r="F105" s="35">
        <v>3.7999999999999999E-2</v>
      </c>
      <c r="G105" s="35">
        <v>270</v>
      </c>
    </row>
    <row r="106" spans="1:7" x14ac:dyDescent="0.25">
      <c r="A106">
        <v>20221028</v>
      </c>
      <c r="B106" t="s">
        <v>770</v>
      </c>
      <c r="C106" t="s">
        <v>284</v>
      </c>
      <c r="D106" t="s">
        <v>258</v>
      </c>
      <c r="E106" s="35">
        <v>8.9999999999999993E-3</v>
      </c>
      <c r="F106" s="35">
        <v>3.7999999999999999E-2</v>
      </c>
      <c r="G106" s="35">
        <v>240</v>
      </c>
    </row>
    <row r="107" spans="1:7" x14ac:dyDescent="0.25">
      <c r="A107">
        <v>20221028</v>
      </c>
      <c r="B107" t="s">
        <v>770</v>
      </c>
      <c r="C107" t="s">
        <v>284</v>
      </c>
      <c r="D107" t="s">
        <v>265</v>
      </c>
      <c r="E107" s="35">
        <v>8.9999999999999993E-3</v>
      </c>
      <c r="F107" s="35">
        <v>3.7999999999999999E-2</v>
      </c>
      <c r="G107" s="35">
        <v>200</v>
      </c>
    </row>
    <row r="108" spans="1:7" x14ac:dyDescent="0.25">
      <c r="A108">
        <v>20221028</v>
      </c>
      <c r="B108" t="s">
        <v>770</v>
      </c>
      <c r="C108" t="s">
        <v>284</v>
      </c>
      <c r="D108" t="s">
        <v>273</v>
      </c>
      <c r="E108" s="35">
        <v>8.9999999999999993E-3</v>
      </c>
      <c r="F108" s="35">
        <v>3.7999999999999999E-2</v>
      </c>
      <c r="G108" s="35">
        <v>180</v>
      </c>
    </row>
    <row r="109" spans="1:7" x14ac:dyDescent="0.25">
      <c r="A109">
        <v>20221028</v>
      </c>
      <c r="B109" t="s">
        <v>770</v>
      </c>
      <c r="C109" t="s">
        <v>284</v>
      </c>
      <c r="D109" t="s">
        <v>279</v>
      </c>
      <c r="E109" s="35">
        <v>8.9999999999999993E-3</v>
      </c>
      <c r="F109" s="35">
        <v>3.7999999999999999E-2</v>
      </c>
      <c r="G109" s="35">
        <v>160</v>
      </c>
    </row>
    <row r="110" spans="1:7" x14ac:dyDescent="0.25">
      <c r="A110">
        <v>20221028</v>
      </c>
      <c r="B110" t="s">
        <v>770</v>
      </c>
      <c r="C110" t="s">
        <v>284</v>
      </c>
      <c r="D110" t="s">
        <v>285</v>
      </c>
      <c r="E110" s="35">
        <v>8.9999999999999993E-3</v>
      </c>
      <c r="F110" s="35">
        <v>3.7999999999999999E-2</v>
      </c>
      <c r="G110" s="35">
        <v>140</v>
      </c>
    </row>
    <row r="111" spans="1:7" x14ac:dyDescent="0.25">
      <c r="A111">
        <v>20221028</v>
      </c>
      <c r="B111" t="s">
        <v>770</v>
      </c>
      <c r="C111" t="s">
        <v>284</v>
      </c>
      <c r="D111" t="s">
        <v>289</v>
      </c>
      <c r="E111" s="35">
        <v>8.9999999999999993E-3</v>
      </c>
      <c r="F111" s="35">
        <v>3.7999999999999999E-2</v>
      </c>
      <c r="G111" s="35">
        <v>120</v>
      </c>
    </row>
    <row r="112" spans="1:7" x14ac:dyDescent="0.25">
      <c r="A112">
        <v>20221028</v>
      </c>
      <c r="B112" t="s">
        <v>770</v>
      </c>
      <c r="C112" t="s">
        <v>748</v>
      </c>
      <c r="D112" t="s">
        <v>187</v>
      </c>
      <c r="E112" s="35">
        <v>8.9999999999999993E-3</v>
      </c>
      <c r="F112" s="35">
        <v>3.7999999999999999E-2</v>
      </c>
      <c r="G112" s="35">
        <v>310</v>
      </c>
    </row>
    <row r="113" spans="1:7" x14ac:dyDescent="0.25">
      <c r="A113">
        <v>20221028</v>
      </c>
      <c r="B113" t="s">
        <v>770</v>
      </c>
      <c r="C113" t="s">
        <v>748</v>
      </c>
      <c r="D113" t="s">
        <v>214</v>
      </c>
      <c r="E113" s="35">
        <v>8.9999999999999993E-3</v>
      </c>
      <c r="F113" s="35">
        <v>3.7999999999999999E-2</v>
      </c>
      <c r="G113" s="35">
        <v>310</v>
      </c>
    </row>
    <row r="114" spans="1:7" x14ac:dyDescent="0.25">
      <c r="A114">
        <v>20221028</v>
      </c>
      <c r="B114" t="s">
        <v>770</v>
      </c>
      <c r="C114" t="s">
        <v>748</v>
      </c>
      <c r="D114" t="s">
        <v>233</v>
      </c>
      <c r="E114" s="35">
        <v>8.9999999999999993E-3</v>
      </c>
      <c r="F114" s="35">
        <v>3.7999999999999999E-2</v>
      </c>
      <c r="G114" s="35">
        <v>310</v>
      </c>
    </row>
    <row r="115" spans="1:7" x14ac:dyDescent="0.25">
      <c r="A115">
        <v>20221028</v>
      </c>
      <c r="B115" t="s">
        <v>770</v>
      </c>
      <c r="C115" t="s">
        <v>748</v>
      </c>
      <c r="D115" t="s">
        <v>242</v>
      </c>
      <c r="E115" s="35">
        <v>8.9999999999999993E-3</v>
      </c>
      <c r="F115" s="35">
        <v>3.7999999999999999E-2</v>
      </c>
      <c r="G115" s="35">
        <v>270</v>
      </c>
    </row>
    <row r="116" spans="1:7" x14ac:dyDescent="0.25">
      <c r="A116">
        <v>20221028</v>
      </c>
      <c r="B116" t="s">
        <v>770</v>
      </c>
      <c r="C116" t="s">
        <v>748</v>
      </c>
      <c r="D116" t="s">
        <v>250</v>
      </c>
      <c r="E116" s="35">
        <v>8.9999999999999993E-3</v>
      </c>
      <c r="F116" s="35">
        <v>3.7999999999999999E-2</v>
      </c>
      <c r="G116" s="35">
        <v>270</v>
      </c>
    </row>
    <row r="117" spans="1:7" x14ac:dyDescent="0.25">
      <c r="A117">
        <v>20221028</v>
      </c>
      <c r="B117" t="s">
        <v>770</v>
      </c>
      <c r="C117" t="s">
        <v>748</v>
      </c>
      <c r="D117" t="s">
        <v>258</v>
      </c>
      <c r="E117" s="35">
        <v>8.9999999999999993E-3</v>
      </c>
      <c r="F117" s="35">
        <v>3.7999999999999999E-2</v>
      </c>
      <c r="G117" s="35">
        <v>240</v>
      </c>
    </row>
    <row r="118" spans="1:7" x14ac:dyDescent="0.25">
      <c r="A118">
        <v>20221028</v>
      </c>
      <c r="B118" t="s">
        <v>770</v>
      </c>
      <c r="C118" t="s">
        <v>748</v>
      </c>
      <c r="D118" t="s">
        <v>265</v>
      </c>
      <c r="E118" s="35">
        <v>8.9999999999999993E-3</v>
      </c>
      <c r="F118" s="35">
        <v>3.7999999999999999E-2</v>
      </c>
      <c r="G118" s="35">
        <v>200</v>
      </c>
    </row>
    <row r="119" spans="1:7" x14ac:dyDescent="0.25">
      <c r="A119">
        <v>20221028</v>
      </c>
      <c r="B119" t="s">
        <v>770</v>
      </c>
      <c r="C119" t="s">
        <v>748</v>
      </c>
      <c r="D119" t="s">
        <v>273</v>
      </c>
      <c r="E119" s="35">
        <v>8.9999999999999993E-3</v>
      </c>
      <c r="F119" s="35">
        <v>3.7999999999999999E-2</v>
      </c>
      <c r="G119" s="35">
        <v>180</v>
      </c>
    </row>
    <row r="120" spans="1:7" x14ac:dyDescent="0.25">
      <c r="A120">
        <v>20221028</v>
      </c>
      <c r="B120" t="s">
        <v>770</v>
      </c>
      <c r="C120" t="s">
        <v>748</v>
      </c>
      <c r="D120" t="s">
        <v>279</v>
      </c>
      <c r="E120" s="35">
        <v>8.9999999999999993E-3</v>
      </c>
      <c r="F120" s="35">
        <v>3.7999999999999999E-2</v>
      </c>
      <c r="G120" s="35">
        <v>160</v>
      </c>
    </row>
    <row r="121" spans="1:7" x14ac:dyDescent="0.25">
      <c r="A121">
        <v>20221028</v>
      </c>
      <c r="B121" t="s">
        <v>770</v>
      </c>
      <c r="C121" t="s">
        <v>748</v>
      </c>
      <c r="D121" t="s">
        <v>285</v>
      </c>
      <c r="E121" s="35">
        <v>8.9999999999999993E-3</v>
      </c>
      <c r="F121" s="35">
        <v>3.7999999999999999E-2</v>
      </c>
      <c r="G121" s="35">
        <v>140</v>
      </c>
    </row>
    <row r="122" spans="1:7" x14ac:dyDescent="0.25">
      <c r="A122">
        <v>20221028</v>
      </c>
      <c r="B122" t="s">
        <v>770</v>
      </c>
      <c r="C122" t="s">
        <v>748</v>
      </c>
      <c r="D122" t="s">
        <v>289</v>
      </c>
      <c r="E122" s="35">
        <v>8.9999999999999993E-3</v>
      </c>
      <c r="F122" s="35">
        <v>3.7999999999999999E-2</v>
      </c>
      <c r="G122" s="35">
        <v>120</v>
      </c>
    </row>
    <row r="123" spans="1:7" x14ac:dyDescent="0.25">
      <c r="A123">
        <v>20221028</v>
      </c>
      <c r="B123" t="s">
        <v>770</v>
      </c>
      <c r="C123" t="s">
        <v>186</v>
      </c>
      <c r="D123" t="s">
        <v>187</v>
      </c>
      <c r="E123" s="35">
        <v>3.9E-2</v>
      </c>
      <c r="F123" s="35">
        <v>7.8E-2</v>
      </c>
      <c r="G123" s="35">
        <v>910</v>
      </c>
    </row>
    <row r="124" spans="1:7" x14ac:dyDescent="0.25">
      <c r="A124">
        <v>20221028</v>
      </c>
      <c r="B124" t="s">
        <v>770</v>
      </c>
      <c r="C124" t="s">
        <v>186</v>
      </c>
      <c r="D124" t="s">
        <v>214</v>
      </c>
      <c r="E124" s="35">
        <v>3.9E-2</v>
      </c>
      <c r="F124" s="35">
        <v>7.8E-2</v>
      </c>
      <c r="G124" s="35">
        <v>910</v>
      </c>
    </row>
    <row r="125" spans="1:7" x14ac:dyDescent="0.25">
      <c r="A125">
        <v>20221028</v>
      </c>
      <c r="B125" t="s">
        <v>770</v>
      </c>
      <c r="C125" t="s">
        <v>186</v>
      </c>
      <c r="D125" t="s">
        <v>233</v>
      </c>
      <c r="E125" s="35">
        <v>3.9E-2</v>
      </c>
      <c r="F125" s="35">
        <v>7.8E-2</v>
      </c>
      <c r="G125" s="35">
        <v>910</v>
      </c>
    </row>
    <row r="126" spans="1:7" x14ac:dyDescent="0.25">
      <c r="A126">
        <v>20221028</v>
      </c>
      <c r="B126" t="s">
        <v>770</v>
      </c>
      <c r="C126" t="s">
        <v>186</v>
      </c>
      <c r="D126" t="s">
        <v>242</v>
      </c>
      <c r="E126" s="35">
        <v>3.9E-2</v>
      </c>
      <c r="F126" s="35">
        <v>7.8E-2</v>
      </c>
      <c r="G126" s="35">
        <v>820</v>
      </c>
    </row>
    <row r="127" spans="1:7" x14ac:dyDescent="0.25">
      <c r="A127">
        <v>20221028</v>
      </c>
      <c r="B127" t="s">
        <v>770</v>
      </c>
      <c r="C127" t="s">
        <v>186</v>
      </c>
      <c r="D127" t="s">
        <v>250</v>
      </c>
      <c r="E127" s="35">
        <v>3.9E-2</v>
      </c>
      <c r="F127" s="35">
        <v>7.8E-2</v>
      </c>
      <c r="G127" s="35">
        <v>820</v>
      </c>
    </row>
    <row r="128" spans="1:7" x14ac:dyDescent="0.25">
      <c r="A128">
        <v>20221028</v>
      </c>
      <c r="B128" t="s">
        <v>770</v>
      </c>
      <c r="C128" t="s">
        <v>186</v>
      </c>
      <c r="D128" t="s">
        <v>258</v>
      </c>
      <c r="E128" s="35">
        <v>3.9E-2</v>
      </c>
      <c r="F128" s="35">
        <v>7.8E-2</v>
      </c>
      <c r="G128" s="35">
        <v>690</v>
      </c>
    </row>
    <row r="129" spans="1:7" x14ac:dyDescent="0.25">
      <c r="A129">
        <v>20221028</v>
      </c>
      <c r="B129" t="s">
        <v>770</v>
      </c>
      <c r="C129" t="s">
        <v>186</v>
      </c>
      <c r="D129" t="s">
        <v>265</v>
      </c>
      <c r="E129" s="35">
        <v>3.9E-2</v>
      </c>
      <c r="F129" s="35">
        <v>7.8E-2</v>
      </c>
      <c r="G129" s="35">
        <v>590</v>
      </c>
    </row>
    <row r="130" spans="1:7" x14ac:dyDescent="0.25">
      <c r="A130">
        <v>20221028</v>
      </c>
      <c r="B130" t="s">
        <v>770</v>
      </c>
      <c r="C130" t="s">
        <v>186</v>
      </c>
      <c r="D130" t="s">
        <v>273</v>
      </c>
      <c r="E130" s="35">
        <v>3.9E-2</v>
      </c>
      <c r="F130" s="35">
        <v>7.8E-2</v>
      </c>
      <c r="G130" s="35">
        <v>510</v>
      </c>
    </row>
    <row r="131" spans="1:7" x14ac:dyDescent="0.25">
      <c r="A131">
        <v>20221028</v>
      </c>
      <c r="B131" t="s">
        <v>770</v>
      </c>
      <c r="C131" t="s">
        <v>186</v>
      </c>
      <c r="D131" t="s">
        <v>279</v>
      </c>
      <c r="E131" s="35">
        <v>3.9E-2</v>
      </c>
      <c r="F131" s="35">
        <v>7.8E-2</v>
      </c>
      <c r="G131" s="35">
        <v>450</v>
      </c>
    </row>
    <row r="132" spans="1:7" x14ac:dyDescent="0.25">
      <c r="A132">
        <v>20221028</v>
      </c>
      <c r="B132" t="s">
        <v>770</v>
      </c>
      <c r="C132" t="s">
        <v>186</v>
      </c>
      <c r="D132" t="s">
        <v>285</v>
      </c>
      <c r="E132" s="35">
        <v>3.9E-2</v>
      </c>
      <c r="F132" s="35">
        <v>7.8E-2</v>
      </c>
      <c r="G132" s="35">
        <v>400</v>
      </c>
    </row>
    <row r="133" spans="1:7" x14ac:dyDescent="0.25">
      <c r="A133">
        <v>20221028</v>
      </c>
      <c r="B133" t="s">
        <v>770</v>
      </c>
      <c r="C133" t="s">
        <v>186</v>
      </c>
      <c r="D133" t="s">
        <v>289</v>
      </c>
      <c r="E133" s="35">
        <v>3.9E-2</v>
      </c>
      <c r="F133" s="35">
        <v>7.8E-2</v>
      </c>
      <c r="G133" s="35">
        <v>310</v>
      </c>
    </row>
    <row r="134" spans="1:7" x14ac:dyDescent="0.25">
      <c r="A134">
        <v>20221028</v>
      </c>
      <c r="B134" t="s">
        <v>770</v>
      </c>
      <c r="C134" t="s">
        <v>213</v>
      </c>
      <c r="D134" t="s">
        <v>187</v>
      </c>
      <c r="E134" s="35">
        <v>3.9E-2</v>
      </c>
      <c r="F134" s="35">
        <v>7.8E-2</v>
      </c>
      <c r="G134" s="35">
        <v>910</v>
      </c>
    </row>
    <row r="135" spans="1:7" x14ac:dyDescent="0.25">
      <c r="A135">
        <v>20221028</v>
      </c>
      <c r="B135" t="s">
        <v>770</v>
      </c>
      <c r="C135" t="s">
        <v>213</v>
      </c>
      <c r="D135" t="s">
        <v>214</v>
      </c>
      <c r="E135" s="35">
        <v>3.9E-2</v>
      </c>
      <c r="F135" s="35">
        <v>7.8E-2</v>
      </c>
      <c r="G135" s="35">
        <v>910</v>
      </c>
    </row>
    <row r="136" spans="1:7" x14ac:dyDescent="0.25">
      <c r="A136">
        <v>20221028</v>
      </c>
      <c r="B136" t="s">
        <v>770</v>
      </c>
      <c r="C136" t="s">
        <v>213</v>
      </c>
      <c r="D136" t="s">
        <v>233</v>
      </c>
      <c r="E136" s="35">
        <v>3.9E-2</v>
      </c>
      <c r="F136" s="35">
        <v>7.8E-2</v>
      </c>
      <c r="G136" s="35">
        <v>910</v>
      </c>
    </row>
    <row r="137" spans="1:7" x14ac:dyDescent="0.25">
      <c r="A137">
        <v>20221028</v>
      </c>
      <c r="B137" t="s">
        <v>770</v>
      </c>
      <c r="C137" t="s">
        <v>213</v>
      </c>
      <c r="D137" t="s">
        <v>242</v>
      </c>
      <c r="E137" s="35">
        <v>3.9E-2</v>
      </c>
      <c r="F137" s="35">
        <v>7.8E-2</v>
      </c>
      <c r="G137" s="35">
        <v>820</v>
      </c>
    </row>
    <row r="138" spans="1:7" x14ac:dyDescent="0.25">
      <c r="A138">
        <v>20221028</v>
      </c>
      <c r="B138" t="s">
        <v>770</v>
      </c>
      <c r="C138" t="s">
        <v>213</v>
      </c>
      <c r="D138" t="s">
        <v>250</v>
      </c>
      <c r="E138" s="35">
        <v>3.9E-2</v>
      </c>
      <c r="F138" s="35">
        <v>7.8E-2</v>
      </c>
      <c r="G138" s="35">
        <v>820</v>
      </c>
    </row>
    <row r="139" spans="1:7" x14ac:dyDescent="0.25">
      <c r="A139">
        <v>20221028</v>
      </c>
      <c r="B139" t="s">
        <v>770</v>
      </c>
      <c r="C139" t="s">
        <v>213</v>
      </c>
      <c r="D139" t="s">
        <v>258</v>
      </c>
      <c r="E139" s="35">
        <v>3.9E-2</v>
      </c>
      <c r="F139" s="35">
        <v>7.8E-2</v>
      </c>
      <c r="G139" s="35">
        <v>690</v>
      </c>
    </row>
    <row r="140" spans="1:7" x14ac:dyDescent="0.25">
      <c r="A140">
        <v>20221028</v>
      </c>
      <c r="B140" t="s">
        <v>770</v>
      </c>
      <c r="C140" t="s">
        <v>213</v>
      </c>
      <c r="D140" t="s">
        <v>265</v>
      </c>
      <c r="E140" s="35">
        <v>3.9E-2</v>
      </c>
      <c r="F140" s="35">
        <v>7.8E-2</v>
      </c>
      <c r="G140" s="35">
        <v>590</v>
      </c>
    </row>
    <row r="141" spans="1:7" x14ac:dyDescent="0.25">
      <c r="A141">
        <v>20221028</v>
      </c>
      <c r="B141" t="s">
        <v>770</v>
      </c>
      <c r="C141" t="s">
        <v>213</v>
      </c>
      <c r="D141" t="s">
        <v>273</v>
      </c>
      <c r="E141" s="35">
        <v>3.9E-2</v>
      </c>
      <c r="F141" s="35">
        <v>7.8E-2</v>
      </c>
      <c r="G141" s="35">
        <v>510</v>
      </c>
    </row>
    <row r="142" spans="1:7" x14ac:dyDescent="0.25">
      <c r="A142">
        <v>20221028</v>
      </c>
      <c r="B142" t="s">
        <v>770</v>
      </c>
      <c r="C142" t="s">
        <v>213</v>
      </c>
      <c r="D142" t="s">
        <v>279</v>
      </c>
      <c r="E142" s="35">
        <v>3.9E-2</v>
      </c>
      <c r="F142" s="35">
        <v>7.8E-2</v>
      </c>
      <c r="G142" s="35">
        <v>450</v>
      </c>
    </row>
    <row r="143" spans="1:7" x14ac:dyDescent="0.25">
      <c r="A143">
        <v>20221028</v>
      </c>
      <c r="B143" t="s">
        <v>770</v>
      </c>
      <c r="C143" t="s">
        <v>213</v>
      </c>
      <c r="D143" t="s">
        <v>285</v>
      </c>
      <c r="E143" s="35">
        <v>3.9E-2</v>
      </c>
      <c r="F143" s="35">
        <v>7.8E-2</v>
      </c>
      <c r="G143" s="35">
        <v>400</v>
      </c>
    </row>
    <row r="144" spans="1:7" x14ac:dyDescent="0.25">
      <c r="A144">
        <v>20221028</v>
      </c>
      <c r="B144" t="s">
        <v>770</v>
      </c>
      <c r="C144" t="s">
        <v>213</v>
      </c>
      <c r="D144" t="s">
        <v>289</v>
      </c>
      <c r="E144" s="35">
        <v>3.9E-2</v>
      </c>
      <c r="F144" s="35">
        <v>7.8E-2</v>
      </c>
      <c r="G144" s="35">
        <v>310</v>
      </c>
    </row>
    <row r="145" spans="1:7" x14ac:dyDescent="0.25">
      <c r="A145">
        <v>20221028</v>
      </c>
      <c r="B145" t="s">
        <v>770</v>
      </c>
      <c r="C145" t="s">
        <v>232</v>
      </c>
      <c r="D145" t="s">
        <v>187</v>
      </c>
      <c r="E145" s="35">
        <v>3.9E-2</v>
      </c>
      <c r="F145" s="35">
        <v>7.8E-2</v>
      </c>
      <c r="G145" s="35">
        <v>910</v>
      </c>
    </row>
    <row r="146" spans="1:7" x14ac:dyDescent="0.25">
      <c r="A146">
        <v>20221028</v>
      </c>
      <c r="B146" t="s">
        <v>770</v>
      </c>
      <c r="C146" t="s">
        <v>232</v>
      </c>
      <c r="D146" t="s">
        <v>214</v>
      </c>
      <c r="E146" s="35">
        <v>3.9E-2</v>
      </c>
      <c r="F146" s="35">
        <v>7.8E-2</v>
      </c>
      <c r="G146" s="35">
        <v>910</v>
      </c>
    </row>
    <row r="147" spans="1:7" x14ac:dyDescent="0.25">
      <c r="A147">
        <v>20221028</v>
      </c>
      <c r="B147" t="s">
        <v>770</v>
      </c>
      <c r="C147" t="s">
        <v>232</v>
      </c>
      <c r="D147" t="s">
        <v>233</v>
      </c>
      <c r="E147" s="35">
        <v>3.9E-2</v>
      </c>
      <c r="F147" s="35">
        <v>7.8E-2</v>
      </c>
      <c r="G147" s="35">
        <v>910</v>
      </c>
    </row>
    <row r="148" spans="1:7" x14ac:dyDescent="0.25">
      <c r="A148">
        <v>20221028</v>
      </c>
      <c r="B148" t="s">
        <v>770</v>
      </c>
      <c r="C148" t="s">
        <v>232</v>
      </c>
      <c r="D148" t="s">
        <v>242</v>
      </c>
      <c r="E148" s="35">
        <v>3.9E-2</v>
      </c>
      <c r="F148" s="35">
        <v>7.8E-2</v>
      </c>
      <c r="G148" s="35">
        <v>820</v>
      </c>
    </row>
    <row r="149" spans="1:7" x14ac:dyDescent="0.25">
      <c r="A149">
        <v>20221028</v>
      </c>
      <c r="B149" t="s">
        <v>770</v>
      </c>
      <c r="C149" t="s">
        <v>232</v>
      </c>
      <c r="D149" t="s">
        <v>250</v>
      </c>
      <c r="E149" s="35">
        <v>3.9E-2</v>
      </c>
      <c r="F149" s="35">
        <v>7.8E-2</v>
      </c>
      <c r="G149" s="35">
        <v>820</v>
      </c>
    </row>
    <row r="150" spans="1:7" x14ac:dyDescent="0.25">
      <c r="A150">
        <v>20221028</v>
      </c>
      <c r="B150" t="s">
        <v>770</v>
      </c>
      <c r="C150" t="s">
        <v>232</v>
      </c>
      <c r="D150" t="s">
        <v>258</v>
      </c>
      <c r="E150" s="35">
        <v>3.9E-2</v>
      </c>
      <c r="F150" s="35">
        <v>7.8E-2</v>
      </c>
      <c r="G150" s="35">
        <v>690</v>
      </c>
    </row>
    <row r="151" spans="1:7" x14ac:dyDescent="0.25">
      <c r="A151">
        <v>20221028</v>
      </c>
      <c r="B151" t="s">
        <v>770</v>
      </c>
      <c r="C151" t="s">
        <v>232</v>
      </c>
      <c r="D151" t="s">
        <v>265</v>
      </c>
      <c r="E151" s="35">
        <v>3.9E-2</v>
      </c>
      <c r="F151" s="35">
        <v>7.8E-2</v>
      </c>
      <c r="G151" s="35">
        <v>590</v>
      </c>
    </row>
    <row r="152" spans="1:7" x14ac:dyDescent="0.25">
      <c r="A152">
        <v>20221028</v>
      </c>
      <c r="B152" t="s">
        <v>770</v>
      </c>
      <c r="C152" t="s">
        <v>232</v>
      </c>
      <c r="D152" t="s">
        <v>273</v>
      </c>
      <c r="E152" s="35">
        <v>3.9E-2</v>
      </c>
      <c r="F152" s="35">
        <v>7.8E-2</v>
      </c>
      <c r="G152" s="35">
        <v>510</v>
      </c>
    </row>
    <row r="153" spans="1:7" x14ac:dyDescent="0.25">
      <c r="A153">
        <v>20221028</v>
      </c>
      <c r="B153" t="s">
        <v>770</v>
      </c>
      <c r="C153" t="s">
        <v>232</v>
      </c>
      <c r="D153" t="s">
        <v>279</v>
      </c>
      <c r="E153" s="35">
        <v>3.9E-2</v>
      </c>
      <c r="F153" s="35">
        <v>7.8E-2</v>
      </c>
      <c r="G153" s="35">
        <v>450</v>
      </c>
    </row>
    <row r="154" spans="1:7" x14ac:dyDescent="0.25">
      <c r="A154">
        <v>20221028</v>
      </c>
      <c r="B154" t="s">
        <v>770</v>
      </c>
      <c r="C154" t="s">
        <v>232</v>
      </c>
      <c r="D154" t="s">
        <v>285</v>
      </c>
      <c r="E154" s="35">
        <v>3.9E-2</v>
      </c>
      <c r="F154" s="35">
        <v>7.8E-2</v>
      </c>
      <c r="G154" s="35">
        <v>400</v>
      </c>
    </row>
    <row r="155" spans="1:7" x14ac:dyDescent="0.25">
      <c r="A155">
        <v>20221028</v>
      </c>
      <c r="B155" t="s">
        <v>770</v>
      </c>
      <c r="C155" t="s">
        <v>232</v>
      </c>
      <c r="D155" t="s">
        <v>289</v>
      </c>
      <c r="E155" s="35">
        <v>3.9E-2</v>
      </c>
      <c r="F155" s="35">
        <v>7.8E-2</v>
      </c>
      <c r="G155" s="35">
        <v>310</v>
      </c>
    </row>
    <row r="156" spans="1:7" x14ac:dyDescent="0.25">
      <c r="A156">
        <v>20221028</v>
      </c>
      <c r="B156" t="s">
        <v>770</v>
      </c>
      <c r="C156" t="s">
        <v>215</v>
      </c>
      <c r="D156" t="s">
        <v>187</v>
      </c>
      <c r="E156" s="35">
        <v>3.9E-2</v>
      </c>
      <c r="F156" s="35">
        <v>7.8E-2</v>
      </c>
      <c r="G156" s="35">
        <v>780</v>
      </c>
    </row>
    <row r="157" spans="1:7" x14ac:dyDescent="0.25">
      <c r="A157">
        <v>20221028</v>
      </c>
      <c r="B157" t="s">
        <v>770</v>
      </c>
      <c r="C157" t="s">
        <v>215</v>
      </c>
      <c r="D157" t="s">
        <v>214</v>
      </c>
      <c r="E157" s="35">
        <v>3.9E-2</v>
      </c>
      <c r="F157" s="35">
        <v>7.8E-2</v>
      </c>
      <c r="G157" s="35">
        <v>780</v>
      </c>
    </row>
    <row r="158" spans="1:7" x14ac:dyDescent="0.25">
      <c r="A158">
        <v>20221028</v>
      </c>
      <c r="B158" t="s">
        <v>770</v>
      </c>
      <c r="C158" t="s">
        <v>215</v>
      </c>
      <c r="D158" t="s">
        <v>233</v>
      </c>
      <c r="E158" s="35">
        <v>3.9E-2</v>
      </c>
      <c r="F158" s="35">
        <v>7.8E-2</v>
      </c>
      <c r="G158" s="35">
        <v>780</v>
      </c>
    </row>
    <row r="159" spans="1:7" x14ac:dyDescent="0.25">
      <c r="A159">
        <v>20221028</v>
      </c>
      <c r="B159" t="s">
        <v>770</v>
      </c>
      <c r="C159" t="s">
        <v>215</v>
      </c>
      <c r="D159" t="s">
        <v>242</v>
      </c>
      <c r="E159" s="35">
        <v>3.9E-2</v>
      </c>
      <c r="F159" s="35">
        <v>7.8E-2</v>
      </c>
      <c r="G159" s="35">
        <v>700</v>
      </c>
    </row>
    <row r="160" spans="1:7" x14ac:dyDescent="0.25">
      <c r="A160">
        <v>20221028</v>
      </c>
      <c r="B160" t="s">
        <v>770</v>
      </c>
      <c r="C160" t="s">
        <v>215</v>
      </c>
      <c r="D160" t="s">
        <v>250</v>
      </c>
      <c r="E160" s="35">
        <v>3.9E-2</v>
      </c>
      <c r="F160" s="35">
        <v>7.8E-2</v>
      </c>
      <c r="G160" s="35">
        <v>700</v>
      </c>
    </row>
    <row r="161" spans="1:7" x14ac:dyDescent="0.25">
      <c r="A161">
        <v>20221028</v>
      </c>
      <c r="B161" t="s">
        <v>770</v>
      </c>
      <c r="C161" t="s">
        <v>215</v>
      </c>
      <c r="D161" t="s">
        <v>258</v>
      </c>
      <c r="E161" s="35">
        <v>3.9E-2</v>
      </c>
      <c r="F161" s="35">
        <v>7.8E-2</v>
      </c>
      <c r="G161" s="35">
        <v>600</v>
      </c>
    </row>
    <row r="162" spans="1:7" x14ac:dyDescent="0.25">
      <c r="A162">
        <v>20221028</v>
      </c>
      <c r="B162" t="s">
        <v>770</v>
      </c>
      <c r="C162" t="s">
        <v>215</v>
      </c>
      <c r="D162" t="s">
        <v>265</v>
      </c>
      <c r="E162" s="35">
        <v>3.9E-2</v>
      </c>
      <c r="F162" s="35">
        <v>7.8E-2</v>
      </c>
      <c r="G162" s="35">
        <v>530</v>
      </c>
    </row>
    <row r="163" spans="1:7" x14ac:dyDescent="0.25">
      <c r="A163">
        <v>20221028</v>
      </c>
      <c r="B163" t="s">
        <v>770</v>
      </c>
      <c r="C163" t="s">
        <v>215</v>
      </c>
      <c r="D163" t="s">
        <v>273</v>
      </c>
      <c r="E163" s="35">
        <v>3.9E-2</v>
      </c>
      <c r="F163" s="35">
        <v>7.8E-2</v>
      </c>
      <c r="G163" s="35">
        <v>470</v>
      </c>
    </row>
    <row r="164" spans="1:7" x14ac:dyDescent="0.25">
      <c r="A164">
        <v>20221028</v>
      </c>
      <c r="B164" t="s">
        <v>770</v>
      </c>
      <c r="C164" t="s">
        <v>215</v>
      </c>
      <c r="D164" t="s">
        <v>279</v>
      </c>
      <c r="E164" s="35">
        <v>3.9E-2</v>
      </c>
      <c r="F164" s="35">
        <v>7.8E-2</v>
      </c>
      <c r="G164" s="35">
        <v>420</v>
      </c>
    </row>
    <row r="165" spans="1:7" x14ac:dyDescent="0.25">
      <c r="A165">
        <v>20221028</v>
      </c>
      <c r="B165" t="s">
        <v>770</v>
      </c>
      <c r="C165" t="s">
        <v>215</v>
      </c>
      <c r="D165" t="s">
        <v>285</v>
      </c>
      <c r="E165" s="35">
        <v>3.9E-2</v>
      </c>
      <c r="F165" s="35">
        <v>7.8E-2</v>
      </c>
      <c r="G165" s="35">
        <v>360</v>
      </c>
    </row>
    <row r="166" spans="1:7" x14ac:dyDescent="0.25">
      <c r="A166">
        <v>20221028</v>
      </c>
      <c r="B166" t="s">
        <v>770</v>
      </c>
      <c r="C166" t="s">
        <v>215</v>
      </c>
      <c r="D166" t="s">
        <v>289</v>
      </c>
      <c r="E166" s="35">
        <v>3.9E-2</v>
      </c>
      <c r="F166" s="35">
        <v>7.8E-2</v>
      </c>
      <c r="G166" s="35">
        <v>280</v>
      </c>
    </row>
    <row r="167" spans="1:7" x14ac:dyDescent="0.25">
      <c r="A167">
        <v>20221028</v>
      </c>
      <c r="B167" t="s">
        <v>770</v>
      </c>
      <c r="C167" t="s">
        <v>249</v>
      </c>
      <c r="D167" t="s">
        <v>187</v>
      </c>
      <c r="E167" s="35">
        <v>3.9E-2</v>
      </c>
      <c r="F167" s="35">
        <v>7.8E-2</v>
      </c>
      <c r="G167" s="35">
        <v>780</v>
      </c>
    </row>
    <row r="168" spans="1:7" x14ac:dyDescent="0.25">
      <c r="A168">
        <v>20221028</v>
      </c>
      <c r="B168" t="s">
        <v>770</v>
      </c>
      <c r="C168" t="s">
        <v>249</v>
      </c>
      <c r="D168" t="s">
        <v>214</v>
      </c>
      <c r="E168" s="35">
        <v>3.9E-2</v>
      </c>
      <c r="F168" s="35">
        <v>7.8E-2</v>
      </c>
      <c r="G168" s="35">
        <v>780</v>
      </c>
    </row>
    <row r="169" spans="1:7" x14ac:dyDescent="0.25">
      <c r="A169">
        <v>20221028</v>
      </c>
      <c r="B169" t="s">
        <v>770</v>
      </c>
      <c r="C169" t="s">
        <v>249</v>
      </c>
      <c r="D169" t="s">
        <v>233</v>
      </c>
      <c r="E169" s="35">
        <v>3.9E-2</v>
      </c>
      <c r="F169" s="35">
        <v>7.8E-2</v>
      </c>
      <c r="G169" s="35">
        <v>780</v>
      </c>
    </row>
    <row r="170" spans="1:7" x14ac:dyDescent="0.25">
      <c r="A170">
        <v>20221028</v>
      </c>
      <c r="B170" t="s">
        <v>770</v>
      </c>
      <c r="C170" t="s">
        <v>249</v>
      </c>
      <c r="D170" t="s">
        <v>242</v>
      </c>
      <c r="E170" s="35">
        <v>3.9E-2</v>
      </c>
      <c r="F170" s="35">
        <v>7.8E-2</v>
      </c>
      <c r="G170" s="35">
        <v>700</v>
      </c>
    </row>
    <row r="171" spans="1:7" x14ac:dyDescent="0.25">
      <c r="A171">
        <v>20221028</v>
      </c>
      <c r="B171" t="s">
        <v>770</v>
      </c>
      <c r="C171" t="s">
        <v>249</v>
      </c>
      <c r="D171" t="s">
        <v>250</v>
      </c>
      <c r="E171" s="35">
        <v>3.9E-2</v>
      </c>
      <c r="F171" s="35">
        <v>7.8E-2</v>
      </c>
      <c r="G171" s="35">
        <v>700</v>
      </c>
    </row>
    <row r="172" spans="1:7" x14ac:dyDescent="0.25">
      <c r="A172">
        <v>20221028</v>
      </c>
      <c r="B172" t="s">
        <v>770</v>
      </c>
      <c r="C172" t="s">
        <v>249</v>
      </c>
      <c r="D172" t="s">
        <v>258</v>
      </c>
      <c r="E172" s="35">
        <v>3.9E-2</v>
      </c>
      <c r="F172" s="35">
        <v>7.8E-2</v>
      </c>
      <c r="G172" s="35">
        <v>600</v>
      </c>
    </row>
    <row r="173" spans="1:7" x14ac:dyDescent="0.25">
      <c r="A173">
        <v>20221028</v>
      </c>
      <c r="B173" t="s">
        <v>770</v>
      </c>
      <c r="C173" t="s">
        <v>249</v>
      </c>
      <c r="D173" t="s">
        <v>265</v>
      </c>
      <c r="E173" s="35">
        <v>3.9E-2</v>
      </c>
      <c r="F173" s="35">
        <v>7.8E-2</v>
      </c>
      <c r="G173" s="35">
        <v>530</v>
      </c>
    </row>
    <row r="174" spans="1:7" x14ac:dyDescent="0.25">
      <c r="A174">
        <v>20221028</v>
      </c>
      <c r="B174" t="s">
        <v>770</v>
      </c>
      <c r="C174" t="s">
        <v>249</v>
      </c>
      <c r="D174" t="s">
        <v>273</v>
      </c>
      <c r="E174" s="35">
        <v>3.9E-2</v>
      </c>
      <c r="F174" s="35">
        <v>7.8E-2</v>
      </c>
      <c r="G174" s="35">
        <v>470</v>
      </c>
    </row>
    <row r="175" spans="1:7" x14ac:dyDescent="0.25">
      <c r="A175">
        <v>20221028</v>
      </c>
      <c r="B175" t="s">
        <v>770</v>
      </c>
      <c r="C175" t="s">
        <v>249</v>
      </c>
      <c r="D175" t="s">
        <v>279</v>
      </c>
      <c r="E175" s="35">
        <v>3.9E-2</v>
      </c>
      <c r="F175" s="35">
        <v>7.8E-2</v>
      </c>
      <c r="G175" s="35">
        <v>420</v>
      </c>
    </row>
    <row r="176" spans="1:7" x14ac:dyDescent="0.25">
      <c r="A176">
        <v>20221028</v>
      </c>
      <c r="B176" t="s">
        <v>770</v>
      </c>
      <c r="C176" t="s">
        <v>249</v>
      </c>
      <c r="D176" t="s">
        <v>285</v>
      </c>
      <c r="E176" s="35">
        <v>3.9E-2</v>
      </c>
      <c r="F176" s="35">
        <v>7.8E-2</v>
      </c>
      <c r="G176" s="35">
        <v>360</v>
      </c>
    </row>
    <row r="177" spans="1:7" x14ac:dyDescent="0.25">
      <c r="A177">
        <v>20221028</v>
      </c>
      <c r="B177" t="s">
        <v>770</v>
      </c>
      <c r="C177" t="s">
        <v>249</v>
      </c>
      <c r="D177" t="s">
        <v>289</v>
      </c>
      <c r="E177" s="35">
        <v>3.9E-2</v>
      </c>
      <c r="F177" s="35">
        <v>7.8E-2</v>
      </c>
      <c r="G177" s="35">
        <v>280</v>
      </c>
    </row>
    <row r="178" spans="1:7" x14ac:dyDescent="0.25">
      <c r="A178">
        <v>20221028</v>
      </c>
      <c r="B178" t="s">
        <v>770</v>
      </c>
      <c r="C178" t="s">
        <v>257</v>
      </c>
      <c r="D178" t="s">
        <v>187</v>
      </c>
      <c r="E178" s="35">
        <v>3.9E-2</v>
      </c>
      <c r="F178" s="35">
        <v>7.8E-2</v>
      </c>
      <c r="G178" s="35">
        <v>690</v>
      </c>
    </row>
    <row r="179" spans="1:7" x14ac:dyDescent="0.25">
      <c r="A179">
        <v>20221028</v>
      </c>
      <c r="B179" t="s">
        <v>770</v>
      </c>
      <c r="C179" t="s">
        <v>257</v>
      </c>
      <c r="D179" t="s">
        <v>214</v>
      </c>
      <c r="E179" s="35">
        <v>3.9E-2</v>
      </c>
      <c r="F179" s="35">
        <v>7.8E-2</v>
      </c>
      <c r="G179" s="35">
        <v>690</v>
      </c>
    </row>
    <row r="180" spans="1:7" x14ac:dyDescent="0.25">
      <c r="A180">
        <v>20221028</v>
      </c>
      <c r="B180" t="s">
        <v>770</v>
      </c>
      <c r="C180" t="s">
        <v>257</v>
      </c>
      <c r="D180" t="s">
        <v>233</v>
      </c>
      <c r="E180" s="35">
        <v>3.9E-2</v>
      </c>
      <c r="F180" s="35">
        <v>7.8E-2</v>
      </c>
      <c r="G180" s="35">
        <v>690</v>
      </c>
    </row>
    <row r="181" spans="1:7" x14ac:dyDescent="0.25">
      <c r="A181">
        <v>20221028</v>
      </c>
      <c r="B181" t="s">
        <v>770</v>
      </c>
      <c r="C181" t="s">
        <v>257</v>
      </c>
      <c r="D181" t="s">
        <v>242</v>
      </c>
      <c r="E181" s="35">
        <v>3.9E-2</v>
      </c>
      <c r="F181" s="35">
        <v>7.8E-2</v>
      </c>
      <c r="G181" s="35">
        <v>610</v>
      </c>
    </row>
    <row r="182" spans="1:7" x14ac:dyDescent="0.25">
      <c r="A182">
        <v>20221028</v>
      </c>
      <c r="B182" t="s">
        <v>770</v>
      </c>
      <c r="C182" t="s">
        <v>257</v>
      </c>
      <c r="D182" t="s">
        <v>250</v>
      </c>
      <c r="E182" s="35">
        <v>3.9E-2</v>
      </c>
      <c r="F182" s="35">
        <v>7.8E-2</v>
      </c>
      <c r="G182" s="35">
        <v>610</v>
      </c>
    </row>
    <row r="183" spans="1:7" x14ac:dyDescent="0.25">
      <c r="A183">
        <v>20221028</v>
      </c>
      <c r="B183" t="s">
        <v>770</v>
      </c>
      <c r="C183" t="s">
        <v>257</v>
      </c>
      <c r="D183" t="s">
        <v>258</v>
      </c>
      <c r="E183" s="35">
        <v>3.9E-2</v>
      </c>
      <c r="F183" s="35">
        <v>7.8E-2</v>
      </c>
      <c r="G183" s="35">
        <v>550</v>
      </c>
    </row>
    <row r="184" spans="1:7" x14ac:dyDescent="0.25">
      <c r="A184">
        <v>20221028</v>
      </c>
      <c r="B184" t="s">
        <v>770</v>
      </c>
      <c r="C184" t="s">
        <v>257</v>
      </c>
      <c r="D184" t="s">
        <v>265</v>
      </c>
      <c r="E184" s="35">
        <v>3.9E-2</v>
      </c>
      <c r="F184" s="35">
        <v>7.8E-2</v>
      </c>
      <c r="G184" s="35">
        <v>490</v>
      </c>
    </row>
    <row r="185" spans="1:7" x14ac:dyDescent="0.25">
      <c r="A185">
        <v>20221028</v>
      </c>
      <c r="B185" t="s">
        <v>770</v>
      </c>
      <c r="C185" t="s">
        <v>257</v>
      </c>
      <c r="D185" t="s">
        <v>273</v>
      </c>
      <c r="E185" s="35">
        <v>3.9E-2</v>
      </c>
      <c r="F185" s="35">
        <v>7.8E-2</v>
      </c>
      <c r="G185" s="35">
        <v>430</v>
      </c>
    </row>
    <row r="186" spans="1:7" x14ac:dyDescent="0.25">
      <c r="A186">
        <v>20221028</v>
      </c>
      <c r="B186" t="s">
        <v>770</v>
      </c>
      <c r="C186" t="s">
        <v>257</v>
      </c>
      <c r="D186" t="s">
        <v>279</v>
      </c>
      <c r="E186" s="35">
        <v>3.9E-2</v>
      </c>
      <c r="F186" s="35">
        <v>7.8E-2</v>
      </c>
      <c r="G186" s="35">
        <v>380</v>
      </c>
    </row>
    <row r="187" spans="1:7" x14ac:dyDescent="0.25">
      <c r="A187">
        <v>20221028</v>
      </c>
      <c r="B187" t="s">
        <v>770</v>
      </c>
      <c r="C187" t="s">
        <v>257</v>
      </c>
      <c r="D187" t="s">
        <v>285</v>
      </c>
      <c r="E187" s="35">
        <v>3.9E-2</v>
      </c>
      <c r="F187" s="35">
        <v>7.8E-2</v>
      </c>
      <c r="G187" s="35">
        <v>320</v>
      </c>
    </row>
    <row r="188" spans="1:7" x14ac:dyDescent="0.25">
      <c r="A188">
        <v>20221028</v>
      </c>
      <c r="B188" t="s">
        <v>770</v>
      </c>
      <c r="C188" t="s">
        <v>257</v>
      </c>
      <c r="D188" t="s">
        <v>289</v>
      </c>
      <c r="E188" s="35">
        <v>3.9E-2</v>
      </c>
      <c r="F188" s="35">
        <v>7.8E-2</v>
      </c>
      <c r="G188" s="35">
        <v>260</v>
      </c>
    </row>
    <row r="189" spans="1:7" x14ac:dyDescent="0.25">
      <c r="A189">
        <v>20221028</v>
      </c>
      <c r="B189" t="s">
        <v>770</v>
      </c>
      <c r="C189" t="s">
        <v>264</v>
      </c>
      <c r="D189" t="s">
        <v>187</v>
      </c>
      <c r="E189" s="35">
        <v>3.9E-2</v>
      </c>
      <c r="F189" s="35">
        <v>7.8E-2</v>
      </c>
      <c r="G189" s="35">
        <v>690</v>
      </c>
    </row>
    <row r="190" spans="1:7" x14ac:dyDescent="0.25">
      <c r="A190">
        <v>20221028</v>
      </c>
      <c r="B190" t="s">
        <v>770</v>
      </c>
      <c r="C190" t="s">
        <v>264</v>
      </c>
      <c r="D190" t="s">
        <v>214</v>
      </c>
      <c r="E190" s="35">
        <v>3.9E-2</v>
      </c>
      <c r="F190" s="35">
        <v>7.8E-2</v>
      </c>
      <c r="G190" s="35">
        <v>690</v>
      </c>
    </row>
    <row r="191" spans="1:7" x14ac:dyDescent="0.25">
      <c r="A191">
        <v>20221028</v>
      </c>
      <c r="B191" t="s">
        <v>770</v>
      </c>
      <c r="C191" t="s">
        <v>264</v>
      </c>
      <c r="D191" t="s">
        <v>233</v>
      </c>
      <c r="E191" s="35">
        <v>3.9E-2</v>
      </c>
      <c r="F191" s="35">
        <v>7.8E-2</v>
      </c>
      <c r="G191" s="35">
        <v>690</v>
      </c>
    </row>
    <row r="192" spans="1:7" x14ac:dyDescent="0.25">
      <c r="A192">
        <v>20221028</v>
      </c>
      <c r="B192" t="s">
        <v>770</v>
      </c>
      <c r="C192" t="s">
        <v>264</v>
      </c>
      <c r="D192" t="s">
        <v>242</v>
      </c>
      <c r="E192" s="35">
        <v>3.9E-2</v>
      </c>
      <c r="F192" s="35">
        <v>7.8E-2</v>
      </c>
      <c r="G192" s="35">
        <v>610</v>
      </c>
    </row>
    <row r="193" spans="1:7" x14ac:dyDescent="0.25">
      <c r="A193">
        <v>20221028</v>
      </c>
      <c r="B193" t="s">
        <v>770</v>
      </c>
      <c r="C193" t="s">
        <v>264</v>
      </c>
      <c r="D193" t="s">
        <v>250</v>
      </c>
      <c r="E193" s="35">
        <v>3.9E-2</v>
      </c>
      <c r="F193" s="35">
        <v>7.8E-2</v>
      </c>
      <c r="G193" s="35">
        <v>610</v>
      </c>
    </row>
    <row r="194" spans="1:7" x14ac:dyDescent="0.25">
      <c r="A194">
        <v>20221028</v>
      </c>
      <c r="B194" t="s">
        <v>770</v>
      </c>
      <c r="C194" t="s">
        <v>264</v>
      </c>
      <c r="D194" t="s">
        <v>258</v>
      </c>
      <c r="E194" s="35">
        <v>3.9E-2</v>
      </c>
      <c r="F194" s="35">
        <v>7.8E-2</v>
      </c>
      <c r="G194" s="35">
        <v>550</v>
      </c>
    </row>
    <row r="195" spans="1:7" x14ac:dyDescent="0.25">
      <c r="A195">
        <v>20221028</v>
      </c>
      <c r="B195" t="s">
        <v>770</v>
      </c>
      <c r="C195" t="s">
        <v>264</v>
      </c>
      <c r="D195" t="s">
        <v>265</v>
      </c>
      <c r="E195" s="35">
        <v>3.9E-2</v>
      </c>
      <c r="F195" s="35">
        <v>7.8E-2</v>
      </c>
      <c r="G195" s="35">
        <v>490</v>
      </c>
    </row>
    <row r="196" spans="1:7" x14ac:dyDescent="0.25">
      <c r="A196">
        <v>20221028</v>
      </c>
      <c r="B196" t="s">
        <v>770</v>
      </c>
      <c r="C196" t="s">
        <v>264</v>
      </c>
      <c r="D196" t="s">
        <v>273</v>
      </c>
      <c r="E196" s="35">
        <v>3.9E-2</v>
      </c>
      <c r="F196" s="35">
        <v>7.8E-2</v>
      </c>
      <c r="G196" s="35">
        <v>430</v>
      </c>
    </row>
    <row r="197" spans="1:7" x14ac:dyDescent="0.25">
      <c r="A197">
        <v>20221028</v>
      </c>
      <c r="B197" t="s">
        <v>770</v>
      </c>
      <c r="C197" t="s">
        <v>264</v>
      </c>
      <c r="D197" t="s">
        <v>279</v>
      </c>
      <c r="E197" s="35">
        <v>3.9E-2</v>
      </c>
      <c r="F197" s="35">
        <v>7.8E-2</v>
      </c>
      <c r="G197" s="35">
        <v>380</v>
      </c>
    </row>
    <row r="198" spans="1:7" x14ac:dyDescent="0.25">
      <c r="A198">
        <v>20221028</v>
      </c>
      <c r="B198" t="s">
        <v>770</v>
      </c>
      <c r="C198" t="s">
        <v>264</v>
      </c>
      <c r="D198" t="s">
        <v>285</v>
      </c>
      <c r="E198" s="35">
        <v>3.9E-2</v>
      </c>
      <c r="F198" s="35">
        <v>7.8E-2</v>
      </c>
      <c r="G198" s="35">
        <v>320</v>
      </c>
    </row>
    <row r="199" spans="1:7" x14ac:dyDescent="0.25">
      <c r="A199">
        <v>20221028</v>
      </c>
      <c r="B199" t="s">
        <v>770</v>
      </c>
      <c r="C199" t="s">
        <v>264</v>
      </c>
      <c r="D199" t="s">
        <v>289</v>
      </c>
      <c r="E199" s="35">
        <v>3.9E-2</v>
      </c>
      <c r="F199" s="35">
        <v>7.8E-2</v>
      </c>
      <c r="G199" s="35">
        <v>260</v>
      </c>
    </row>
    <row r="200" spans="1:7" x14ac:dyDescent="0.25">
      <c r="A200">
        <v>20221028</v>
      </c>
      <c r="B200" t="s">
        <v>770</v>
      </c>
      <c r="C200" t="s">
        <v>272</v>
      </c>
      <c r="D200" t="s">
        <v>187</v>
      </c>
      <c r="E200" s="35">
        <v>3.9E-2</v>
      </c>
      <c r="F200" s="35">
        <v>7.8E-2</v>
      </c>
      <c r="G200" s="35">
        <v>490</v>
      </c>
    </row>
    <row r="201" spans="1:7" x14ac:dyDescent="0.25">
      <c r="A201">
        <v>20221028</v>
      </c>
      <c r="B201" t="s">
        <v>770</v>
      </c>
      <c r="C201" t="s">
        <v>272</v>
      </c>
      <c r="D201" t="s">
        <v>214</v>
      </c>
      <c r="E201" s="35">
        <v>3.9E-2</v>
      </c>
      <c r="F201" s="35">
        <v>7.8E-2</v>
      </c>
      <c r="G201" s="35">
        <v>490</v>
      </c>
    </row>
    <row r="202" spans="1:7" x14ac:dyDescent="0.25">
      <c r="A202">
        <v>20221028</v>
      </c>
      <c r="B202" t="s">
        <v>770</v>
      </c>
      <c r="C202" t="s">
        <v>272</v>
      </c>
      <c r="D202" t="s">
        <v>233</v>
      </c>
      <c r="E202" s="35">
        <v>3.9E-2</v>
      </c>
      <c r="F202" s="35">
        <v>7.8E-2</v>
      </c>
      <c r="G202" s="35">
        <v>490</v>
      </c>
    </row>
    <row r="203" spans="1:7" x14ac:dyDescent="0.25">
      <c r="A203">
        <v>20221028</v>
      </c>
      <c r="B203" t="s">
        <v>770</v>
      </c>
      <c r="C203" t="s">
        <v>272</v>
      </c>
      <c r="D203" t="s">
        <v>242</v>
      </c>
      <c r="E203" s="35">
        <v>3.9E-2</v>
      </c>
      <c r="F203" s="35">
        <v>7.8E-2</v>
      </c>
      <c r="G203" s="35">
        <v>440</v>
      </c>
    </row>
    <row r="204" spans="1:7" x14ac:dyDescent="0.25">
      <c r="A204">
        <v>20221028</v>
      </c>
      <c r="B204" t="s">
        <v>770</v>
      </c>
      <c r="C204" t="s">
        <v>272</v>
      </c>
      <c r="D204" t="s">
        <v>250</v>
      </c>
      <c r="E204" s="35">
        <v>3.9E-2</v>
      </c>
      <c r="F204" s="35">
        <v>7.8E-2</v>
      </c>
      <c r="G204" s="35">
        <v>440</v>
      </c>
    </row>
    <row r="205" spans="1:7" x14ac:dyDescent="0.25">
      <c r="A205">
        <v>20221028</v>
      </c>
      <c r="B205" t="s">
        <v>770</v>
      </c>
      <c r="C205" t="s">
        <v>272</v>
      </c>
      <c r="D205" t="s">
        <v>258</v>
      </c>
      <c r="E205" s="35">
        <v>3.9E-2</v>
      </c>
      <c r="F205" s="35">
        <v>7.8E-2</v>
      </c>
      <c r="G205" s="35">
        <v>400</v>
      </c>
    </row>
    <row r="206" spans="1:7" x14ac:dyDescent="0.25">
      <c r="A206">
        <v>20221028</v>
      </c>
      <c r="B206" t="s">
        <v>770</v>
      </c>
      <c r="C206" t="s">
        <v>272</v>
      </c>
      <c r="D206" t="s">
        <v>265</v>
      </c>
      <c r="E206" s="35">
        <v>3.9E-2</v>
      </c>
      <c r="F206" s="35">
        <v>7.8E-2</v>
      </c>
      <c r="G206" s="35">
        <v>350</v>
      </c>
    </row>
    <row r="207" spans="1:7" x14ac:dyDescent="0.25">
      <c r="A207">
        <v>20221028</v>
      </c>
      <c r="B207" t="s">
        <v>770</v>
      </c>
      <c r="C207" t="s">
        <v>272</v>
      </c>
      <c r="D207" t="s">
        <v>273</v>
      </c>
      <c r="E207" s="35">
        <v>3.9E-2</v>
      </c>
      <c r="F207" s="35">
        <v>7.8E-2</v>
      </c>
      <c r="G207" s="35">
        <v>310</v>
      </c>
    </row>
    <row r="208" spans="1:7" x14ac:dyDescent="0.25">
      <c r="A208">
        <v>20221028</v>
      </c>
      <c r="B208" t="s">
        <v>770</v>
      </c>
      <c r="C208" t="s">
        <v>272</v>
      </c>
      <c r="D208" t="s">
        <v>279</v>
      </c>
      <c r="E208" s="35">
        <v>3.9E-2</v>
      </c>
      <c r="F208" s="35">
        <v>7.8E-2</v>
      </c>
      <c r="G208" s="35">
        <v>270</v>
      </c>
    </row>
    <row r="209" spans="1:7" x14ac:dyDescent="0.25">
      <c r="A209">
        <v>20221028</v>
      </c>
      <c r="B209" t="s">
        <v>770</v>
      </c>
      <c r="C209" t="s">
        <v>272</v>
      </c>
      <c r="D209" t="s">
        <v>285</v>
      </c>
      <c r="E209" s="35">
        <v>3.9E-2</v>
      </c>
      <c r="F209" s="35">
        <v>7.8E-2</v>
      </c>
      <c r="G209" s="35">
        <v>220</v>
      </c>
    </row>
    <row r="210" spans="1:7" x14ac:dyDescent="0.25">
      <c r="A210">
        <v>20221028</v>
      </c>
      <c r="B210" t="s">
        <v>770</v>
      </c>
      <c r="C210" t="s">
        <v>272</v>
      </c>
      <c r="D210" t="s">
        <v>289</v>
      </c>
      <c r="E210" s="35">
        <v>3.9E-2</v>
      </c>
      <c r="F210" s="35">
        <v>7.8E-2</v>
      </c>
      <c r="G210" s="35">
        <v>170</v>
      </c>
    </row>
    <row r="211" spans="1:7" x14ac:dyDescent="0.25">
      <c r="A211">
        <v>20221028</v>
      </c>
      <c r="B211" t="s">
        <v>770</v>
      </c>
      <c r="C211" t="s">
        <v>278</v>
      </c>
      <c r="D211" t="s">
        <v>187</v>
      </c>
      <c r="E211" s="35">
        <v>3.9E-2</v>
      </c>
      <c r="F211" s="35">
        <v>7.8E-2</v>
      </c>
      <c r="G211" s="35">
        <v>490</v>
      </c>
    </row>
    <row r="212" spans="1:7" x14ac:dyDescent="0.25">
      <c r="A212">
        <v>20221028</v>
      </c>
      <c r="B212" t="s">
        <v>770</v>
      </c>
      <c r="C212" t="s">
        <v>278</v>
      </c>
      <c r="D212" t="s">
        <v>214</v>
      </c>
      <c r="E212" s="35">
        <v>3.9E-2</v>
      </c>
      <c r="F212" s="35">
        <v>7.8E-2</v>
      </c>
      <c r="G212" s="35">
        <v>490</v>
      </c>
    </row>
    <row r="213" spans="1:7" x14ac:dyDescent="0.25">
      <c r="A213">
        <v>20221028</v>
      </c>
      <c r="B213" t="s">
        <v>770</v>
      </c>
      <c r="C213" t="s">
        <v>278</v>
      </c>
      <c r="D213" t="s">
        <v>233</v>
      </c>
      <c r="E213" s="35">
        <v>3.9E-2</v>
      </c>
      <c r="F213" s="35">
        <v>7.8E-2</v>
      </c>
      <c r="G213" s="35">
        <v>490</v>
      </c>
    </row>
    <row r="214" spans="1:7" x14ac:dyDescent="0.25">
      <c r="A214">
        <v>20221028</v>
      </c>
      <c r="B214" t="s">
        <v>770</v>
      </c>
      <c r="C214" t="s">
        <v>278</v>
      </c>
      <c r="D214" t="s">
        <v>242</v>
      </c>
      <c r="E214" s="35">
        <v>3.9E-2</v>
      </c>
      <c r="F214" s="35">
        <v>7.8E-2</v>
      </c>
      <c r="G214" s="35">
        <v>440</v>
      </c>
    </row>
    <row r="215" spans="1:7" x14ac:dyDescent="0.25">
      <c r="A215">
        <v>20221028</v>
      </c>
      <c r="B215" t="s">
        <v>770</v>
      </c>
      <c r="C215" t="s">
        <v>278</v>
      </c>
      <c r="D215" t="s">
        <v>250</v>
      </c>
      <c r="E215" s="35">
        <v>3.9E-2</v>
      </c>
      <c r="F215" s="35">
        <v>7.8E-2</v>
      </c>
      <c r="G215" s="35">
        <v>440</v>
      </c>
    </row>
    <row r="216" spans="1:7" x14ac:dyDescent="0.25">
      <c r="A216">
        <v>20221028</v>
      </c>
      <c r="B216" t="s">
        <v>770</v>
      </c>
      <c r="C216" t="s">
        <v>278</v>
      </c>
      <c r="D216" t="s">
        <v>258</v>
      </c>
      <c r="E216" s="35">
        <v>3.9E-2</v>
      </c>
      <c r="F216" s="35">
        <v>7.8E-2</v>
      </c>
      <c r="G216" s="35">
        <v>400</v>
      </c>
    </row>
    <row r="217" spans="1:7" x14ac:dyDescent="0.25">
      <c r="A217">
        <v>20221028</v>
      </c>
      <c r="B217" t="s">
        <v>770</v>
      </c>
      <c r="C217" t="s">
        <v>278</v>
      </c>
      <c r="D217" t="s">
        <v>265</v>
      </c>
      <c r="E217" s="35">
        <v>3.9E-2</v>
      </c>
      <c r="F217" s="35">
        <v>7.8E-2</v>
      </c>
      <c r="G217" s="35">
        <v>350</v>
      </c>
    </row>
    <row r="218" spans="1:7" x14ac:dyDescent="0.25">
      <c r="A218">
        <v>20221028</v>
      </c>
      <c r="B218" t="s">
        <v>770</v>
      </c>
      <c r="C218" t="s">
        <v>278</v>
      </c>
      <c r="D218" t="s">
        <v>273</v>
      </c>
      <c r="E218" s="35">
        <v>3.9E-2</v>
      </c>
      <c r="F218" s="35">
        <v>7.8E-2</v>
      </c>
      <c r="G218" s="35">
        <v>310</v>
      </c>
    </row>
    <row r="219" spans="1:7" x14ac:dyDescent="0.25">
      <c r="A219">
        <v>20221028</v>
      </c>
      <c r="B219" t="s">
        <v>770</v>
      </c>
      <c r="C219" t="s">
        <v>278</v>
      </c>
      <c r="D219" t="s">
        <v>279</v>
      </c>
      <c r="E219" s="35">
        <v>3.9E-2</v>
      </c>
      <c r="F219" s="35">
        <v>7.8E-2</v>
      </c>
      <c r="G219" s="35">
        <v>270</v>
      </c>
    </row>
    <row r="220" spans="1:7" x14ac:dyDescent="0.25">
      <c r="A220">
        <v>20221028</v>
      </c>
      <c r="B220" t="s">
        <v>770</v>
      </c>
      <c r="C220" t="s">
        <v>278</v>
      </c>
      <c r="D220" t="s">
        <v>285</v>
      </c>
      <c r="E220" s="35">
        <v>3.9E-2</v>
      </c>
      <c r="F220" s="35">
        <v>7.8E-2</v>
      </c>
      <c r="G220" s="35">
        <v>220</v>
      </c>
    </row>
    <row r="221" spans="1:7" x14ac:dyDescent="0.25">
      <c r="A221">
        <v>20221028</v>
      </c>
      <c r="B221" t="s">
        <v>770</v>
      </c>
      <c r="C221" t="s">
        <v>278</v>
      </c>
      <c r="D221" t="s">
        <v>289</v>
      </c>
      <c r="E221" s="35">
        <v>3.9E-2</v>
      </c>
      <c r="F221" s="35">
        <v>7.8E-2</v>
      </c>
      <c r="G221" s="35">
        <v>170</v>
      </c>
    </row>
    <row r="222" spans="1:7" x14ac:dyDescent="0.25">
      <c r="A222">
        <v>20221028</v>
      </c>
      <c r="B222" t="s">
        <v>770</v>
      </c>
      <c r="C222" t="s">
        <v>284</v>
      </c>
      <c r="D222" t="s">
        <v>187</v>
      </c>
      <c r="E222" s="35">
        <v>3.9E-2</v>
      </c>
      <c r="F222" s="35">
        <v>7.8E-2</v>
      </c>
      <c r="G222" s="35">
        <v>330</v>
      </c>
    </row>
    <row r="223" spans="1:7" x14ac:dyDescent="0.25">
      <c r="A223">
        <v>20221028</v>
      </c>
      <c r="B223" t="s">
        <v>770</v>
      </c>
      <c r="C223" t="s">
        <v>284</v>
      </c>
      <c r="D223" t="s">
        <v>214</v>
      </c>
      <c r="E223" s="35">
        <v>3.9E-2</v>
      </c>
      <c r="F223" s="35">
        <v>7.8E-2</v>
      </c>
      <c r="G223" s="35">
        <v>330</v>
      </c>
    </row>
    <row r="224" spans="1:7" x14ac:dyDescent="0.25">
      <c r="A224">
        <v>20221028</v>
      </c>
      <c r="B224" t="s">
        <v>770</v>
      </c>
      <c r="C224" t="s">
        <v>284</v>
      </c>
      <c r="D224" t="s">
        <v>233</v>
      </c>
      <c r="E224" s="35">
        <v>3.9E-2</v>
      </c>
      <c r="F224" s="35">
        <v>7.8E-2</v>
      </c>
      <c r="G224" s="35">
        <v>330</v>
      </c>
    </row>
    <row r="225" spans="1:7" x14ac:dyDescent="0.25">
      <c r="A225">
        <v>20221028</v>
      </c>
      <c r="B225" t="s">
        <v>770</v>
      </c>
      <c r="C225" t="s">
        <v>284</v>
      </c>
      <c r="D225" t="s">
        <v>242</v>
      </c>
      <c r="E225" s="35">
        <v>3.9E-2</v>
      </c>
      <c r="F225" s="35">
        <v>7.8E-2</v>
      </c>
      <c r="G225" s="35">
        <v>290</v>
      </c>
    </row>
    <row r="226" spans="1:7" x14ac:dyDescent="0.25">
      <c r="A226">
        <v>20221028</v>
      </c>
      <c r="B226" t="s">
        <v>770</v>
      </c>
      <c r="C226" t="s">
        <v>284</v>
      </c>
      <c r="D226" t="s">
        <v>250</v>
      </c>
      <c r="E226" s="35">
        <v>3.9E-2</v>
      </c>
      <c r="F226" s="35">
        <v>7.8E-2</v>
      </c>
      <c r="G226" s="35">
        <v>290</v>
      </c>
    </row>
    <row r="227" spans="1:7" x14ac:dyDescent="0.25">
      <c r="A227">
        <v>20221028</v>
      </c>
      <c r="B227" t="s">
        <v>770</v>
      </c>
      <c r="C227" t="s">
        <v>284</v>
      </c>
      <c r="D227" t="s">
        <v>258</v>
      </c>
      <c r="E227" s="35">
        <v>3.9E-2</v>
      </c>
      <c r="F227" s="35">
        <v>7.8E-2</v>
      </c>
      <c r="G227" s="35">
        <v>260</v>
      </c>
    </row>
    <row r="228" spans="1:7" x14ac:dyDescent="0.25">
      <c r="A228">
        <v>20221028</v>
      </c>
      <c r="B228" t="s">
        <v>770</v>
      </c>
      <c r="C228" t="s">
        <v>284</v>
      </c>
      <c r="D228" t="s">
        <v>265</v>
      </c>
      <c r="E228" s="35">
        <v>3.9E-2</v>
      </c>
      <c r="F228" s="35">
        <v>7.8E-2</v>
      </c>
      <c r="G228" s="35">
        <v>220</v>
      </c>
    </row>
    <row r="229" spans="1:7" x14ac:dyDescent="0.25">
      <c r="A229">
        <v>20221028</v>
      </c>
      <c r="B229" t="s">
        <v>770</v>
      </c>
      <c r="C229" t="s">
        <v>284</v>
      </c>
      <c r="D229" t="s">
        <v>273</v>
      </c>
      <c r="E229" s="35">
        <v>3.9E-2</v>
      </c>
      <c r="F229" s="35">
        <v>7.8E-2</v>
      </c>
      <c r="G229" s="35">
        <v>190</v>
      </c>
    </row>
    <row r="230" spans="1:7" x14ac:dyDescent="0.25">
      <c r="A230">
        <v>20221028</v>
      </c>
      <c r="B230" t="s">
        <v>770</v>
      </c>
      <c r="C230" t="s">
        <v>284</v>
      </c>
      <c r="D230" t="s">
        <v>279</v>
      </c>
      <c r="E230" s="35">
        <v>3.9E-2</v>
      </c>
      <c r="F230" s="35">
        <v>7.8E-2</v>
      </c>
      <c r="G230" s="35">
        <v>170</v>
      </c>
    </row>
    <row r="231" spans="1:7" x14ac:dyDescent="0.25">
      <c r="A231">
        <v>20221028</v>
      </c>
      <c r="B231" t="s">
        <v>770</v>
      </c>
      <c r="C231" t="s">
        <v>284</v>
      </c>
      <c r="D231" t="s">
        <v>285</v>
      </c>
      <c r="E231" s="35">
        <v>3.9E-2</v>
      </c>
      <c r="F231" s="35">
        <v>7.8E-2</v>
      </c>
      <c r="G231" s="35">
        <v>150</v>
      </c>
    </row>
    <row r="232" spans="1:7" x14ac:dyDescent="0.25">
      <c r="A232">
        <v>20221028</v>
      </c>
      <c r="B232" t="s">
        <v>770</v>
      </c>
      <c r="C232" t="s">
        <v>284</v>
      </c>
      <c r="D232" t="s">
        <v>289</v>
      </c>
      <c r="E232" s="35">
        <v>3.9E-2</v>
      </c>
      <c r="F232" s="35">
        <v>7.8E-2</v>
      </c>
      <c r="G232" s="35">
        <v>130</v>
      </c>
    </row>
    <row r="233" spans="1:7" x14ac:dyDescent="0.25">
      <c r="A233">
        <v>20221028</v>
      </c>
      <c r="B233" t="s">
        <v>770</v>
      </c>
      <c r="C233" t="s">
        <v>748</v>
      </c>
      <c r="D233" t="s">
        <v>187</v>
      </c>
      <c r="E233" s="35">
        <v>3.9E-2</v>
      </c>
      <c r="F233" s="35">
        <v>7.8E-2</v>
      </c>
      <c r="G233" s="35">
        <v>330</v>
      </c>
    </row>
    <row r="234" spans="1:7" x14ac:dyDescent="0.25">
      <c r="A234">
        <v>20221028</v>
      </c>
      <c r="B234" t="s">
        <v>770</v>
      </c>
      <c r="C234" t="s">
        <v>748</v>
      </c>
      <c r="D234" t="s">
        <v>214</v>
      </c>
      <c r="E234" s="35">
        <v>3.9E-2</v>
      </c>
      <c r="F234" s="35">
        <v>7.8E-2</v>
      </c>
      <c r="G234" s="35">
        <v>330</v>
      </c>
    </row>
    <row r="235" spans="1:7" x14ac:dyDescent="0.25">
      <c r="A235">
        <v>20221028</v>
      </c>
      <c r="B235" t="s">
        <v>770</v>
      </c>
      <c r="C235" t="s">
        <v>748</v>
      </c>
      <c r="D235" t="s">
        <v>233</v>
      </c>
      <c r="E235" s="35">
        <v>3.9E-2</v>
      </c>
      <c r="F235" s="35">
        <v>7.8E-2</v>
      </c>
      <c r="G235" s="35">
        <v>330</v>
      </c>
    </row>
    <row r="236" spans="1:7" x14ac:dyDescent="0.25">
      <c r="A236">
        <v>20221028</v>
      </c>
      <c r="B236" t="s">
        <v>770</v>
      </c>
      <c r="C236" t="s">
        <v>748</v>
      </c>
      <c r="D236" t="s">
        <v>242</v>
      </c>
      <c r="E236" s="35">
        <v>3.9E-2</v>
      </c>
      <c r="F236" s="35">
        <v>7.8E-2</v>
      </c>
      <c r="G236" s="35">
        <v>290</v>
      </c>
    </row>
    <row r="237" spans="1:7" x14ac:dyDescent="0.25">
      <c r="A237">
        <v>20221028</v>
      </c>
      <c r="B237" t="s">
        <v>770</v>
      </c>
      <c r="C237" t="s">
        <v>748</v>
      </c>
      <c r="D237" t="s">
        <v>250</v>
      </c>
      <c r="E237" s="35">
        <v>3.9E-2</v>
      </c>
      <c r="F237" s="35">
        <v>7.8E-2</v>
      </c>
      <c r="G237" s="35">
        <v>290</v>
      </c>
    </row>
    <row r="238" spans="1:7" x14ac:dyDescent="0.25">
      <c r="A238">
        <v>20221028</v>
      </c>
      <c r="B238" t="s">
        <v>770</v>
      </c>
      <c r="C238" t="s">
        <v>748</v>
      </c>
      <c r="D238" t="s">
        <v>258</v>
      </c>
      <c r="E238" s="35">
        <v>3.9E-2</v>
      </c>
      <c r="F238" s="35">
        <v>7.8E-2</v>
      </c>
      <c r="G238" s="35">
        <v>260</v>
      </c>
    </row>
    <row r="239" spans="1:7" x14ac:dyDescent="0.25">
      <c r="A239">
        <v>20221028</v>
      </c>
      <c r="B239" t="s">
        <v>770</v>
      </c>
      <c r="C239" t="s">
        <v>748</v>
      </c>
      <c r="D239" t="s">
        <v>265</v>
      </c>
      <c r="E239" s="35">
        <v>3.9E-2</v>
      </c>
      <c r="F239" s="35">
        <v>7.8E-2</v>
      </c>
      <c r="G239" s="35">
        <v>220</v>
      </c>
    </row>
    <row r="240" spans="1:7" x14ac:dyDescent="0.25">
      <c r="A240">
        <v>20221028</v>
      </c>
      <c r="B240" t="s">
        <v>770</v>
      </c>
      <c r="C240" t="s">
        <v>748</v>
      </c>
      <c r="D240" t="s">
        <v>273</v>
      </c>
      <c r="E240" s="35">
        <v>3.9E-2</v>
      </c>
      <c r="F240" s="35">
        <v>7.8E-2</v>
      </c>
      <c r="G240" s="35">
        <v>190</v>
      </c>
    </row>
    <row r="241" spans="1:7" x14ac:dyDescent="0.25">
      <c r="A241">
        <v>20221028</v>
      </c>
      <c r="B241" t="s">
        <v>770</v>
      </c>
      <c r="C241" t="s">
        <v>748</v>
      </c>
      <c r="D241" t="s">
        <v>279</v>
      </c>
      <c r="E241" s="35">
        <v>3.9E-2</v>
      </c>
      <c r="F241" s="35">
        <v>7.8E-2</v>
      </c>
      <c r="G241" s="35">
        <v>170</v>
      </c>
    </row>
    <row r="242" spans="1:7" x14ac:dyDescent="0.25">
      <c r="A242">
        <v>20221028</v>
      </c>
      <c r="B242" t="s">
        <v>770</v>
      </c>
      <c r="C242" t="s">
        <v>748</v>
      </c>
      <c r="D242" t="s">
        <v>285</v>
      </c>
      <c r="E242" s="35">
        <v>3.9E-2</v>
      </c>
      <c r="F242" s="35">
        <v>7.8E-2</v>
      </c>
      <c r="G242" s="35">
        <v>150</v>
      </c>
    </row>
    <row r="243" spans="1:7" x14ac:dyDescent="0.25">
      <c r="A243">
        <v>20221028</v>
      </c>
      <c r="B243" t="s">
        <v>770</v>
      </c>
      <c r="C243" t="s">
        <v>748</v>
      </c>
      <c r="D243" t="s">
        <v>289</v>
      </c>
      <c r="E243" s="35">
        <v>3.9E-2</v>
      </c>
      <c r="F243" s="35">
        <v>7.8E-2</v>
      </c>
      <c r="G243" s="35">
        <v>130</v>
      </c>
    </row>
    <row r="244" spans="1:7" x14ac:dyDescent="0.25">
      <c r="A244">
        <v>20221028</v>
      </c>
      <c r="B244" t="s">
        <v>770</v>
      </c>
      <c r="C244" t="s">
        <v>186</v>
      </c>
      <c r="D244" t="s">
        <v>187</v>
      </c>
      <c r="E244" s="35">
        <v>7.9000000000000001E-2</v>
      </c>
      <c r="F244" s="35">
        <v>0.14799999999999999</v>
      </c>
      <c r="G244" s="35">
        <v>1060</v>
      </c>
    </row>
    <row r="245" spans="1:7" x14ac:dyDescent="0.25">
      <c r="A245">
        <v>20221028</v>
      </c>
      <c r="B245" t="s">
        <v>770</v>
      </c>
      <c r="C245" t="s">
        <v>186</v>
      </c>
      <c r="D245" t="s">
        <v>214</v>
      </c>
      <c r="E245" s="35">
        <v>7.9000000000000001E-2</v>
      </c>
      <c r="F245" s="35">
        <v>0.14799999999999999</v>
      </c>
      <c r="G245" s="35">
        <v>1060</v>
      </c>
    </row>
    <row r="246" spans="1:7" x14ac:dyDescent="0.25">
      <c r="A246">
        <v>20221028</v>
      </c>
      <c r="B246" t="s">
        <v>770</v>
      </c>
      <c r="C246" t="s">
        <v>186</v>
      </c>
      <c r="D246" t="s">
        <v>233</v>
      </c>
      <c r="E246" s="35">
        <v>7.9000000000000001E-2</v>
      </c>
      <c r="F246" s="35">
        <v>0.14799999999999999</v>
      </c>
      <c r="G246" s="35">
        <v>1060</v>
      </c>
    </row>
    <row r="247" spans="1:7" x14ac:dyDescent="0.25">
      <c r="A247">
        <v>20221028</v>
      </c>
      <c r="B247" t="s">
        <v>770</v>
      </c>
      <c r="C247" t="s">
        <v>186</v>
      </c>
      <c r="D247" t="s">
        <v>242</v>
      </c>
      <c r="E247" s="35">
        <v>7.9000000000000001E-2</v>
      </c>
      <c r="F247" s="35">
        <v>0.14799999999999999</v>
      </c>
      <c r="G247" s="35">
        <v>960</v>
      </c>
    </row>
    <row r="248" spans="1:7" x14ac:dyDescent="0.25">
      <c r="A248">
        <v>20221028</v>
      </c>
      <c r="B248" t="s">
        <v>770</v>
      </c>
      <c r="C248" t="s">
        <v>186</v>
      </c>
      <c r="D248" t="s">
        <v>250</v>
      </c>
      <c r="E248" s="35">
        <v>7.9000000000000001E-2</v>
      </c>
      <c r="F248" s="35">
        <v>0.14799999999999999</v>
      </c>
      <c r="G248" s="35">
        <v>960</v>
      </c>
    </row>
    <row r="249" spans="1:7" x14ac:dyDescent="0.25">
      <c r="A249">
        <v>20221028</v>
      </c>
      <c r="B249" t="s">
        <v>770</v>
      </c>
      <c r="C249" t="s">
        <v>186</v>
      </c>
      <c r="D249" t="s">
        <v>258</v>
      </c>
      <c r="E249" s="35">
        <v>7.9000000000000001E-2</v>
      </c>
      <c r="F249" s="35">
        <v>0.14799999999999999</v>
      </c>
      <c r="G249" s="35">
        <v>850</v>
      </c>
    </row>
    <row r="250" spans="1:7" x14ac:dyDescent="0.25">
      <c r="A250">
        <v>20221028</v>
      </c>
      <c r="B250" t="s">
        <v>770</v>
      </c>
      <c r="C250" t="s">
        <v>186</v>
      </c>
      <c r="D250" t="s">
        <v>265</v>
      </c>
      <c r="E250" s="35">
        <v>7.9000000000000001E-2</v>
      </c>
      <c r="F250" s="35">
        <v>0.14799999999999999</v>
      </c>
      <c r="G250" s="35">
        <v>760</v>
      </c>
    </row>
    <row r="251" spans="1:7" x14ac:dyDescent="0.25">
      <c r="A251">
        <v>20221028</v>
      </c>
      <c r="B251" t="s">
        <v>770</v>
      </c>
      <c r="C251" t="s">
        <v>186</v>
      </c>
      <c r="D251" t="s">
        <v>273</v>
      </c>
      <c r="E251" s="35">
        <v>7.9000000000000001E-2</v>
      </c>
      <c r="F251" s="35">
        <v>0.14799999999999999</v>
      </c>
      <c r="G251" s="35">
        <v>680</v>
      </c>
    </row>
    <row r="252" spans="1:7" x14ac:dyDescent="0.25">
      <c r="A252">
        <v>20221028</v>
      </c>
      <c r="B252" t="s">
        <v>770</v>
      </c>
      <c r="C252" t="s">
        <v>186</v>
      </c>
      <c r="D252" t="s">
        <v>279</v>
      </c>
      <c r="E252" s="35">
        <v>7.9000000000000001E-2</v>
      </c>
      <c r="F252" s="35">
        <v>0.14799999999999999</v>
      </c>
      <c r="G252" s="35">
        <v>570</v>
      </c>
    </row>
    <row r="253" spans="1:7" x14ac:dyDescent="0.25">
      <c r="A253">
        <v>20221028</v>
      </c>
      <c r="B253" t="s">
        <v>770</v>
      </c>
      <c r="C253" t="s">
        <v>186</v>
      </c>
      <c r="D253" t="s">
        <v>285</v>
      </c>
      <c r="E253" s="35">
        <v>7.9000000000000001E-2</v>
      </c>
      <c r="F253" s="35">
        <v>0.14799999999999999</v>
      </c>
      <c r="G253" s="35">
        <v>480</v>
      </c>
    </row>
    <row r="254" spans="1:7" x14ac:dyDescent="0.25">
      <c r="A254">
        <v>20221028</v>
      </c>
      <c r="B254" t="s">
        <v>770</v>
      </c>
      <c r="C254" t="s">
        <v>186</v>
      </c>
      <c r="D254" t="s">
        <v>289</v>
      </c>
      <c r="E254" s="35">
        <v>7.9000000000000001E-2</v>
      </c>
      <c r="F254" s="35">
        <v>0.14799999999999999</v>
      </c>
      <c r="G254" s="35">
        <v>400</v>
      </c>
    </row>
    <row r="255" spans="1:7" x14ac:dyDescent="0.25">
      <c r="A255">
        <v>20221028</v>
      </c>
      <c r="B255" t="s">
        <v>770</v>
      </c>
      <c r="C255" t="s">
        <v>213</v>
      </c>
      <c r="D255" t="s">
        <v>187</v>
      </c>
      <c r="E255" s="35">
        <v>7.9000000000000001E-2</v>
      </c>
      <c r="F255" s="35">
        <v>0.14799999999999999</v>
      </c>
      <c r="G255" s="35">
        <v>1060</v>
      </c>
    </row>
    <row r="256" spans="1:7" x14ac:dyDescent="0.25">
      <c r="A256">
        <v>20221028</v>
      </c>
      <c r="B256" t="s">
        <v>770</v>
      </c>
      <c r="C256" t="s">
        <v>213</v>
      </c>
      <c r="D256" t="s">
        <v>214</v>
      </c>
      <c r="E256" s="35">
        <v>7.9000000000000001E-2</v>
      </c>
      <c r="F256" s="35">
        <v>0.14799999999999999</v>
      </c>
      <c r="G256" s="35">
        <v>1060</v>
      </c>
    </row>
    <row r="257" spans="1:7" x14ac:dyDescent="0.25">
      <c r="A257">
        <v>20221028</v>
      </c>
      <c r="B257" t="s">
        <v>770</v>
      </c>
      <c r="C257" t="s">
        <v>213</v>
      </c>
      <c r="D257" t="s">
        <v>233</v>
      </c>
      <c r="E257" s="35">
        <v>7.9000000000000001E-2</v>
      </c>
      <c r="F257" s="35">
        <v>0.14799999999999999</v>
      </c>
      <c r="G257" s="35">
        <v>1060</v>
      </c>
    </row>
    <row r="258" spans="1:7" x14ac:dyDescent="0.25">
      <c r="A258">
        <v>20221028</v>
      </c>
      <c r="B258" t="s">
        <v>770</v>
      </c>
      <c r="C258" t="s">
        <v>213</v>
      </c>
      <c r="D258" t="s">
        <v>242</v>
      </c>
      <c r="E258" s="35">
        <v>7.9000000000000001E-2</v>
      </c>
      <c r="F258" s="35">
        <v>0.14799999999999999</v>
      </c>
      <c r="G258" s="35">
        <v>960</v>
      </c>
    </row>
    <row r="259" spans="1:7" x14ac:dyDescent="0.25">
      <c r="A259">
        <v>20221028</v>
      </c>
      <c r="B259" t="s">
        <v>770</v>
      </c>
      <c r="C259" t="s">
        <v>213</v>
      </c>
      <c r="D259" t="s">
        <v>250</v>
      </c>
      <c r="E259" s="35">
        <v>7.9000000000000001E-2</v>
      </c>
      <c r="F259" s="35">
        <v>0.14799999999999999</v>
      </c>
      <c r="G259" s="35">
        <v>960</v>
      </c>
    </row>
    <row r="260" spans="1:7" x14ac:dyDescent="0.25">
      <c r="A260">
        <v>20221028</v>
      </c>
      <c r="B260" t="s">
        <v>770</v>
      </c>
      <c r="C260" t="s">
        <v>213</v>
      </c>
      <c r="D260" t="s">
        <v>258</v>
      </c>
      <c r="E260" s="35">
        <v>7.9000000000000001E-2</v>
      </c>
      <c r="F260" s="35">
        <v>0.14799999999999999</v>
      </c>
      <c r="G260" s="35">
        <v>850</v>
      </c>
    </row>
    <row r="261" spans="1:7" x14ac:dyDescent="0.25">
      <c r="A261">
        <v>20221028</v>
      </c>
      <c r="B261" t="s">
        <v>770</v>
      </c>
      <c r="C261" t="s">
        <v>213</v>
      </c>
      <c r="D261" t="s">
        <v>265</v>
      </c>
      <c r="E261" s="35">
        <v>7.9000000000000001E-2</v>
      </c>
      <c r="F261" s="35">
        <v>0.14799999999999999</v>
      </c>
      <c r="G261" s="35">
        <v>760</v>
      </c>
    </row>
    <row r="262" spans="1:7" x14ac:dyDescent="0.25">
      <c r="A262">
        <v>20221028</v>
      </c>
      <c r="B262" t="s">
        <v>770</v>
      </c>
      <c r="C262" t="s">
        <v>213</v>
      </c>
      <c r="D262" t="s">
        <v>273</v>
      </c>
      <c r="E262" s="35">
        <v>7.9000000000000001E-2</v>
      </c>
      <c r="F262" s="35">
        <v>0.14799999999999999</v>
      </c>
      <c r="G262" s="35">
        <v>680</v>
      </c>
    </row>
    <row r="263" spans="1:7" x14ac:dyDescent="0.25">
      <c r="A263">
        <v>20221028</v>
      </c>
      <c r="B263" t="s">
        <v>770</v>
      </c>
      <c r="C263" t="s">
        <v>213</v>
      </c>
      <c r="D263" t="s">
        <v>279</v>
      </c>
      <c r="E263" s="35">
        <v>7.9000000000000001E-2</v>
      </c>
      <c r="F263" s="35">
        <v>0.14799999999999999</v>
      </c>
      <c r="G263" s="35">
        <v>570</v>
      </c>
    </row>
    <row r="264" spans="1:7" x14ac:dyDescent="0.25">
      <c r="A264">
        <v>20221028</v>
      </c>
      <c r="B264" t="s">
        <v>770</v>
      </c>
      <c r="C264" t="s">
        <v>213</v>
      </c>
      <c r="D264" t="s">
        <v>285</v>
      </c>
      <c r="E264" s="35">
        <v>7.9000000000000001E-2</v>
      </c>
      <c r="F264" s="35">
        <v>0.14799999999999999</v>
      </c>
      <c r="G264" s="35">
        <v>480</v>
      </c>
    </row>
    <row r="265" spans="1:7" x14ac:dyDescent="0.25">
      <c r="A265">
        <v>20221028</v>
      </c>
      <c r="B265" t="s">
        <v>770</v>
      </c>
      <c r="C265" t="s">
        <v>213</v>
      </c>
      <c r="D265" t="s">
        <v>289</v>
      </c>
      <c r="E265" s="35">
        <v>7.9000000000000001E-2</v>
      </c>
      <c r="F265" s="35">
        <v>0.14799999999999999</v>
      </c>
      <c r="G265" s="35">
        <v>400</v>
      </c>
    </row>
    <row r="266" spans="1:7" x14ac:dyDescent="0.25">
      <c r="A266">
        <v>20221028</v>
      </c>
      <c r="B266" t="s">
        <v>770</v>
      </c>
      <c r="C266" t="s">
        <v>232</v>
      </c>
      <c r="D266" t="s">
        <v>187</v>
      </c>
      <c r="E266" s="35">
        <v>7.9000000000000001E-2</v>
      </c>
      <c r="F266" s="35">
        <v>0.14799999999999999</v>
      </c>
      <c r="G266" s="35">
        <v>1060</v>
      </c>
    </row>
    <row r="267" spans="1:7" x14ac:dyDescent="0.25">
      <c r="A267">
        <v>20221028</v>
      </c>
      <c r="B267" t="s">
        <v>770</v>
      </c>
      <c r="C267" t="s">
        <v>232</v>
      </c>
      <c r="D267" t="s">
        <v>214</v>
      </c>
      <c r="E267" s="35">
        <v>7.9000000000000001E-2</v>
      </c>
      <c r="F267" s="35">
        <v>0.14799999999999999</v>
      </c>
      <c r="G267" s="35">
        <v>1060</v>
      </c>
    </row>
    <row r="268" spans="1:7" x14ac:dyDescent="0.25">
      <c r="A268">
        <v>20221028</v>
      </c>
      <c r="B268" t="s">
        <v>770</v>
      </c>
      <c r="C268" t="s">
        <v>232</v>
      </c>
      <c r="D268" t="s">
        <v>233</v>
      </c>
      <c r="E268" s="35">
        <v>7.9000000000000001E-2</v>
      </c>
      <c r="F268" s="35">
        <v>0.14799999999999999</v>
      </c>
      <c r="G268" s="35">
        <v>1060</v>
      </c>
    </row>
    <row r="269" spans="1:7" x14ac:dyDescent="0.25">
      <c r="A269">
        <v>20221028</v>
      </c>
      <c r="B269" t="s">
        <v>770</v>
      </c>
      <c r="C269" t="s">
        <v>232</v>
      </c>
      <c r="D269" t="s">
        <v>242</v>
      </c>
      <c r="E269" s="35">
        <v>7.9000000000000001E-2</v>
      </c>
      <c r="F269" s="35">
        <v>0.14799999999999999</v>
      </c>
      <c r="G269" s="35">
        <v>960</v>
      </c>
    </row>
    <row r="270" spans="1:7" x14ac:dyDescent="0.25">
      <c r="A270">
        <v>20221028</v>
      </c>
      <c r="B270" t="s">
        <v>770</v>
      </c>
      <c r="C270" t="s">
        <v>232</v>
      </c>
      <c r="D270" t="s">
        <v>250</v>
      </c>
      <c r="E270" s="35">
        <v>7.9000000000000001E-2</v>
      </c>
      <c r="F270" s="35">
        <v>0.14799999999999999</v>
      </c>
      <c r="G270" s="35">
        <v>960</v>
      </c>
    </row>
    <row r="271" spans="1:7" x14ac:dyDescent="0.25">
      <c r="A271">
        <v>20221028</v>
      </c>
      <c r="B271" t="s">
        <v>770</v>
      </c>
      <c r="C271" t="s">
        <v>232</v>
      </c>
      <c r="D271" t="s">
        <v>258</v>
      </c>
      <c r="E271" s="35">
        <v>7.9000000000000001E-2</v>
      </c>
      <c r="F271" s="35">
        <v>0.14799999999999999</v>
      </c>
      <c r="G271" s="35">
        <v>850</v>
      </c>
    </row>
    <row r="272" spans="1:7" x14ac:dyDescent="0.25">
      <c r="A272">
        <v>20221028</v>
      </c>
      <c r="B272" t="s">
        <v>770</v>
      </c>
      <c r="C272" t="s">
        <v>232</v>
      </c>
      <c r="D272" t="s">
        <v>265</v>
      </c>
      <c r="E272" s="35">
        <v>7.9000000000000001E-2</v>
      </c>
      <c r="F272" s="35">
        <v>0.14799999999999999</v>
      </c>
      <c r="G272" s="35">
        <v>760</v>
      </c>
    </row>
    <row r="273" spans="1:7" x14ac:dyDescent="0.25">
      <c r="A273">
        <v>20221028</v>
      </c>
      <c r="B273" t="s">
        <v>770</v>
      </c>
      <c r="C273" t="s">
        <v>232</v>
      </c>
      <c r="D273" t="s">
        <v>273</v>
      </c>
      <c r="E273" s="35">
        <v>7.9000000000000001E-2</v>
      </c>
      <c r="F273" s="35">
        <v>0.14799999999999999</v>
      </c>
      <c r="G273" s="35">
        <v>680</v>
      </c>
    </row>
    <row r="274" spans="1:7" x14ac:dyDescent="0.25">
      <c r="A274">
        <v>20221028</v>
      </c>
      <c r="B274" t="s">
        <v>770</v>
      </c>
      <c r="C274" t="s">
        <v>232</v>
      </c>
      <c r="D274" t="s">
        <v>279</v>
      </c>
      <c r="E274" s="35">
        <v>7.9000000000000001E-2</v>
      </c>
      <c r="F274" s="35">
        <v>0.14799999999999999</v>
      </c>
      <c r="G274" s="35">
        <v>570</v>
      </c>
    </row>
    <row r="275" spans="1:7" x14ac:dyDescent="0.25">
      <c r="A275">
        <v>20221028</v>
      </c>
      <c r="B275" t="s">
        <v>770</v>
      </c>
      <c r="C275" t="s">
        <v>232</v>
      </c>
      <c r="D275" t="s">
        <v>285</v>
      </c>
      <c r="E275" s="35">
        <v>7.9000000000000001E-2</v>
      </c>
      <c r="F275" s="35">
        <v>0.14799999999999999</v>
      </c>
      <c r="G275" s="35">
        <v>480</v>
      </c>
    </row>
    <row r="276" spans="1:7" x14ac:dyDescent="0.25">
      <c r="A276">
        <v>20221028</v>
      </c>
      <c r="B276" t="s">
        <v>770</v>
      </c>
      <c r="C276" t="s">
        <v>232</v>
      </c>
      <c r="D276" t="s">
        <v>289</v>
      </c>
      <c r="E276" s="35">
        <v>7.9000000000000001E-2</v>
      </c>
      <c r="F276" s="35">
        <v>0.14799999999999999</v>
      </c>
      <c r="G276" s="35">
        <v>400</v>
      </c>
    </row>
    <row r="277" spans="1:7" x14ac:dyDescent="0.25">
      <c r="A277">
        <v>20221028</v>
      </c>
      <c r="B277" t="s">
        <v>770</v>
      </c>
      <c r="C277" t="s">
        <v>215</v>
      </c>
      <c r="D277" t="s">
        <v>187</v>
      </c>
      <c r="E277" s="35">
        <v>7.9000000000000001E-2</v>
      </c>
      <c r="F277" s="35">
        <v>0.14799999999999999</v>
      </c>
      <c r="G277" s="35">
        <v>930</v>
      </c>
    </row>
    <row r="278" spans="1:7" x14ac:dyDescent="0.25">
      <c r="A278">
        <v>20221028</v>
      </c>
      <c r="B278" t="s">
        <v>770</v>
      </c>
      <c r="C278" t="s">
        <v>215</v>
      </c>
      <c r="D278" t="s">
        <v>214</v>
      </c>
      <c r="E278" s="35">
        <v>7.9000000000000001E-2</v>
      </c>
      <c r="F278" s="35">
        <v>0.14799999999999999</v>
      </c>
      <c r="G278" s="35">
        <v>930</v>
      </c>
    </row>
    <row r="279" spans="1:7" x14ac:dyDescent="0.25">
      <c r="A279">
        <v>20221028</v>
      </c>
      <c r="B279" t="s">
        <v>770</v>
      </c>
      <c r="C279" t="s">
        <v>215</v>
      </c>
      <c r="D279" t="s">
        <v>233</v>
      </c>
      <c r="E279" s="35">
        <v>7.9000000000000001E-2</v>
      </c>
      <c r="F279" s="35">
        <v>0.14799999999999999</v>
      </c>
      <c r="G279" s="35">
        <v>930</v>
      </c>
    </row>
    <row r="280" spans="1:7" x14ac:dyDescent="0.25">
      <c r="A280">
        <v>20221028</v>
      </c>
      <c r="B280" t="s">
        <v>770</v>
      </c>
      <c r="C280" t="s">
        <v>215</v>
      </c>
      <c r="D280" t="s">
        <v>242</v>
      </c>
      <c r="E280" s="35">
        <v>7.9000000000000001E-2</v>
      </c>
      <c r="F280" s="35">
        <v>0.14799999999999999</v>
      </c>
      <c r="G280" s="35">
        <v>850</v>
      </c>
    </row>
    <row r="281" spans="1:7" x14ac:dyDescent="0.25">
      <c r="A281">
        <v>20221028</v>
      </c>
      <c r="B281" t="s">
        <v>770</v>
      </c>
      <c r="C281" t="s">
        <v>215</v>
      </c>
      <c r="D281" t="s">
        <v>250</v>
      </c>
      <c r="E281" s="35">
        <v>7.9000000000000001E-2</v>
      </c>
      <c r="F281" s="35">
        <v>0.14799999999999999</v>
      </c>
      <c r="G281" s="35">
        <v>850</v>
      </c>
    </row>
    <row r="282" spans="1:7" x14ac:dyDescent="0.25">
      <c r="A282">
        <v>20221028</v>
      </c>
      <c r="B282" t="s">
        <v>770</v>
      </c>
      <c r="C282" t="s">
        <v>215</v>
      </c>
      <c r="D282" t="s">
        <v>258</v>
      </c>
      <c r="E282" s="35">
        <v>7.9000000000000001E-2</v>
      </c>
      <c r="F282" s="35">
        <v>0.14799999999999999</v>
      </c>
      <c r="G282" s="35">
        <v>770</v>
      </c>
    </row>
    <row r="283" spans="1:7" x14ac:dyDescent="0.25">
      <c r="A283">
        <v>20221028</v>
      </c>
      <c r="B283" t="s">
        <v>770</v>
      </c>
      <c r="C283" t="s">
        <v>215</v>
      </c>
      <c r="D283" t="s">
        <v>265</v>
      </c>
      <c r="E283" s="35">
        <v>7.9000000000000001E-2</v>
      </c>
      <c r="F283" s="35">
        <v>0.14799999999999999</v>
      </c>
      <c r="G283" s="35">
        <v>690</v>
      </c>
    </row>
    <row r="284" spans="1:7" x14ac:dyDescent="0.25">
      <c r="A284">
        <v>20221028</v>
      </c>
      <c r="B284" t="s">
        <v>770</v>
      </c>
      <c r="C284" t="s">
        <v>215</v>
      </c>
      <c r="D284" t="s">
        <v>273</v>
      </c>
      <c r="E284" s="35">
        <v>7.9000000000000001E-2</v>
      </c>
      <c r="F284" s="35">
        <v>0.14799999999999999</v>
      </c>
      <c r="G284" s="35">
        <v>620</v>
      </c>
    </row>
    <row r="285" spans="1:7" x14ac:dyDescent="0.25">
      <c r="A285">
        <v>20221028</v>
      </c>
      <c r="B285" t="s">
        <v>770</v>
      </c>
      <c r="C285" t="s">
        <v>215</v>
      </c>
      <c r="D285" t="s">
        <v>279</v>
      </c>
      <c r="E285" s="35">
        <v>7.9000000000000001E-2</v>
      </c>
      <c r="F285" s="35">
        <v>0.14799999999999999</v>
      </c>
      <c r="G285" s="35">
        <v>520</v>
      </c>
    </row>
    <row r="286" spans="1:7" x14ac:dyDescent="0.25">
      <c r="A286">
        <v>20221028</v>
      </c>
      <c r="B286" t="s">
        <v>770</v>
      </c>
      <c r="C286" t="s">
        <v>215</v>
      </c>
      <c r="D286" t="s">
        <v>285</v>
      </c>
      <c r="E286" s="35">
        <v>7.9000000000000001E-2</v>
      </c>
      <c r="F286" s="35">
        <v>0.14799999999999999</v>
      </c>
      <c r="G286" s="35">
        <v>430</v>
      </c>
    </row>
    <row r="287" spans="1:7" x14ac:dyDescent="0.25">
      <c r="A287">
        <v>20221028</v>
      </c>
      <c r="B287" t="s">
        <v>770</v>
      </c>
      <c r="C287" t="s">
        <v>215</v>
      </c>
      <c r="D287" t="s">
        <v>289</v>
      </c>
      <c r="E287" s="35">
        <v>7.9000000000000001E-2</v>
      </c>
      <c r="F287" s="35">
        <v>0.14799999999999999</v>
      </c>
      <c r="G287" s="35">
        <v>360</v>
      </c>
    </row>
    <row r="288" spans="1:7" x14ac:dyDescent="0.25">
      <c r="A288">
        <v>20221028</v>
      </c>
      <c r="B288" t="s">
        <v>770</v>
      </c>
      <c r="C288" t="s">
        <v>249</v>
      </c>
      <c r="D288" t="s">
        <v>187</v>
      </c>
      <c r="E288" s="35">
        <v>7.9000000000000001E-2</v>
      </c>
      <c r="F288" s="35">
        <v>0.14799999999999999</v>
      </c>
      <c r="G288" s="35">
        <v>930</v>
      </c>
    </row>
    <row r="289" spans="1:7" x14ac:dyDescent="0.25">
      <c r="A289">
        <v>20221028</v>
      </c>
      <c r="B289" t="s">
        <v>770</v>
      </c>
      <c r="C289" t="s">
        <v>249</v>
      </c>
      <c r="D289" t="s">
        <v>214</v>
      </c>
      <c r="E289" s="35">
        <v>7.9000000000000001E-2</v>
      </c>
      <c r="F289" s="35">
        <v>0.14799999999999999</v>
      </c>
      <c r="G289" s="35">
        <v>930</v>
      </c>
    </row>
    <row r="290" spans="1:7" x14ac:dyDescent="0.25">
      <c r="A290">
        <v>20221028</v>
      </c>
      <c r="B290" t="s">
        <v>770</v>
      </c>
      <c r="C290" t="s">
        <v>249</v>
      </c>
      <c r="D290" t="s">
        <v>233</v>
      </c>
      <c r="E290" s="35">
        <v>7.9000000000000001E-2</v>
      </c>
      <c r="F290" s="35">
        <v>0.14799999999999999</v>
      </c>
      <c r="G290" s="35">
        <v>930</v>
      </c>
    </row>
    <row r="291" spans="1:7" x14ac:dyDescent="0.25">
      <c r="A291">
        <v>20221028</v>
      </c>
      <c r="B291" t="s">
        <v>770</v>
      </c>
      <c r="C291" t="s">
        <v>249</v>
      </c>
      <c r="D291" t="s">
        <v>242</v>
      </c>
      <c r="E291" s="35">
        <v>7.9000000000000001E-2</v>
      </c>
      <c r="F291" s="35">
        <v>0.14799999999999999</v>
      </c>
      <c r="G291" s="35">
        <v>850</v>
      </c>
    </row>
    <row r="292" spans="1:7" x14ac:dyDescent="0.25">
      <c r="A292">
        <v>20221028</v>
      </c>
      <c r="B292" t="s">
        <v>770</v>
      </c>
      <c r="C292" t="s">
        <v>249</v>
      </c>
      <c r="D292" t="s">
        <v>250</v>
      </c>
      <c r="E292" s="35">
        <v>7.9000000000000001E-2</v>
      </c>
      <c r="F292" s="35">
        <v>0.14799999999999999</v>
      </c>
      <c r="G292" s="35">
        <v>850</v>
      </c>
    </row>
    <row r="293" spans="1:7" x14ac:dyDescent="0.25">
      <c r="A293">
        <v>20221028</v>
      </c>
      <c r="B293" t="s">
        <v>770</v>
      </c>
      <c r="C293" t="s">
        <v>249</v>
      </c>
      <c r="D293" t="s">
        <v>258</v>
      </c>
      <c r="E293" s="35">
        <v>7.9000000000000001E-2</v>
      </c>
      <c r="F293" s="35">
        <v>0.14799999999999999</v>
      </c>
      <c r="G293" s="35">
        <v>770</v>
      </c>
    </row>
    <row r="294" spans="1:7" x14ac:dyDescent="0.25">
      <c r="A294">
        <v>20221028</v>
      </c>
      <c r="B294" t="s">
        <v>770</v>
      </c>
      <c r="C294" t="s">
        <v>249</v>
      </c>
      <c r="D294" t="s">
        <v>265</v>
      </c>
      <c r="E294" s="35">
        <v>7.9000000000000001E-2</v>
      </c>
      <c r="F294" s="35">
        <v>0.14799999999999999</v>
      </c>
      <c r="G294" s="35">
        <v>690</v>
      </c>
    </row>
    <row r="295" spans="1:7" x14ac:dyDescent="0.25">
      <c r="A295">
        <v>20221028</v>
      </c>
      <c r="B295" t="s">
        <v>770</v>
      </c>
      <c r="C295" t="s">
        <v>249</v>
      </c>
      <c r="D295" t="s">
        <v>273</v>
      </c>
      <c r="E295" s="35">
        <v>7.9000000000000001E-2</v>
      </c>
      <c r="F295" s="35">
        <v>0.14799999999999999</v>
      </c>
      <c r="G295" s="35">
        <v>620</v>
      </c>
    </row>
    <row r="296" spans="1:7" x14ac:dyDescent="0.25">
      <c r="A296">
        <v>20221028</v>
      </c>
      <c r="B296" t="s">
        <v>770</v>
      </c>
      <c r="C296" t="s">
        <v>249</v>
      </c>
      <c r="D296" t="s">
        <v>279</v>
      </c>
      <c r="E296" s="35">
        <v>7.9000000000000001E-2</v>
      </c>
      <c r="F296" s="35">
        <v>0.14799999999999999</v>
      </c>
      <c r="G296" s="35">
        <v>520</v>
      </c>
    </row>
    <row r="297" spans="1:7" x14ac:dyDescent="0.25">
      <c r="A297">
        <v>20221028</v>
      </c>
      <c r="B297" t="s">
        <v>770</v>
      </c>
      <c r="C297" t="s">
        <v>249</v>
      </c>
      <c r="D297" t="s">
        <v>285</v>
      </c>
      <c r="E297" s="35">
        <v>7.9000000000000001E-2</v>
      </c>
      <c r="F297" s="35">
        <v>0.14799999999999999</v>
      </c>
      <c r="G297" s="35">
        <v>430</v>
      </c>
    </row>
    <row r="298" spans="1:7" x14ac:dyDescent="0.25">
      <c r="A298">
        <v>20221028</v>
      </c>
      <c r="B298" t="s">
        <v>770</v>
      </c>
      <c r="C298" t="s">
        <v>249</v>
      </c>
      <c r="D298" t="s">
        <v>289</v>
      </c>
      <c r="E298" s="35">
        <v>7.9000000000000001E-2</v>
      </c>
      <c r="F298" s="35">
        <v>0.14799999999999999</v>
      </c>
      <c r="G298" s="35">
        <v>360</v>
      </c>
    </row>
    <row r="299" spans="1:7" x14ac:dyDescent="0.25">
      <c r="A299">
        <v>20221028</v>
      </c>
      <c r="B299" t="s">
        <v>770</v>
      </c>
      <c r="C299" t="s">
        <v>257</v>
      </c>
      <c r="D299" t="s">
        <v>187</v>
      </c>
      <c r="E299" s="35">
        <v>7.9000000000000001E-2</v>
      </c>
      <c r="F299" s="35">
        <v>0.14799999999999999</v>
      </c>
      <c r="G299" s="35">
        <v>840</v>
      </c>
    </row>
    <row r="300" spans="1:7" x14ac:dyDescent="0.25">
      <c r="A300">
        <v>20221028</v>
      </c>
      <c r="B300" t="s">
        <v>770</v>
      </c>
      <c r="C300" t="s">
        <v>257</v>
      </c>
      <c r="D300" t="s">
        <v>214</v>
      </c>
      <c r="E300" s="35">
        <v>7.9000000000000001E-2</v>
      </c>
      <c r="F300" s="35">
        <v>0.14799999999999999</v>
      </c>
      <c r="G300" s="35">
        <v>840</v>
      </c>
    </row>
    <row r="301" spans="1:7" x14ac:dyDescent="0.25">
      <c r="A301">
        <v>20221028</v>
      </c>
      <c r="B301" t="s">
        <v>770</v>
      </c>
      <c r="C301" t="s">
        <v>257</v>
      </c>
      <c r="D301" t="s">
        <v>233</v>
      </c>
      <c r="E301" s="35">
        <v>7.9000000000000001E-2</v>
      </c>
      <c r="F301" s="35">
        <v>0.14799999999999999</v>
      </c>
      <c r="G301" s="35">
        <v>840</v>
      </c>
    </row>
    <row r="302" spans="1:7" x14ac:dyDescent="0.25">
      <c r="A302">
        <v>20221028</v>
      </c>
      <c r="B302" t="s">
        <v>770</v>
      </c>
      <c r="C302" t="s">
        <v>257</v>
      </c>
      <c r="D302" t="s">
        <v>242</v>
      </c>
      <c r="E302" s="35">
        <v>7.9000000000000001E-2</v>
      </c>
      <c r="F302" s="35">
        <v>0.14799999999999999</v>
      </c>
      <c r="G302" s="35">
        <v>770</v>
      </c>
    </row>
    <row r="303" spans="1:7" x14ac:dyDescent="0.25">
      <c r="A303">
        <v>20221028</v>
      </c>
      <c r="B303" t="s">
        <v>770</v>
      </c>
      <c r="C303" t="s">
        <v>257</v>
      </c>
      <c r="D303" t="s">
        <v>250</v>
      </c>
      <c r="E303" s="35">
        <v>7.9000000000000001E-2</v>
      </c>
      <c r="F303" s="35">
        <v>0.14799999999999999</v>
      </c>
      <c r="G303" s="35">
        <v>770</v>
      </c>
    </row>
    <row r="304" spans="1:7" x14ac:dyDescent="0.25">
      <c r="A304">
        <v>20221028</v>
      </c>
      <c r="B304" t="s">
        <v>770</v>
      </c>
      <c r="C304" t="s">
        <v>257</v>
      </c>
      <c r="D304" t="s">
        <v>258</v>
      </c>
      <c r="E304" s="35">
        <v>7.9000000000000001E-2</v>
      </c>
      <c r="F304" s="35">
        <v>0.14799999999999999</v>
      </c>
      <c r="G304" s="35">
        <v>680</v>
      </c>
    </row>
    <row r="305" spans="1:7" x14ac:dyDescent="0.25">
      <c r="A305">
        <v>20221028</v>
      </c>
      <c r="B305" t="s">
        <v>770</v>
      </c>
      <c r="C305" t="s">
        <v>257</v>
      </c>
      <c r="D305" t="s">
        <v>265</v>
      </c>
      <c r="E305" s="35">
        <v>7.9000000000000001E-2</v>
      </c>
      <c r="F305" s="35">
        <v>0.14799999999999999</v>
      </c>
      <c r="G305" s="35">
        <v>610</v>
      </c>
    </row>
    <row r="306" spans="1:7" x14ac:dyDescent="0.25">
      <c r="A306">
        <v>20221028</v>
      </c>
      <c r="B306" t="s">
        <v>770</v>
      </c>
      <c r="C306" t="s">
        <v>257</v>
      </c>
      <c r="D306" t="s">
        <v>273</v>
      </c>
      <c r="E306" s="35">
        <v>7.9000000000000001E-2</v>
      </c>
      <c r="F306" s="35">
        <v>0.14799999999999999</v>
      </c>
      <c r="G306" s="35">
        <v>540</v>
      </c>
    </row>
    <row r="307" spans="1:7" x14ac:dyDescent="0.25">
      <c r="A307">
        <v>20221028</v>
      </c>
      <c r="B307" t="s">
        <v>770</v>
      </c>
      <c r="C307" t="s">
        <v>257</v>
      </c>
      <c r="D307" t="s">
        <v>279</v>
      </c>
      <c r="E307" s="35">
        <v>7.9000000000000001E-2</v>
      </c>
      <c r="F307" s="35">
        <v>0.14799999999999999</v>
      </c>
      <c r="G307" s="35">
        <v>470</v>
      </c>
    </row>
    <row r="308" spans="1:7" x14ac:dyDescent="0.25">
      <c r="A308">
        <v>20221028</v>
      </c>
      <c r="B308" t="s">
        <v>770</v>
      </c>
      <c r="C308" t="s">
        <v>257</v>
      </c>
      <c r="D308" t="s">
        <v>285</v>
      </c>
      <c r="E308" s="35">
        <v>7.9000000000000001E-2</v>
      </c>
      <c r="F308" s="35">
        <v>0.14799999999999999</v>
      </c>
      <c r="G308" s="35">
        <v>390</v>
      </c>
    </row>
    <row r="309" spans="1:7" x14ac:dyDescent="0.25">
      <c r="A309">
        <v>20221028</v>
      </c>
      <c r="B309" t="s">
        <v>770</v>
      </c>
      <c r="C309" t="s">
        <v>257</v>
      </c>
      <c r="D309" t="s">
        <v>289</v>
      </c>
      <c r="E309" s="35">
        <v>7.9000000000000001E-2</v>
      </c>
      <c r="F309" s="35">
        <v>0.14799999999999999</v>
      </c>
      <c r="G309" s="35">
        <v>320</v>
      </c>
    </row>
    <row r="310" spans="1:7" x14ac:dyDescent="0.25">
      <c r="A310">
        <v>20221028</v>
      </c>
      <c r="B310" t="s">
        <v>770</v>
      </c>
      <c r="C310" t="s">
        <v>264</v>
      </c>
      <c r="D310" t="s">
        <v>187</v>
      </c>
      <c r="E310" s="35">
        <v>7.9000000000000001E-2</v>
      </c>
      <c r="F310" s="35">
        <v>0.14799999999999999</v>
      </c>
      <c r="G310" s="35">
        <v>840</v>
      </c>
    </row>
    <row r="311" spans="1:7" x14ac:dyDescent="0.25">
      <c r="A311">
        <v>20221028</v>
      </c>
      <c r="B311" t="s">
        <v>770</v>
      </c>
      <c r="C311" t="s">
        <v>264</v>
      </c>
      <c r="D311" t="s">
        <v>214</v>
      </c>
      <c r="E311" s="35">
        <v>7.9000000000000001E-2</v>
      </c>
      <c r="F311" s="35">
        <v>0.14799999999999999</v>
      </c>
      <c r="G311" s="35">
        <v>840</v>
      </c>
    </row>
    <row r="312" spans="1:7" x14ac:dyDescent="0.25">
      <c r="A312">
        <v>20221028</v>
      </c>
      <c r="B312" t="s">
        <v>770</v>
      </c>
      <c r="C312" t="s">
        <v>264</v>
      </c>
      <c r="D312" t="s">
        <v>233</v>
      </c>
      <c r="E312" s="35">
        <v>7.9000000000000001E-2</v>
      </c>
      <c r="F312" s="35">
        <v>0.14799999999999999</v>
      </c>
      <c r="G312" s="35">
        <v>840</v>
      </c>
    </row>
    <row r="313" spans="1:7" x14ac:dyDescent="0.25">
      <c r="A313">
        <v>20221028</v>
      </c>
      <c r="B313" t="s">
        <v>770</v>
      </c>
      <c r="C313" t="s">
        <v>264</v>
      </c>
      <c r="D313" t="s">
        <v>242</v>
      </c>
      <c r="E313" s="35">
        <v>7.9000000000000001E-2</v>
      </c>
      <c r="F313" s="35">
        <v>0.14799999999999999</v>
      </c>
      <c r="G313" s="35">
        <v>770</v>
      </c>
    </row>
    <row r="314" spans="1:7" x14ac:dyDescent="0.25">
      <c r="A314">
        <v>20221028</v>
      </c>
      <c r="B314" t="s">
        <v>770</v>
      </c>
      <c r="C314" t="s">
        <v>264</v>
      </c>
      <c r="D314" t="s">
        <v>250</v>
      </c>
      <c r="E314" s="35">
        <v>7.9000000000000001E-2</v>
      </c>
      <c r="F314" s="35">
        <v>0.14799999999999999</v>
      </c>
      <c r="G314" s="35">
        <v>770</v>
      </c>
    </row>
    <row r="315" spans="1:7" x14ac:dyDescent="0.25">
      <c r="A315">
        <v>20221028</v>
      </c>
      <c r="B315" t="s">
        <v>770</v>
      </c>
      <c r="C315" t="s">
        <v>264</v>
      </c>
      <c r="D315" t="s">
        <v>258</v>
      </c>
      <c r="E315" s="35">
        <v>7.9000000000000001E-2</v>
      </c>
      <c r="F315" s="35">
        <v>0.14799999999999999</v>
      </c>
      <c r="G315" s="35">
        <v>680</v>
      </c>
    </row>
    <row r="316" spans="1:7" x14ac:dyDescent="0.25">
      <c r="A316">
        <v>20221028</v>
      </c>
      <c r="B316" t="s">
        <v>770</v>
      </c>
      <c r="C316" t="s">
        <v>264</v>
      </c>
      <c r="D316" t="s">
        <v>265</v>
      </c>
      <c r="E316" s="35">
        <v>7.9000000000000001E-2</v>
      </c>
      <c r="F316" s="35">
        <v>0.14799999999999999</v>
      </c>
      <c r="G316" s="35">
        <v>610</v>
      </c>
    </row>
    <row r="317" spans="1:7" x14ac:dyDescent="0.25">
      <c r="A317">
        <v>20221028</v>
      </c>
      <c r="B317" t="s">
        <v>770</v>
      </c>
      <c r="C317" t="s">
        <v>264</v>
      </c>
      <c r="D317" t="s">
        <v>273</v>
      </c>
      <c r="E317" s="35">
        <v>7.9000000000000001E-2</v>
      </c>
      <c r="F317" s="35">
        <v>0.14799999999999999</v>
      </c>
      <c r="G317" s="35">
        <v>540</v>
      </c>
    </row>
    <row r="318" spans="1:7" x14ac:dyDescent="0.25">
      <c r="A318">
        <v>20221028</v>
      </c>
      <c r="B318" t="s">
        <v>770</v>
      </c>
      <c r="C318" t="s">
        <v>264</v>
      </c>
      <c r="D318" t="s">
        <v>279</v>
      </c>
      <c r="E318" s="35">
        <v>7.9000000000000001E-2</v>
      </c>
      <c r="F318" s="35">
        <v>0.14799999999999999</v>
      </c>
      <c r="G318" s="35">
        <v>470</v>
      </c>
    </row>
    <row r="319" spans="1:7" x14ac:dyDescent="0.25">
      <c r="A319">
        <v>20221028</v>
      </c>
      <c r="B319" t="s">
        <v>770</v>
      </c>
      <c r="C319" t="s">
        <v>264</v>
      </c>
      <c r="D319" t="s">
        <v>285</v>
      </c>
      <c r="E319" s="35">
        <v>7.9000000000000001E-2</v>
      </c>
      <c r="F319" s="35">
        <v>0.14799999999999999</v>
      </c>
      <c r="G319" s="35">
        <v>390</v>
      </c>
    </row>
    <row r="320" spans="1:7" x14ac:dyDescent="0.25">
      <c r="A320">
        <v>20221028</v>
      </c>
      <c r="B320" t="s">
        <v>770</v>
      </c>
      <c r="C320" t="s">
        <v>264</v>
      </c>
      <c r="D320" t="s">
        <v>289</v>
      </c>
      <c r="E320" s="35">
        <v>7.9000000000000001E-2</v>
      </c>
      <c r="F320" s="35">
        <v>0.14799999999999999</v>
      </c>
      <c r="G320" s="35">
        <v>320</v>
      </c>
    </row>
    <row r="321" spans="1:7" x14ac:dyDescent="0.25">
      <c r="A321">
        <v>20221028</v>
      </c>
      <c r="B321" t="s">
        <v>770</v>
      </c>
      <c r="C321" t="s">
        <v>272</v>
      </c>
      <c r="D321" t="s">
        <v>187</v>
      </c>
      <c r="E321" s="35">
        <v>7.9000000000000001E-2</v>
      </c>
      <c r="F321" s="35">
        <v>0.14799999999999999</v>
      </c>
      <c r="G321" s="35">
        <v>660</v>
      </c>
    </row>
    <row r="322" spans="1:7" x14ac:dyDescent="0.25">
      <c r="A322">
        <v>20221028</v>
      </c>
      <c r="B322" t="s">
        <v>770</v>
      </c>
      <c r="C322" t="s">
        <v>272</v>
      </c>
      <c r="D322" t="s">
        <v>214</v>
      </c>
      <c r="E322" s="35">
        <v>7.9000000000000001E-2</v>
      </c>
      <c r="F322" s="35">
        <v>0.14799999999999999</v>
      </c>
      <c r="G322" s="35">
        <v>660</v>
      </c>
    </row>
    <row r="323" spans="1:7" x14ac:dyDescent="0.25">
      <c r="A323">
        <v>20221028</v>
      </c>
      <c r="B323" t="s">
        <v>770</v>
      </c>
      <c r="C323" t="s">
        <v>272</v>
      </c>
      <c r="D323" t="s">
        <v>233</v>
      </c>
      <c r="E323" s="35">
        <v>7.9000000000000001E-2</v>
      </c>
      <c r="F323" s="35">
        <v>0.14799999999999999</v>
      </c>
      <c r="G323" s="35">
        <v>660</v>
      </c>
    </row>
    <row r="324" spans="1:7" x14ac:dyDescent="0.25">
      <c r="A324">
        <v>20221028</v>
      </c>
      <c r="B324" t="s">
        <v>770</v>
      </c>
      <c r="C324" t="s">
        <v>272</v>
      </c>
      <c r="D324" t="s">
        <v>242</v>
      </c>
      <c r="E324" s="35">
        <v>7.9000000000000001E-2</v>
      </c>
      <c r="F324" s="35">
        <v>0.14799999999999999</v>
      </c>
      <c r="G324" s="35">
        <v>590</v>
      </c>
    </row>
    <row r="325" spans="1:7" x14ac:dyDescent="0.25">
      <c r="A325">
        <v>20221028</v>
      </c>
      <c r="B325" t="s">
        <v>770</v>
      </c>
      <c r="C325" t="s">
        <v>272</v>
      </c>
      <c r="D325" t="s">
        <v>250</v>
      </c>
      <c r="E325" s="35">
        <v>7.9000000000000001E-2</v>
      </c>
      <c r="F325" s="35">
        <v>0.14799999999999999</v>
      </c>
      <c r="G325" s="35">
        <v>590</v>
      </c>
    </row>
    <row r="326" spans="1:7" x14ac:dyDescent="0.25">
      <c r="A326">
        <v>20221028</v>
      </c>
      <c r="B326" t="s">
        <v>770</v>
      </c>
      <c r="C326" t="s">
        <v>272</v>
      </c>
      <c r="D326" t="s">
        <v>258</v>
      </c>
      <c r="E326" s="35">
        <v>7.9000000000000001E-2</v>
      </c>
      <c r="F326" s="35">
        <v>0.14799999999999999</v>
      </c>
      <c r="G326" s="35">
        <v>530</v>
      </c>
    </row>
    <row r="327" spans="1:7" x14ac:dyDescent="0.25">
      <c r="A327">
        <v>20221028</v>
      </c>
      <c r="B327" t="s">
        <v>770</v>
      </c>
      <c r="C327" t="s">
        <v>272</v>
      </c>
      <c r="D327" t="s">
        <v>265</v>
      </c>
      <c r="E327" s="35">
        <v>7.9000000000000001E-2</v>
      </c>
      <c r="F327" s="35">
        <v>0.14799999999999999</v>
      </c>
      <c r="G327" s="35">
        <v>470</v>
      </c>
    </row>
    <row r="328" spans="1:7" x14ac:dyDescent="0.25">
      <c r="A328">
        <v>20221028</v>
      </c>
      <c r="B328" t="s">
        <v>770</v>
      </c>
      <c r="C328" t="s">
        <v>272</v>
      </c>
      <c r="D328" t="s">
        <v>273</v>
      </c>
      <c r="E328" s="35">
        <v>7.9000000000000001E-2</v>
      </c>
      <c r="F328" s="35">
        <v>0.14799999999999999</v>
      </c>
      <c r="G328" s="35">
        <v>400</v>
      </c>
    </row>
    <row r="329" spans="1:7" x14ac:dyDescent="0.25">
      <c r="A329">
        <v>20221028</v>
      </c>
      <c r="B329" t="s">
        <v>770</v>
      </c>
      <c r="C329" t="s">
        <v>272</v>
      </c>
      <c r="D329" t="s">
        <v>279</v>
      </c>
      <c r="E329" s="35">
        <v>7.9000000000000001E-2</v>
      </c>
      <c r="F329" s="35">
        <v>0.14799999999999999</v>
      </c>
      <c r="G329" s="35">
        <v>340</v>
      </c>
    </row>
    <row r="330" spans="1:7" x14ac:dyDescent="0.25">
      <c r="A330">
        <v>20221028</v>
      </c>
      <c r="B330" t="s">
        <v>770</v>
      </c>
      <c r="C330" t="s">
        <v>272</v>
      </c>
      <c r="D330" t="s">
        <v>285</v>
      </c>
      <c r="E330" s="35">
        <v>7.9000000000000001E-2</v>
      </c>
      <c r="F330" s="35">
        <v>0.14799999999999999</v>
      </c>
      <c r="G330" s="35">
        <v>280</v>
      </c>
    </row>
    <row r="331" spans="1:7" x14ac:dyDescent="0.25">
      <c r="A331">
        <v>20221028</v>
      </c>
      <c r="B331" t="s">
        <v>770</v>
      </c>
      <c r="C331" t="s">
        <v>272</v>
      </c>
      <c r="D331" t="s">
        <v>289</v>
      </c>
      <c r="E331" s="35">
        <v>7.9000000000000001E-2</v>
      </c>
      <c r="F331" s="35">
        <v>0.14799999999999999</v>
      </c>
      <c r="G331" s="35">
        <v>230</v>
      </c>
    </row>
    <row r="332" spans="1:7" x14ac:dyDescent="0.25">
      <c r="A332">
        <v>20221028</v>
      </c>
      <c r="B332" t="s">
        <v>770</v>
      </c>
      <c r="C332" t="s">
        <v>278</v>
      </c>
      <c r="D332" t="s">
        <v>187</v>
      </c>
      <c r="E332" s="35">
        <v>7.9000000000000001E-2</v>
      </c>
      <c r="F332" s="35">
        <v>0.14799999999999999</v>
      </c>
      <c r="G332" s="35">
        <v>660</v>
      </c>
    </row>
    <row r="333" spans="1:7" x14ac:dyDescent="0.25">
      <c r="A333">
        <v>20221028</v>
      </c>
      <c r="B333" t="s">
        <v>770</v>
      </c>
      <c r="C333" t="s">
        <v>278</v>
      </c>
      <c r="D333" t="s">
        <v>214</v>
      </c>
      <c r="E333" s="35">
        <v>7.9000000000000001E-2</v>
      </c>
      <c r="F333" s="35">
        <v>0.14799999999999999</v>
      </c>
      <c r="G333" s="35">
        <v>660</v>
      </c>
    </row>
    <row r="334" spans="1:7" x14ac:dyDescent="0.25">
      <c r="A334">
        <v>20221028</v>
      </c>
      <c r="B334" t="s">
        <v>770</v>
      </c>
      <c r="C334" t="s">
        <v>278</v>
      </c>
      <c r="D334" t="s">
        <v>233</v>
      </c>
      <c r="E334" s="35">
        <v>7.9000000000000001E-2</v>
      </c>
      <c r="F334" s="35">
        <v>0.14799999999999999</v>
      </c>
      <c r="G334" s="35">
        <v>660</v>
      </c>
    </row>
    <row r="335" spans="1:7" x14ac:dyDescent="0.25">
      <c r="A335">
        <v>20221028</v>
      </c>
      <c r="B335" t="s">
        <v>770</v>
      </c>
      <c r="C335" t="s">
        <v>278</v>
      </c>
      <c r="D335" t="s">
        <v>242</v>
      </c>
      <c r="E335" s="35">
        <v>7.9000000000000001E-2</v>
      </c>
      <c r="F335" s="35">
        <v>0.14799999999999999</v>
      </c>
      <c r="G335" s="35">
        <v>590</v>
      </c>
    </row>
    <row r="336" spans="1:7" x14ac:dyDescent="0.25">
      <c r="A336">
        <v>20221028</v>
      </c>
      <c r="B336" t="s">
        <v>770</v>
      </c>
      <c r="C336" t="s">
        <v>278</v>
      </c>
      <c r="D336" t="s">
        <v>250</v>
      </c>
      <c r="E336" s="35">
        <v>7.9000000000000001E-2</v>
      </c>
      <c r="F336" s="35">
        <v>0.14799999999999999</v>
      </c>
      <c r="G336" s="35">
        <v>590</v>
      </c>
    </row>
    <row r="337" spans="1:7" x14ac:dyDescent="0.25">
      <c r="A337">
        <v>20221028</v>
      </c>
      <c r="B337" t="s">
        <v>770</v>
      </c>
      <c r="C337" t="s">
        <v>278</v>
      </c>
      <c r="D337" t="s">
        <v>258</v>
      </c>
      <c r="E337" s="35">
        <v>7.9000000000000001E-2</v>
      </c>
      <c r="F337" s="35">
        <v>0.14799999999999999</v>
      </c>
      <c r="G337" s="35">
        <v>530</v>
      </c>
    </row>
    <row r="338" spans="1:7" x14ac:dyDescent="0.25">
      <c r="A338">
        <v>20221028</v>
      </c>
      <c r="B338" t="s">
        <v>770</v>
      </c>
      <c r="C338" t="s">
        <v>278</v>
      </c>
      <c r="D338" t="s">
        <v>265</v>
      </c>
      <c r="E338" s="35">
        <v>7.9000000000000001E-2</v>
      </c>
      <c r="F338" s="35">
        <v>0.14799999999999999</v>
      </c>
      <c r="G338" s="35">
        <v>470</v>
      </c>
    </row>
    <row r="339" spans="1:7" x14ac:dyDescent="0.25">
      <c r="A339">
        <v>20221028</v>
      </c>
      <c r="B339" t="s">
        <v>770</v>
      </c>
      <c r="C339" t="s">
        <v>278</v>
      </c>
      <c r="D339" t="s">
        <v>273</v>
      </c>
      <c r="E339" s="35">
        <v>7.9000000000000001E-2</v>
      </c>
      <c r="F339" s="35">
        <v>0.14799999999999999</v>
      </c>
      <c r="G339" s="35">
        <v>400</v>
      </c>
    </row>
    <row r="340" spans="1:7" x14ac:dyDescent="0.25">
      <c r="A340">
        <v>20221028</v>
      </c>
      <c r="B340" t="s">
        <v>770</v>
      </c>
      <c r="C340" t="s">
        <v>278</v>
      </c>
      <c r="D340" t="s">
        <v>279</v>
      </c>
      <c r="E340" s="35">
        <v>7.9000000000000001E-2</v>
      </c>
      <c r="F340" s="35">
        <v>0.14799999999999999</v>
      </c>
      <c r="G340" s="35">
        <v>340</v>
      </c>
    </row>
    <row r="341" spans="1:7" x14ac:dyDescent="0.25">
      <c r="A341">
        <v>20221028</v>
      </c>
      <c r="B341" t="s">
        <v>770</v>
      </c>
      <c r="C341" t="s">
        <v>278</v>
      </c>
      <c r="D341" t="s">
        <v>285</v>
      </c>
      <c r="E341" s="35">
        <v>7.9000000000000001E-2</v>
      </c>
      <c r="F341" s="35">
        <v>0.14799999999999999</v>
      </c>
      <c r="G341" s="35">
        <v>280</v>
      </c>
    </row>
    <row r="342" spans="1:7" x14ac:dyDescent="0.25">
      <c r="A342">
        <v>20221028</v>
      </c>
      <c r="B342" t="s">
        <v>770</v>
      </c>
      <c r="C342" t="s">
        <v>278</v>
      </c>
      <c r="D342" t="s">
        <v>289</v>
      </c>
      <c r="E342" s="35">
        <v>7.9000000000000001E-2</v>
      </c>
      <c r="F342" s="35">
        <v>0.14799999999999999</v>
      </c>
      <c r="G342" s="35">
        <v>230</v>
      </c>
    </row>
    <row r="343" spans="1:7" x14ac:dyDescent="0.25">
      <c r="A343">
        <v>20221028</v>
      </c>
      <c r="B343" t="s">
        <v>770</v>
      </c>
      <c r="C343" t="s">
        <v>284</v>
      </c>
      <c r="D343" t="s">
        <v>187</v>
      </c>
      <c r="E343" s="35">
        <v>7.9000000000000001E-2</v>
      </c>
      <c r="F343" s="35">
        <v>0.14799999999999999</v>
      </c>
      <c r="G343" s="35">
        <v>430</v>
      </c>
    </row>
    <row r="344" spans="1:7" x14ac:dyDescent="0.25">
      <c r="A344">
        <v>20221028</v>
      </c>
      <c r="B344" t="s">
        <v>770</v>
      </c>
      <c r="C344" t="s">
        <v>284</v>
      </c>
      <c r="D344" t="s">
        <v>214</v>
      </c>
      <c r="E344" s="35">
        <v>7.9000000000000001E-2</v>
      </c>
      <c r="F344" s="35">
        <v>0.14799999999999999</v>
      </c>
      <c r="G344" s="35">
        <v>430</v>
      </c>
    </row>
    <row r="345" spans="1:7" x14ac:dyDescent="0.25">
      <c r="A345">
        <v>20221028</v>
      </c>
      <c r="B345" t="s">
        <v>770</v>
      </c>
      <c r="C345" t="s">
        <v>284</v>
      </c>
      <c r="D345" t="s">
        <v>233</v>
      </c>
      <c r="E345" s="35">
        <v>7.9000000000000001E-2</v>
      </c>
      <c r="F345" s="35">
        <v>0.14799999999999999</v>
      </c>
      <c r="G345" s="35">
        <v>430</v>
      </c>
    </row>
    <row r="346" spans="1:7" x14ac:dyDescent="0.25">
      <c r="A346">
        <v>20221028</v>
      </c>
      <c r="B346" t="s">
        <v>770</v>
      </c>
      <c r="C346" t="s">
        <v>284</v>
      </c>
      <c r="D346" t="s">
        <v>242</v>
      </c>
      <c r="E346" s="35">
        <v>7.9000000000000001E-2</v>
      </c>
      <c r="F346" s="35">
        <v>0.14799999999999999</v>
      </c>
      <c r="G346" s="35">
        <v>390</v>
      </c>
    </row>
    <row r="347" spans="1:7" x14ac:dyDescent="0.25">
      <c r="A347">
        <v>20221028</v>
      </c>
      <c r="B347" t="s">
        <v>770</v>
      </c>
      <c r="C347" t="s">
        <v>284</v>
      </c>
      <c r="D347" t="s">
        <v>250</v>
      </c>
      <c r="E347" s="35">
        <v>7.9000000000000001E-2</v>
      </c>
      <c r="F347" s="35">
        <v>0.14799999999999999</v>
      </c>
      <c r="G347" s="35">
        <v>390</v>
      </c>
    </row>
    <row r="348" spans="1:7" x14ac:dyDescent="0.25">
      <c r="A348">
        <v>20221028</v>
      </c>
      <c r="B348" t="s">
        <v>770</v>
      </c>
      <c r="C348" t="s">
        <v>284</v>
      </c>
      <c r="D348" t="s">
        <v>258</v>
      </c>
      <c r="E348" s="35">
        <v>7.9000000000000001E-2</v>
      </c>
      <c r="F348" s="35">
        <v>0.14799999999999999</v>
      </c>
      <c r="G348" s="35">
        <v>350</v>
      </c>
    </row>
    <row r="349" spans="1:7" x14ac:dyDescent="0.25">
      <c r="A349">
        <v>20221028</v>
      </c>
      <c r="B349" t="s">
        <v>770</v>
      </c>
      <c r="C349" t="s">
        <v>284</v>
      </c>
      <c r="D349" t="s">
        <v>265</v>
      </c>
      <c r="E349" s="35">
        <v>7.9000000000000001E-2</v>
      </c>
      <c r="F349" s="35">
        <v>0.14799999999999999</v>
      </c>
      <c r="G349" s="35">
        <v>300</v>
      </c>
    </row>
    <row r="350" spans="1:7" x14ac:dyDescent="0.25">
      <c r="A350">
        <v>20221028</v>
      </c>
      <c r="B350" t="s">
        <v>770</v>
      </c>
      <c r="C350" t="s">
        <v>284</v>
      </c>
      <c r="D350" t="s">
        <v>273</v>
      </c>
      <c r="E350" s="35">
        <v>7.9000000000000001E-2</v>
      </c>
      <c r="F350" s="35">
        <v>0.14799999999999999</v>
      </c>
      <c r="G350" s="35">
        <v>260</v>
      </c>
    </row>
    <row r="351" spans="1:7" x14ac:dyDescent="0.25">
      <c r="A351">
        <v>20221028</v>
      </c>
      <c r="B351" t="s">
        <v>770</v>
      </c>
      <c r="C351" t="s">
        <v>284</v>
      </c>
      <c r="D351" t="s">
        <v>279</v>
      </c>
      <c r="E351" s="35">
        <v>7.9000000000000001E-2</v>
      </c>
      <c r="F351" s="35">
        <v>0.14799999999999999</v>
      </c>
      <c r="G351" s="35">
        <v>220</v>
      </c>
    </row>
    <row r="352" spans="1:7" x14ac:dyDescent="0.25">
      <c r="A352">
        <v>20221028</v>
      </c>
      <c r="B352" t="s">
        <v>770</v>
      </c>
      <c r="C352" t="s">
        <v>284</v>
      </c>
      <c r="D352" t="s">
        <v>285</v>
      </c>
      <c r="E352" s="35">
        <v>7.9000000000000001E-2</v>
      </c>
      <c r="F352" s="35">
        <v>0.14799999999999999</v>
      </c>
      <c r="G352" s="35">
        <v>190</v>
      </c>
    </row>
    <row r="353" spans="1:7" x14ac:dyDescent="0.25">
      <c r="A353">
        <v>20221028</v>
      </c>
      <c r="B353" t="s">
        <v>770</v>
      </c>
      <c r="C353" t="s">
        <v>284</v>
      </c>
      <c r="D353" t="s">
        <v>289</v>
      </c>
      <c r="E353" s="35">
        <v>7.9000000000000001E-2</v>
      </c>
      <c r="F353" s="35">
        <v>0.14799999999999999</v>
      </c>
      <c r="G353" s="35">
        <v>160</v>
      </c>
    </row>
    <row r="354" spans="1:7" x14ac:dyDescent="0.25">
      <c r="A354">
        <v>20221028</v>
      </c>
      <c r="B354" t="s">
        <v>770</v>
      </c>
      <c r="C354" t="s">
        <v>748</v>
      </c>
      <c r="D354" t="s">
        <v>187</v>
      </c>
      <c r="E354" s="35">
        <v>7.9000000000000001E-2</v>
      </c>
      <c r="F354" s="35">
        <v>0.14799999999999999</v>
      </c>
      <c r="G354" s="35">
        <v>430</v>
      </c>
    </row>
    <row r="355" spans="1:7" x14ac:dyDescent="0.25">
      <c r="A355">
        <v>20221028</v>
      </c>
      <c r="B355" t="s">
        <v>770</v>
      </c>
      <c r="C355" t="s">
        <v>748</v>
      </c>
      <c r="D355" t="s">
        <v>214</v>
      </c>
      <c r="E355" s="35">
        <v>7.9000000000000001E-2</v>
      </c>
      <c r="F355" s="35">
        <v>0.14799999999999999</v>
      </c>
      <c r="G355" s="35">
        <v>430</v>
      </c>
    </row>
    <row r="356" spans="1:7" x14ac:dyDescent="0.25">
      <c r="A356">
        <v>20221028</v>
      </c>
      <c r="B356" t="s">
        <v>770</v>
      </c>
      <c r="C356" t="s">
        <v>748</v>
      </c>
      <c r="D356" t="s">
        <v>233</v>
      </c>
      <c r="E356" s="35">
        <v>7.9000000000000001E-2</v>
      </c>
      <c r="F356" s="35">
        <v>0.14799999999999999</v>
      </c>
      <c r="G356" s="35">
        <v>430</v>
      </c>
    </row>
    <row r="357" spans="1:7" x14ac:dyDescent="0.25">
      <c r="A357">
        <v>20221028</v>
      </c>
      <c r="B357" t="s">
        <v>770</v>
      </c>
      <c r="C357" t="s">
        <v>748</v>
      </c>
      <c r="D357" t="s">
        <v>242</v>
      </c>
      <c r="E357" s="35">
        <v>7.9000000000000001E-2</v>
      </c>
      <c r="F357" s="35">
        <v>0.14799999999999999</v>
      </c>
      <c r="G357" s="35">
        <v>390</v>
      </c>
    </row>
    <row r="358" spans="1:7" x14ac:dyDescent="0.25">
      <c r="A358">
        <v>20221028</v>
      </c>
      <c r="B358" t="s">
        <v>770</v>
      </c>
      <c r="C358" t="s">
        <v>748</v>
      </c>
      <c r="D358" t="s">
        <v>250</v>
      </c>
      <c r="E358" s="35">
        <v>7.9000000000000001E-2</v>
      </c>
      <c r="F358" s="35">
        <v>0.14799999999999999</v>
      </c>
      <c r="G358" s="35">
        <v>390</v>
      </c>
    </row>
    <row r="359" spans="1:7" x14ac:dyDescent="0.25">
      <c r="A359">
        <v>20221028</v>
      </c>
      <c r="B359" t="s">
        <v>770</v>
      </c>
      <c r="C359" t="s">
        <v>748</v>
      </c>
      <c r="D359" t="s">
        <v>258</v>
      </c>
      <c r="E359" s="35">
        <v>7.9000000000000001E-2</v>
      </c>
      <c r="F359" s="35">
        <v>0.14799999999999999</v>
      </c>
      <c r="G359" s="35">
        <v>350</v>
      </c>
    </row>
    <row r="360" spans="1:7" x14ac:dyDescent="0.25">
      <c r="A360">
        <v>20221028</v>
      </c>
      <c r="B360" t="s">
        <v>770</v>
      </c>
      <c r="C360" t="s">
        <v>748</v>
      </c>
      <c r="D360" t="s">
        <v>265</v>
      </c>
      <c r="E360" s="35">
        <v>7.9000000000000001E-2</v>
      </c>
      <c r="F360" s="35">
        <v>0.14799999999999999</v>
      </c>
      <c r="G360" s="35">
        <v>300</v>
      </c>
    </row>
    <row r="361" spans="1:7" x14ac:dyDescent="0.25">
      <c r="A361">
        <v>20221028</v>
      </c>
      <c r="B361" t="s">
        <v>770</v>
      </c>
      <c r="C361" t="s">
        <v>748</v>
      </c>
      <c r="D361" t="s">
        <v>273</v>
      </c>
      <c r="E361" s="35">
        <v>7.9000000000000001E-2</v>
      </c>
      <c r="F361" s="35">
        <v>0.14799999999999999</v>
      </c>
      <c r="G361" s="35">
        <v>260</v>
      </c>
    </row>
    <row r="362" spans="1:7" x14ac:dyDescent="0.25">
      <c r="A362">
        <v>20221028</v>
      </c>
      <c r="B362" t="s">
        <v>770</v>
      </c>
      <c r="C362" t="s">
        <v>748</v>
      </c>
      <c r="D362" t="s">
        <v>279</v>
      </c>
      <c r="E362" s="35">
        <v>7.9000000000000001E-2</v>
      </c>
      <c r="F362" s="35">
        <v>0.14799999999999999</v>
      </c>
      <c r="G362" s="35">
        <v>220</v>
      </c>
    </row>
    <row r="363" spans="1:7" x14ac:dyDescent="0.25">
      <c r="A363">
        <v>20221028</v>
      </c>
      <c r="B363" t="s">
        <v>770</v>
      </c>
      <c r="C363" t="s">
        <v>748</v>
      </c>
      <c r="D363" t="s">
        <v>285</v>
      </c>
      <c r="E363" s="35">
        <v>7.9000000000000001E-2</v>
      </c>
      <c r="F363" s="35">
        <v>0.14799999999999999</v>
      </c>
      <c r="G363" s="35">
        <v>190</v>
      </c>
    </row>
    <row r="364" spans="1:7" x14ac:dyDescent="0.25">
      <c r="A364">
        <v>20221028</v>
      </c>
      <c r="B364" t="s">
        <v>770</v>
      </c>
      <c r="C364" t="s">
        <v>748</v>
      </c>
      <c r="D364" t="s">
        <v>289</v>
      </c>
      <c r="E364" s="35">
        <v>7.9000000000000001E-2</v>
      </c>
      <c r="F364" s="35">
        <v>0.14799999999999999</v>
      </c>
      <c r="G364" s="35">
        <v>160</v>
      </c>
    </row>
    <row r="365" spans="1:7" x14ac:dyDescent="0.25">
      <c r="A365">
        <v>20221028</v>
      </c>
      <c r="B365" t="s">
        <v>770</v>
      </c>
      <c r="C365" t="s">
        <v>186</v>
      </c>
      <c r="D365" t="s">
        <v>187</v>
      </c>
      <c r="E365" s="35">
        <v>0.14899999999999999</v>
      </c>
      <c r="F365" s="35">
        <v>0.17799999999999999</v>
      </c>
      <c r="G365" s="35">
        <v>1250</v>
      </c>
    </row>
    <row r="366" spans="1:7" x14ac:dyDescent="0.25">
      <c r="A366">
        <v>20221028</v>
      </c>
      <c r="B366" t="s">
        <v>770</v>
      </c>
      <c r="C366" t="s">
        <v>186</v>
      </c>
      <c r="D366" t="s">
        <v>214</v>
      </c>
      <c r="E366" s="35">
        <v>0.14899999999999999</v>
      </c>
      <c r="F366" s="35">
        <v>0.17799999999999999</v>
      </c>
      <c r="G366" s="35">
        <v>1250</v>
      </c>
    </row>
    <row r="367" spans="1:7" x14ac:dyDescent="0.25">
      <c r="A367">
        <v>20221028</v>
      </c>
      <c r="B367" t="s">
        <v>770</v>
      </c>
      <c r="C367" t="s">
        <v>186</v>
      </c>
      <c r="D367" t="s">
        <v>233</v>
      </c>
      <c r="E367" s="35">
        <v>0.14899999999999999</v>
      </c>
      <c r="F367" s="35">
        <v>0.17799999999999999</v>
      </c>
      <c r="G367" s="35">
        <v>1250</v>
      </c>
    </row>
    <row r="368" spans="1:7" x14ac:dyDescent="0.25">
      <c r="A368">
        <v>20221028</v>
      </c>
      <c r="B368" t="s">
        <v>770</v>
      </c>
      <c r="C368" t="s">
        <v>186</v>
      </c>
      <c r="D368" t="s">
        <v>242</v>
      </c>
      <c r="E368" s="35">
        <v>0.14899999999999999</v>
      </c>
      <c r="F368" s="35">
        <v>0.17799999999999999</v>
      </c>
      <c r="G368" s="35">
        <v>1110</v>
      </c>
    </row>
    <row r="369" spans="1:7" x14ac:dyDescent="0.25">
      <c r="A369">
        <v>20221028</v>
      </c>
      <c r="B369" t="s">
        <v>770</v>
      </c>
      <c r="C369" t="s">
        <v>186</v>
      </c>
      <c r="D369" t="s">
        <v>250</v>
      </c>
      <c r="E369" s="35">
        <v>0.14899999999999999</v>
      </c>
      <c r="F369" s="35">
        <v>0.17799999999999999</v>
      </c>
      <c r="G369" s="35">
        <v>1110</v>
      </c>
    </row>
    <row r="370" spans="1:7" x14ac:dyDescent="0.25">
      <c r="A370">
        <v>20221028</v>
      </c>
      <c r="B370" t="s">
        <v>770</v>
      </c>
      <c r="C370" t="s">
        <v>186</v>
      </c>
      <c r="D370" t="s">
        <v>258</v>
      </c>
      <c r="E370" s="35">
        <v>0.14899999999999999</v>
      </c>
      <c r="F370" s="35">
        <v>0.17799999999999999</v>
      </c>
      <c r="G370" s="35">
        <v>980</v>
      </c>
    </row>
    <row r="371" spans="1:7" x14ac:dyDescent="0.25">
      <c r="A371">
        <v>20221028</v>
      </c>
      <c r="B371" t="s">
        <v>770</v>
      </c>
      <c r="C371" t="s">
        <v>186</v>
      </c>
      <c r="D371" t="s">
        <v>265</v>
      </c>
      <c r="E371" s="35">
        <v>0.14899999999999999</v>
      </c>
      <c r="F371" s="35">
        <v>0.17799999999999999</v>
      </c>
      <c r="G371" s="35">
        <v>850</v>
      </c>
    </row>
    <row r="372" spans="1:7" x14ac:dyDescent="0.25">
      <c r="A372">
        <v>20221028</v>
      </c>
      <c r="B372" t="s">
        <v>770</v>
      </c>
      <c r="C372" t="s">
        <v>186</v>
      </c>
      <c r="D372" t="s">
        <v>273</v>
      </c>
      <c r="E372" s="35">
        <v>0.14899999999999999</v>
      </c>
      <c r="F372" s="35">
        <v>0.17799999999999999</v>
      </c>
      <c r="G372" s="35">
        <v>760</v>
      </c>
    </row>
    <row r="373" spans="1:7" x14ac:dyDescent="0.25">
      <c r="A373">
        <v>20221028</v>
      </c>
      <c r="B373" t="s">
        <v>770</v>
      </c>
      <c r="C373" t="s">
        <v>186</v>
      </c>
      <c r="D373" t="s">
        <v>279</v>
      </c>
      <c r="E373" s="35">
        <v>0.14899999999999999</v>
      </c>
      <c r="F373" s="35">
        <v>0.17799999999999999</v>
      </c>
      <c r="G373" s="35">
        <v>640</v>
      </c>
    </row>
    <row r="374" spans="1:7" x14ac:dyDescent="0.25">
      <c r="A374">
        <v>20221028</v>
      </c>
      <c r="B374" t="s">
        <v>770</v>
      </c>
      <c r="C374" t="s">
        <v>186</v>
      </c>
      <c r="D374" t="s">
        <v>285</v>
      </c>
      <c r="E374" s="35">
        <v>0.14899999999999999</v>
      </c>
      <c r="F374" s="35">
        <v>0.17799999999999999</v>
      </c>
      <c r="G374" s="35">
        <v>520</v>
      </c>
    </row>
    <row r="375" spans="1:7" x14ac:dyDescent="0.25">
      <c r="A375">
        <v>20221028</v>
      </c>
      <c r="B375" t="s">
        <v>770</v>
      </c>
      <c r="C375" t="s">
        <v>186</v>
      </c>
      <c r="D375" t="s">
        <v>289</v>
      </c>
      <c r="E375" s="35">
        <v>0.14899999999999999</v>
      </c>
      <c r="F375" s="35">
        <v>0.17799999999999999</v>
      </c>
      <c r="G375" s="35">
        <v>440</v>
      </c>
    </row>
    <row r="376" spans="1:7" x14ac:dyDescent="0.25">
      <c r="A376">
        <v>20221028</v>
      </c>
      <c r="B376" t="s">
        <v>770</v>
      </c>
      <c r="C376" t="s">
        <v>213</v>
      </c>
      <c r="D376" t="s">
        <v>187</v>
      </c>
      <c r="E376" s="35">
        <v>0.14899999999999999</v>
      </c>
      <c r="F376" s="35">
        <v>0.17799999999999999</v>
      </c>
      <c r="G376" s="35">
        <v>1250</v>
      </c>
    </row>
    <row r="377" spans="1:7" x14ac:dyDescent="0.25">
      <c r="A377">
        <v>20221028</v>
      </c>
      <c r="B377" t="s">
        <v>770</v>
      </c>
      <c r="C377" t="s">
        <v>213</v>
      </c>
      <c r="D377" t="s">
        <v>214</v>
      </c>
      <c r="E377" s="35">
        <v>0.14899999999999999</v>
      </c>
      <c r="F377" s="35">
        <v>0.17799999999999999</v>
      </c>
      <c r="G377" s="35">
        <v>1250</v>
      </c>
    </row>
    <row r="378" spans="1:7" x14ac:dyDescent="0.25">
      <c r="A378">
        <v>20221028</v>
      </c>
      <c r="B378" t="s">
        <v>770</v>
      </c>
      <c r="C378" t="s">
        <v>213</v>
      </c>
      <c r="D378" t="s">
        <v>233</v>
      </c>
      <c r="E378" s="35">
        <v>0.14899999999999999</v>
      </c>
      <c r="F378" s="35">
        <v>0.17799999999999999</v>
      </c>
      <c r="G378" s="35">
        <v>1250</v>
      </c>
    </row>
    <row r="379" spans="1:7" x14ac:dyDescent="0.25">
      <c r="A379">
        <v>20221028</v>
      </c>
      <c r="B379" t="s">
        <v>770</v>
      </c>
      <c r="C379" t="s">
        <v>213</v>
      </c>
      <c r="D379" t="s">
        <v>242</v>
      </c>
      <c r="E379" s="35">
        <v>0.14899999999999999</v>
      </c>
      <c r="F379" s="35">
        <v>0.17799999999999999</v>
      </c>
      <c r="G379" s="35">
        <v>1110</v>
      </c>
    </row>
    <row r="380" spans="1:7" x14ac:dyDescent="0.25">
      <c r="A380">
        <v>20221028</v>
      </c>
      <c r="B380" t="s">
        <v>770</v>
      </c>
      <c r="C380" t="s">
        <v>213</v>
      </c>
      <c r="D380" t="s">
        <v>250</v>
      </c>
      <c r="E380" s="35">
        <v>0.14899999999999999</v>
      </c>
      <c r="F380" s="35">
        <v>0.17799999999999999</v>
      </c>
      <c r="G380" s="35">
        <v>1110</v>
      </c>
    </row>
    <row r="381" spans="1:7" x14ac:dyDescent="0.25">
      <c r="A381">
        <v>20221028</v>
      </c>
      <c r="B381" t="s">
        <v>770</v>
      </c>
      <c r="C381" t="s">
        <v>213</v>
      </c>
      <c r="D381" t="s">
        <v>258</v>
      </c>
      <c r="E381" s="35">
        <v>0.14899999999999999</v>
      </c>
      <c r="F381" s="35">
        <v>0.17799999999999999</v>
      </c>
      <c r="G381" s="35">
        <v>980</v>
      </c>
    </row>
    <row r="382" spans="1:7" x14ac:dyDescent="0.25">
      <c r="A382">
        <v>20221028</v>
      </c>
      <c r="B382" t="s">
        <v>770</v>
      </c>
      <c r="C382" t="s">
        <v>213</v>
      </c>
      <c r="D382" t="s">
        <v>265</v>
      </c>
      <c r="E382" s="35">
        <v>0.14899999999999999</v>
      </c>
      <c r="F382" s="35">
        <v>0.17799999999999999</v>
      </c>
      <c r="G382" s="35">
        <v>850</v>
      </c>
    </row>
    <row r="383" spans="1:7" x14ac:dyDescent="0.25">
      <c r="A383">
        <v>20221028</v>
      </c>
      <c r="B383" t="s">
        <v>770</v>
      </c>
      <c r="C383" t="s">
        <v>213</v>
      </c>
      <c r="D383" t="s">
        <v>273</v>
      </c>
      <c r="E383" s="35">
        <v>0.14899999999999999</v>
      </c>
      <c r="F383" s="35">
        <v>0.17799999999999999</v>
      </c>
      <c r="G383" s="35">
        <v>760</v>
      </c>
    </row>
    <row r="384" spans="1:7" x14ac:dyDescent="0.25">
      <c r="A384">
        <v>20221028</v>
      </c>
      <c r="B384" t="s">
        <v>770</v>
      </c>
      <c r="C384" t="s">
        <v>213</v>
      </c>
      <c r="D384" t="s">
        <v>279</v>
      </c>
      <c r="E384" s="35">
        <v>0.14899999999999999</v>
      </c>
      <c r="F384" s="35">
        <v>0.17799999999999999</v>
      </c>
      <c r="G384" s="35">
        <v>640</v>
      </c>
    </row>
    <row r="385" spans="1:7" x14ac:dyDescent="0.25">
      <c r="A385">
        <v>20221028</v>
      </c>
      <c r="B385" t="s">
        <v>770</v>
      </c>
      <c r="C385" t="s">
        <v>213</v>
      </c>
      <c r="D385" t="s">
        <v>285</v>
      </c>
      <c r="E385" s="35">
        <v>0.14899999999999999</v>
      </c>
      <c r="F385" s="35">
        <v>0.17799999999999999</v>
      </c>
      <c r="G385" s="35">
        <v>520</v>
      </c>
    </row>
    <row r="386" spans="1:7" x14ac:dyDescent="0.25">
      <c r="A386">
        <v>20221028</v>
      </c>
      <c r="B386" t="s">
        <v>770</v>
      </c>
      <c r="C386" t="s">
        <v>213</v>
      </c>
      <c r="D386" t="s">
        <v>289</v>
      </c>
      <c r="E386" s="35">
        <v>0.14899999999999999</v>
      </c>
      <c r="F386" s="35">
        <v>0.17799999999999999</v>
      </c>
      <c r="G386" s="35">
        <v>440</v>
      </c>
    </row>
    <row r="387" spans="1:7" x14ac:dyDescent="0.25">
      <c r="A387">
        <v>20221028</v>
      </c>
      <c r="B387" t="s">
        <v>770</v>
      </c>
      <c r="C387" t="s">
        <v>232</v>
      </c>
      <c r="D387" t="s">
        <v>187</v>
      </c>
      <c r="E387" s="35">
        <v>0.14899999999999999</v>
      </c>
      <c r="F387" s="35">
        <v>0.17799999999999999</v>
      </c>
      <c r="G387" s="35">
        <v>1250</v>
      </c>
    </row>
    <row r="388" spans="1:7" x14ac:dyDescent="0.25">
      <c r="A388">
        <v>20221028</v>
      </c>
      <c r="B388" t="s">
        <v>770</v>
      </c>
      <c r="C388" t="s">
        <v>232</v>
      </c>
      <c r="D388" t="s">
        <v>214</v>
      </c>
      <c r="E388" s="35">
        <v>0.14899999999999999</v>
      </c>
      <c r="F388" s="35">
        <v>0.17799999999999999</v>
      </c>
      <c r="G388" s="35">
        <v>1250</v>
      </c>
    </row>
    <row r="389" spans="1:7" x14ac:dyDescent="0.25">
      <c r="A389">
        <v>20221028</v>
      </c>
      <c r="B389" t="s">
        <v>770</v>
      </c>
      <c r="C389" t="s">
        <v>232</v>
      </c>
      <c r="D389" t="s">
        <v>233</v>
      </c>
      <c r="E389" s="35">
        <v>0.14899999999999999</v>
      </c>
      <c r="F389" s="35">
        <v>0.17799999999999999</v>
      </c>
      <c r="G389" s="35">
        <v>1250</v>
      </c>
    </row>
    <row r="390" spans="1:7" x14ac:dyDescent="0.25">
      <c r="A390">
        <v>20221028</v>
      </c>
      <c r="B390" t="s">
        <v>770</v>
      </c>
      <c r="C390" t="s">
        <v>232</v>
      </c>
      <c r="D390" t="s">
        <v>242</v>
      </c>
      <c r="E390" s="35">
        <v>0.14899999999999999</v>
      </c>
      <c r="F390" s="35">
        <v>0.17799999999999999</v>
      </c>
      <c r="G390" s="35">
        <v>1110</v>
      </c>
    </row>
    <row r="391" spans="1:7" x14ac:dyDescent="0.25">
      <c r="A391">
        <v>20221028</v>
      </c>
      <c r="B391" t="s">
        <v>770</v>
      </c>
      <c r="C391" t="s">
        <v>232</v>
      </c>
      <c r="D391" t="s">
        <v>250</v>
      </c>
      <c r="E391" s="35">
        <v>0.14899999999999999</v>
      </c>
      <c r="F391" s="35">
        <v>0.17799999999999999</v>
      </c>
      <c r="G391" s="35">
        <v>1110</v>
      </c>
    </row>
    <row r="392" spans="1:7" x14ac:dyDescent="0.25">
      <c r="A392">
        <v>20221028</v>
      </c>
      <c r="B392" t="s">
        <v>770</v>
      </c>
      <c r="C392" t="s">
        <v>232</v>
      </c>
      <c r="D392" t="s">
        <v>258</v>
      </c>
      <c r="E392" s="35">
        <v>0.14899999999999999</v>
      </c>
      <c r="F392" s="35">
        <v>0.17799999999999999</v>
      </c>
      <c r="G392" s="35">
        <v>980</v>
      </c>
    </row>
    <row r="393" spans="1:7" x14ac:dyDescent="0.25">
      <c r="A393">
        <v>20221028</v>
      </c>
      <c r="B393" t="s">
        <v>770</v>
      </c>
      <c r="C393" t="s">
        <v>232</v>
      </c>
      <c r="D393" t="s">
        <v>265</v>
      </c>
      <c r="E393" s="35">
        <v>0.14899999999999999</v>
      </c>
      <c r="F393" s="35">
        <v>0.17799999999999999</v>
      </c>
      <c r="G393" s="35">
        <v>850</v>
      </c>
    </row>
    <row r="394" spans="1:7" x14ac:dyDescent="0.25">
      <c r="A394">
        <v>20221028</v>
      </c>
      <c r="B394" t="s">
        <v>770</v>
      </c>
      <c r="C394" t="s">
        <v>232</v>
      </c>
      <c r="D394" t="s">
        <v>273</v>
      </c>
      <c r="E394" s="35">
        <v>0.14899999999999999</v>
      </c>
      <c r="F394" s="35">
        <v>0.17799999999999999</v>
      </c>
      <c r="G394" s="35">
        <v>760</v>
      </c>
    </row>
    <row r="395" spans="1:7" x14ac:dyDescent="0.25">
      <c r="A395">
        <v>20221028</v>
      </c>
      <c r="B395" t="s">
        <v>770</v>
      </c>
      <c r="C395" t="s">
        <v>232</v>
      </c>
      <c r="D395" t="s">
        <v>279</v>
      </c>
      <c r="E395" s="35">
        <v>0.14899999999999999</v>
      </c>
      <c r="F395" s="35">
        <v>0.17799999999999999</v>
      </c>
      <c r="G395" s="35">
        <v>640</v>
      </c>
    </row>
    <row r="396" spans="1:7" x14ac:dyDescent="0.25">
      <c r="A396">
        <v>20221028</v>
      </c>
      <c r="B396" t="s">
        <v>770</v>
      </c>
      <c r="C396" t="s">
        <v>232</v>
      </c>
      <c r="D396" t="s">
        <v>285</v>
      </c>
      <c r="E396" s="35">
        <v>0.14899999999999999</v>
      </c>
      <c r="F396" s="35">
        <v>0.17799999999999999</v>
      </c>
      <c r="G396" s="35">
        <v>520</v>
      </c>
    </row>
    <row r="397" spans="1:7" x14ac:dyDescent="0.25">
      <c r="A397">
        <v>20221028</v>
      </c>
      <c r="B397" t="s">
        <v>770</v>
      </c>
      <c r="C397" t="s">
        <v>232</v>
      </c>
      <c r="D397" t="s">
        <v>289</v>
      </c>
      <c r="E397" s="35">
        <v>0.14899999999999999</v>
      </c>
      <c r="F397" s="35">
        <v>0.17799999999999999</v>
      </c>
      <c r="G397" s="35">
        <v>440</v>
      </c>
    </row>
    <row r="398" spans="1:7" x14ac:dyDescent="0.25">
      <c r="A398">
        <v>20221028</v>
      </c>
      <c r="B398" t="s">
        <v>770</v>
      </c>
      <c r="C398" t="s">
        <v>215</v>
      </c>
      <c r="D398" t="s">
        <v>187</v>
      </c>
      <c r="E398" s="35">
        <v>0.14899999999999999</v>
      </c>
      <c r="F398" s="35">
        <v>0.17799999999999999</v>
      </c>
      <c r="G398" s="35">
        <v>1100</v>
      </c>
    </row>
    <row r="399" spans="1:7" x14ac:dyDescent="0.25">
      <c r="A399">
        <v>20221028</v>
      </c>
      <c r="B399" t="s">
        <v>770</v>
      </c>
      <c r="C399" t="s">
        <v>215</v>
      </c>
      <c r="D399" t="s">
        <v>214</v>
      </c>
      <c r="E399" s="35">
        <v>0.14899999999999999</v>
      </c>
      <c r="F399" s="35">
        <v>0.17799999999999999</v>
      </c>
      <c r="G399" s="35">
        <v>1100</v>
      </c>
    </row>
    <row r="400" spans="1:7" x14ac:dyDescent="0.25">
      <c r="A400">
        <v>20221028</v>
      </c>
      <c r="B400" t="s">
        <v>770</v>
      </c>
      <c r="C400" t="s">
        <v>215</v>
      </c>
      <c r="D400" t="s">
        <v>233</v>
      </c>
      <c r="E400" s="35">
        <v>0.14899999999999999</v>
      </c>
      <c r="F400" s="35">
        <v>0.17799999999999999</v>
      </c>
      <c r="G400" s="35">
        <v>1100</v>
      </c>
    </row>
    <row r="401" spans="1:7" x14ac:dyDescent="0.25">
      <c r="A401">
        <v>20221028</v>
      </c>
      <c r="B401" t="s">
        <v>770</v>
      </c>
      <c r="C401" t="s">
        <v>215</v>
      </c>
      <c r="D401" t="s">
        <v>242</v>
      </c>
      <c r="E401" s="35">
        <v>0.14899999999999999</v>
      </c>
      <c r="F401" s="35">
        <v>0.17799999999999999</v>
      </c>
      <c r="G401" s="35">
        <v>990</v>
      </c>
    </row>
    <row r="402" spans="1:7" x14ac:dyDescent="0.25">
      <c r="A402">
        <v>20221028</v>
      </c>
      <c r="B402" t="s">
        <v>770</v>
      </c>
      <c r="C402" t="s">
        <v>215</v>
      </c>
      <c r="D402" t="s">
        <v>250</v>
      </c>
      <c r="E402" s="35">
        <v>0.14899999999999999</v>
      </c>
      <c r="F402" s="35">
        <v>0.17799999999999999</v>
      </c>
      <c r="G402" s="35">
        <v>990</v>
      </c>
    </row>
    <row r="403" spans="1:7" x14ac:dyDescent="0.25">
      <c r="A403">
        <v>20221028</v>
      </c>
      <c r="B403" t="s">
        <v>770</v>
      </c>
      <c r="C403" t="s">
        <v>215</v>
      </c>
      <c r="D403" t="s">
        <v>258</v>
      </c>
      <c r="E403" s="35">
        <v>0.14899999999999999</v>
      </c>
      <c r="F403" s="35">
        <v>0.17799999999999999</v>
      </c>
      <c r="G403" s="35">
        <v>870</v>
      </c>
    </row>
    <row r="404" spans="1:7" x14ac:dyDescent="0.25">
      <c r="A404">
        <v>20221028</v>
      </c>
      <c r="B404" t="s">
        <v>770</v>
      </c>
      <c r="C404" t="s">
        <v>215</v>
      </c>
      <c r="D404" t="s">
        <v>265</v>
      </c>
      <c r="E404" s="35">
        <v>0.14899999999999999</v>
      </c>
      <c r="F404" s="35">
        <v>0.17799999999999999</v>
      </c>
      <c r="G404" s="35">
        <v>770</v>
      </c>
    </row>
    <row r="405" spans="1:7" x14ac:dyDescent="0.25">
      <c r="A405">
        <v>20221028</v>
      </c>
      <c r="B405" t="s">
        <v>770</v>
      </c>
      <c r="C405" t="s">
        <v>215</v>
      </c>
      <c r="D405" t="s">
        <v>273</v>
      </c>
      <c r="E405" s="35">
        <v>0.14899999999999999</v>
      </c>
      <c r="F405" s="35">
        <v>0.17799999999999999</v>
      </c>
      <c r="G405" s="35">
        <v>680</v>
      </c>
    </row>
    <row r="406" spans="1:7" x14ac:dyDescent="0.25">
      <c r="A406">
        <v>20221028</v>
      </c>
      <c r="B406" t="s">
        <v>770</v>
      </c>
      <c r="C406" t="s">
        <v>215</v>
      </c>
      <c r="D406" t="s">
        <v>279</v>
      </c>
      <c r="E406" s="35">
        <v>0.14899999999999999</v>
      </c>
      <c r="F406" s="35">
        <v>0.17799999999999999</v>
      </c>
      <c r="G406" s="35">
        <v>570</v>
      </c>
    </row>
    <row r="407" spans="1:7" x14ac:dyDescent="0.25">
      <c r="A407">
        <v>20221028</v>
      </c>
      <c r="B407" t="s">
        <v>770</v>
      </c>
      <c r="C407" t="s">
        <v>215</v>
      </c>
      <c r="D407" t="s">
        <v>285</v>
      </c>
      <c r="E407" s="35">
        <v>0.14899999999999999</v>
      </c>
      <c r="F407" s="35">
        <v>0.17799999999999999</v>
      </c>
      <c r="G407" s="35">
        <v>470</v>
      </c>
    </row>
    <row r="408" spans="1:7" x14ac:dyDescent="0.25">
      <c r="A408">
        <v>20221028</v>
      </c>
      <c r="B408" t="s">
        <v>770</v>
      </c>
      <c r="C408" t="s">
        <v>215</v>
      </c>
      <c r="D408" t="s">
        <v>289</v>
      </c>
      <c r="E408" s="35">
        <v>0.14899999999999999</v>
      </c>
      <c r="F408" s="35">
        <v>0.17799999999999999</v>
      </c>
      <c r="G408" s="35">
        <v>400</v>
      </c>
    </row>
    <row r="409" spans="1:7" x14ac:dyDescent="0.25">
      <c r="A409">
        <v>20221028</v>
      </c>
      <c r="B409" t="s">
        <v>770</v>
      </c>
      <c r="C409" t="s">
        <v>249</v>
      </c>
      <c r="D409" t="s">
        <v>187</v>
      </c>
      <c r="E409" s="35">
        <v>0.14899999999999999</v>
      </c>
      <c r="F409" s="35">
        <v>0.17799999999999999</v>
      </c>
      <c r="G409" s="35">
        <v>1100</v>
      </c>
    </row>
    <row r="410" spans="1:7" x14ac:dyDescent="0.25">
      <c r="A410">
        <v>20221028</v>
      </c>
      <c r="B410" t="s">
        <v>770</v>
      </c>
      <c r="C410" t="s">
        <v>249</v>
      </c>
      <c r="D410" t="s">
        <v>214</v>
      </c>
      <c r="E410" s="35">
        <v>0.14899999999999999</v>
      </c>
      <c r="F410" s="35">
        <v>0.17799999999999999</v>
      </c>
      <c r="G410" s="35">
        <v>1100</v>
      </c>
    </row>
    <row r="411" spans="1:7" x14ac:dyDescent="0.25">
      <c r="A411">
        <v>20221028</v>
      </c>
      <c r="B411" t="s">
        <v>770</v>
      </c>
      <c r="C411" t="s">
        <v>249</v>
      </c>
      <c r="D411" t="s">
        <v>233</v>
      </c>
      <c r="E411" s="35">
        <v>0.14899999999999999</v>
      </c>
      <c r="F411" s="35">
        <v>0.17799999999999999</v>
      </c>
      <c r="G411" s="35">
        <v>1100</v>
      </c>
    </row>
    <row r="412" spans="1:7" x14ac:dyDescent="0.25">
      <c r="A412">
        <v>20221028</v>
      </c>
      <c r="B412" t="s">
        <v>770</v>
      </c>
      <c r="C412" t="s">
        <v>249</v>
      </c>
      <c r="D412" t="s">
        <v>242</v>
      </c>
      <c r="E412" s="35">
        <v>0.14899999999999999</v>
      </c>
      <c r="F412" s="35">
        <v>0.17799999999999999</v>
      </c>
      <c r="G412" s="35">
        <v>990</v>
      </c>
    </row>
    <row r="413" spans="1:7" x14ac:dyDescent="0.25">
      <c r="A413">
        <v>20221028</v>
      </c>
      <c r="B413" t="s">
        <v>770</v>
      </c>
      <c r="C413" t="s">
        <v>249</v>
      </c>
      <c r="D413" t="s">
        <v>250</v>
      </c>
      <c r="E413" s="35">
        <v>0.14899999999999999</v>
      </c>
      <c r="F413" s="35">
        <v>0.17799999999999999</v>
      </c>
      <c r="G413" s="35">
        <v>990</v>
      </c>
    </row>
    <row r="414" spans="1:7" x14ac:dyDescent="0.25">
      <c r="A414">
        <v>20221028</v>
      </c>
      <c r="B414" t="s">
        <v>770</v>
      </c>
      <c r="C414" t="s">
        <v>249</v>
      </c>
      <c r="D414" t="s">
        <v>258</v>
      </c>
      <c r="E414" s="35">
        <v>0.14899999999999999</v>
      </c>
      <c r="F414" s="35">
        <v>0.17799999999999999</v>
      </c>
      <c r="G414" s="35">
        <v>870</v>
      </c>
    </row>
    <row r="415" spans="1:7" x14ac:dyDescent="0.25">
      <c r="A415">
        <v>20221028</v>
      </c>
      <c r="B415" t="s">
        <v>770</v>
      </c>
      <c r="C415" t="s">
        <v>249</v>
      </c>
      <c r="D415" t="s">
        <v>265</v>
      </c>
      <c r="E415" s="35">
        <v>0.14899999999999999</v>
      </c>
      <c r="F415" s="35">
        <v>0.17799999999999999</v>
      </c>
      <c r="G415" s="35">
        <v>770</v>
      </c>
    </row>
    <row r="416" spans="1:7" x14ac:dyDescent="0.25">
      <c r="A416">
        <v>20221028</v>
      </c>
      <c r="B416" t="s">
        <v>770</v>
      </c>
      <c r="C416" t="s">
        <v>249</v>
      </c>
      <c r="D416" t="s">
        <v>273</v>
      </c>
      <c r="E416" s="35">
        <v>0.14899999999999999</v>
      </c>
      <c r="F416" s="35">
        <v>0.17799999999999999</v>
      </c>
      <c r="G416" s="35">
        <v>680</v>
      </c>
    </row>
    <row r="417" spans="1:7" x14ac:dyDescent="0.25">
      <c r="A417">
        <v>20221028</v>
      </c>
      <c r="B417" t="s">
        <v>770</v>
      </c>
      <c r="C417" t="s">
        <v>249</v>
      </c>
      <c r="D417" t="s">
        <v>279</v>
      </c>
      <c r="E417" s="35">
        <v>0.14899999999999999</v>
      </c>
      <c r="F417" s="35">
        <v>0.17799999999999999</v>
      </c>
      <c r="G417" s="35">
        <v>570</v>
      </c>
    </row>
    <row r="418" spans="1:7" x14ac:dyDescent="0.25">
      <c r="A418">
        <v>20221028</v>
      </c>
      <c r="B418" t="s">
        <v>770</v>
      </c>
      <c r="C418" t="s">
        <v>249</v>
      </c>
      <c r="D418" t="s">
        <v>285</v>
      </c>
      <c r="E418" s="35">
        <v>0.14899999999999999</v>
      </c>
      <c r="F418" s="35">
        <v>0.17799999999999999</v>
      </c>
      <c r="G418" s="35">
        <v>470</v>
      </c>
    </row>
    <row r="419" spans="1:7" x14ac:dyDescent="0.25">
      <c r="A419">
        <v>20221028</v>
      </c>
      <c r="B419" t="s">
        <v>770</v>
      </c>
      <c r="C419" t="s">
        <v>249</v>
      </c>
      <c r="D419" t="s">
        <v>289</v>
      </c>
      <c r="E419" s="35">
        <v>0.14899999999999999</v>
      </c>
      <c r="F419" s="35">
        <v>0.17799999999999999</v>
      </c>
      <c r="G419" s="35">
        <v>400</v>
      </c>
    </row>
    <row r="420" spans="1:7" x14ac:dyDescent="0.25">
      <c r="A420">
        <v>20221028</v>
      </c>
      <c r="B420" t="s">
        <v>770</v>
      </c>
      <c r="C420" t="s">
        <v>257</v>
      </c>
      <c r="D420" t="s">
        <v>187</v>
      </c>
      <c r="E420" s="35">
        <v>0.14899999999999999</v>
      </c>
      <c r="F420" s="35">
        <v>0.17799999999999999</v>
      </c>
      <c r="G420" s="35">
        <v>970</v>
      </c>
    </row>
    <row r="421" spans="1:7" x14ac:dyDescent="0.25">
      <c r="A421">
        <v>20221028</v>
      </c>
      <c r="B421" t="s">
        <v>770</v>
      </c>
      <c r="C421" t="s">
        <v>257</v>
      </c>
      <c r="D421" t="s">
        <v>214</v>
      </c>
      <c r="E421" s="35">
        <v>0.14899999999999999</v>
      </c>
      <c r="F421" s="35">
        <v>0.17799999999999999</v>
      </c>
      <c r="G421" s="35">
        <v>970</v>
      </c>
    </row>
    <row r="422" spans="1:7" x14ac:dyDescent="0.25">
      <c r="A422">
        <v>20221028</v>
      </c>
      <c r="B422" t="s">
        <v>770</v>
      </c>
      <c r="C422" t="s">
        <v>257</v>
      </c>
      <c r="D422" t="s">
        <v>233</v>
      </c>
      <c r="E422" s="35">
        <v>0.14899999999999999</v>
      </c>
      <c r="F422" s="35">
        <v>0.17799999999999999</v>
      </c>
      <c r="G422" s="35">
        <v>970</v>
      </c>
    </row>
    <row r="423" spans="1:7" x14ac:dyDescent="0.25">
      <c r="A423">
        <v>20221028</v>
      </c>
      <c r="B423" t="s">
        <v>770</v>
      </c>
      <c r="C423" t="s">
        <v>257</v>
      </c>
      <c r="D423" t="s">
        <v>242</v>
      </c>
      <c r="E423" s="35">
        <v>0.14899999999999999</v>
      </c>
      <c r="F423" s="35">
        <v>0.17799999999999999</v>
      </c>
      <c r="G423" s="35">
        <v>870</v>
      </c>
    </row>
    <row r="424" spans="1:7" x14ac:dyDescent="0.25">
      <c r="A424">
        <v>20221028</v>
      </c>
      <c r="B424" t="s">
        <v>770</v>
      </c>
      <c r="C424" t="s">
        <v>257</v>
      </c>
      <c r="D424" t="s">
        <v>250</v>
      </c>
      <c r="E424" s="35">
        <v>0.14899999999999999</v>
      </c>
      <c r="F424" s="35">
        <v>0.17799999999999999</v>
      </c>
      <c r="G424" s="35">
        <v>870</v>
      </c>
    </row>
    <row r="425" spans="1:7" x14ac:dyDescent="0.25">
      <c r="A425">
        <v>20221028</v>
      </c>
      <c r="B425" t="s">
        <v>770</v>
      </c>
      <c r="C425" t="s">
        <v>257</v>
      </c>
      <c r="D425" t="s">
        <v>258</v>
      </c>
      <c r="E425" s="35">
        <v>0.14899999999999999</v>
      </c>
      <c r="F425" s="35">
        <v>0.17799999999999999</v>
      </c>
      <c r="G425" s="35">
        <v>760</v>
      </c>
    </row>
    <row r="426" spans="1:7" x14ac:dyDescent="0.25">
      <c r="A426">
        <v>20221028</v>
      </c>
      <c r="B426" t="s">
        <v>770</v>
      </c>
      <c r="C426" t="s">
        <v>257</v>
      </c>
      <c r="D426" t="s">
        <v>265</v>
      </c>
      <c r="E426" s="35">
        <v>0.14899999999999999</v>
      </c>
      <c r="F426" s="35">
        <v>0.17799999999999999</v>
      </c>
      <c r="G426" s="35">
        <v>670</v>
      </c>
    </row>
    <row r="427" spans="1:7" x14ac:dyDescent="0.25">
      <c r="A427">
        <v>20221028</v>
      </c>
      <c r="B427" t="s">
        <v>770</v>
      </c>
      <c r="C427" t="s">
        <v>257</v>
      </c>
      <c r="D427" t="s">
        <v>273</v>
      </c>
      <c r="E427" s="35">
        <v>0.14899999999999999</v>
      </c>
      <c r="F427" s="35">
        <v>0.17799999999999999</v>
      </c>
      <c r="G427" s="35">
        <v>590</v>
      </c>
    </row>
    <row r="428" spans="1:7" x14ac:dyDescent="0.25">
      <c r="A428">
        <v>20221028</v>
      </c>
      <c r="B428" t="s">
        <v>770</v>
      </c>
      <c r="C428" t="s">
        <v>257</v>
      </c>
      <c r="D428" t="s">
        <v>279</v>
      </c>
      <c r="E428" s="35">
        <v>0.14899999999999999</v>
      </c>
      <c r="F428" s="35">
        <v>0.17799999999999999</v>
      </c>
      <c r="G428" s="35">
        <v>520</v>
      </c>
    </row>
    <row r="429" spans="1:7" x14ac:dyDescent="0.25">
      <c r="A429">
        <v>20221028</v>
      </c>
      <c r="B429" t="s">
        <v>770</v>
      </c>
      <c r="C429" t="s">
        <v>257</v>
      </c>
      <c r="D429" t="s">
        <v>285</v>
      </c>
      <c r="E429" s="35">
        <v>0.14899999999999999</v>
      </c>
      <c r="F429" s="35">
        <v>0.17799999999999999</v>
      </c>
      <c r="G429" s="35">
        <v>430</v>
      </c>
    </row>
    <row r="430" spans="1:7" x14ac:dyDescent="0.25">
      <c r="A430">
        <v>20221028</v>
      </c>
      <c r="B430" t="s">
        <v>770</v>
      </c>
      <c r="C430" t="s">
        <v>257</v>
      </c>
      <c r="D430" t="s">
        <v>289</v>
      </c>
      <c r="E430" s="35">
        <v>0.14899999999999999</v>
      </c>
      <c r="F430" s="35">
        <v>0.17799999999999999</v>
      </c>
      <c r="G430" s="35">
        <v>360</v>
      </c>
    </row>
    <row r="431" spans="1:7" x14ac:dyDescent="0.25">
      <c r="A431">
        <v>20221028</v>
      </c>
      <c r="B431" t="s">
        <v>770</v>
      </c>
      <c r="C431" t="s">
        <v>264</v>
      </c>
      <c r="D431" t="s">
        <v>187</v>
      </c>
      <c r="E431" s="35">
        <v>0.14899999999999999</v>
      </c>
      <c r="F431" s="35">
        <v>0.17799999999999999</v>
      </c>
      <c r="G431" s="35">
        <v>970</v>
      </c>
    </row>
    <row r="432" spans="1:7" x14ac:dyDescent="0.25">
      <c r="A432">
        <v>20221028</v>
      </c>
      <c r="B432" t="s">
        <v>770</v>
      </c>
      <c r="C432" t="s">
        <v>264</v>
      </c>
      <c r="D432" t="s">
        <v>214</v>
      </c>
      <c r="E432" s="35">
        <v>0.14899999999999999</v>
      </c>
      <c r="F432" s="35">
        <v>0.17799999999999999</v>
      </c>
      <c r="G432" s="35">
        <v>970</v>
      </c>
    </row>
    <row r="433" spans="1:7" x14ac:dyDescent="0.25">
      <c r="A433">
        <v>20221028</v>
      </c>
      <c r="B433" t="s">
        <v>770</v>
      </c>
      <c r="C433" t="s">
        <v>264</v>
      </c>
      <c r="D433" t="s">
        <v>233</v>
      </c>
      <c r="E433" s="35">
        <v>0.14899999999999999</v>
      </c>
      <c r="F433" s="35">
        <v>0.17799999999999999</v>
      </c>
      <c r="G433" s="35">
        <v>970</v>
      </c>
    </row>
    <row r="434" spans="1:7" x14ac:dyDescent="0.25">
      <c r="A434">
        <v>20221028</v>
      </c>
      <c r="B434" t="s">
        <v>770</v>
      </c>
      <c r="C434" t="s">
        <v>264</v>
      </c>
      <c r="D434" t="s">
        <v>242</v>
      </c>
      <c r="E434" s="35">
        <v>0.14899999999999999</v>
      </c>
      <c r="F434" s="35">
        <v>0.17799999999999999</v>
      </c>
      <c r="G434" s="35">
        <v>870</v>
      </c>
    </row>
    <row r="435" spans="1:7" x14ac:dyDescent="0.25">
      <c r="A435">
        <v>20221028</v>
      </c>
      <c r="B435" t="s">
        <v>770</v>
      </c>
      <c r="C435" t="s">
        <v>264</v>
      </c>
      <c r="D435" t="s">
        <v>250</v>
      </c>
      <c r="E435" s="35">
        <v>0.14899999999999999</v>
      </c>
      <c r="F435" s="35">
        <v>0.17799999999999999</v>
      </c>
      <c r="G435" s="35">
        <v>870</v>
      </c>
    </row>
    <row r="436" spans="1:7" x14ac:dyDescent="0.25">
      <c r="A436">
        <v>20221028</v>
      </c>
      <c r="B436" t="s">
        <v>770</v>
      </c>
      <c r="C436" t="s">
        <v>264</v>
      </c>
      <c r="D436" t="s">
        <v>258</v>
      </c>
      <c r="E436" s="35">
        <v>0.14899999999999999</v>
      </c>
      <c r="F436" s="35">
        <v>0.17799999999999999</v>
      </c>
      <c r="G436" s="35">
        <v>760</v>
      </c>
    </row>
    <row r="437" spans="1:7" x14ac:dyDescent="0.25">
      <c r="A437">
        <v>20221028</v>
      </c>
      <c r="B437" t="s">
        <v>770</v>
      </c>
      <c r="C437" t="s">
        <v>264</v>
      </c>
      <c r="D437" t="s">
        <v>265</v>
      </c>
      <c r="E437" s="35">
        <v>0.14899999999999999</v>
      </c>
      <c r="F437" s="35">
        <v>0.17799999999999999</v>
      </c>
      <c r="G437" s="35">
        <v>670</v>
      </c>
    </row>
    <row r="438" spans="1:7" x14ac:dyDescent="0.25">
      <c r="A438">
        <v>20221028</v>
      </c>
      <c r="B438" t="s">
        <v>770</v>
      </c>
      <c r="C438" t="s">
        <v>264</v>
      </c>
      <c r="D438" t="s">
        <v>273</v>
      </c>
      <c r="E438" s="35">
        <v>0.14899999999999999</v>
      </c>
      <c r="F438" s="35">
        <v>0.17799999999999999</v>
      </c>
      <c r="G438" s="35">
        <v>590</v>
      </c>
    </row>
    <row r="439" spans="1:7" x14ac:dyDescent="0.25">
      <c r="A439">
        <v>20221028</v>
      </c>
      <c r="B439" t="s">
        <v>770</v>
      </c>
      <c r="C439" t="s">
        <v>264</v>
      </c>
      <c r="D439" t="s">
        <v>279</v>
      </c>
      <c r="E439" s="35">
        <v>0.14899999999999999</v>
      </c>
      <c r="F439" s="35">
        <v>0.17799999999999999</v>
      </c>
      <c r="G439" s="35">
        <v>520</v>
      </c>
    </row>
    <row r="440" spans="1:7" x14ac:dyDescent="0.25">
      <c r="A440">
        <v>20221028</v>
      </c>
      <c r="B440" t="s">
        <v>770</v>
      </c>
      <c r="C440" t="s">
        <v>264</v>
      </c>
      <c r="D440" t="s">
        <v>285</v>
      </c>
      <c r="E440" s="35">
        <v>0.14899999999999999</v>
      </c>
      <c r="F440" s="35">
        <v>0.17799999999999999</v>
      </c>
      <c r="G440" s="35">
        <v>430</v>
      </c>
    </row>
    <row r="441" spans="1:7" x14ac:dyDescent="0.25">
      <c r="A441">
        <v>20221028</v>
      </c>
      <c r="B441" t="s">
        <v>770</v>
      </c>
      <c r="C441" t="s">
        <v>264</v>
      </c>
      <c r="D441" t="s">
        <v>289</v>
      </c>
      <c r="E441" s="35">
        <v>0.14899999999999999</v>
      </c>
      <c r="F441" s="35">
        <v>0.17799999999999999</v>
      </c>
      <c r="G441" s="35">
        <v>360</v>
      </c>
    </row>
    <row r="442" spans="1:7" x14ac:dyDescent="0.25">
      <c r="A442">
        <v>20221028</v>
      </c>
      <c r="B442" t="s">
        <v>770</v>
      </c>
      <c r="C442" t="s">
        <v>272</v>
      </c>
      <c r="D442" t="s">
        <v>187</v>
      </c>
      <c r="E442" s="35">
        <v>0.14899999999999999</v>
      </c>
      <c r="F442" s="35">
        <v>0.17799999999999999</v>
      </c>
      <c r="G442" s="35">
        <v>770</v>
      </c>
    </row>
    <row r="443" spans="1:7" x14ac:dyDescent="0.25">
      <c r="A443">
        <v>20221028</v>
      </c>
      <c r="B443" t="s">
        <v>770</v>
      </c>
      <c r="C443" t="s">
        <v>272</v>
      </c>
      <c r="D443" t="s">
        <v>214</v>
      </c>
      <c r="E443" s="35">
        <v>0.14899999999999999</v>
      </c>
      <c r="F443" s="35">
        <v>0.17799999999999999</v>
      </c>
      <c r="G443" s="35">
        <v>770</v>
      </c>
    </row>
    <row r="444" spans="1:7" x14ac:dyDescent="0.25">
      <c r="A444">
        <v>20221028</v>
      </c>
      <c r="B444" t="s">
        <v>770</v>
      </c>
      <c r="C444" t="s">
        <v>272</v>
      </c>
      <c r="D444" t="s">
        <v>233</v>
      </c>
      <c r="E444" s="35">
        <v>0.14899999999999999</v>
      </c>
      <c r="F444" s="35">
        <v>0.17799999999999999</v>
      </c>
      <c r="G444" s="35">
        <v>770</v>
      </c>
    </row>
    <row r="445" spans="1:7" x14ac:dyDescent="0.25">
      <c r="A445">
        <v>20221028</v>
      </c>
      <c r="B445" t="s">
        <v>770</v>
      </c>
      <c r="C445" t="s">
        <v>272</v>
      </c>
      <c r="D445" t="s">
        <v>242</v>
      </c>
      <c r="E445" s="35">
        <v>0.14899999999999999</v>
      </c>
      <c r="F445" s="35">
        <v>0.17799999999999999</v>
      </c>
      <c r="G445" s="35">
        <v>680</v>
      </c>
    </row>
    <row r="446" spans="1:7" x14ac:dyDescent="0.25">
      <c r="A446">
        <v>20221028</v>
      </c>
      <c r="B446" t="s">
        <v>770</v>
      </c>
      <c r="C446" t="s">
        <v>272</v>
      </c>
      <c r="D446" t="s">
        <v>250</v>
      </c>
      <c r="E446" s="35">
        <v>0.14899999999999999</v>
      </c>
      <c r="F446" s="35">
        <v>0.17799999999999999</v>
      </c>
      <c r="G446" s="35">
        <v>680</v>
      </c>
    </row>
    <row r="447" spans="1:7" x14ac:dyDescent="0.25">
      <c r="A447">
        <v>20221028</v>
      </c>
      <c r="B447" t="s">
        <v>770</v>
      </c>
      <c r="C447" t="s">
        <v>272</v>
      </c>
      <c r="D447" t="s">
        <v>258</v>
      </c>
      <c r="E447" s="35">
        <v>0.14899999999999999</v>
      </c>
      <c r="F447" s="35">
        <v>0.17799999999999999</v>
      </c>
      <c r="G447" s="35">
        <v>590</v>
      </c>
    </row>
    <row r="448" spans="1:7" x14ac:dyDescent="0.25">
      <c r="A448">
        <v>20221028</v>
      </c>
      <c r="B448" t="s">
        <v>770</v>
      </c>
      <c r="C448" t="s">
        <v>272</v>
      </c>
      <c r="D448" t="s">
        <v>265</v>
      </c>
      <c r="E448" s="35">
        <v>0.14899999999999999</v>
      </c>
      <c r="F448" s="35">
        <v>0.17799999999999999</v>
      </c>
      <c r="G448" s="35">
        <v>510</v>
      </c>
    </row>
    <row r="449" spans="1:7" x14ac:dyDescent="0.25">
      <c r="A449">
        <v>20221028</v>
      </c>
      <c r="B449" t="s">
        <v>770</v>
      </c>
      <c r="C449" t="s">
        <v>272</v>
      </c>
      <c r="D449" t="s">
        <v>273</v>
      </c>
      <c r="E449" s="35">
        <v>0.14899999999999999</v>
      </c>
      <c r="F449" s="35">
        <v>0.17799999999999999</v>
      </c>
      <c r="G449" s="35">
        <v>430</v>
      </c>
    </row>
    <row r="450" spans="1:7" x14ac:dyDescent="0.25">
      <c r="A450">
        <v>20221028</v>
      </c>
      <c r="B450" t="s">
        <v>770</v>
      </c>
      <c r="C450" t="s">
        <v>272</v>
      </c>
      <c r="D450" t="s">
        <v>279</v>
      </c>
      <c r="E450" s="35">
        <v>0.14899999999999999</v>
      </c>
      <c r="F450" s="35">
        <v>0.17799999999999999</v>
      </c>
      <c r="G450" s="35">
        <v>370</v>
      </c>
    </row>
    <row r="451" spans="1:7" x14ac:dyDescent="0.25">
      <c r="A451">
        <v>20221028</v>
      </c>
      <c r="B451" t="s">
        <v>770</v>
      </c>
      <c r="C451" t="s">
        <v>272</v>
      </c>
      <c r="D451" t="s">
        <v>285</v>
      </c>
      <c r="E451" s="35">
        <v>0.14899999999999999</v>
      </c>
      <c r="F451" s="35">
        <v>0.17799999999999999</v>
      </c>
      <c r="G451" s="35">
        <v>310</v>
      </c>
    </row>
    <row r="452" spans="1:7" x14ac:dyDescent="0.25">
      <c r="A452">
        <v>20221028</v>
      </c>
      <c r="B452" t="s">
        <v>770</v>
      </c>
      <c r="C452" t="s">
        <v>272</v>
      </c>
      <c r="D452" t="s">
        <v>289</v>
      </c>
      <c r="E452" s="35">
        <v>0.14899999999999999</v>
      </c>
      <c r="F452" s="35">
        <v>0.17799999999999999</v>
      </c>
      <c r="G452" s="35">
        <v>260</v>
      </c>
    </row>
    <row r="453" spans="1:7" x14ac:dyDescent="0.25">
      <c r="A453">
        <v>20221028</v>
      </c>
      <c r="B453" t="s">
        <v>770</v>
      </c>
      <c r="C453" t="s">
        <v>278</v>
      </c>
      <c r="D453" t="s">
        <v>187</v>
      </c>
      <c r="E453" s="35">
        <v>0.14899999999999999</v>
      </c>
      <c r="F453" s="35">
        <v>0.17799999999999999</v>
      </c>
      <c r="G453" s="35">
        <v>770</v>
      </c>
    </row>
    <row r="454" spans="1:7" x14ac:dyDescent="0.25">
      <c r="A454">
        <v>20221028</v>
      </c>
      <c r="B454" t="s">
        <v>770</v>
      </c>
      <c r="C454" t="s">
        <v>278</v>
      </c>
      <c r="D454" t="s">
        <v>214</v>
      </c>
      <c r="E454" s="35">
        <v>0.14899999999999999</v>
      </c>
      <c r="F454" s="35">
        <v>0.17799999999999999</v>
      </c>
      <c r="G454" s="35">
        <v>770</v>
      </c>
    </row>
    <row r="455" spans="1:7" x14ac:dyDescent="0.25">
      <c r="A455">
        <v>20221028</v>
      </c>
      <c r="B455" t="s">
        <v>770</v>
      </c>
      <c r="C455" t="s">
        <v>278</v>
      </c>
      <c r="D455" t="s">
        <v>233</v>
      </c>
      <c r="E455" s="35">
        <v>0.14899999999999999</v>
      </c>
      <c r="F455" s="35">
        <v>0.17799999999999999</v>
      </c>
      <c r="G455" s="35">
        <v>770</v>
      </c>
    </row>
    <row r="456" spans="1:7" x14ac:dyDescent="0.25">
      <c r="A456">
        <v>20221028</v>
      </c>
      <c r="B456" t="s">
        <v>770</v>
      </c>
      <c r="C456" t="s">
        <v>278</v>
      </c>
      <c r="D456" t="s">
        <v>242</v>
      </c>
      <c r="E456" s="35">
        <v>0.14899999999999999</v>
      </c>
      <c r="F456" s="35">
        <v>0.17799999999999999</v>
      </c>
      <c r="G456" s="35">
        <v>680</v>
      </c>
    </row>
    <row r="457" spans="1:7" x14ac:dyDescent="0.25">
      <c r="A457">
        <v>20221028</v>
      </c>
      <c r="B457" t="s">
        <v>770</v>
      </c>
      <c r="C457" t="s">
        <v>278</v>
      </c>
      <c r="D457" t="s">
        <v>250</v>
      </c>
      <c r="E457" s="35">
        <v>0.14899999999999999</v>
      </c>
      <c r="F457" s="35">
        <v>0.17799999999999999</v>
      </c>
      <c r="G457" s="35">
        <v>680</v>
      </c>
    </row>
    <row r="458" spans="1:7" x14ac:dyDescent="0.25">
      <c r="A458">
        <v>20221028</v>
      </c>
      <c r="B458" t="s">
        <v>770</v>
      </c>
      <c r="C458" t="s">
        <v>278</v>
      </c>
      <c r="D458" t="s">
        <v>258</v>
      </c>
      <c r="E458" s="35">
        <v>0.14899999999999999</v>
      </c>
      <c r="F458" s="35">
        <v>0.17799999999999999</v>
      </c>
      <c r="G458" s="35">
        <v>590</v>
      </c>
    </row>
    <row r="459" spans="1:7" x14ac:dyDescent="0.25">
      <c r="A459">
        <v>20221028</v>
      </c>
      <c r="B459" t="s">
        <v>770</v>
      </c>
      <c r="C459" t="s">
        <v>278</v>
      </c>
      <c r="D459" t="s">
        <v>265</v>
      </c>
      <c r="E459" s="35">
        <v>0.14899999999999999</v>
      </c>
      <c r="F459" s="35">
        <v>0.17799999999999999</v>
      </c>
      <c r="G459" s="35">
        <v>510</v>
      </c>
    </row>
    <row r="460" spans="1:7" x14ac:dyDescent="0.25">
      <c r="A460">
        <v>20221028</v>
      </c>
      <c r="B460" t="s">
        <v>770</v>
      </c>
      <c r="C460" t="s">
        <v>278</v>
      </c>
      <c r="D460" t="s">
        <v>273</v>
      </c>
      <c r="E460" s="35">
        <v>0.14899999999999999</v>
      </c>
      <c r="F460" s="35">
        <v>0.17799999999999999</v>
      </c>
      <c r="G460" s="35">
        <v>430</v>
      </c>
    </row>
    <row r="461" spans="1:7" x14ac:dyDescent="0.25">
      <c r="A461">
        <v>20221028</v>
      </c>
      <c r="B461" t="s">
        <v>770</v>
      </c>
      <c r="C461" t="s">
        <v>278</v>
      </c>
      <c r="D461" t="s">
        <v>279</v>
      </c>
      <c r="E461" s="35">
        <v>0.14899999999999999</v>
      </c>
      <c r="F461" s="35">
        <v>0.17799999999999999</v>
      </c>
      <c r="G461" s="35">
        <v>370</v>
      </c>
    </row>
    <row r="462" spans="1:7" x14ac:dyDescent="0.25">
      <c r="A462">
        <v>20221028</v>
      </c>
      <c r="B462" t="s">
        <v>770</v>
      </c>
      <c r="C462" t="s">
        <v>278</v>
      </c>
      <c r="D462" t="s">
        <v>285</v>
      </c>
      <c r="E462" s="35">
        <v>0.14899999999999999</v>
      </c>
      <c r="F462" s="35">
        <v>0.17799999999999999</v>
      </c>
      <c r="G462" s="35">
        <v>310</v>
      </c>
    </row>
    <row r="463" spans="1:7" x14ac:dyDescent="0.25">
      <c r="A463">
        <v>20221028</v>
      </c>
      <c r="B463" t="s">
        <v>770</v>
      </c>
      <c r="C463" t="s">
        <v>278</v>
      </c>
      <c r="D463" t="s">
        <v>289</v>
      </c>
      <c r="E463" s="35">
        <v>0.14899999999999999</v>
      </c>
      <c r="F463" s="35">
        <v>0.17799999999999999</v>
      </c>
      <c r="G463" s="35">
        <v>260</v>
      </c>
    </row>
    <row r="464" spans="1:7" x14ac:dyDescent="0.25">
      <c r="A464">
        <v>20221028</v>
      </c>
      <c r="B464" t="s">
        <v>770</v>
      </c>
      <c r="C464" t="s">
        <v>284</v>
      </c>
      <c r="D464" t="s">
        <v>187</v>
      </c>
      <c r="E464" s="35">
        <v>0.14899999999999999</v>
      </c>
      <c r="F464" s="35">
        <v>0.17799999999999999</v>
      </c>
      <c r="G464" s="35">
        <v>530</v>
      </c>
    </row>
    <row r="465" spans="1:7" x14ac:dyDescent="0.25">
      <c r="A465">
        <v>20221028</v>
      </c>
      <c r="B465" t="s">
        <v>770</v>
      </c>
      <c r="C465" t="s">
        <v>284</v>
      </c>
      <c r="D465" t="s">
        <v>214</v>
      </c>
      <c r="E465" s="35">
        <v>0.14899999999999999</v>
      </c>
      <c r="F465" s="35">
        <v>0.17799999999999999</v>
      </c>
      <c r="G465" s="35">
        <v>530</v>
      </c>
    </row>
    <row r="466" spans="1:7" x14ac:dyDescent="0.25">
      <c r="A466">
        <v>20221028</v>
      </c>
      <c r="B466" t="s">
        <v>770</v>
      </c>
      <c r="C466" t="s">
        <v>284</v>
      </c>
      <c r="D466" t="s">
        <v>233</v>
      </c>
      <c r="E466" s="35">
        <v>0.14899999999999999</v>
      </c>
      <c r="F466" s="35">
        <v>0.17799999999999999</v>
      </c>
      <c r="G466" s="35">
        <v>530</v>
      </c>
    </row>
    <row r="467" spans="1:7" x14ac:dyDescent="0.25">
      <c r="A467">
        <v>20221028</v>
      </c>
      <c r="B467" t="s">
        <v>770</v>
      </c>
      <c r="C467" t="s">
        <v>284</v>
      </c>
      <c r="D467" t="s">
        <v>242</v>
      </c>
      <c r="E467" s="35">
        <v>0.14899999999999999</v>
      </c>
      <c r="F467" s="35">
        <v>0.17799999999999999</v>
      </c>
      <c r="G467" s="35">
        <v>470</v>
      </c>
    </row>
    <row r="468" spans="1:7" x14ac:dyDescent="0.25">
      <c r="A468">
        <v>20221028</v>
      </c>
      <c r="B468" t="s">
        <v>770</v>
      </c>
      <c r="C468" t="s">
        <v>284</v>
      </c>
      <c r="D468" t="s">
        <v>250</v>
      </c>
      <c r="E468" s="35">
        <v>0.14899999999999999</v>
      </c>
      <c r="F468" s="35">
        <v>0.17799999999999999</v>
      </c>
      <c r="G468" s="35">
        <v>470</v>
      </c>
    </row>
    <row r="469" spans="1:7" x14ac:dyDescent="0.25">
      <c r="A469">
        <v>20221028</v>
      </c>
      <c r="B469" t="s">
        <v>770</v>
      </c>
      <c r="C469" t="s">
        <v>284</v>
      </c>
      <c r="D469" t="s">
        <v>258</v>
      </c>
      <c r="E469" s="35">
        <v>0.14899999999999999</v>
      </c>
      <c r="F469" s="35">
        <v>0.17799999999999999</v>
      </c>
      <c r="G469" s="35">
        <v>410</v>
      </c>
    </row>
    <row r="470" spans="1:7" x14ac:dyDescent="0.25">
      <c r="A470">
        <v>20221028</v>
      </c>
      <c r="B470" t="s">
        <v>770</v>
      </c>
      <c r="C470" t="s">
        <v>284</v>
      </c>
      <c r="D470" t="s">
        <v>265</v>
      </c>
      <c r="E470" s="35">
        <v>0.14899999999999999</v>
      </c>
      <c r="F470" s="35">
        <v>0.17799999999999999</v>
      </c>
      <c r="G470" s="35">
        <v>360</v>
      </c>
    </row>
    <row r="471" spans="1:7" x14ac:dyDescent="0.25">
      <c r="A471">
        <v>20221028</v>
      </c>
      <c r="B471" t="s">
        <v>770</v>
      </c>
      <c r="C471" t="s">
        <v>284</v>
      </c>
      <c r="D471" t="s">
        <v>273</v>
      </c>
      <c r="E471" s="35">
        <v>0.14899999999999999</v>
      </c>
      <c r="F471" s="35">
        <v>0.17799999999999999</v>
      </c>
      <c r="G471" s="35">
        <v>310</v>
      </c>
    </row>
    <row r="472" spans="1:7" x14ac:dyDescent="0.25">
      <c r="A472">
        <v>20221028</v>
      </c>
      <c r="B472" t="s">
        <v>770</v>
      </c>
      <c r="C472" t="s">
        <v>284</v>
      </c>
      <c r="D472" t="s">
        <v>279</v>
      </c>
      <c r="E472" s="35">
        <v>0.14899999999999999</v>
      </c>
      <c r="F472" s="35">
        <v>0.17799999999999999</v>
      </c>
      <c r="G472" s="35">
        <v>260</v>
      </c>
    </row>
    <row r="473" spans="1:7" x14ac:dyDescent="0.25">
      <c r="A473">
        <v>20221028</v>
      </c>
      <c r="B473" t="s">
        <v>770</v>
      </c>
      <c r="C473" t="s">
        <v>284</v>
      </c>
      <c r="D473" t="s">
        <v>285</v>
      </c>
      <c r="E473" s="35">
        <v>0.14899999999999999</v>
      </c>
      <c r="F473" s="35">
        <v>0.17799999999999999</v>
      </c>
      <c r="G473" s="35">
        <v>220</v>
      </c>
    </row>
    <row r="474" spans="1:7" x14ac:dyDescent="0.25">
      <c r="A474">
        <v>20221028</v>
      </c>
      <c r="B474" t="s">
        <v>770</v>
      </c>
      <c r="C474" t="s">
        <v>284</v>
      </c>
      <c r="D474" t="s">
        <v>289</v>
      </c>
      <c r="E474" s="35">
        <v>0.14899999999999999</v>
      </c>
      <c r="F474" s="35">
        <v>0.17799999999999999</v>
      </c>
      <c r="G474" s="35">
        <v>180</v>
      </c>
    </row>
    <row r="475" spans="1:7" x14ac:dyDescent="0.25">
      <c r="A475">
        <v>20221028</v>
      </c>
      <c r="B475" t="s">
        <v>770</v>
      </c>
      <c r="C475" t="s">
        <v>748</v>
      </c>
      <c r="D475" t="s">
        <v>187</v>
      </c>
      <c r="E475" s="35">
        <v>0.14899999999999999</v>
      </c>
      <c r="F475" s="35">
        <v>0.17799999999999999</v>
      </c>
      <c r="G475" s="35">
        <v>530</v>
      </c>
    </row>
    <row r="476" spans="1:7" x14ac:dyDescent="0.25">
      <c r="A476">
        <v>20221028</v>
      </c>
      <c r="B476" t="s">
        <v>770</v>
      </c>
      <c r="C476" t="s">
        <v>748</v>
      </c>
      <c r="D476" t="s">
        <v>214</v>
      </c>
      <c r="E476" s="35">
        <v>0.14899999999999999</v>
      </c>
      <c r="F476" s="35">
        <v>0.17799999999999999</v>
      </c>
      <c r="G476" s="35">
        <v>530</v>
      </c>
    </row>
    <row r="477" spans="1:7" x14ac:dyDescent="0.25">
      <c r="A477">
        <v>20221028</v>
      </c>
      <c r="B477" t="s">
        <v>770</v>
      </c>
      <c r="C477" t="s">
        <v>748</v>
      </c>
      <c r="D477" t="s">
        <v>233</v>
      </c>
      <c r="E477" s="35">
        <v>0.14899999999999999</v>
      </c>
      <c r="F477" s="35">
        <v>0.17799999999999999</v>
      </c>
      <c r="G477" s="35">
        <v>530</v>
      </c>
    </row>
    <row r="478" spans="1:7" x14ac:dyDescent="0.25">
      <c r="A478">
        <v>20221028</v>
      </c>
      <c r="B478" t="s">
        <v>770</v>
      </c>
      <c r="C478" t="s">
        <v>748</v>
      </c>
      <c r="D478" t="s">
        <v>242</v>
      </c>
      <c r="E478" s="35">
        <v>0.14899999999999999</v>
      </c>
      <c r="F478" s="35">
        <v>0.17799999999999999</v>
      </c>
      <c r="G478" s="35">
        <v>470</v>
      </c>
    </row>
    <row r="479" spans="1:7" x14ac:dyDescent="0.25">
      <c r="A479">
        <v>20221028</v>
      </c>
      <c r="B479" t="s">
        <v>770</v>
      </c>
      <c r="C479" t="s">
        <v>748</v>
      </c>
      <c r="D479" t="s">
        <v>250</v>
      </c>
      <c r="E479" s="35">
        <v>0.14899999999999999</v>
      </c>
      <c r="F479" s="35">
        <v>0.17799999999999999</v>
      </c>
      <c r="G479" s="35">
        <v>470</v>
      </c>
    </row>
    <row r="480" spans="1:7" x14ac:dyDescent="0.25">
      <c r="A480">
        <v>20221028</v>
      </c>
      <c r="B480" t="s">
        <v>770</v>
      </c>
      <c r="C480" t="s">
        <v>748</v>
      </c>
      <c r="D480" t="s">
        <v>258</v>
      </c>
      <c r="E480" s="35">
        <v>0.14899999999999999</v>
      </c>
      <c r="F480" s="35">
        <v>0.17799999999999999</v>
      </c>
      <c r="G480" s="35">
        <v>410</v>
      </c>
    </row>
    <row r="481" spans="1:7" x14ac:dyDescent="0.25">
      <c r="A481">
        <v>20221028</v>
      </c>
      <c r="B481" t="s">
        <v>770</v>
      </c>
      <c r="C481" t="s">
        <v>748</v>
      </c>
      <c r="D481" t="s">
        <v>265</v>
      </c>
      <c r="E481" s="35">
        <v>0.14899999999999999</v>
      </c>
      <c r="F481" s="35">
        <v>0.17799999999999999</v>
      </c>
      <c r="G481" s="35">
        <v>360</v>
      </c>
    </row>
    <row r="482" spans="1:7" x14ac:dyDescent="0.25">
      <c r="A482">
        <v>20221028</v>
      </c>
      <c r="B482" t="s">
        <v>770</v>
      </c>
      <c r="C482" t="s">
        <v>748</v>
      </c>
      <c r="D482" t="s">
        <v>273</v>
      </c>
      <c r="E482" s="35">
        <v>0.14899999999999999</v>
      </c>
      <c r="F482" s="35">
        <v>0.17799999999999999</v>
      </c>
      <c r="G482" s="35">
        <v>310</v>
      </c>
    </row>
    <row r="483" spans="1:7" x14ac:dyDescent="0.25">
      <c r="A483">
        <v>20221028</v>
      </c>
      <c r="B483" t="s">
        <v>770</v>
      </c>
      <c r="C483" t="s">
        <v>748</v>
      </c>
      <c r="D483" t="s">
        <v>279</v>
      </c>
      <c r="E483" s="35">
        <v>0.14899999999999999</v>
      </c>
      <c r="F483" s="35">
        <v>0.17799999999999999</v>
      </c>
      <c r="G483" s="35">
        <v>260</v>
      </c>
    </row>
    <row r="484" spans="1:7" x14ac:dyDescent="0.25">
      <c r="A484">
        <v>20221028</v>
      </c>
      <c r="B484" t="s">
        <v>770</v>
      </c>
      <c r="C484" t="s">
        <v>748</v>
      </c>
      <c r="D484" t="s">
        <v>285</v>
      </c>
      <c r="E484" s="35">
        <v>0.14899999999999999</v>
      </c>
      <c r="F484" s="35">
        <v>0.17799999999999999</v>
      </c>
      <c r="G484" s="35">
        <v>220</v>
      </c>
    </row>
    <row r="485" spans="1:7" x14ac:dyDescent="0.25">
      <c r="A485">
        <v>20221028</v>
      </c>
      <c r="B485" t="s">
        <v>770</v>
      </c>
      <c r="C485" t="s">
        <v>748</v>
      </c>
      <c r="D485" t="s">
        <v>289</v>
      </c>
      <c r="E485" s="35">
        <v>0.14899999999999999</v>
      </c>
      <c r="F485" s="35">
        <v>0.17799999999999999</v>
      </c>
      <c r="G485" s="35">
        <v>180</v>
      </c>
    </row>
    <row r="486" spans="1:7" x14ac:dyDescent="0.25">
      <c r="A486">
        <v>20221028</v>
      </c>
      <c r="B486" t="s">
        <v>770</v>
      </c>
      <c r="C486" t="s">
        <v>186</v>
      </c>
      <c r="D486" t="s">
        <v>187</v>
      </c>
      <c r="E486" s="35">
        <v>0.17899999999999999</v>
      </c>
      <c r="F486" s="35">
        <v>0.22800000000000001</v>
      </c>
      <c r="G486" s="35">
        <v>1510</v>
      </c>
    </row>
    <row r="487" spans="1:7" x14ac:dyDescent="0.25">
      <c r="A487">
        <v>20221028</v>
      </c>
      <c r="B487" t="s">
        <v>770</v>
      </c>
      <c r="C487" t="s">
        <v>186</v>
      </c>
      <c r="D487" t="s">
        <v>214</v>
      </c>
      <c r="E487" s="35">
        <v>0.17899999999999999</v>
      </c>
      <c r="F487" s="35">
        <v>0.22800000000000001</v>
      </c>
      <c r="G487" s="35">
        <v>1510</v>
      </c>
    </row>
    <row r="488" spans="1:7" x14ac:dyDescent="0.25">
      <c r="A488">
        <v>20221028</v>
      </c>
      <c r="B488" t="s">
        <v>770</v>
      </c>
      <c r="C488" t="s">
        <v>186</v>
      </c>
      <c r="D488" t="s">
        <v>233</v>
      </c>
      <c r="E488" s="35">
        <v>0.17899999999999999</v>
      </c>
      <c r="F488" s="35">
        <v>0.22800000000000001</v>
      </c>
      <c r="G488" s="35">
        <v>1510</v>
      </c>
    </row>
    <row r="489" spans="1:7" x14ac:dyDescent="0.25">
      <c r="A489">
        <v>20221028</v>
      </c>
      <c r="B489" t="s">
        <v>770</v>
      </c>
      <c r="C489" t="s">
        <v>186</v>
      </c>
      <c r="D489" t="s">
        <v>242</v>
      </c>
      <c r="E489" s="35">
        <v>0.17899999999999999</v>
      </c>
      <c r="F489" s="35">
        <v>0.22800000000000001</v>
      </c>
      <c r="G489" s="35">
        <v>1260</v>
      </c>
    </row>
    <row r="490" spans="1:7" x14ac:dyDescent="0.25">
      <c r="A490">
        <v>20221028</v>
      </c>
      <c r="B490" t="s">
        <v>770</v>
      </c>
      <c r="C490" t="s">
        <v>186</v>
      </c>
      <c r="D490" t="s">
        <v>250</v>
      </c>
      <c r="E490" s="35">
        <v>0.17899999999999999</v>
      </c>
      <c r="F490" s="35">
        <v>0.22800000000000001</v>
      </c>
      <c r="G490" s="35">
        <v>1260</v>
      </c>
    </row>
    <row r="491" spans="1:7" x14ac:dyDescent="0.25">
      <c r="A491">
        <v>20221028</v>
      </c>
      <c r="B491" t="s">
        <v>770</v>
      </c>
      <c r="C491" t="s">
        <v>186</v>
      </c>
      <c r="D491" t="s">
        <v>258</v>
      </c>
      <c r="E491" s="35">
        <v>0.17899999999999999</v>
      </c>
      <c r="F491" s="35">
        <v>0.22800000000000001</v>
      </c>
      <c r="G491" s="35">
        <v>1060</v>
      </c>
    </row>
    <row r="492" spans="1:7" x14ac:dyDescent="0.25">
      <c r="A492">
        <v>20221028</v>
      </c>
      <c r="B492" t="s">
        <v>770</v>
      </c>
      <c r="C492" t="s">
        <v>186</v>
      </c>
      <c r="D492" t="s">
        <v>265</v>
      </c>
      <c r="E492" s="35">
        <v>0.17899999999999999</v>
      </c>
      <c r="F492" s="35">
        <v>0.22800000000000001</v>
      </c>
      <c r="G492" s="35">
        <v>920</v>
      </c>
    </row>
    <row r="493" spans="1:7" x14ac:dyDescent="0.25">
      <c r="A493">
        <v>20221028</v>
      </c>
      <c r="B493" t="s">
        <v>770</v>
      </c>
      <c r="C493" t="s">
        <v>186</v>
      </c>
      <c r="D493" t="s">
        <v>273</v>
      </c>
      <c r="E493" s="35">
        <v>0.17899999999999999</v>
      </c>
      <c r="F493" s="35">
        <v>0.22800000000000001</v>
      </c>
      <c r="G493" s="35">
        <v>810</v>
      </c>
    </row>
    <row r="494" spans="1:7" x14ac:dyDescent="0.25">
      <c r="A494">
        <v>20221028</v>
      </c>
      <c r="B494" t="s">
        <v>770</v>
      </c>
      <c r="C494" t="s">
        <v>186</v>
      </c>
      <c r="D494" t="s">
        <v>279</v>
      </c>
      <c r="E494" s="35">
        <v>0.17899999999999999</v>
      </c>
      <c r="F494" s="35">
        <v>0.22800000000000001</v>
      </c>
      <c r="G494" s="35">
        <v>690</v>
      </c>
    </row>
    <row r="495" spans="1:7" x14ac:dyDescent="0.25">
      <c r="A495">
        <v>20221028</v>
      </c>
      <c r="B495" t="s">
        <v>770</v>
      </c>
      <c r="C495" t="s">
        <v>186</v>
      </c>
      <c r="D495" t="s">
        <v>285</v>
      </c>
      <c r="E495" s="35">
        <v>0.17899999999999999</v>
      </c>
      <c r="F495" s="35">
        <v>0.22800000000000001</v>
      </c>
      <c r="G495" s="35">
        <v>560</v>
      </c>
    </row>
    <row r="496" spans="1:7" x14ac:dyDescent="0.25">
      <c r="A496">
        <v>20221028</v>
      </c>
      <c r="B496" t="s">
        <v>770</v>
      </c>
      <c r="C496" t="s">
        <v>186</v>
      </c>
      <c r="D496" t="s">
        <v>289</v>
      </c>
      <c r="E496" s="35">
        <v>0.17899999999999999</v>
      </c>
      <c r="F496" s="35">
        <v>0.22800000000000001</v>
      </c>
      <c r="G496" s="35">
        <v>480</v>
      </c>
    </row>
    <row r="497" spans="1:7" x14ac:dyDescent="0.25">
      <c r="A497">
        <v>20221028</v>
      </c>
      <c r="B497" t="s">
        <v>770</v>
      </c>
      <c r="C497" t="s">
        <v>213</v>
      </c>
      <c r="D497" t="s">
        <v>187</v>
      </c>
      <c r="E497" s="35">
        <v>0.17899999999999999</v>
      </c>
      <c r="F497" s="35">
        <v>0.22800000000000001</v>
      </c>
      <c r="G497" s="35">
        <v>1510</v>
      </c>
    </row>
    <row r="498" spans="1:7" x14ac:dyDescent="0.25">
      <c r="A498">
        <v>20221028</v>
      </c>
      <c r="B498" t="s">
        <v>770</v>
      </c>
      <c r="C498" t="s">
        <v>213</v>
      </c>
      <c r="D498" t="s">
        <v>214</v>
      </c>
      <c r="E498" s="35">
        <v>0.17899999999999999</v>
      </c>
      <c r="F498" s="35">
        <v>0.22800000000000001</v>
      </c>
      <c r="G498" s="35">
        <v>1510</v>
      </c>
    </row>
    <row r="499" spans="1:7" x14ac:dyDescent="0.25">
      <c r="A499">
        <v>20221028</v>
      </c>
      <c r="B499" t="s">
        <v>770</v>
      </c>
      <c r="C499" t="s">
        <v>213</v>
      </c>
      <c r="D499" t="s">
        <v>233</v>
      </c>
      <c r="E499" s="35">
        <v>0.17899999999999999</v>
      </c>
      <c r="F499" s="35">
        <v>0.22800000000000001</v>
      </c>
      <c r="G499" s="35">
        <v>1510</v>
      </c>
    </row>
    <row r="500" spans="1:7" x14ac:dyDescent="0.25">
      <c r="A500">
        <v>20221028</v>
      </c>
      <c r="B500" t="s">
        <v>770</v>
      </c>
      <c r="C500" t="s">
        <v>213</v>
      </c>
      <c r="D500" t="s">
        <v>242</v>
      </c>
      <c r="E500" s="35">
        <v>0.17899999999999999</v>
      </c>
      <c r="F500" s="35">
        <v>0.22800000000000001</v>
      </c>
      <c r="G500" s="35">
        <v>1260</v>
      </c>
    </row>
    <row r="501" spans="1:7" x14ac:dyDescent="0.25">
      <c r="A501">
        <v>20221028</v>
      </c>
      <c r="B501" t="s">
        <v>770</v>
      </c>
      <c r="C501" t="s">
        <v>213</v>
      </c>
      <c r="D501" t="s">
        <v>250</v>
      </c>
      <c r="E501" s="35">
        <v>0.17899999999999999</v>
      </c>
      <c r="F501" s="35">
        <v>0.22800000000000001</v>
      </c>
      <c r="G501" s="35">
        <v>1260</v>
      </c>
    </row>
    <row r="502" spans="1:7" x14ac:dyDescent="0.25">
      <c r="A502">
        <v>20221028</v>
      </c>
      <c r="B502" t="s">
        <v>770</v>
      </c>
      <c r="C502" t="s">
        <v>213</v>
      </c>
      <c r="D502" t="s">
        <v>258</v>
      </c>
      <c r="E502" s="35">
        <v>0.17899999999999999</v>
      </c>
      <c r="F502" s="35">
        <v>0.22800000000000001</v>
      </c>
      <c r="G502" s="35">
        <v>1060</v>
      </c>
    </row>
    <row r="503" spans="1:7" x14ac:dyDescent="0.25">
      <c r="A503">
        <v>20221028</v>
      </c>
      <c r="B503" t="s">
        <v>770</v>
      </c>
      <c r="C503" t="s">
        <v>213</v>
      </c>
      <c r="D503" t="s">
        <v>265</v>
      </c>
      <c r="E503" s="35">
        <v>0.17899999999999999</v>
      </c>
      <c r="F503" s="35">
        <v>0.22800000000000001</v>
      </c>
      <c r="G503" s="35">
        <v>920</v>
      </c>
    </row>
    <row r="504" spans="1:7" x14ac:dyDescent="0.25">
      <c r="A504">
        <v>20221028</v>
      </c>
      <c r="B504" t="s">
        <v>770</v>
      </c>
      <c r="C504" t="s">
        <v>213</v>
      </c>
      <c r="D504" t="s">
        <v>273</v>
      </c>
      <c r="E504" s="35">
        <v>0.17899999999999999</v>
      </c>
      <c r="F504" s="35">
        <v>0.22800000000000001</v>
      </c>
      <c r="G504" s="35">
        <v>810</v>
      </c>
    </row>
    <row r="505" spans="1:7" x14ac:dyDescent="0.25">
      <c r="A505">
        <v>20221028</v>
      </c>
      <c r="B505" t="s">
        <v>770</v>
      </c>
      <c r="C505" t="s">
        <v>213</v>
      </c>
      <c r="D505" t="s">
        <v>279</v>
      </c>
      <c r="E505" s="35">
        <v>0.17899999999999999</v>
      </c>
      <c r="F505" s="35">
        <v>0.22800000000000001</v>
      </c>
      <c r="G505" s="35">
        <v>690</v>
      </c>
    </row>
    <row r="506" spans="1:7" x14ac:dyDescent="0.25">
      <c r="A506">
        <v>20221028</v>
      </c>
      <c r="B506" t="s">
        <v>770</v>
      </c>
      <c r="C506" t="s">
        <v>213</v>
      </c>
      <c r="D506" t="s">
        <v>285</v>
      </c>
      <c r="E506" s="35">
        <v>0.17899999999999999</v>
      </c>
      <c r="F506" s="35">
        <v>0.22800000000000001</v>
      </c>
      <c r="G506" s="35">
        <v>560</v>
      </c>
    </row>
    <row r="507" spans="1:7" x14ac:dyDescent="0.25">
      <c r="A507">
        <v>20221028</v>
      </c>
      <c r="B507" t="s">
        <v>770</v>
      </c>
      <c r="C507" t="s">
        <v>213</v>
      </c>
      <c r="D507" t="s">
        <v>289</v>
      </c>
      <c r="E507" s="35">
        <v>0.17899999999999999</v>
      </c>
      <c r="F507" s="35">
        <v>0.22800000000000001</v>
      </c>
      <c r="G507" s="35">
        <v>480</v>
      </c>
    </row>
    <row r="508" spans="1:7" x14ac:dyDescent="0.25">
      <c r="A508">
        <v>20221028</v>
      </c>
      <c r="B508" t="s">
        <v>770</v>
      </c>
      <c r="C508" t="s">
        <v>232</v>
      </c>
      <c r="D508" t="s">
        <v>187</v>
      </c>
      <c r="E508" s="35">
        <v>0.17899999999999999</v>
      </c>
      <c r="F508" s="35">
        <v>0.22800000000000001</v>
      </c>
      <c r="G508" s="35">
        <v>1510</v>
      </c>
    </row>
    <row r="509" spans="1:7" x14ac:dyDescent="0.25">
      <c r="A509">
        <v>20221028</v>
      </c>
      <c r="B509" t="s">
        <v>770</v>
      </c>
      <c r="C509" t="s">
        <v>232</v>
      </c>
      <c r="D509" t="s">
        <v>214</v>
      </c>
      <c r="E509" s="35">
        <v>0.17899999999999999</v>
      </c>
      <c r="F509" s="35">
        <v>0.22800000000000001</v>
      </c>
      <c r="G509" s="35">
        <v>1510</v>
      </c>
    </row>
    <row r="510" spans="1:7" x14ac:dyDescent="0.25">
      <c r="A510">
        <v>20221028</v>
      </c>
      <c r="B510" t="s">
        <v>770</v>
      </c>
      <c r="C510" t="s">
        <v>232</v>
      </c>
      <c r="D510" t="s">
        <v>233</v>
      </c>
      <c r="E510" s="35">
        <v>0.17899999999999999</v>
      </c>
      <c r="F510" s="35">
        <v>0.22800000000000001</v>
      </c>
      <c r="G510" s="35">
        <v>1510</v>
      </c>
    </row>
    <row r="511" spans="1:7" x14ac:dyDescent="0.25">
      <c r="A511">
        <v>20221028</v>
      </c>
      <c r="B511" t="s">
        <v>770</v>
      </c>
      <c r="C511" t="s">
        <v>232</v>
      </c>
      <c r="D511" t="s">
        <v>242</v>
      </c>
      <c r="E511" s="35">
        <v>0.17899999999999999</v>
      </c>
      <c r="F511" s="35">
        <v>0.22800000000000001</v>
      </c>
      <c r="G511" s="35">
        <v>1260</v>
      </c>
    </row>
    <row r="512" spans="1:7" x14ac:dyDescent="0.25">
      <c r="A512">
        <v>20221028</v>
      </c>
      <c r="B512" t="s">
        <v>770</v>
      </c>
      <c r="C512" t="s">
        <v>232</v>
      </c>
      <c r="D512" t="s">
        <v>250</v>
      </c>
      <c r="E512" s="35">
        <v>0.17899999999999999</v>
      </c>
      <c r="F512" s="35">
        <v>0.22800000000000001</v>
      </c>
      <c r="G512" s="35">
        <v>1260</v>
      </c>
    </row>
    <row r="513" spans="1:7" x14ac:dyDescent="0.25">
      <c r="A513">
        <v>20221028</v>
      </c>
      <c r="B513" t="s">
        <v>770</v>
      </c>
      <c r="C513" t="s">
        <v>232</v>
      </c>
      <c r="D513" t="s">
        <v>258</v>
      </c>
      <c r="E513" s="35">
        <v>0.17899999999999999</v>
      </c>
      <c r="F513" s="35">
        <v>0.22800000000000001</v>
      </c>
      <c r="G513" s="35">
        <v>1060</v>
      </c>
    </row>
    <row r="514" spans="1:7" x14ac:dyDescent="0.25">
      <c r="A514">
        <v>20221028</v>
      </c>
      <c r="B514" t="s">
        <v>770</v>
      </c>
      <c r="C514" t="s">
        <v>232</v>
      </c>
      <c r="D514" t="s">
        <v>265</v>
      </c>
      <c r="E514" s="35">
        <v>0.17899999999999999</v>
      </c>
      <c r="F514" s="35">
        <v>0.22800000000000001</v>
      </c>
      <c r="G514" s="35">
        <v>920</v>
      </c>
    </row>
    <row r="515" spans="1:7" x14ac:dyDescent="0.25">
      <c r="A515">
        <v>20221028</v>
      </c>
      <c r="B515" t="s">
        <v>770</v>
      </c>
      <c r="C515" t="s">
        <v>232</v>
      </c>
      <c r="D515" t="s">
        <v>273</v>
      </c>
      <c r="E515" s="35">
        <v>0.17899999999999999</v>
      </c>
      <c r="F515" s="35">
        <v>0.22800000000000001</v>
      </c>
      <c r="G515" s="35">
        <v>810</v>
      </c>
    </row>
    <row r="516" spans="1:7" x14ac:dyDescent="0.25">
      <c r="A516">
        <v>20221028</v>
      </c>
      <c r="B516" t="s">
        <v>770</v>
      </c>
      <c r="C516" t="s">
        <v>232</v>
      </c>
      <c r="D516" t="s">
        <v>279</v>
      </c>
      <c r="E516" s="35">
        <v>0.17899999999999999</v>
      </c>
      <c r="F516" s="35">
        <v>0.22800000000000001</v>
      </c>
      <c r="G516" s="35">
        <v>690</v>
      </c>
    </row>
    <row r="517" spans="1:7" x14ac:dyDescent="0.25">
      <c r="A517">
        <v>20221028</v>
      </c>
      <c r="B517" t="s">
        <v>770</v>
      </c>
      <c r="C517" t="s">
        <v>232</v>
      </c>
      <c r="D517" t="s">
        <v>285</v>
      </c>
      <c r="E517" s="35">
        <v>0.17899999999999999</v>
      </c>
      <c r="F517" s="35">
        <v>0.22800000000000001</v>
      </c>
      <c r="G517" s="35">
        <v>560</v>
      </c>
    </row>
    <row r="518" spans="1:7" x14ac:dyDescent="0.25">
      <c r="A518">
        <v>20221028</v>
      </c>
      <c r="B518" t="s">
        <v>770</v>
      </c>
      <c r="C518" t="s">
        <v>232</v>
      </c>
      <c r="D518" t="s">
        <v>289</v>
      </c>
      <c r="E518" s="35">
        <v>0.17899999999999999</v>
      </c>
      <c r="F518" s="35">
        <v>0.22800000000000001</v>
      </c>
      <c r="G518" s="35">
        <v>480</v>
      </c>
    </row>
    <row r="519" spans="1:7" x14ac:dyDescent="0.25">
      <c r="A519">
        <v>20221028</v>
      </c>
      <c r="B519" t="s">
        <v>770</v>
      </c>
      <c r="C519" t="s">
        <v>215</v>
      </c>
      <c r="D519" t="s">
        <v>187</v>
      </c>
      <c r="E519" s="35">
        <v>0.17899999999999999</v>
      </c>
      <c r="F519" s="35">
        <v>0.22800000000000001</v>
      </c>
      <c r="G519" s="35">
        <v>1350</v>
      </c>
    </row>
    <row r="520" spans="1:7" x14ac:dyDescent="0.25">
      <c r="A520">
        <v>20221028</v>
      </c>
      <c r="B520" t="s">
        <v>770</v>
      </c>
      <c r="C520" t="s">
        <v>215</v>
      </c>
      <c r="D520" t="s">
        <v>214</v>
      </c>
      <c r="E520" s="35">
        <v>0.17899999999999999</v>
      </c>
      <c r="F520" s="35">
        <v>0.22800000000000001</v>
      </c>
      <c r="G520" s="35">
        <v>1350</v>
      </c>
    </row>
    <row r="521" spans="1:7" x14ac:dyDescent="0.25">
      <c r="A521">
        <v>20221028</v>
      </c>
      <c r="B521" t="s">
        <v>770</v>
      </c>
      <c r="C521" t="s">
        <v>215</v>
      </c>
      <c r="D521" t="s">
        <v>233</v>
      </c>
      <c r="E521" s="35">
        <v>0.17899999999999999</v>
      </c>
      <c r="F521" s="35">
        <v>0.22800000000000001</v>
      </c>
      <c r="G521" s="35">
        <v>1350</v>
      </c>
    </row>
    <row r="522" spans="1:7" x14ac:dyDescent="0.25">
      <c r="A522">
        <v>20221028</v>
      </c>
      <c r="B522" t="s">
        <v>770</v>
      </c>
      <c r="C522" t="s">
        <v>215</v>
      </c>
      <c r="D522" t="s">
        <v>242</v>
      </c>
      <c r="E522" s="35">
        <v>0.17899999999999999</v>
      </c>
      <c r="F522" s="35">
        <v>0.22800000000000001</v>
      </c>
      <c r="G522" s="35">
        <v>1140</v>
      </c>
    </row>
    <row r="523" spans="1:7" x14ac:dyDescent="0.25">
      <c r="A523">
        <v>20221028</v>
      </c>
      <c r="B523" t="s">
        <v>770</v>
      </c>
      <c r="C523" t="s">
        <v>215</v>
      </c>
      <c r="D523" t="s">
        <v>250</v>
      </c>
      <c r="E523" s="35">
        <v>0.17899999999999999</v>
      </c>
      <c r="F523" s="35">
        <v>0.22800000000000001</v>
      </c>
      <c r="G523" s="35">
        <v>1140</v>
      </c>
    </row>
    <row r="524" spans="1:7" x14ac:dyDescent="0.25">
      <c r="A524">
        <v>20221028</v>
      </c>
      <c r="B524" t="s">
        <v>770</v>
      </c>
      <c r="C524" t="s">
        <v>215</v>
      </c>
      <c r="D524" t="s">
        <v>258</v>
      </c>
      <c r="E524" s="35">
        <v>0.17899999999999999</v>
      </c>
      <c r="F524" s="35">
        <v>0.22800000000000001</v>
      </c>
      <c r="G524" s="35">
        <v>970</v>
      </c>
    </row>
    <row r="525" spans="1:7" x14ac:dyDescent="0.25">
      <c r="A525">
        <v>20221028</v>
      </c>
      <c r="B525" t="s">
        <v>770</v>
      </c>
      <c r="C525" t="s">
        <v>215</v>
      </c>
      <c r="D525" t="s">
        <v>265</v>
      </c>
      <c r="E525" s="35">
        <v>0.17899999999999999</v>
      </c>
      <c r="F525" s="35">
        <v>0.22800000000000001</v>
      </c>
      <c r="G525" s="35">
        <v>830</v>
      </c>
    </row>
    <row r="526" spans="1:7" x14ac:dyDescent="0.25">
      <c r="A526">
        <v>20221028</v>
      </c>
      <c r="B526" t="s">
        <v>770</v>
      </c>
      <c r="C526" t="s">
        <v>215</v>
      </c>
      <c r="D526" t="s">
        <v>273</v>
      </c>
      <c r="E526" s="35">
        <v>0.17899999999999999</v>
      </c>
      <c r="F526" s="35">
        <v>0.22800000000000001</v>
      </c>
      <c r="G526" s="35">
        <v>730</v>
      </c>
    </row>
    <row r="527" spans="1:7" x14ac:dyDescent="0.25">
      <c r="A527">
        <v>20221028</v>
      </c>
      <c r="B527" t="s">
        <v>770</v>
      </c>
      <c r="C527" t="s">
        <v>215</v>
      </c>
      <c r="D527" t="s">
        <v>279</v>
      </c>
      <c r="E527" s="35">
        <v>0.17899999999999999</v>
      </c>
      <c r="F527" s="35">
        <v>0.22800000000000001</v>
      </c>
      <c r="G527" s="35">
        <v>630</v>
      </c>
    </row>
    <row r="528" spans="1:7" x14ac:dyDescent="0.25">
      <c r="A528">
        <v>20221028</v>
      </c>
      <c r="B528" t="s">
        <v>770</v>
      </c>
      <c r="C528" t="s">
        <v>215</v>
      </c>
      <c r="D528" t="s">
        <v>285</v>
      </c>
      <c r="E528" s="35">
        <v>0.17899999999999999</v>
      </c>
      <c r="F528" s="35">
        <v>0.22800000000000001</v>
      </c>
      <c r="G528" s="35">
        <v>510</v>
      </c>
    </row>
    <row r="529" spans="1:7" x14ac:dyDescent="0.25">
      <c r="A529">
        <v>20221028</v>
      </c>
      <c r="B529" t="s">
        <v>770</v>
      </c>
      <c r="C529" t="s">
        <v>215</v>
      </c>
      <c r="D529" t="s">
        <v>289</v>
      </c>
      <c r="E529" s="35">
        <v>0.17899999999999999</v>
      </c>
      <c r="F529" s="35">
        <v>0.22800000000000001</v>
      </c>
      <c r="G529" s="35">
        <v>430</v>
      </c>
    </row>
    <row r="530" spans="1:7" x14ac:dyDescent="0.25">
      <c r="A530">
        <v>20221028</v>
      </c>
      <c r="B530" t="s">
        <v>770</v>
      </c>
      <c r="C530" t="s">
        <v>249</v>
      </c>
      <c r="D530" t="s">
        <v>187</v>
      </c>
      <c r="E530" s="35">
        <v>0.17899999999999999</v>
      </c>
      <c r="F530" s="35">
        <v>0.22800000000000001</v>
      </c>
      <c r="G530" s="35">
        <v>1350</v>
      </c>
    </row>
    <row r="531" spans="1:7" x14ac:dyDescent="0.25">
      <c r="A531">
        <v>20221028</v>
      </c>
      <c r="B531" t="s">
        <v>770</v>
      </c>
      <c r="C531" t="s">
        <v>249</v>
      </c>
      <c r="D531" t="s">
        <v>214</v>
      </c>
      <c r="E531" s="35">
        <v>0.17899999999999999</v>
      </c>
      <c r="F531" s="35">
        <v>0.22800000000000001</v>
      </c>
      <c r="G531" s="35">
        <v>1350</v>
      </c>
    </row>
    <row r="532" spans="1:7" x14ac:dyDescent="0.25">
      <c r="A532">
        <v>20221028</v>
      </c>
      <c r="B532" t="s">
        <v>770</v>
      </c>
      <c r="C532" t="s">
        <v>249</v>
      </c>
      <c r="D532" t="s">
        <v>233</v>
      </c>
      <c r="E532" s="35">
        <v>0.17899999999999999</v>
      </c>
      <c r="F532" s="35">
        <v>0.22800000000000001</v>
      </c>
      <c r="G532" s="35">
        <v>1350</v>
      </c>
    </row>
    <row r="533" spans="1:7" x14ac:dyDescent="0.25">
      <c r="A533">
        <v>20221028</v>
      </c>
      <c r="B533" t="s">
        <v>770</v>
      </c>
      <c r="C533" t="s">
        <v>249</v>
      </c>
      <c r="D533" t="s">
        <v>242</v>
      </c>
      <c r="E533" s="35">
        <v>0.17899999999999999</v>
      </c>
      <c r="F533" s="35">
        <v>0.22800000000000001</v>
      </c>
      <c r="G533" s="35">
        <v>1140</v>
      </c>
    </row>
    <row r="534" spans="1:7" x14ac:dyDescent="0.25">
      <c r="A534">
        <v>20221028</v>
      </c>
      <c r="B534" t="s">
        <v>770</v>
      </c>
      <c r="C534" t="s">
        <v>249</v>
      </c>
      <c r="D534" t="s">
        <v>250</v>
      </c>
      <c r="E534" s="35">
        <v>0.17899999999999999</v>
      </c>
      <c r="F534" s="35">
        <v>0.22800000000000001</v>
      </c>
      <c r="G534" s="35">
        <v>1140</v>
      </c>
    </row>
    <row r="535" spans="1:7" x14ac:dyDescent="0.25">
      <c r="A535">
        <v>20221028</v>
      </c>
      <c r="B535" t="s">
        <v>770</v>
      </c>
      <c r="C535" t="s">
        <v>249</v>
      </c>
      <c r="D535" t="s">
        <v>258</v>
      </c>
      <c r="E535" s="35">
        <v>0.17899999999999999</v>
      </c>
      <c r="F535" s="35">
        <v>0.22800000000000001</v>
      </c>
      <c r="G535" s="35">
        <v>970</v>
      </c>
    </row>
    <row r="536" spans="1:7" x14ac:dyDescent="0.25">
      <c r="A536">
        <v>20221028</v>
      </c>
      <c r="B536" t="s">
        <v>770</v>
      </c>
      <c r="C536" t="s">
        <v>249</v>
      </c>
      <c r="D536" t="s">
        <v>265</v>
      </c>
      <c r="E536" s="35">
        <v>0.17899999999999999</v>
      </c>
      <c r="F536" s="35">
        <v>0.22800000000000001</v>
      </c>
      <c r="G536" s="35">
        <v>830</v>
      </c>
    </row>
    <row r="537" spans="1:7" x14ac:dyDescent="0.25">
      <c r="A537">
        <v>20221028</v>
      </c>
      <c r="B537" t="s">
        <v>770</v>
      </c>
      <c r="C537" t="s">
        <v>249</v>
      </c>
      <c r="D537" t="s">
        <v>273</v>
      </c>
      <c r="E537" s="35">
        <v>0.17899999999999999</v>
      </c>
      <c r="F537" s="35">
        <v>0.22800000000000001</v>
      </c>
      <c r="G537" s="35">
        <v>730</v>
      </c>
    </row>
    <row r="538" spans="1:7" x14ac:dyDescent="0.25">
      <c r="A538">
        <v>20221028</v>
      </c>
      <c r="B538" t="s">
        <v>770</v>
      </c>
      <c r="C538" t="s">
        <v>249</v>
      </c>
      <c r="D538" t="s">
        <v>279</v>
      </c>
      <c r="E538" s="35">
        <v>0.17899999999999999</v>
      </c>
      <c r="F538" s="35">
        <v>0.22800000000000001</v>
      </c>
      <c r="G538" s="35">
        <v>630</v>
      </c>
    </row>
    <row r="539" spans="1:7" x14ac:dyDescent="0.25">
      <c r="A539">
        <v>20221028</v>
      </c>
      <c r="B539" t="s">
        <v>770</v>
      </c>
      <c r="C539" t="s">
        <v>249</v>
      </c>
      <c r="D539" t="s">
        <v>285</v>
      </c>
      <c r="E539" s="35">
        <v>0.17899999999999999</v>
      </c>
      <c r="F539" s="35">
        <v>0.22800000000000001</v>
      </c>
      <c r="G539" s="35">
        <v>510</v>
      </c>
    </row>
    <row r="540" spans="1:7" x14ac:dyDescent="0.25">
      <c r="A540">
        <v>20221028</v>
      </c>
      <c r="B540" t="s">
        <v>770</v>
      </c>
      <c r="C540" t="s">
        <v>249</v>
      </c>
      <c r="D540" t="s">
        <v>289</v>
      </c>
      <c r="E540" s="35">
        <v>0.17899999999999999</v>
      </c>
      <c r="F540" s="35">
        <v>0.22800000000000001</v>
      </c>
      <c r="G540" s="35">
        <v>430</v>
      </c>
    </row>
    <row r="541" spans="1:7" x14ac:dyDescent="0.25">
      <c r="A541">
        <v>20221028</v>
      </c>
      <c r="B541" t="s">
        <v>770</v>
      </c>
      <c r="C541" t="s">
        <v>257</v>
      </c>
      <c r="D541" t="s">
        <v>187</v>
      </c>
      <c r="E541" s="35">
        <v>0.17899999999999999</v>
      </c>
      <c r="F541" s="35">
        <v>0.22800000000000001</v>
      </c>
      <c r="G541" s="35">
        <v>1120</v>
      </c>
    </row>
    <row r="542" spans="1:7" x14ac:dyDescent="0.25">
      <c r="A542">
        <v>20221028</v>
      </c>
      <c r="B542" t="s">
        <v>770</v>
      </c>
      <c r="C542" t="s">
        <v>257</v>
      </c>
      <c r="D542" t="s">
        <v>214</v>
      </c>
      <c r="E542" s="35">
        <v>0.17899999999999999</v>
      </c>
      <c r="F542" s="35">
        <v>0.22800000000000001</v>
      </c>
      <c r="G542" s="35">
        <v>1120</v>
      </c>
    </row>
    <row r="543" spans="1:7" x14ac:dyDescent="0.25">
      <c r="A543">
        <v>20221028</v>
      </c>
      <c r="B543" t="s">
        <v>770</v>
      </c>
      <c r="C543" t="s">
        <v>257</v>
      </c>
      <c r="D543" t="s">
        <v>233</v>
      </c>
      <c r="E543" s="35">
        <v>0.17899999999999999</v>
      </c>
      <c r="F543" s="35">
        <v>0.22800000000000001</v>
      </c>
      <c r="G543" s="35">
        <v>1120</v>
      </c>
    </row>
    <row r="544" spans="1:7" x14ac:dyDescent="0.25">
      <c r="A544">
        <v>20221028</v>
      </c>
      <c r="B544" t="s">
        <v>770</v>
      </c>
      <c r="C544" t="s">
        <v>257</v>
      </c>
      <c r="D544" t="s">
        <v>242</v>
      </c>
      <c r="E544" s="35">
        <v>0.17899999999999999</v>
      </c>
      <c r="F544" s="35">
        <v>0.22800000000000001</v>
      </c>
      <c r="G544" s="35">
        <v>970</v>
      </c>
    </row>
    <row r="545" spans="1:7" x14ac:dyDescent="0.25">
      <c r="A545">
        <v>20221028</v>
      </c>
      <c r="B545" t="s">
        <v>770</v>
      </c>
      <c r="C545" t="s">
        <v>257</v>
      </c>
      <c r="D545" t="s">
        <v>250</v>
      </c>
      <c r="E545" s="35">
        <v>0.17899999999999999</v>
      </c>
      <c r="F545" s="35">
        <v>0.22800000000000001</v>
      </c>
      <c r="G545" s="35">
        <v>970</v>
      </c>
    </row>
    <row r="546" spans="1:7" x14ac:dyDescent="0.25">
      <c r="A546">
        <v>20221028</v>
      </c>
      <c r="B546" t="s">
        <v>770</v>
      </c>
      <c r="C546" t="s">
        <v>257</v>
      </c>
      <c r="D546" t="s">
        <v>258</v>
      </c>
      <c r="E546" s="35">
        <v>0.17899999999999999</v>
      </c>
      <c r="F546" s="35">
        <v>0.22800000000000001</v>
      </c>
      <c r="G546" s="35">
        <v>840</v>
      </c>
    </row>
    <row r="547" spans="1:7" x14ac:dyDescent="0.25">
      <c r="A547">
        <v>20221028</v>
      </c>
      <c r="B547" t="s">
        <v>770</v>
      </c>
      <c r="C547" t="s">
        <v>257</v>
      </c>
      <c r="D547" t="s">
        <v>265</v>
      </c>
      <c r="E547" s="35">
        <v>0.17899999999999999</v>
      </c>
      <c r="F547" s="35">
        <v>0.22800000000000001</v>
      </c>
      <c r="G547" s="35">
        <v>730</v>
      </c>
    </row>
    <row r="548" spans="1:7" x14ac:dyDescent="0.25">
      <c r="A548">
        <v>20221028</v>
      </c>
      <c r="B548" t="s">
        <v>770</v>
      </c>
      <c r="C548" t="s">
        <v>257</v>
      </c>
      <c r="D548" t="s">
        <v>273</v>
      </c>
      <c r="E548" s="35">
        <v>0.17899999999999999</v>
      </c>
      <c r="F548" s="35">
        <v>0.22800000000000001</v>
      </c>
      <c r="G548" s="35">
        <v>640</v>
      </c>
    </row>
    <row r="549" spans="1:7" x14ac:dyDescent="0.25">
      <c r="A549">
        <v>20221028</v>
      </c>
      <c r="B549" t="s">
        <v>770</v>
      </c>
      <c r="C549" t="s">
        <v>257</v>
      </c>
      <c r="D549" t="s">
        <v>279</v>
      </c>
      <c r="E549" s="35">
        <v>0.17899999999999999</v>
      </c>
      <c r="F549" s="35">
        <v>0.22800000000000001</v>
      </c>
      <c r="G549" s="35">
        <v>560</v>
      </c>
    </row>
    <row r="550" spans="1:7" x14ac:dyDescent="0.25">
      <c r="A550">
        <v>20221028</v>
      </c>
      <c r="B550" t="s">
        <v>770</v>
      </c>
      <c r="C550" t="s">
        <v>257</v>
      </c>
      <c r="D550" t="s">
        <v>285</v>
      </c>
      <c r="E550" s="35">
        <v>0.17899999999999999</v>
      </c>
      <c r="F550" s="35">
        <v>0.22800000000000001</v>
      </c>
      <c r="G550" s="35">
        <v>460</v>
      </c>
    </row>
    <row r="551" spans="1:7" x14ac:dyDescent="0.25">
      <c r="A551">
        <v>20221028</v>
      </c>
      <c r="B551" t="s">
        <v>770</v>
      </c>
      <c r="C551" t="s">
        <v>257</v>
      </c>
      <c r="D551" t="s">
        <v>289</v>
      </c>
      <c r="E551" s="35">
        <v>0.17899999999999999</v>
      </c>
      <c r="F551" s="35">
        <v>0.22800000000000001</v>
      </c>
      <c r="G551" s="35">
        <v>390</v>
      </c>
    </row>
    <row r="552" spans="1:7" x14ac:dyDescent="0.25">
      <c r="A552">
        <v>20221028</v>
      </c>
      <c r="B552" t="s">
        <v>770</v>
      </c>
      <c r="C552" t="s">
        <v>264</v>
      </c>
      <c r="D552" t="s">
        <v>187</v>
      </c>
      <c r="E552" s="35">
        <v>0.17899999999999999</v>
      </c>
      <c r="F552" s="35">
        <v>0.22800000000000001</v>
      </c>
      <c r="G552" s="35">
        <v>1120</v>
      </c>
    </row>
    <row r="553" spans="1:7" x14ac:dyDescent="0.25">
      <c r="A553">
        <v>20221028</v>
      </c>
      <c r="B553" t="s">
        <v>770</v>
      </c>
      <c r="C553" t="s">
        <v>264</v>
      </c>
      <c r="D553" t="s">
        <v>214</v>
      </c>
      <c r="E553" s="35">
        <v>0.17899999999999999</v>
      </c>
      <c r="F553" s="35">
        <v>0.22800000000000001</v>
      </c>
      <c r="G553" s="35">
        <v>1120</v>
      </c>
    </row>
    <row r="554" spans="1:7" x14ac:dyDescent="0.25">
      <c r="A554">
        <v>20221028</v>
      </c>
      <c r="B554" t="s">
        <v>770</v>
      </c>
      <c r="C554" t="s">
        <v>264</v>
      </c>
      <c r="D554" t="s">
        <v>233</v>
      </c>
      <c r="E554" s="35">
        <v>0.17899999999999999</v>
      </c>
      <c r="F554" s="35">
        <v>0.22800000000000001</v>
      </c>
      <c r="G554" s="35">
        <v>1120</v>
      </c>
    </row>
    <row r="555" spans="1:7" x14ac:dyDescent="0.25">
      <c r="A555">
        <v>20221028</v>
      </c>
      <c r="B555" t="s">
        <v>770</v>
      </c>
      <c r="C555" t="s">
        <v>264</v>
      </c>
      <c r="D555" t="s">
        <v>242</v>
      </c>
      <c r="E555" s="35">
        <v>0.17899999999999999</v>
      </c>
      <c r="F555" s="35">
        <v>0.22800000000000001</v>
      </c>
      <c r="G555" s="35">
        <v>970</v>
      </c>
    </row>
    <row r="556" spans="1:7" x14ac:dyDescent="0.25">
      <c r="A556">
        <v>20221028</v>
      </c>
      <c r="B556" t="s">
        <v>770</v>
      </c>
      <c r="C556" t="s">
        <v>264</v>
      </c>
      <c r="D556" t="s">
        <v>250</v>
      </c>
      <c r="E556" s="35">
        <v>0.17899999999999999</v>
      </c>
      <c r="F556" s="35">
        <v>0.22800000000000001</v>
      </c>
      <c r="G556" s="35">
        <v>970</v>
      </c>
    </row>
    <row r="557" spans="1:7" x14ac:dyDescent="0.25">
      <c r="A557">
        <v>20221028</v>
      </c>
      <c r="B557" t="s">
        <v>770</v>
      </c>
      <c r="C557" t="s">
        <v>264</v>
      </c>
      <c r="D557" t="s">
        <v>258</v>
      </c>
      <c r="E557" s="35">
        <v>0.17899999999999999</v>
      </c>
      <c r="F557" s="35">
        <v>0.22800000000000001</v>
      </c>
      <c r="G557" s="35">
        <v>840</v>
      </c>
    </row>
    <row r="558" spans="1:7" x14ac:dyDescent="0.25">
      <c r="A558">
        <v>20221028</v>
      </c>
      <c r="B558" t="s">
        <v>770</v>
      </c>
      <c r="C558" t="s">
        <v>264</v>
      </c>
      <c r="D558" t="s">
        <v>265</v>
      </c>
      <c r="E558" s="35">
        <v>0.17899999999999999</v>
      </c>
      <c r="F558" s="35">
        <v>0.22800000000000001</v>
      </c>
      <c r="G558" s="35">
        <v>730</v>
      </c>
    </row>
    <row r="559" spans="1:7" x14ac:dyDescent="0.25">
      <c r="A559">
        <v>20221028</v>
      </c>
      <c r="B559" t="s">
        <v>770</v>
      </c>
      <c r="C559" t="s">
        <v>264</v>
      </c>
      <c r="D559" t="s">
        <v>273</v>
      </c>
      <c r="E559" s="35">
        <v>0.17899999999999999</v>
      </c>
      <c r="F559" s="35">
        <v>0.22800000000000001</v>
      </c>
      <c r="G559" s="35">
        <v>640</v>
      </c>
    </row>
    <row r="560" spans="1:7" x14ac:dyDescent="0.25">
      <c r="A560">
        <v>20221028</v>
      </c>
      <c r="B560" t="s">
        <v>770</v>
      </c>
      <c r="C560" t="s">
        <v>264</v>
      </c>
      <c r="D560" t="s">
        <v>279</v>
      </c>
      <c r="E560" s="35">
        <v>0.17899999999999999</v>
      </c>
      <c r="F560" s="35">
        <v>0.22800000000000001</v>
      </c>
      <c r="G560" s="35">
        <v>560</v>
      </c>
    </row>
    <row r="561" spans="1:7" x14ac:dyDescent="0.25">
      <c r="A561">
        <v>20221028</v>
      </c>
      <c r="B561" t="s">
        <v>770</v>
      </c>
      <c r="C561" t="s">
        <v>264</v>
      </c>
      <c r="D561" t="s">
        <v>285</v>
      </c>
      <c r="E561" s="35">
        <v>0.17899999999999999</v>
      </c>
      <c r="F561" s="35">
        <v>0.22800000000000001</v>
      </c>
      <c r="G561" s="35">
        <v>460</v>
      </c>
    </row>
    <row r="562" spans="1:7" x14ac:dyDescent="0.25">
      <c r="A562">
        <v>20221028</v>
      </c>
      <c r="B562" t="s">
        <v>770</v>
      </c>
      <c r="C562" t="s">
        <v>264</v>
      </c>
      <c r="D562" t="s">
        <v>289</v>
      </c>
      <c r="E562" s="35">
        <v>0.17899999999999999</v>
      </c>
      <c r="F562" s="35">
        <v>0.22800000000000001</v>
      </c>
      <c r="G562" s="35">
        <v>390</v>
      </c>
    </row>
    <row r="563" spans="1:7" x14ac:dyDescent="0.25">
      <c r="A563">
        <v>20221028</v>
      </c>
      <c r="B563" t="s">
        <v>770</v>
      </c>
      <c r="C563" t="s">
        <v>272</v>
      </c>
      <c r="D563" t="s">
        <v>187</v>
      </c>
      <c r="E563" s="35">
        <v>0.17899999999999999</v>
      </c>
      <c r="F563" s="35">
        <v>0.22800000000000001</v>
      </c>
      <c r="G563" s="35">
        <v>870</v>
      </c>
    </row>
    <row r="564" spans="1:7" x14ac:dyDescent="0.25">
      <c r="A564">
        <v>20221028</v>
      </c>
      <c r="B564" t="s">
        <v>770</v>
      </c>
      <c r="C564" t="s">
        <v>272</v>
      </c>
      <c r="D564" t="s">
        <v>214</v>
      </c>
      <c r="E564" s="35">
        <v>0.17899999999999999</v>
      </c>
      <c r="F564" s="35">
        <v>0.22800000000000001</v>
      </c>
      <c r="G564" s="35">
        <v>870</v>
      </c>
    </row>
    <row r="565" spans="1:7" x14ac:dyDescent="0.25">
      <c r="A565">
        <v>20221028</v>
      </c>
      <c r="B565" t="s">
        <v>770</v>
      </c>
      <c r="C565" t="s">
        <v>272</v>
      </c>
      <c r="D565" t="s">
        <v>233</v>
      </c>
      <c r="E565" s="35">
        <v>0.17899999999999999</v>
      </c>
      <c r="F565" s="35">
        <v>0.22800000000000001</v>
      </c>
      <c r="G565" s="35">
        <v>870</v>
      </c>
    </row>
    <row r="566" spans="1:7" x14ac:dyDescent="0.25">
      <c r="A566">
        <v>20221028</v>
      </c>
      <c r="B566" t="s">
        <v>770</v>
      </c>
      <c r="C566" t="s">
        <v>272</v>
      </c>
      <c r="D566" t="s">
        <v>242</v>
      </c>
      <c r="E566" s="35">
        <v>0.17899999999999999</v>
      </c>
      <c r="F566" s="35">
        <v>0.22800000000000001</v>
      </c>
      <c r="G566" s="35">
        <v>750</v>
      </c>
    </row>
    <row r="567" spans="1:7" x14ac:dyDescent="0.25">
      <c r="A567">
        <v>20221028</v>
      </c>
      <c r="B567" t="s">
        <v>770</v>
      </c>
      <c r="C567" t="s">
        <v>272</v>
      </c>
      <c r="D567" t="s">
        <v>250</v>
      </c>
      <c r="E567" s="35">
        <v>0.17899999999999999</v>
      </c>
      <c r="F567" s="35">
        <v>0.22800000000000001</v>
      </c>
      <c r="G567" s="35">
        <v>750</v>
      </c>
    </row>
    <row r="568" spans="1:7" x14ac:dyDescent="0.25">
      <c r="A568">
        <v>20221028</v>
      </c>
      <c r="B568" t="s">
        <v>770</v>
      </c>
      <c r="C568" t="s">
        <v>272</v>
      </c>
      <c r="D568" t="s">
        <v>258</v>
      </c>
      <c r="E568" s="35">
        <v>0.17899999999999999</v>
      </c>
      <c r="F568" s="35">
        <v>0.22800000000000001</v>
      </c>
      <c r="G568" s="35">
        <v>650</v>
      </c>
    </row>
    <row r="569" spans="1:7" x14ac:dyDescent="0.25">
      <c r="A569">
        <v>20221028</v>
      </c>
      <c r="B569" t="s">
        <v>770</v>
      </c>
      <c r="C569" t="s">
        <v>272</v>
      </c>
      <c r="D569" t="s">
        <v>265</v>
      </c>
      <c r="E569" s="35">
        <v>0.17899999999999999</v>
      </c>
      <c r="F569" s="35">
        <v>0.22800000000000001</v>
      </c>
      <c r="G569" s="35">
        <v>560</v>
      </c>
    </row>
    <row r="570" spans="1:7" x14ac:dyDescent="0.25">
      <c r="A570">
        <v>20221028</v>
      </c>
      <c r="B570" t="s">
        <v>770</v>
      </c>
      <c r="C570" t="s">
        <v>272</v>
      </c>
      <c r="D570" t="s">
        <v>273</v>
      </c>
      <c r="E570" s="35">
        <v>0.17899999999999999</v>
      </c>
      <c r="F570" s="35">
        <v>0.22800000000000001</v>
      </c>
      <c r="G570" s="35">
        <v>480</v>
      </c>
    </row>
    <row r="571" spans="1:7" x14ac:dyDescent="0.25">
      <c r="A571">
        <v>20221028</v>
      </c>
      <c r="B571" t="s">
        <v>770</v>
      </c>
      <c r="C571" t="s">
        <v>272</v>
      </c>
      <c r="D571" t="s">
        <v>279</v>
      </c>
      <c r="E571" s="35">
        <v>0.17899999999999999</v>
      </c>
      <c r="F571" s="35">
        <v>0.22800000000000001</v>
      </c>
      <c r="G571" s="35">
        <v>400</v>
      </c>
    </row>
    <row r="572" spans="1:7" x14ac:dyDescent="0.25">
      <c r="A572">
        <v>20221028</v>
      </c>
      <c r="B572" t="s">
        <v>770</v>
      </c>
      <c r="C572" t="s">
        <v>272</v>
      </c>
      <c r="D572" t="s">
        <v>285</v>
      </c>
      <c r="E572" s="35">
        <v>0.17899999999999999</v>
      </c>
      <c r="F572" s="35">
        <v>0.22800000000000001</v>
      </c>
      <c r="G572" s="35">
        <v>340</v>
      </c>
    </row>
    <row r="573" spans="1:7" x14ac:dyDescent="0.25">
      <c r="A573">
        <v>20221028</v>
      </c>
      <c r="B573" t="s">
        <v>770</v>
      </c>
      <c r="C573" t="s">
        <v>272</v>
      </c>
      <c r="D573" t="s">
        <v>289</v>
      </c>
      <c r="E573" s="35">
        <v>0.17899999999999999</v>
      </c>
      <c r="F573" s="35">
        <v>0.22800000000000001</v>
      </c>
      <c r="G573" s="35">
        <v>280</v>
      </c>
    </row>
    <row r="574" spans="1:7" x14ac:dyDescent="0.25">
      <c r="A574">
        <v>20221028</v>
      </c>
      <c r="B574" t="s">
        <v>770</v>
      </c>
      <c r="C574" t="s">
        <v>278</v>
      </c>
      <c r="D574" t="s">
        <v>187</v>
      </c>
      <c r="E574" s="35">
        <v>0.17899999999999999</v>
      </c>
      <c r="F574" s="35">
        <v>0.22800000000000001</v>
      </c>
      <c r="G574" s="35">
        <v>870</v>
      </c>
    </row>
    <row r="575" spans="1:7" x14ac:dyDescent="0.25">
      <c r="A575">
        <v>20221028</v>
      </c>
      <c r="B575" t="s">
        <v>770</v>
      </c>
      <c r="C575" t="s">
        <v>278</v>
      </c>
      <c r="D575" t="s">
        <v>214</v>
      </c>
      <c r="E575" s="35">
        <v>0.17899999999999999</v>
      </c>
      <c r="F575" s="35">
        <v>0.22800000000000001</v>
      </c>
      <c r="G575" s="35">
        <v>870</v>
      </c>
    </row>
    <row r="576" spans="1:7" x14ac:dyDescent="0.25">
      <c r="A576">
        <v>20221028</v>
      </c>
      <c r="B576" t="s">
        <v>770</v>
      </c>
      <c r="C576" t="s">
        <v>278</v>
      </c>
      <c r="D576" t="s">
        <v>233</v>
      </c>
      <c r="E576" s="35">
        <v>0.17899999999999999</v>
      </c>
      <c r="F576" s="35">
        <v>0.22800000000000001</v>
      </c>
      <c r="G576" s="35">
        <v>870</v>
      </c>
    </row>
    <row r="577" spans="1:7" x14ac:dyDescent="0.25">
      <c r="A577">
        <v>20221028</v>
      </c>
      <c r="B577" t="s">
        <v>770</v>
      </c>
      <c r="C577" t="s">
        <v>278</v>
      </c>
      <c r="D577" t="s">
        <v>242</v>
      </c>
      <c r="E577" s="35">
        <v>0.17899999999999999</v>
      </c>
      <c r="F577" s="35">
        <v>0.22800000000000001</v>
      </c>
      <c r="G577" s="35">
        <v>750</v>
      </c>
    </row>
    <row r="578" spans="1:7" x14ac:dyDescent="0.25">
      <c r="A578">
        <v>20221028</v>
      </c>
      <c r="B578" t="s">
        <v>770</v>
      </c>
      <c r="C578" t="s">
        <v>278</v>
      </c>
      <c r="D578" t="s">
        <v>250</v>
      </c>
      <c r="E578" s="35">
        <v>0.17899999999999999</v>
      </c>
      <c r="F578" s="35">
        <v>0.22800000000000001</v>
      </c>
      <c r="G578" s="35">
        <v>750</v>
      </c>
    </row>
    <row r="579" spans="1:7" x14ac:dyDescent="0.25">
      <c r="A579">
        <v>20221028</v>
      </c>
      <c r="B579" t="s">
        <v>770</v>
      </c>
      <c r="C579" t="s">
        <v>278</v>
      </c>
      <c r="D579" t="s">
        <v>258</v>
      </c>
      <c r="E579" s="35">
        <v>0.17899999999999999</v>
      </c>
      <c r="F579" s="35">
        <v>0.22800000000000001</v>
      </c>
      <c r="G579" s="35">
        <v>650</v>
      </c>
    </row>
    <row r="580" spans="1:7" x14ac:dyDescent="0.25">
      <c r="A580">
        <v>20221028</v>
      </c>
      <c r="B580" t="s">
        <v>770</v>
      </c>
      <c r="C580" t="s">
        <v>278</v>
      </c>
      <c r="D580" t="s">
        <v>265</v>
      </c>
      <c r="E580" s="35">
        <v>0.17899999999999999</v>
      </c>
      <c r="F580" s="35">
        <v>0.22800000000000001</v>
      </c>
      <c r="G580" s="35">
        <v>560</v>
      </c>
    </row>
    <row r="581" spans="1:7" x14ac:dyDescent="0.25">
      <c r="A581">
        <v>20221028</v>
      </c>
      <c r="B581" t="s">
        <v>770</v>
      </c>
      <c r="C581" t="s">
        <v>278</v>
      </c>
      <c r="D581" t="s">
        <v>273</v>
      </c>
      <c r="E581" s="35">
        <v>0.17899999999999999</v>
      </c>
      <c r="F581" s="35">
        <v>0.22800000000000001</v>
      </c>
      <c r="G581" s="35">
        <v>480</v>
      </c>
    </row>
    <row r="582" spans="1:7" x14ac:dyDescent="0.25">
      <c r="A582">
        <v>20221028</v>
      </c>
      <c r="B582" t="s">
        <v>770</v>
      </c>
      <c r="C582" t="s">
        <v>278</v>
      </c>
      <c r="D582" t="s">
        <v>279</v>
      </c>
      <c r="E582" s="35">
        <v>0.17899999999999999</v>
      </c>
      <c r="F582" s="35">
        <v>0.22800000000000001</v>
      </c>
      <c r="G582" s="35">
        <v>400</v>
      </c>
    </row>
    <row r="583" spans="1:7" x14ac:dyDescent="0.25">
      <c r="A583">
        <v>20221028</v>
      </c>
      <c r="B583" t="s">
        <v>770</v>
      </c>
      <c r="C583" t="s">
        <v>278</v>
      </c>
      <c r="D583" t="s">
        <v>285</v>
      </c>
      <c r="E583" s="35">
        <v>0.17899999999999999</v>
      </c>
      <c r="F583" s="35">
        <v>0.22800000000000001</v>
      </c>
      <c r="G583" s="35">
        <v>340</v>
      </c>
    </row>
    <row r="584" spans="1:7" x14ac:dyDescent="0.25">
      <c r="A584">
        <v>20221028</v>
      </c>
      <c r="B584" t="s">
        <v>770</v>
      </c>
      <c r="C584" t="s">
        <v>278</v>
      </c>
      <c r="D584" t="s">
        <v>289</v>
      </c>
      <c r="E584" s="35">
        <v>0.17899999999999999</v>
      </c>
      <c r="F584" s="35">
        <v>0.22800000000000001</v>
      </c>
      <c r="G584" s="35">
        <v>280</v>
      </c>
    </row>
    <row r="585" spans="1:7" x14ac:dyDescent="0.25">
      <c r="A585">
        <v>20221028</v>
      </c>
      <c r="B585" t="s">
        <v>770</v>
      </c>
      <c r="C585" t="s">
        <v>284</v>
      </c>
      <c r="D585" t="s">
        <v>187</v>
      </c>
      <c r="E585" s="35">
        <v>0.17899999999999999</v>
      </c>
      <c r="F585" s="35">
        <v>0.22800000000000001</v>
      </c>
      <c r="G585" s="35">
        <v>690</v>
      </c>
    </row>
    <row r="586" spans="1:7" x14ac:dyDescent="0.25">
      <c r="A586">
        <v>20221028</v>
      </c>
      <c r="B586" t="s">
        <v>770</v>
      </c>
      <c r="C586" t="s">
        <v>284</v>
      </c>
      <c r="D586" t="s">
        <v>214</v>
      </c>
      <c r="E586" s="35">
        <v>0.17899999999999999</v>
      </c>
      <c r="F586" s="35">
        <v>0.22800000000000001</v>
      </c>
      <c r="G586" s="35">
        <v>690</v>
      </c>
    </row>
    <row r="587" spans="1:7" x14ac:dyDescent="0.25">
      <c r="A587">
        <v>20221028</v>
      </c>
      <c r="B587" t="s">
        <v>770</v>
      </c>
      <c r="C587" t="s">
        <v>284</v>
      </c>
      <c r="D587" t="s">
        <v>233</v>
      </c>
      <c r="E587" s="35">
        <v>0.17899999999999999</v>
      </c>
      <c r="F587" s="35">
        <v>0.22800000000000001</v>
      </c>
      <c r="G587" s="35">
        <v>690</v>
      </c>
    </row>
    <row r="588" spans="1:7" x14ac:dyDescent="0.25">
      <c r="A588">
        <v>20221028</v>
      </c>
      <c r="B588" t="s">
        <v>770</v>
      </c>
      <c r="C588" t="s">
        <v>284</v>
      </c>
      <c r="D588" t="s">
        <v>242</v>
      </c>
      <c r="E588" s="35">
        <v>0.17899999999999999</v>
      </c>
      <c r="F588" s="35">
        <v>0.22800000000000001</v>
      </c>
      <c r="G588" s="35">
        <v>590</v>
      </c>
    </row>
    <row r="589" spans="1:7" x14ac:dyDescent="0.25">
      <c r="A589">
        <v>20221028</v>
      </c>
      <c r="B589" t="s">
        <v>770</v>
      </c>
      <c r="C589" t="s">
        <v>284</v>
      </c>
      <c r="D589" t="s">
        <v>250</v>
      </c>
      <c r="E589" s="35">
        <v>0.17899999999999999</v>
      </c>
      <c r="F589" s="35">
        <v>0.22800000000000001</v>
      </c>
      <c r="G589" s="35">
        <v>590</v>
      </c>
    </row>
    <row r="590" spans="1:7" x14ac:dyDescent="0.25">
      <c r="A590">
        <v>20221028</v>
      </c>
      <c r="B590" t="s">
        <v>770</v>
      </c>
      <c r="C590" t="s">
        <v>284</v>
      </c>
      <c r="D590" t="s">
        <v>258</v>
      </c>
      <c r="E590" s="35">
        <v>0.17899999999999999</v>
      </c>
      <c r="F590" s="35">
        <v>0.22800000000000001</v>
      </c>
      <c r="G590" s="35">
        <v>510</v>
      </c>
    </row>
    <row r="591" spans="1:7" x14ac:dyDescent="0.25">
      <c r="A591">
        <v>20221028</v>
      </c>
      <c r="B591" t="s">
        <v>770</v>
      </c>
      <c r="C591" t="s">
        <v>284</v>
      </c>
      <c r="D591" t="s">
        <v>265</v>
      </c>
      <c r="E591" s="35">
        <v>0.17899999999999999</v>
      </c>
      <c r="F591" s="35">
        <v>0.22800000000000001</v>
      </c>
      <c r="G591" s="35">
        <v>430</v>
      </c>
    </row>
    <row r="592" spans="1:7" x14ac:dyDescent="0.25">
      <c r="A592">
        <v>20221028</v>
      </c>
      <c r="B592" t="s">
        <v>770</v>
      </c>
      <c r="C592" t="s">
        <v>284</v>
      </c>
      <c r="D592" t="s">
        <v>273</v>
      </c>
      <c r="E592" s="35">
        <v>0.17899999999999999</v>
      </c>
      <c r="F592" s="35">
        <v>0.22800000000000001</v>
      </c>
      <c r="G592" s="35">
        <v>360</v>
      </c>
    </row>
    <row r="593" spans="1:7" x14ac:dyDescent="0.25">
      <c r="A593">
        <v>20221028</v>
      </c>
      <c r="B593" t="s">
        <v>770</v>
      </c>
      <c r="C593" t="s">
        <v>284</v>
      </c>
      <c r="D593" t="s">
        <v>279</v>
      </c>
      <c r="E593" s="35">
        <v>0.17899999999999999</v>
      </c>
      <c r="F593" s="35">
        <v>0.22800000000000001</v>
      </c>
      <c r="G593" s="35">
        <v>290</v>
      </c>
    </row>
    <row r="594" spans="1:7" x14ac:dyDescent="0.25">
      <c r="A594">
        <v>20221028</v>
      </c>
      <c r="B594" t="s">
        <v>770</v>
      </c>
      <c r="C594" t="s">
        <v>284</v>
      </c>
      <c r="D594" t="s">
        <v>285</v>
      </c>
      <c r="E594" s="35">
        <v>0.17899999999999999</v>
      </c>
      <c r="F594" s="35">
        <v>0.22800000000000001</v>
      </c>
      <c r="G594" s="35">
        <v>240</v>
      </c>
    </row>
    <row r="595" spans="1:7" x14ac:dyDescent="0.25">
      <c r="A595">
        <v>20221028</v>
      </c>
      <c r="B595" t="s">
        <v>770</v>
      </c>
      <c r="C595" t="s">
        <v>284</v>
      </c>
      <c r="D595" t="s">
        <v>289</v>
      </c>
      <c r="E595" s="35">
        <v>0.17899999999999999</v>
      </c>
      <c r="F595" s="35">
        <v>0.22800000000000001</v>
      </c>
      <c r="G595" s="35">
        <v>200</v>
      </c>
    </row>
    <row r="596" spans="1:7" x14ac:dyDescent="0.25">
      <c r="A596">
        <v>20221028</v>
      </c>
      <c r="B596" t="s">
        <v>770</v>
      </c>
      <c r="C596" t="s">
        <v>748</v>
      </c>
      <c r="D596" t="s">
        <v>187</v>
      </c>
      <c r="E596" s="35">
        <v>0.17899999999999999</v>
      </c>
      <c r="F596" s="35">
        <v>0.22800000000000001</v>
      </c>
      <c r="G596" s="35">
        <v>690</v>
      </c>
    </row>
    <row r="597" spans="1:7" x14ac:dyDescent="0.25">
      <c r="A597">
        <v>20221028</v>
      </c>
      <c r="B597" t="s">
        <v>770</v>
      </c>
      <c r="C597" t="s">
        <v>748</v>
      </c>
      <c r="D597" t="s">
        <v>214</v>
      </c>
      <c r="E597" s="35">
        <v>0.17899999999999999</v>
      </c>
      <c r="F597" s="35">
        <v>0.22800000000000001</v>
      </c>
      <c r="G597" s="35">
        <v>690</v>
      </c>
    </row>
    <row r="598" spans="1:7" x14ac:dyDescent="0.25">
      <c r="A598">
        <v>20221028</v>
      </c>
      <c r="B598" t="s">
        <v>770</v>
      </c>
      <c r="C598" t="s">
        <v>748</v>
      </c>
      <c r="D598" t="s">
        <v>233</v>
      </c>
      <c r="E598" s="35">
        <v>0.17899999999999999</v>
      </c>
      <c r="F598" s="35">
        <v>0.22800000000000001</v>
      </c>
      <c r="G598" s="35">
        <v>690</v>
      </c>
    </row>
    <row r="599" spans="1:7" x14ac:dyDescent="0.25">
      <c r="A599">
        <v>20221028</v>
      </c>
      <c r="B599" t="s">
        <v>770</v>
      </c>
      <c r="C599" t="s">
        <v>748</v>
      </c>
      <c r="D599" t="s">
        <v>242</v>
      </c>
      <c r="E599" s="35">
        <v>0.17899999999999999</v>
      </c>
      <c r="F599" s="35">
        <v>0.22800000000000001</v>
      </c>
      <c r="G599" s="35">
        <v>590</v>
      </c>
    </row>
    <row r="600" spans="1:7" x14ac:dyDescent="0.25">
      <c r="A600">
        <v>20221028</v>
      </c>
      <c r="B600" t="s">
        <v>770</v>
      </c>
      <c r="C600" t="s">
        <v>748</v>
      </c>
      <c r="D600" t="s">
        <v>250</v>
      </c>
      <c r="E600" s="35">
        <v>0.17899999999999999</v>
      </c>
      <c r="F600" s="35">
        <v>0.22800000000000001</v>
      </c>
      <c r="G600" s="35">
        <v>590</v>
      </c>
    </row>
    <row r="601" spans="1:7" x14ac:dyDescent="0.25">
      <c r="A601">
        <v>20221028</v>
      </c>
      <c r="B601" t="s">
        <v>770</v>
      </c>
      <c r="C601" t="s">
        <v>748</v>
      </c>
      <c r="D601" t="s">
        <v>258</v>
      </c>
      <c r="E601" s="35">
        <v>0.17899999999999999</v>
      </c>
      <c r="F601" s="35">
        <v>0.22800000000000001</v>
      </c>
      <c r="G601" s="35">
        <v>510</v>
      </c>
    </row>
    <row r="602" spans="1:7" x14ac:dyDescent="0.25">
      <c r="A602">
        <v>20221028</v>
      </c>
      <c r="B602" t="s">
        <v>770</v>
      </c>
      <c r="C602" t="s">
        <v>748</v>
      </c>
      <c r="D602" t="s">
        <v>265</v>
      </c>
      <c r="E602" s="35">
        <v>0.17899999999999999</v>
      </c>
      <c r="F602" s="35">
        <v>0.22800000000000001</v>
      </c>
      <c r="G602" s="35">
        <v>430</v>
      </c>
    </row>
    <row r="603" spans="1:7" x14ac:dyDescent="0.25">
      <c r="A603">
        <v>20221028</v>
      </c>
      <c r="B603" t="s">
        <v>770</v>
      </c>
      <c r="C603" t="s">
        <v>748</v>
      </c>
      <c r="D603" t="s">
        <v>273</v>
      </c>
      <c r="E603" s="35">
        <v>0.17899999999999999</v>
      </c>
      <c r="F603" s="35">
        <v>0.22800000000000001</v>
      </c>
      <c r="G603" s="35">
        <v>360</v>
      </c>
    </row>
    <row r="604" spans="1:7" x14ac:dyDescent="0.25">
      <c r="A604">
        <v>20221028</v>
      </c>
      <c r="B604" t="s">
        <v>770</v>
      </c>
      <c r="C604" t="s">
        <v>748</v>
      </c>
      <c r="D604" t="s">
        <v>279</v>
      </c>
      <c r="E604" s="35">
        <v>0.17899999999999999</v>
      </c>
      <c r="F604" s="35">
        <v>0.22800000000000001</v>
      </c>
      <c r="G604" s="35">
        <v>290</v>
      </c>
    </row>
    <row r="605" spans="1:7" x14ac:dyDescent="0.25">
      <c r="A605">
        <v>20221028</v>
      </c>
      <c r="B605" t="s">
        <v>770</v>
      </c>
      <c r="C605" t="s">
        <v>748</v>
      </c>
      <c r="D605" t="s">
        <v>285</v>
      </c>
      <c r="E605" s="35">
        <v>0.17899999999999999</v>
      </c>
      <c r="F605" s="35">
        <v>0.22800000000000001</v>
      </c>
      <c r="G605" s="35">
        <v>240</v>
      </c>
    </row>
    <row r="606" spans="1:7" x14ac:dyDescent="0.25">
      <c r="A606">
        <v>20221028</v>
      </c>
      <c r="B606" t="s">
        <v>770</v>
      </c>
      <c r="C606" t="s">
        <v>748</v>
      </c>
      <c r="D606" t="s">
        <v>289</v>
      </c>
      <c r="E606" s="35">
        <v>0.17899999999999999</v>
      </c>
      <c r="F606" s="35">
        <v>0.22800000000000001</v>
      </c>
      <c r="G606" s="35">
        <v>200</v>
      </c>
    </row>
    <row r="607" spans="1:7" x14ac:dyDescent="0.25">
      <c r="A607">
        <v>20221028</v>
      </c>
      <c r="B607" t="s">
        <v>770</v>
      </c>
      <c r="C607" t="s">
        <v>186</v>
      </c>
      <c r="D607" t="s">
        <v>187</v>
      </c>
      <c r="E607" s="35">
        <v>0.22900000000000001</v>
      </c>
      <c r="F607" s="35">
        <v>0.29799999999999999</v>
      </c>
      <c r="G607" s="35">
        <v>1830</v>
      </c>
    </row>
    <row r="608" spans="1:7" x14ac:dyDescent="0.25">
      <c r="A608">
        <v>20221028</v>
      </c>
      <c r="B608" t="s">
        <v>770</v>
      </c>
      <c r="C608" t="s">
        <v>186</v>
      </c>
      <c r="D608" t="s">
        <v>214</v>
      </c>
      <c r="E608" s="35">
        <v>0.22900000000000001</v>
      </c>
      <c r="F608" s="35">
        <v>0.29799999999999999</v>
      </c>
      <c r="G608" s="35">
        <v>1830</v>
      </c>
    </row>
    <row r="609" spans="1:7" x14ac:dyDescent="0.25">
      <c r="A609">
        <v>20221028</v>
      </c>
      <c r="B609" t="s">
        <v>770</v>
      </c>
      <c r="C609" t="s">
        <v>186</v>
      </c>
      <c r="D609" t="s">
        <v>233</v>
      </c>
      <c r="E609" s="35">
        <v>0.22900000000000001</v>
      </c>
      <c r="F609" s="35">
        <v>0.29799999999999999</v>
      </c>
      <c r="G609" s="35">
        <v>1830</v>
      </c>
    </row>
    <row r="610" spans="1:7" x14ac:dyDescent="0.25">
      <c r="A610">
        <v>20221028</v>
      </c>
      <c r="B610" t="s">
        <v>770</v>
      </c>
      <c r="C610" t="s">
        <v>186</v>
      </c>
      <c r="D610" t="s">
        <v>242</v>
      </c>
      <c r="E610" s="35">
        <v>0.22900000000000001</v>
      </c>
      <c r="F610" s="35">
        <v>0.29799999999999999</v>
      </c>
      <c r="G610" s="35">
        <v>1550</v>
      </c>
    </row>
    <row r="611" spans="1:7" x14ac:dyDescent="0.25">
      <c r="A611">
        <v>20221028</v>
      </c>
      <c r="B611" t="s">
        <v>770</v>
      </c>
      <c r="C611" t="s">
        <v>186</v>
      </c>
      <c r="D611" t="s">
        <v>250</v>
      </c>
      <c r="E611" s="35">
        <v>0.22900000000000001</v>
      </c>
      <c r="F611" s="35">
        <v>0.29799999999999999</v>
      </c>
      <c r="G611" s="35">
        <v>1550</v>
      </c>
    </row>
    <row r="612" spans="1:7" x14ac:dyDescent="0.25">
      <c r="A612">
        <v>20221028</v>
      </c>
      <c r="B612" t="s">
        <v>770</v>
      </c>
      <c r="C612" t="s">
        <v>186</v>
      </c>
      <c r="D612" t="s">
        <v>258</v>
      </c>
      <c r="E612" s="35">
        <v>0.22900000000000001</v>
      </c>
      <c r="F612" s="35">
        <v>0.29799999999999999</v>
      </c>
      <c r="G612" s="35">
        <v>1250</v>
      </c>
    </row>
    <row r="613" spans="1:7" x14ac:dyDescent="0.25">
      <c r="A613">
        <v>20221028</v>
      </c>
      <c r="B613" t="s">
        <v>770</v>
      </c>
      <c r="C613" t="s">
        <v>186</v>
      </c>
      <c r="D613" t="s">
        <v>265</v>
      </c>
      <c r="E613" s="35">
        <v>0.22900000000000001</v>
      </c>
      <c r="F613" s="35">
        <v>0.29799999999999999</v>
      </c>
      <c r="G613" s="35">
        <v>1050</v>
      </c>
    </row>
    <row r="614" spans="1:7" x14ac:dyDescent="0.25">
      <c r="A614">
        <v>20221028</v>
      </c>
      <c r="B614" t="s">
        <v>770</v>
      </c>
      <c r="C614" t="s">
        <v>186</v>
      </c>
      <c r="D614" t="s">
        <v>273</v>
      </c>
      <c r="E614" s="35">
        <v>0.22900000000000001</v>
      </c>
      <c r="F614" s="35">
        <v>0.29799999999999999</v>
      </c>
      <c r="G614" s="35">
        <v>900</v>
      </c>
    </row>
    <row r="615" spans="1:7" x14ac:dyDescent="0.25">
      <c r="A615">
        <v>20221028</v>
      </c>
      <c r="B615" t="s">
        <v>770</v>
      </c>
      <c r="C615" t="s">
        <v>186</v>
      </c>
      <c r="D615" t="s">
        <v>279</v>
      </c>
      <c r="E615" s="35">
        <v>0.22900000000000001</v>
      </c>
      <c r="F615" s="35">
        <v>0.29799999999999999</v>
      </c>
      <c r="G615" s="35">
        <v>760</v>
      </c>
    </row>
    <row r="616" spans="1:7" x14ac:dyDescent="0.25">
      <c r="A616">
        <v>20221028</v>
      </c>
      <c r="B616" t="s">
        <v>770</v>
      </c>
      <c r="C616" t="s">
        <v>186</v>
      </c>
      <c r="D616" t="s">
        <v>285</v>
      </c>
      <c r="E616" s="35">
        <v>0.22900000000000001</v>
      </c>
      <c r="F616" s="35">
        <v>0.29799999999999999</v>
      </c>
      <c r="G616" s="35">
        <v>600</v>
      </c>
    </row>
    <row r="617" spans="1:7" x14ac:dyDescent="0.25">
      <c r="A617">
        <v>20221028</v>
      </c>
      <c r="B617" t="s">
        <v>770</v>
      </c>
      <c r="C617" t="s">
        <v>186</v>
      </c>
      <c r="D617" t="s">
        <v>289</v>
      </c>
      <c r="E617" s="35">
        <v>0.22900000000000001</v>
      </c>
      <c r="F617" s="35">
        <v>0.29799999999999999</v>
      </c>
      <c r="G617" s="35">
        <v>510</v>
      </c>
    </row>
    <row r="618" spans="1:7" x14ac:dyDescent="0.25">
      <c r="A618">
        <v>20221028</v>
      </c>
      <c r="B618" t="s">
        <v>770</v>
      </c>
      <c r="C618" t="s">
        <v>213</v>
      </c>
      <c r="D618" t="s">
        <v>187</v>
      </c>
      <c r="E618" s="35">
        <v>0.22900000000000001</v>
      </c>
      <c r="F618" s="35">
        <v>0.29799999999999999</v>
      </c>
      <c r="G618" s="35">
        <v>1830</v>
      </c>
    </row>
    <row r="619" spans="1:7" x14ac:dyDescent="0.25">
      <c r="A619">
        <v>20221028</v>
      </c>
      <c r="B619" t="s">
        <v>770</v>
      </c>
      <c r="C619" t="s">
        <v>213</v>
      </c>
      <c r="D619" t="s">
        <v>214</v>
      </c>
      <c r="E619" s="35">
        <v>0.22900000000000001</v>
      </c>
      <c r="F619" s="35">
        <v>0.29799999999999999</v>
      </c>
      <c r="G619" s="35">
        <v>1830</v>
      </c>
    </row>
    <row r="620" spans="1:7" x14ac:dyDescent="0.25">
      <c r="A620">
        <v>20221028</v>
      </c>
      <c r="B620" t="s">
        <v>770</v>
      </c>
      <c r="C620" t="s">
        <v>213</v>
      </c>
      <c r="D620" t="s">
        <v>233</v>
      </c>
      <c r="E620" s="35">
        <v>0.22900000000000001</v>
      </c>
      <c r="F620" s="35">
        <v>0.29799999999999999</v>
      </c>
      <c r="G620" s="35">
        <v>1830</v>
      </c>
    </row>
    <row r="621" spans="1:7" x14ac:dyDescent="0.25">
      <c r="A621">
        <v>20221028</v>
      </c>
      <c r="B621" t="s">
        <v>770</v>
      </c>
      <c r="C621" t="s">
        <v>213</v>
      </c>
      <c r="D621" t="s">
        <v>242</v>
      </c>
      <c r="E621" s="35">
        <v>0.22900000000000001</v>
      </c>
      <c r="F621" s="35">
        <v>0.29799999999999999</v>
      </c>
      <c r="G621" s="35">
        <v>1550</v>
      </c>
    </row>
    <row r="622" spans="1:7" x14ac:dyDescent="0.25">
      <c r="A622">
        <v>20221028</v>
      </c>
      <c r="B622" t="s">
        <v>770</v>
      </c>
      <c r="C622" t="s">
        <v>213</v>
      </c>
      <c r="D622" t="s">
        <v>250</v>
      </c>
      <c r="E622" s="35">
        <v>0.22900000000000001</v>
      </c>
      <c r="F622" s="35">
        <v>0.29799999999999999</v>
      </c>
      <c r="G622" s="35">
        <v>1550</v>
      </c>
    </row>
    <row r="623" spans="1:7" x14ac:dyDescent="0.25">
      <c r="A623">
        <v>20221028</v>
      </c>
      <c r="B623" t="s">
        <v>770</v>
      </c>
      <c r="C623" t="s">
        <v>213</v>
      </c>
      <c r="D623" t="s">
        <v>258</v>
      </c>
      <c r="E623" s="35">
        <v>0.22900000000000001</v>
      </c>
      <c r="F623" s="35">
        <v>0.29799999999999999</v>
      </c>
      <c r="G623" s="35">
        <v>1250</v>
      </c>
    </row>
    <row r="624" spans="1:7" x14ac:dyDescent="0.25">
      <c r="A624">
        <v>20221028</v>
      </c>
      <c r="B624" t="s">
        <v>770</v>
      </c>
      <c r="C624" t="s">
        <v>213</v>
      </c>
      <c r="D624" t="s">
        <v>265</v>
      </c>
      <c r="E624" s="35">
        <v>0.22900000000000001</v>
      </c>
      <c r="F624" s="35">
        <v>0.29799999999999999</v>
      </c>
      <c r="G624" s="35">
        <v>1050</v>
      </c>
    </row>
    <row r="625" spans="1:7" x14ac:dyDescent="0.25">
      <c r="A625">
        <v>20221028</v>
      </c>
      <c r="B625" t="s">
        <v>770</v>
      </c>
      <c r="C625" t="s">
        <v>213</v>
      </c>
      <c r="D625" t="s">
        <v>273</v>
      </c>
      <c r="E625" s="35">
        <v>0.22900000000000001</v>
      </c>
      <c r="F625" s="35">
        <v>0.29799999999999999</v>
      </c>
      <c r="G625" s="35">
        <v>900</v>
      </c>
    </row>
    <row r="626" spans="1:7" x14ac:dyDescent="0.25">
      <c r="A626">
        <v>20221028</v>
      </c>
      <c r="B626" t="s">
        <v>770</v>
      </c>
      <c r="C626" t="s">
        <v>213</v>
      </c>
      <c r="D626" t="s">
        <v>279</v>
      </c>
      <c r="E626" s="35">
        <v>0.22900000000000001</v>
      </c>
      <c r="F626" s="35">
        <v>0.29799999999999999</v>
      </c>
      <c r="G626" s="35">
        <v>760</v>
      </c>
    </row>
    <row r="627" spans="1:7" x14ac:dyDescent="0.25">
      <c r="A627">
        <v>20221028</v>
      </c>
      <c r="B627" t="s">
        <v>770</v>
      </c>
      <c r="C627" t="s">
        <v>213</v>
      </c>
      <c r="D627" t="s">
        <v>285</v>
      </c>
      <c r="E627" s="35">
        <v>0.22900000000000001</v>
      </c>
      <c r="F627" s="35">
        <v>0.29799999999999999</v>
      </c>
      <c r="G627" s="35">
        <v>600</v>
      </c>
    </row>
    <row r="628" spans="1:7" x14ac:dyDescent="0.25">
      <c r="A628">
        <v>20221028</v>
      </c>
      <c r="B628" t="s">
        <v>770</v>
      </c>
      <c r="C628" t="s">
        <v>213</v>
      </c>
      <c r="D628" t="s">
        <v>289</v>
      </c>
      <c r="E628" s="35">
        <v>0.22900000000000001</v>
      </c>
      <c r="F628" s="35">
        <v>0.29799999999999999</v>
      </c>
      <c r="G628" s="35">
        <v>510</v>
      </c>
    </row>
    <row r="629" spans="1:7" x14ac:dyDescent="0.25">
      <c r="A629">
        <v>20221028</v>
      </c>
      <c r="B629" t="s">
        <v>770</v>
      </c>
      <c r="C629" t="s">
        <v>232</v>
      </c>
      <c r="D629" t="s">
        <v>187</v>
      </c>
      <c r="E629" s="35">
        <v>0.22900000000000001</v>
      </c>
      <c r="F629" s="35">
        <v>0.29799999999999999</v>
      </c>
      <c r="G629" s="35">
        <v>1830</v>
      </c>
    </row>
    <row r="630" spans="1:7" x14ac:dyDescent="0.25">
      <c r="A630">
        <v>20221028</v>
      </c>
      <c r="B630" t="s">
        <v>770</v>
      </c>
      <c r="C630" t="s">
        <v>232</v>
      </c>
      <c r="D630" t="s">
        <v>214</v>
      </c>
      <c r="E630" s="35">
        <v>0.22900000000000001</v>
      </c>
      <c r="F630" s="35">
        <v>0.29799999999999999</v>
      </c>
      <c r="G630" s="35">
        <v>1830</v>
      </c>
    </row>
    <row r="631" spans="1:7" x14ac:dyDescent="0.25">
      <c r="A631">
        <v>20221028</v>
      </c>
      <c r="B631" t="s">
        <v>770</v>
      </c>
      <c r="C631" t="s">
        <v>232</v>
      </c>
      <c r="D631" t="s">
        <v>233</v>
      </c>
      <c r="E631" s="35">
        <v>0.22900000000000001</v>
      </c>
      <c r="F631" s="35">
        <v>0.29799999999999999</v>
      </c>
      <c r="G631" s="35">
        <v>1830</v>
      </c>
    </row>
    <row r="632" spans="1:7" x14ac:dyDescent="0.25">
      <c r="A632">
        <v>20221028</v>
      </c>
      <c r="B632" t="s">
        <v>770</v>
      </c>
      <c r="C632" t="s">
        <v>232</v>
      </c>
      <c r="D632" t="s">
        <v>242</v>
      </c>
      <c r="E632" s="35">
        <v>0.22900000000000001</v>
      </c>
      <c r="F632" s="35">
        <v>0.29799999999999999</v>
      </c>
      <c r="G632" s="35">
        <v>1550</v>
      </c>
    </row>
    <row r="633" spans="1:7" x14ac:dyDescent="0.25">
      <c r="A633">
        <v>20221028</v>
      </c>
      <c r="B633" t="s">
        <v>770</v>
      </c>
      <c r="C633" t="s">
        <v>232</v>
      </c>
      <c r="D633" t="s">
        <v>250</v>
      </c>
      <c r="E633" s="35">
        <v>0.22900000000000001</v>
      </c>
      <c r="F633" s="35">
        <v>0.29799999999999999</v>
      </c>
      <c r="G633" s="35">
        <v>1550</v>
      </c>
    </row>
    <row r="634" spans="1:7" x14ac:dyDescent="0.25">
      <c r="A634">
        <v>20221028</v>
      </c>
      <c r="B634" t="s">
        <v>770</v>
      </c>
      <c r="C634" t="s">
        <v>232</v>
      </c>
      <c r="D634" t="s">
        <v>258</v>
      </c>
      <c r="E634" s="35">
        <v>0.22900000000000001</v>
      </c>
      <c r="F634" s="35">
        <v>0.29799999999999999</v>
      </c>
      <c r="G634" s="35">
        <v>1250</v>
      </c>
    </row>
    <row r="635" spans="1:7" x14ac:dyDescent="0.25">
      <c r="A635">
        <v>20221028</v>
      </c>
      <c r="B635" t="s">
        <v>770</v>
      </c>
      <c r="C635" t="s">
        <v>232</v>
      </c>
      <c r="D635" t="s">
        <v>265</v>
      </c>
      <c r="E635" s="35">
        <v>0.22900000000000001</v>
      </c>
      <c r="F635" s="35">
        <v>0.29799999999999999</v>
      </c>
      <c r="G635" s="35">
        <v>1050</v>
      </c>
    </row>
    <row r="636" spans="1:7" x14ac:dyDescent="0.25">
      <c r="A636">
        <v>20221028</v>
      </c>
      <c r="B636" t="s">
        <v>770</v>
      </c>
      <c r="C636" t="s">
        <v>232</v>
      </c>
      <c r="D636" t="s">
        <v>273</v>
      </c>
      <c r="E636" s="35">
        <v>0.22900000000000001</v>
      </c>
      <c r="F636" s="35">
        <v>0.29799999999999999</v>
      </c>
      <c r="G636" s="35">
        <v>900</v>
      </c>
    </row>
    <row r="637" spans="1:7" x14ac:dyDescent="0.25">
      <c r="A637">
        <v>20221028</v>
      </c>
      <c r="B637" t="s">
        <v>770</v>
      </c>
      <c r="C637" t="s">
        <v>232</v>
      </c>
      <c r="D637" t="s">
        <v>279</v>
      </c>
      <c r="E637" s="35">
        <v>0.22900000000000001</v>
      </c>
      <c r="F637" s="35">
        <v>0.29799999999999999</v>
      </c>
      <c r="G637" s="35">
        <v>760</v>
      </c>
    </row>
    <row r="638" spans="1:7" x14ac:dyDescent="0.25">
      <c r="A638">
        <v>20221028</v>
      </c>
      <c r="B638" t="s">
        <v>770</v>
      </c>
      <c r="C638" t="s">
        <v>232</v>
      </c>
      <c r="D638" t="s">
        <v>285</v>
      </c>
      <c r="E638" s="35">
        <v>0.22900000000000001</v>
      </c>
      <c r="F638" s="35">
        <v>0.29799999999999999</v>
      </c>
      <c r="G638" s="35">
        <v>600</v>
      </c>
    </row>
    <row r="639" spans="1:7" x14ac:dyDescent="0.25">
      <c r="A639">
        <v>20221028</v>
      </c>
      <c r="B639" t="s">
        <v>770</v>
      </c>
      <c r="C639" t="s">
        <v>232</v>
      </c>
      <c r="D639" t="s">
        <v>289</v>
      </c>
      <c r="E639" s="35">
        <v>0.22900000000000001</v>
      </c>
      <c r="F639" s="35">
        <v>0.29799999999999999</v>
      </c>
      <c r="G639" s="35">
        <v>510</v>
      </c>
    </row>
    <row r="640" spans="1:7" x14ac:dyDescent="0.25">
      <c r="A640">
        <v>20221028</v>
      </c>
      <c r="B640" t="s">
        <v>770</v>
      </c>
      <c r="C640" t="s">
        <v>215</v>
      </c>
      <c r="D640" t="s">
        <v>187</v>
      </c>
      <c r="E640" s="35">
        <v>0.22900000000000001</v>
      </c>
      <c r="F640" s="35">
        <v>0.29799999999999999</v>
      </c>
      <c r="G640" s="35">
        <v>1610</v>
      </c>
    </row>
    <row r="641" spans="1:7" x14ac:dyDescent="0.25">
      <c r="A641">
        <v>20221028</v>
      </c>
      <c r="B641" t="s">
        <v>770</v>
      </c>
      <c r="C641" t="s">
        <v>215</v>
      </c>
      <c r="D641" t="s">
        <v>214</v>
      </c>
      <c r="E641" s="35">
        <v>0.22900000000000001</v>
      </c>
      <c r="F641" s="35">
        <v>0.29799999999999999</v>
      </c>
      <c r="G641" s="35">
        <v>1610</v>
      </c>
    </row>
    <row r="642" spans="1:7" x14ac:dyDescent="0.25">
      <c r="A642">
        <v>20221028</v>
      </c>
      <c r="B642" t="s">
        <v>770</v>
      </c>
      <c r="C642" t="s">
        <v>215</v>
      </c>
      <c r="D642" t="s">
        <v>233</v>
      </c>
      <c r="E642" s="35">
        <v>0.22900000000000001</v>
      </c>
      <c r="F642" s="35">
        <v>0.29799999999999999</v>
      </c>
      <c r="G642" s="35">
        <v>1610</v>
      </c>
    </row>
    <row r="643" spans="1:7" x14ac:dyDescent="0.25">
      <c r="A643">
        <v>20221028</v>
      </c>
      <c r="B643" t="s">
        <v>770</v>
      </c>
      <c r="C643" t="s">
        <v>215</v>
      </c>
      <c r="D643" t="s">
        <v>242</v>
      </c>
      <c r="E643" s="35">
        <v>0.22900000000000001</v>
      </c>
      <c r="F643" s="35">
        <v>0.29799999999999999</v>
      </c>
      <c r="G643" s="35">
        <v>1350</v>
      </c>
    </row>
    <row r="644" spans="1:7" x14ac:dyDescent="0.25">
      <c r="A644">
        <v>20221028</v>
      </c>
      <c r="B644" t="s">
        <v>770</v>
      </c>
      <c r="C644" t="s">
        <v>215</v>
      </c>
      <c r="D644" t="s">
        <v>250</v>
      </c>
      <c r="E644" s="35">
        <v>0.22900000000000001</v>
      </c>
      <c r="F644" s="35">
        <v>0.29799999999999999</v>
      </c>
      <c r="G644" s="35">
        <v>1350</v>
      </c>
    </row>
    <row r="645" spans="1:7" x14ac:dyDescent="0.25">
      <c r="A645">
        <v>20221028</v>
      </c>
      <c r="B645" t="s">
        <v>770</v>
      </c>
      <c r="C645" t="s">
        <v>215</v>
      </c>
      <c r="D645" t="s">
        <v>258</v>
      </c>
      <c r="E645" s="35">
        <v>0.22900000000000001</v>
      </c>
      <c r="F645" s="35">
        <v>0.29799999999999999</v>
      </c>
      <c r="G645" s="35">
        <v>1110</v>
      </c>
    </row>
    <row r="646" spans="1:7" x14ac:dyDescent="0.25">
      <c r="A646">
        <v>20221028</v>
      </c>
      <c r="B646" t="s">
        <v>770</v>
      </c>
      <c r="C646" t="s">
        <v>215</v>
      </c>
      <c r="D646" t="s">
        <v>265</v>
      </c>
      <c r="E646" s="35">
        <v>0.22900000000000001</v>
      </c>
      <c r="F646" s="35">
        <v>0.29799999999999999</v>
      </c>
      <c r="G646" s="35">
        <v>930</v>
      </c>
    </row>
    <row r="647" spans="1:7" x14ac:dyDescent="0.25">
      <c r="A647">
        <v>20221028</v>
      </c>
      <c r="B647" t="s">
        <v>770</v>
      </c>
      <c r="C647" t="s">
        <v>215</v>
      </c>
      <c r="D647" t="s">
        <v>273</v>
      </c>
      <c r="E647" s="35">
        <v>0.22900000000000001</v>
      </c>
      <c r="F647" s="35">
        <v>0.29799999999999999</v>
      </c>
      <c r="G647" s="35">
        <v>800</v>
      </c>
    </row>
    <row r="648" spans="1:7" x14ac:dyDescent="0.25">
      <c r="A648">
        <v>20221028</v>
      </c>
      <c r="B648" t="s">
        <v>770</v>
      </c>
      <c r="C648" t="s">
        <v>215</v>
      </c>
      <c r="D648" t="s">
        <v>279</v>
      </c>
      <c r="E648" s="35">
        <v>0.22900000000000001</v>
      </c>
      <c r="F648" s="35">
        <v>0.29799999999999999</v>
      </c>
      <c r="G648" s="35">
        <v>690</v>
      </c>
    </row>
    <row r="649" spans="1:7" x14ac:dyDescent="0.25">
      <c r="A649">
        <v>20221028</v>
      </c>
      <c r="B649" t="s">
        <v>770</v>
      </c>
      <c r="C649" t="s">
        <v>215</v>
      </c>
      <c r="D649" t="s">
        <v>285</v>
      </c>
      <c r="E649" s="35">
        <v>0.22900000000000001</v>
      </c>
      <c r="F649" s="35">
        <v>0.29799999999999999</v>
      </c>
      <c r="G649" s="35">
        <v>550</v>
      </c>
    </row>
    <row r="650" spans="1:7" x14ac:dyDescent="0.25">
      <c r="A650">
        <v>20221028</v>
      </c>
      <c r="B650" t="s">
        <v>770</v>
      </c>
      <c r="C650" t="s">
        <v>215</v>
      </c>
      <c r="D650" t="s">
        <v>289</v>
      </c>
      <c r="E650" s="35">
        <v>0.22900000000000001</v>
      </c>
      <c r="F650" s="35">
        <v>0.29799999999999999</v>
      </c>
      <c r="G650" s="35">
        <v>460</v>
      </c>
    </row>
    <row r="651" spans="1:7" x14ac:dyDescent="0.25">
      <c r="A651">
        <v>20221028</v>
      </c>
      <c r="B651" t="s">
        <v>770</v>
      </c>
      <c r="C651" t="s">
        <v>249</v>
      </c>
      <c r="D651" t="s">
        <v>187</v>
      </c>
      <c r="E651" s="35">
        <v>0.22900000000000001</v>
      </c>
      <c r="F651" s="35">
        <v>0.29799999999999999</v>
      </c>
      <c r="G651" s="35">
        <v>1610</v>
      </c>
    </row>
    <row r="652" spans="1:7" x14ac:dyDescent="0.25">
      <c r="A652">
        <v>20221028</v>
      </c>
      <c r="B652" t="s">
        <v>770</v>
      </c>
      <c r="C652" t="s">
        <v>249</v>
      </c>
      <c r="D652" t="s">
        <v>214</v>
      </c>
      <c r="E652" s="35">
        <v>0.22900000000000001</v>
      </c>
      <c r="F652" s="35">
        <v>0.29799999999999999</v>
      </c>
      <c r="G652" s="35">
        <v>1610</v>
      </c>
    </row>
    <row r="653" spans="1:7" x14ac:dyDescent="0.25">
      <c r="A653">
        <v>20221028</v>
      </c>
      <c r="B653" t="s">
        <v>770</v>
      </c>
      <c r="C653" t="s">
        <v>249</v>
      </c>
      <c r="D653" t="s">
        <v>233</v>
      </c>
      <c r="E653" s="35">
        <v>0.22900000000000001</v>
      </c>
      <c r="F653" s="35">
        <v>0.29799999999999999</v>
      </c>
      <c r="G653" s="35">
        <v>1610</v>
      </c>
    </row>
    <row r="654" spans="1:7" x14ac:dyDescent="0.25">
      <c r="A654">
        <v>20221028</v>
      </c>
      <c r="B654" t="s">
        <v>770</v>
      </c>
      <c r="C654" t="s">
        <v>249</v>
      </c>
      <c r="D654" t="s">
        <v>242</v>
      </c>
      <c r="E654" s="35">
        <v>0.22900000000000001</v>
      </c>
      <c r="F654" s="35">
        <v>0.29799999999999999</v>
      </c>
      <c r="G654" s="35">
        <v>1350</v>
      </c>
    </row>
    <row r="655" spans="1:7" x14ac:dyDescent="0.25">
      <c r="A655">
        <v>20221028</v>
      </c>
      <c r="B655" t="s">
        <v>770</v>
      </c>
      <c r="C655" t="s">
        <v>249</v>
      </c>
      <c r="D655" t="s">
        <v>250</v>
      </c>
      <c r="E655" s="35">
        <v>0.22900000000000001</v>
      </c>
      <c r="F655" s="35">
        <v>0.29799999999999999</v>
      </c>
      <c r="G655" s="35">
        <v>1350</v>
      </c>
    </row>
    <row r="656" spans="1:7" x14ac:dyDescent="0.25">
      <c r="A656">
        <v>20221028</v>
      </c>
      <c r="B656" t="s">
        <v>770</v>
      </c>
      <c r="C656" t="s">
        <v>249</v>
      </c>
      <c r="D656" t="s">
        <v>258</v>
      </c>
      <c r="E656" s="35">
        <v>0.22900000000000001</v>
      </c>
      <c r="F656" s="35">
        <v>0.29799999999999999</v>
      </c>
      <c r="G656" s="35">
        <v>1110</v>
      </c>
    </row>
    <row r="657" spans="1:7" x14ac:dyDescent="0.25">
      <c r="A657">
        <v>20221028</v>
      </c>
      <c r="B657" t="s">
        <v>770</v>
      </c>
      <c r="C657" t="s">
        <v>249</v>
      </c>
      <c r="D657" t="s">
        <v>265</v>
      </c>
      <c r="E657" s="35">
        <v>0.22900000000000001</v>
      </c>
      <c r="F657" s="35">
        <v>0.29799999999999999</v>
      </c>
      <c r="G657" s="35">
        <v>930</v>
      </c>
    </row>
    <row r="658" spans="1:7" x14ac:dyDescent="0.25">
      <c r="A658">
        <v>20221028</v>
      </c>
      <c r="B658" t="s">
        <v>770</v>
      </c>
      <c r="C658" t="s">
        <v>249</v>
      </c>
      <c r="D658" t="s">
        <v>273</v>
      </c>
      <c r="E658" s="35">
        <v>0.22900000000000001</v>
      </c>
      <c r="F658" s="35">
        <v>0.29799999999999999</v>
      </c>
      <c r="G658" s="35">
        <v>800</v>
      </c>
    </row>
    <row r="659" spans="1:7" x14ac:dyDescent="0.25">
      <c r="A659">
        <v>20221028</v>
      </c>
      <c r="B659" t="s">
        <v>770</v>
      </c>
      <c r="C659" t="s">
        <v>249</v>
      </c>
      <c r="D659" t="s">
        <v>279</v>
      </c>
      <c r="E659" s="35">
        <v>0.22900000000000001</v>
      </c>
      <c r="F659" s="35">
        <v>0.29799999999999999</v>
      </c>
      <c r="G659" s="35">
        <v>690</v>
      </c>
    </row>
    <row r="660" spans="1:7" x14ac:dyDescent="0.25">
      <c r="A660">
        <v>20221028</v>
      </c>
      <c r="B660" t="s">
        <v>770</v>
      </c>
      <c r="C660" t="s">
        <v>249</v>
      </c>
      <c r="D660" t="s">
        <v>285</v>
      </c>
      <c r="E660" s="35">
        <v>0.22900000000000001</v>
      </c>
      <c r="F660" s="35">
        <v>0.29799999999999999</v>
      </c>
      <c r="G660" s="35">
        <v>550</v>
      </c>
    </row>
    <row r="661" spans="1:7" x14ac:dyDescent="0.25">
      <c r="A661">
        <v>20221028</v>
      </c>
      <c r="B661" t="s">
        <v>770</v>
      </c>
      <c r="C661" t="s">
        <v>249</v>
      </c>
      <c r="D661" t="s">
        <v>289</v>
      </c>
      <c r="E661" s="35">
        <v>0.22900000000000001</v>
      </c>
      <c r="F661" s="35">
        <v>0.29799999999999999</v>
      </c>
      <c r="G661" s="35">
        <v>460</v>
      </c>
    </row>
    <row r="662" spans="1:7" x14ac:dyDescent="0.25">
      <c r="A662">
        <v>20221028</v>
      </c>
      <c r="B662" t="s">
        <v>770</v>
      </c>
      <c r="C662" t="s">
        <v>257</v>
      </c>
      <c r="D662" t="s">
        <v>187</v>
      </c>
      <c r="E662" s="35">
        <v>0.22900000000000001</v>
      </c>
      <c r="F662" s="35">
        <v>0.29799999999999999</v>
      </c>
      <c r="G662" s="35">
        <v>1310</v>
      </c>
    </row>
    <row r="663" spans="1:7" x14ac:dyDescent="0.25">
      <c r="A663">
        <v>20221028</v>
      </c>
      <c r="B663" t="s">
        <v>770</v>
      </c>
      <c r="C663" t="s">
        <v>257</v>
      </c>
      <c r="D663" t="s">
        <v>214</v>
      </c>
      <c r="E663" s="35">
        <v>0.22900000000000001</v>
      </c>
      <c r="F663" s="35">
        <v>0.29799999999999999</v>
      </c>
      <c r="G663" s="35">
        <v>1310</v>
      </c>
    </row>
    <row r="664" spans="1:7" x14ac:dyDescent="0.25">
      <c r="A664">
        <v>20221028</v>
      </c>
      <c r="B664" t="s">
        <v>770</v>
      </c>
      <c r="C664" t="s">
        <v>257</v>
      </c>
      <c r="D664" t="s">
        <v>233</v>
      </c>
      <c r="E664" s="35">
        <v>0.22900000000000001</v>
      </c>
      <c r="F664" s="35">
        <v>0.29799999999999999</v>
      </c>
      <c r="G664" s="35">
        <v>1310</v>
      </c>
    </row>
    <row r="665" spans="1:7" x14ac:dyDescent="0.25">
      <c r="A665">
        <v>20221028</v>
      </c>
      <c r="B665" t="s">
        <v>770</v>
      </c>
      <c r="C665" t="s">
        <v>257</v>
      </c>
      <c r="D665" t="s">
        <v>242</v>
      </c>
      <c r="E665" s="35">
        <v>0.22900000000000001</v>
      </c>
      <c r="F665" s="35">
        <v>0.29799999999999999</v>
      </c>
      <c r="G665" s="35">
        <v>1130</v>
      </c>
    </row>
    <row r="666" spans="1:7" x14ac:dyDescent="0.25">
      <c r="A666">
        <v>20221028</v>
      </c>
      <c r="B666" t="s">
        <v>770</v>
      </c>
      <c r="C666" t="s">
        <v>257</v>
      </c>
      <c r="D666" t="s">
        <v>250</v>
      </c>
      <c r="E666" s="35">
        <v>0.22900000000000001</v>
      </c>
      <c r="F666" s="35">
        <v>0.29799999999999999</v>
      </c>
      <c r="G666" s="35">
        <v>1130</v>
      </c>
    </row>
    <row r="667" spans="1:7" x14ac:dyDescent="0.25">
      <c r="A667">
        <v>20221028</v>
      </c>
      <c r="B667" t="s">
        <v>770</v>
      </c>
      <c r="C667" t="s">
        <v>257</v>
      </c>
      <c r="D667" t="s">
        <v>258</v>
      </c>
      <c r="E667" s="35">
        <v>0.22900000000000001</v>
      </c>
      <c r="F667" s="35">
        <v>0.29799999999999999</v>
      </c>
      <c r="G667" s="35">
        <v>950</v>
      </c>
    </row>
    <row r="668" spans="1:7" x14ac:dyDescent="0.25">
      <c r="A668">
        <v>20221028</v>
      </c>
      <c r="B668" t="s">
        <v>770</v>
      </c>
      <c r="C668" t="s">
        <v>257</v>
      </c>
      <c r="D668" t="s">
        <v>265</v>
      </c>
      <c r="E668" s="35">
        <v>0.22900000000000001</v>
      </c>
      <c r="F668" s="35">
        <v>0.29799999999999999</v>
      </c>
      <c r="G668" s="35">
        <v>810</v>
      </c>
    </row>
    <row r="669" spans="1:7" x14ac:dyDescent="0.25">
      <c r="A669">
        <v>20221028</v>
      </c>
      <c r="B669" t="s">
        <v>770</v>
      </c>
      <c r="C669" t="s">
        <v>257</v>
      </c>
      <c r="D669" t="s">
        <v>273</v>
      </c>
      <c r="E669" s="35">
        <v>0.22900000000000001</v>
      </c>
      <c r="F669" s="35">
        <v>0.29799999999999999</v>
      </c>
      <c r="G669" s="35">
        <v>700</v>
      </c>
    </row>
    <row r="670" spans="1:7" x14ac:dyDescent="0.25">
      <c r="A670">
        <v>20221028</v>
      </c>
      <c r="B670" t="s">
        <v>770</v>
      </c>
      <c r="C670" t="s">
        <v>257</v>
      </c>
      <c r="D670" t="s">
        <v>279</v>
      </c>
      <c r="E670" s="35">
        <v>0.22900000000000001</v>
      </c>
      <c r="F670" s="35">
        <v>0.29799999999999999</v>
      </c>
      <c r="G670" s="35">
        <v>600</v>
      </c>
    </row>
    <row r="671" spans="1:7" x14ac:dyDescent="0.25">
      <c r="A671">
        <v>20221028</v>
      </c>
      <c r="B671" t="s">
        <v>770</v>
      </c>
      <c r="C671" t="s">
        <v>257</v>
      </c>
      <c r="D671" t="s">
        <v>285</v>
      </c>
      <c r="E671" s="35">
        <v>0.22900000000000001</v>
      </c>
      <c r="F671" s="35">
        <v>0.29799999999999999</v>
      </c>
      <c r="G671" s="35">
        <v>500</v>
      </c>
    </row>
    <row r="672" spans="1:7" x14ac:dyDescent="0.25">
      <c r="A672">
        <v>20221028</v>
      </c>
      <c r="B672" t="s">
        <v>770</v>
      </c>
      <c r="C672" t="s">
        <v>257</v>
      </c>
      <c r="D672" t="s">
        <v>289</v>
      </c>
      <c r="E672" s="35">
        <v>0.22900000000000001</v>
      </c>
      <c r="F672" s="35">
        <v>0.29799999999999999</v>
      </c>
      <c r="G672" s="35">
        <v>420</v>
      </c>
    </row>
    <row r="673" spans="1:7" x14ac:dyDescent="0.25">
      <c r="A673">
        <v>20221028</v>
      </c>
      <c r="B673" t="s">
        <v>770</v>
      </c>
      <c r="C673" t="s">
        <v>264</v>
      </c>
      <c r="D673" t="s">
        <v>187</v>
      </c>
      <c r="E673" s="35">
        <v>0.22900000000000001</v>
      </c>
      <c r="F673" s="35">
        <v>0.29799999999999999</v>
      </c>
      <c r="G673" s="35">
        <v>1310</v>
      </c>
    </row>
    <row r="674" spans="1:7" x14ac:dyDescent="0.25">
      <c r="A674">
        <v>20221028</v>
      </c>
      <c r="B674" t="s">
        <v>770</v>
      </c>
      <c r="C674" t="s">
        <v>264</v>
      </c>
      <c r="D674" t="s">
        <v>214</v>
      </c>
      <c r="E674" s="35">
        <v>0.22900000000000001</v>
      </c>
      <c r="F674" s="35">
        <v>0.29799999999999999</v>
      </c>
      <c r="G674" s="35">
        <v>1310</v>
      </c>
    </row>
    <row r="675" spans="1:7" x14ac:dyDescent="0.25">
      <c r="A675">
        <v>20221028</v>
      </c>
      <c r="B675" t="s">
        <v>770</v>
      </c>
      <c r="C675" t="s">
        <v>264</v>
      </c>
      <c r="D675" t="s">
        <v>233</v>
      </c>
      <c r="E675" s="35">
        <v>0.22900000000000001</v>
      </c>
      <c r="F675" s="35">
        <v>0.29799999999999999</v>
      </c>
      <c r="G675" s="35">
        <v>1310</v>
      </c>
    </row>
    <row r="676" spans="1:7" x14ac:dyDescent="0.25">
      <c r="A676">
        <v>20221028</v>
      </c>
      <c r="B676" t="s">
        <v>770</v>
      </c>
      <c r="C676" t="s">
        <v>264</v>
      </c>
      <c r="D676" t="s">
        <v>242</v>
      </c>
      <c r="E676" s="35">
        <v>0.22900000000000001</v>
      </c>
      <c r="F676" s="35">
        <v>0.29799999999999999</v>
      </c>
      <c r="G676" s="35">
        <v>1130</v>
      </c>
    </row>
    <row r="677" spans="1:7" x14ac:dyDescent="0.25">
      <c r="A677">
        <v>20221028</v>
      </c>
      <c r="B677" t="s">
        <v>770</v>
      </c>
      <c r="C677" t="s">
        <v>264</v>
      </c>
      <c r="D677" t="s">
        <v>250</v>
      </c>
      <c r="E677" s="35">
        <v>0.22900000000000001</v>
      </c>
      <c r="F677" s="35">
        <v>0.29799999999999999</v>
      </c>
      <c r="G677" s="35">
        <v>1130</v>
      </c>
    </row>
    <row r="678" spans="1:7" x14ac:dyDescent="0.25">
      <c r="A678">
        <v>20221028</v>
      </c>
      <c r="B678" t="s">
        <v>770</v>
      </c>
      <c r="C678" t="s">
        <v>264</v>
      </c>
      <c r="D678" t="s">
        <v>258</v>
      </c>
      <c r="E678" s="35">
        <v>0.22900000000000001</v>
      </c>
      <c r="F678" s="35">
        <v>0.29799999999999999</v>
      </c>
      <c r="G678" s="35">
        <v>950</v>
      </c>
    </row>
    <row r="679" spans="1:7" x14ac:dyDescent="0.25">
      <c r="A679">
        <v>20221028</v>
      </c>
      <c r="B679" t="s">
        <v>770</v>
      </c>
      <c r="C679" t="s">
        <v>264</v>
      </c>
      <c r="D679" t="s">
        <v>265</v>
      </c>
      <c r="E679" s="35">
        <v>0.22900000000000001</v>
      </c>
      <c r="F679" s="35">
        <v>0.29799999999999999</v>
      </c>
      <c r="G679" s="35">
        <v>810</v>
      </c>
    </row>
    <row r="680" spans="1:7" x14ac:dyDescent="0.25">
      <c r="A680">
        <v>20221028</v>
      </c>
      <c r="B680" t="s">
        <v>770</v>
      </c>
      <c r="C680" t="s">
        <v>264</v>
      </c>
      <c r="D680" t="s">
        <v>273</v>
      </c>
      <c r="E680" s="35">
        <v>0.22900000000000001</v>
      </c>
      <c r="F680" s="35">
        <v>0.29799999999999999</v>
      </c>
      <c r="G680" s="35">
        <v>700</v>
      </c>
    </row>
    <row r="681" spans="1:7" x14ac:dyDescent="0.25">
      <c r="A681">
        <v>20221028</v>
      </c>
      <c r="B681" t="s">
        <v>770</v>
      </c>
      <c r="C681" t="s">
        <v>264</v>
      </c>
      <c r="D681" t="s">
        <v>279</v>
      </c>
      <c r="E681" s="35">
        <v>0.22900000000000001</v>
      </c>
      <c r="F681" s="35">
        <v>0.29799999999999999</v>
      </c>
      <c r="G681" s="35">
        <v>600</v>
      </c>
    </row>
    <row r="682" spans="1:7" x14ac:dyDescent="0.25">
      <c r="A682">
        <v>20221028</v>
      </c>
      <c r="B682" t="s">
        <v>770</v>
      </c>
      <c r="C682" t="s">
        <v>264</v>
      </c>
      <c r="D682" t="s">
        <v>285</v>
      </c>
      <c r="E682" s="35">
        <v>0.22900000000000001</v>
      </c>
      <c r="F682" s="35">
        <v>0.29799999999999999</v>
      </c>
      <c r="G682" s="35">
        <v>500</v>
      </c>
    </row>
    <row r="683" spans="1:7" x14ac:dyDescent="0.25">
      <c r="A683">
        <v>20221028</v>
      </c>
      <c r="B683" t="s">
        <v>770</v>
      </c>
      <c r="C683" t="s">
        <v>264</v>
      </c>
      <c r="D683" t="s">
        <v>289</v>
      </c>
      <c r="E683" s="35">
        <v>0.22900000000000001</v>
      </c>
      <c r="F683" s="35">
        <v>0.29799999999999999</v>
      </c>
      <c r="G683" s="35">
        <v>420</v>
      </c>
    </row>
    <row r="684" spans="1:7" x14ac:dyDescent="0.25">
      <c r="A684">
        <v>20221028</v>
      </c>
      <c r="B684" t="s">
        <v>770</v>
      </c>
      <c r="C684" t="s">
        <v>272</v>
      </c>
      <c r="D684" t="s">
        <v>187</v>
      </c>
      <c r="E684" s="35">
        <v>0.22900000000000001</v>
      </c>
      <c r="F684" s="35">
        <v>0.29799999999999999</v>
      </c>
      <c r="G684" s="35">
        <v>1050</v>
      </c>
    </row>
    <row r="685" spans="1:7" x14ac:dyDescent="0.25">
      <c r="A685">
        <v>20221028</v>
      </c>
      <c r="B685" t="s">
        <v>770</v>
      </c>
      <c r="C685" t="s">
        <v>272</v>
      </c>
      <c r="D685" t="s">
        <v>214</v>
      </c>
      <c r="E685" s="35">
        <v>0.22900000000000001</v>
      </c>
      <c r="F685" s="35">
        <v>0.29799999999999999</v>
      </c>
      <c r="G685" s="35">
        <v>1050</v>
      </c>
    </row>
    <row r="686" spans="1:7" x14ac:dyDescent="0.25">
      <c r="A686">
        <v>20221028</v>
      </c>
      <c r="B686" t="s">
        <v>770</v>
      </c>
      <c r="C686" t="s">
        <v>272</v>
      </c>
      <c r="D686" t="s">
        <v>233</v>
      </c>
      <c r="E686" s="35">
        <v>0.22900000000000001</v>
      </c>
      <c r="F686" s="35">
        <v>0.29799999999999999</v>
      </c>
      <c r="G686" s="35">
        <v>1050</v>
      </c>
    </row>
    <row r="687" spans="1:7" x14ac:dyDescent="0.25">
      <c r="A687">
        <v>20221028</v>
      </c>
      <c r="B687" t="s">
        <v>770</v>
      </c>
      <c r="C687" t="s">
        <v>272</v>
      </c>
      <c r="D687" t="s">
        <v>242</v>
      </c>
      <c r="E687" s="35">
        <v>0.22900000000000001</v>
      </c>
      <c r="F687" s="35">
        <v>0.29799999999999999</v>
      </c>
      <c r="G687" s="35">
        <v>910</v>
      </c>
    </row>
    <row r="688" spans="1:7" x14ac:dyDescent="0.25">
      <c r="A688">
        <v>20221028</v>
      </c>
      <c r="B688" t="s">
        <v>770</v>
      </c>
      <c r="C688" t="s">
        <v>272</v>
      </c>
      <c r="D688" t="s">
        <v>250</v>
      </c>
      <c r="E688" s="35">
        <v>0.22900000000000001</v>
      </c>
      <c r="F688" s="35">
        <v>0.29799999999999999</v>
      </c>
      <c r="G688" s="35">
        <v>910</v>
      </c>
    </row>
    <row r="689" spans="1:7" x14ac:dyDescent="0.25">
      <c r="A689">
        <v>20221028</v>
      </c>
      <c r="B689" t="s">
        <v>770</v>
      </c>
      <c r="C689" t="s">
        <v>272</v>
      </c>
      <c r="D689" t="s">
        <v>258</v>
      </c>
      <c r="E689" s="35">
        <v>0.22900000000000001</v>
      </c>
      <c r="F689" s="35">
        <v>0.29799999999999999</v>
      </c>
      <c r="G689" s="35">
        <v>780</v>
      </c>
    </row>
    <row r="690" spans="1:7" x14ac:dyDescent="0.25">
      <c r="A690">
        <v>20221028</v>
      </c>
      <c r="B690" t="s">
        <v>770</v>
      </c>
      <c r="C690" t="s">
        <v>272</v>
      </c>
      <c r="D690" t="s">
        <v>265</v>
      </c>
      <c r="E690" s="35">
        <v>0.22900000000000001</v>
      </c>
      <c r="F690" s="35">
        <v>0.29799999999999999</v>
      </c>
      <c r="G690" s="35">
        <v>670</v>
      </c>
    </row>
    <row r="691" spans="1:7" x14ac:dyDescent="0.25">
      <c r="A691">
        <v>20221028</v>
      </c>
      <c r="B691" t="s">
        <v>770</v>
      </c>
      <c r="C691" t="s">
        <v>272</v>
      </c>
      <c r="D691" t="s">
        <v>273</v>
      </c>
      <c r="E691" s="35">
        <v>0.22900000000000001</v>
      </c>
      <c r="F691" s="35">
        <v>0.29799999999999999</v>
      </c>
      <c r="G691" s="35">
        <v>570</v>
      </c>
    </row>
    <row r="692" spans="1:7" x14ac:dyDescent="0.25">
      <c r="A692">
        <v>20221028</v>
      </c>
      <c r="B692" t="s">
        <v>770</v>
      </c>
      <c r="C692" t="s">
        <v>272</v>
      </c>
      <c r="D692" t="s">
        <v>279</v>
      </c>
      <c r="E692" s="35">
        <v>0.22900000000000001</v>
      </c>
      <c r="F692" s="35">
        <v>0.29799999999999999</v>
      </c>
      <c r="G692" s="35">
        <v>460</v>
      </c>
    </row>
    <row r="693" spans="1:7" x14ac:dyDescent="0.25">
      <c r="A693">
        <v>20221028</v>
      </c>
      <c r="B693" t="s">
        <v>770</v>
      </c>
      <c r="C693" t="s">
        <v>272</v>
      </c>
      <c r="D693" t="s">
        <v>285</v>
      </c>
      <c r="E693" s="35">
        <v>0.22900000000000001</v>
      </c>
      <c r="F693" s="35">
        <v>0.29799999999999999</v>
      </c>
      <c r="G693" s="35">
        <v>370</v>
      </c>
    </row>
    <row r="694" spans="1:7" x14ac:dyDescent="0.25">
      <c r="A694">
        <v>20221028</v>
      </c>
      <c r="B694" t="s">
        <v>770</v>
      </c>
      <c r="C694" t="s">
        <v>272</v>
      </c>
      <c r="D694" t="s">
        <v>289</v>
      </c>
      <c r="E694" s="35">
        <v>0.22900000000000001</v>
      </c>
      <c r="F694" s="35">
        <v>0.29799999999999999</v>
      </c>
      <c r="G694" s="35">
        <v>300</v>
      </c>
    </row>
    <row r="695" spans="1:7" x14ac:dyDescent="0.25">
      <c r="A695">
        <v>20221028</v>
      </c>
      <c r="B695" t="s">
        <v>770</v>
      </c>
      <c r="C695" t="s">
        <v>278</v>
      </c>
      <c r="D695" t="s">
        <v>187</v>
      </c>
      <c r="E695" s="35">
        <v>0.22900000000000001</v>
      </c>
      <c r="F695" s="35">
        <v>0.29799999999999999</v>
      </c>
      <c r="G695" s="35">
        <v>1050</v>
      </c>
    </row>
    <row r="696" spans="1:7" x14ac:dyDescent="0.25">
      <c r="A696">
        <v>20221028</v>
      </c>
      <c r="B696" t="s">
        <v>770</v>
      </c>
      <c r="C696" t="s">
        <v>278</v>
      </c>
      <c r="D696" t="s">
        <v>214</v>
      </c>
      <c r="E696" s="35">
        <v>0.22900000000000001</v>
      </c>
      <c r="F696" s="35">
        <v>0.29799999999999999</v>
      </c>
      <c r="G696" s="35">
        <v>1050</v>
      </c>
    </row>
    <row r="697" spans="1:7" x14ac:dyDescent="0.25">
      <c r="A697">
        <v>20221028</v>
      </c>
      <c r="B697" t="s">
        <v>770</v>
      </c>
      <c r="C697" t="s">
        <v>278</v>
      </c>
      <c r="D697" t="s">
        <v>233</v>
      </c>
      <c r="E697" s="35">
        <v>0.22900000000000001</v>
      </c>
      <c r="F697" s="35">
        <v>0.29799999999999999</v>
      </c>
      <c r="G697" s="35">
        <v>1050</v>
      </c>
    </row>
    <row r="698" spans="1:7" x14ac:dyDescent="0.25">
      <c r="A698">
        <v>20221028</v>
      </c>
      <c r="B698" t="s">
        <v>770</v>
      </c>
      <c r="C698" t="s">
        <v>278</v>
      </c>
      <c r="D698" t="s">
        <v>242</v>
      </c>
      <c r="E698" s="35">
        <v>0.22900000000000001</v>
      </c>
      <c r="F698" s="35">
        <v>0.29799999999999999</v>
      </c>
      <c r="G698" s="35">
        <v>910</v>
      </c>
    </row>
    <row r="699" spans="1:7" x14ac:dyDescent="0.25">
      <c r="A699">
        <v>20221028</v>
      </c>
      <c r="B699" t="s">
        <v>770</v>
      </c>
      <c r="C699" t="s">
        <v>278</v>
      </c>
      <c r="D699" t="s">
        <v>250</v>
      </c>
      <c r="E699" s="35">
        <v>0.22900000000000001</v>
      </c>
      <c r="F699" s="35">
        <v>0.29799999999999999</v>
      </c>
      <c r="G699" s="35">
        <v>910</v>
      </c>
    </row>
    <row r="700" spans="1:7" x14ac:dyDescent="0.25">
      <c r="A700">
        <v>20221028</v>
      </c>
      <c r="B700" t="s">
        <v>770</v>
      </c>
      <c r="C700" t="s">
        <v>278</v>
      </c>
      <c r="D700" t="s">
        <v>258</v>
      </c>
      <c r="E700" s="35">
        <v>0.22900000000000001</v>
      </c>
      <c r="F700" s="35">
        <v>0.29799999999999999</v>
      </c>
      <c r="G700" s="35">
        <v>780</v>
      </c>
    </row>
    <row r="701" spans="1:7" x14ac:dyDescent="0.25">
      <c r="A701">
        <v>20221028</v>
      </c>
      <c r="B701" t="s">
        <v>770</v>
      </c>
      <c r="C701" t="s">
        <v>278</v>
      </c>
      <c r="D701" t="s">
        <v>265</v>
      </c>
      <c r="E701" s="35">
        <v>0.22900000000000001</v>
      </c>
      <c r="F701" s="35">
        <v>0.29799999999999999</v>
      </c>
      <c r="G701" s="35">
        <v>670</v>
      </c>
    </row>
    <row r="702" spans="1:7" x14ac:dyDescent="0.25">
      <c r="A702">
        <v>20221028</v>
      </c>
      <c r="B702" t="s">
        <v>770</v>
      </c>
      <c r="C702" t="s">
        <v>278</v>
      </c>
      <c r="D702" t="s">
        <v>273</v>
      </c>
      <c r="E702" s="35">
        <v>0.22900000000000001</v>
      </c>
      <c r="F702" s="35">
        <v>0.29799999999999999</v>
      </c>
      <c r="G702" s="35">
        <v>570</v>
      </c>
    </row>
    <row r="703" spans="1:7" x14ac:dyDescent="0.25">
      <c r="A703">
        <v>20221028</v>
      </c>
      <c r="B703" t="s">
        <v>770</v>
      </c>
      <c r="C703" t="s">
        <v>278</v>
      </c>
      <c r="D703" t="s">
        <v>279</v>
      </c>
      <c r="E703" s="35">
        <v>0.22900000000000001</v>
      </c>
      <c r="F703" s="35">
        <v>0.29799999999999999</v>
      </c>
      <c r="G703" s="35">
        <v>460</v>
      </c>
    </row>
    <row r="704" spans="1:7" x14ac:dyDescent="0.25">
      <c r="A704">
        <v>20221028</v>
      </c>
      <c r="B704" t="s">
        <v>770</v>
      </c>
      <c r="C704" t="s">
        <v>278</v>
      </c>
      <c r="D704" t="s">
        <v>285</v>
      </c>
      <c r="E704" s="35">
        <v>0.22900000000000001</v>
      </c>
      <c r="F704" s="35">
        <v>0.29799999999999999</v>
      </c>
      <c r="G704" s="35">
        <v>370</v>
      </c>
    </row>
    <row r="705" spans="1:7" x14ac:dyDescent="0.25">
      <c r="A705">
        <v>20221028</v>
      </c>
      <c r="B705" t="s">
        <v>770</v>
      </c>
      <c r="C705" t="s">
        <v>278</v>
      </c>
      <c r="D705" t="s">
        <v>289</v>
      </c>
      <c r="E705" s="35">
        <v>0.22900000000000001</v>
      </c>
      <c r="F705" s="35">
        <v>0.29799999999999999</v>
      </c>
      <c r="G705" s="35">
        <v>300</v>
      </c>
    </row>
    <row r="706" spans="1:7" x14ac:dyDescent="0.25">
      <c r="A706">
        <v>20221028</v>
      </c>
      <c r="B706" t="s">
        <v>770</v>
      </c>
      <c r="C706" t="s">
        <v>284</v>
      </c>
      <c r="D706" t="s">
        <v>187</v>
      </c>
      <c r="E706" s="35">
        <v>0.22900000000000001</v>
      </c>
      <c r="F706" s="35">
        <v>0.29799999999999999</v>
      </c>
      <c r="G706" s="35">
        <v>860</v>
      </c>
    </row>
    <row r="707" spans="1:7" x14ac:dyDescent="0.25">
      <c r="A707">
        <v>20221028</v>
      </c>
      <c r="B707" t="s">
        <v>770</v>
      </c>
      <c r="C707" t="s">
        <v>284</v>
      </c>
      <c r="D707" t="s">
        <v>214</v>
      </c>
      <c r="E707" s="35">
        <v>0.22900000000000001</v>
      </c>
      <c r="F707" s="35">
        <v>0.29799999999999999</v>
      </c>
      <c r="G707" s="35">
        <v>860</v>
      </c>
    </row>
    <row r="708" spans="1:7" x14ac:dyDescent="0.25">
      <c r="A708">
        <v>20221028</v>
      </c>
      <c r="B708" t="s">
        <v>770</v>
      </c>
      <c r="C708" t="s">
        <v>284</v>
      </c>
      <c r="D708" t="s">
        <v>233</v>
      </c>
      <c r="E708" s="35">
        <v>0.22900000000000001</v>
      </c>
      <c r="F708" s="35">
        <v>0.29799999999999999</v>
      </c>
      <c r="G708" s="35">
        <v>860</v>
      </c>
    </row>
    <row r="709" spans="1:7" x14ac:dyDescent="0.25">
      <c r="A709">
        <v>20221028</v>
      </c>
      <c r="B709" t="s">
        <v>770</v>
      </c>
      <c r="C709" t="s">
        <v>284</v>
      </c>
      <c r="D709" t="s">
        <v>242</v>
      </c>
      <c r="E709" s="35">
        <v>0.22900000000000001</v>
      </c>
      <c r="F709" s="35">
        <v>0.29799999999999999</v>
      </c>
      <c r="G709" s="35">
        <v>740</v>
      </c>
    </row>
    <row r="710" spans="1:7" x14ac:dyDescent="0.25">
      <c r="A710">
        <v>20221028</v>
      </c>
      <c r="B710" t="s">
        <v>770</v>
      </c>
      <c r="C710" t="s">
        <v>284</v>
      </c>
      <c r="D710" t="s">
        <v>250</v>
      </c>
      <c r="E710" s="35">
        <v>0.22900000000000001</v>
      </c>
      <c r="F710" s="35">
        <v>0.29799999999999999</v>
      </c>
      <c r="G710" s="35">
        <v>740</v>
      </c>
    </row>
    <row r="711" spans="1:7" x14ac:dyDescent="0.25">
      <c r="A711">
        <v>20221028</v>
      </c>
      <c r="B711" t="s">
        <v>770</v>
      </c>
      <c r="C711" t="s">
        <v>284</v>
      </c>
      <c r="D711" t="s">
        <v>258</v>
      </c>
      <c r="E711" s="35">
        <v>0.22900000000000001</v>
      </c>
      <c r="F711" s="35">
        <v>0.29799999999999999</v>
      </c>
      <c r="G711" s="35">
        <v>620</v>
      </c>
    </row>
    <row r="712" spans="1:7" x14ac:dyDescent="0.25">
      <c r="A712">
        <v>20221028</v>
      </c>
      <c r="B712" t="s">
        <v>770</v>
      </c>
      <c r="C712" t="s">
        <v>284</v>
      </c>
      <c r="D712" t="s">
        <v>265</v>
      </c>
      <c r="E712" s="35">
        <v>0.22900000000000001</v>
      </c>
      <c r="F712" s="35">
        <v>0.29799999999999999</v>
      </c>
      <c r="G712" s="35">
        <v>530</v>
      </c>
    </row>
    <row r="713" spans="1:7" x14ac:dyDescent="0.25">
      <c r="A713">
        <v>20221028</v>
      </c>
      <c r="B713" t="s">
        <v>770</v>
      </c>
      <c r="C713" t="s">
        <v>284</v>
      </c>
      <c r="D713" t="s">
        <v>273</v>
      </c>
      <c r="E713" s="35">
        <v>0.22900000000000001</v>
      </c>
      <c r="F713" s="35">
        <v>0.29799999999999999</v>
      </c>
      <c r="G713" s="35">
        <v>460</v>
      </c>
    </row>
    <row r="714" spans="1:7" x14ac:dyDescent="0.25">
      <c r="A714">
        <v>20221028</v>
      </c>
      <c r="B714" t="s">
        <v>770</v>
      </c>
      <c r="C714" t="s">
        <v>284</v>
      </c>
      <c r="D714" t="s">
        <v>279</v>
      </c>
      <c r="E714" s="35">
        <v>0.22900000000000001</v>
      </c>
      <c r="F714" s="35">
        <v>0.29799999999999999</v>
      </c>
      <c r="G714" s="35">
        <v>360</v>
      </c>
    </row>
    <row r="715" spans="1:7" x14ac:dyDescent="0.25">
      <c r="A715">
        <v>20221028</v>
      </c>
      <c r="B715" t="s">
        <v>770</v>
      </c>
      <c r="C715" t="s">
        <v>284</v>
      </c>
      <c r="D715" t="s">
        <v>285</v>
      </c>
      <c r="E715" s="35">
        <v>0.22900000000000001</v>
      </c>
      <c r="F715" s="35">
        <v>0.29799999999999999</v>
      </c>
      <c r="G715" s="35">
        <v>280</v>
      </c>
    </row>
    <row r="716" spans="1:7" x14ac:dyDescent="0.25">
      <c r="A716">
        <v>20221028</v>
      </c>
      <c r="B716" t="s">
        <v>770</v>
      </c>
      <c r="C716" t="s">
        <v>284</v>
      </c>
      <c r="D716" t="s">
        <v>289</v>
      </c>
      <c r="E716" s="35">
        <v>0.22900000000000001</v>
      </c>
      <c r="F716" s="35">
        <v>0.29799999999999999</v>
      </c>
      <c r="G716" s="35">
        <v>220</v>
      </c>
    </row>
    <row r="717" spans="1:7" x14ac:dyDescent="0.25">
      <c r="A717">
        <v>20221028</v>
      </c>
      <c r="B717" t="s">
        <v>770</v>
      </c>
      <c r="C717" t="s">
        <v>748</v>
      </c>
      <c r="D717" t="s">
        <v>187</v>
      </c>
      <c r="E717" s="35">
        <v>0.22900000000000001</v>
      </c>
      <c r="F717" s="35">
        <v>0.29799999999999999</v>
      </c>
      <c r="G717" s="35">
        <v>860</v>
      </c>
    </row>
    <row r="718" spans="1:7" x14ac:dyDescent="0.25">
      <c r="A718">
        <v>20221028</v>
      </c>
      <c r="B718" t="s">
        <v>770</v>
      </c>
      <c r="C718" t="s">
        <v>748</v>
      </c>
      <c r="D718" t="s">
        <v>214</v>
      </c>
      <c r="E718" s="35">
        <v>0.22900000000000001</v>
      </c>
      <c r="F718" s="35">
        <v>0.29799999999999999</v>
      </c>
      <c r="G718" s="35">
        <v>860</v>
      </c>
    </row>
    <row r="719" spans="1:7" x14ac:dyDescent="0.25">
      <c r="A719">
        <v>20221028</v>
      </c>
      <c r="B719" t="s">
        <v>770</v>
      </c>
      <c r="C719" t="s">
        <v>748</v>
      </c>
      <c r="D719" t="s">
        <v>233</v>
      </c>
      <c r="E719" s="35">
        <v>0.22900000000000001</v>
      </c>
      <c r="F719" s="35">
        <v>0.29799999999999999</v>
      </c>
      <c r="G719" s="35">
        <v>860</v>
      </c>
    </row>
    <row r="720" spans="1:7" x14ac:dyDescent="0.25">
      <c r="A720">
        <v>20221028</v>
      </c>
      <c r="B720" t="s">
        <v>770</v>
      </c>
      <c r="C720" t="s">
        <v>748</v>
      </c>
      <c r="D720" t="s">
        <v>242</v>
      </c>
      <c r="E720" s="35">
        <v>0.22900000000000001</v>
      </c>
      <c r="F720" s="35">
        <v>0.29799999999999999</v>
      </c>
      <c r="G720" s="35">
        <v>740</v>
      </c>
    </row>
    <row r="721" spans="1:7" x14ac:dyDescent="0.25">
      <c r="A721">
        <v>20221028</v>
      </c>
      <c r="B721" t="s">
        <v>770</v>
      </c>
      <c r="C721" t="s">
        <v>748</v>
      </c>
      <c r="D721" t="s">
        <v>250</v>
      </c>
      <c r="E721" s="35">
        <v>0.22900000000000001</v>
      </c>
      <c r="F721" s="35">
        <v>0.29799999999999999</v>
      </c>
      <c r="G721" s="35">
        <v>740</v>
      </c>
    </row>
    <row r="722" spans="1:7" x14ac:dyDescent="0.25">
      <c r="A722">
        <v>20221028</v>
      </c>
      <c r="B722" t="s">
        <v>770</v>
      </c>
      <c r="C722" t="s">
        <v>748</v>
      </c>
      <c r="D722" t="s">
        <v>258</v>
      </c>
      <c r="E722" s="35">
        <v>0.22900000000000001</v>
      </c>
      <c r="F722" s="35">
        <v>0.29799999999999999</v>
      </c>
      <c r="G722" s="35">
        <v>620</v>
      </c>
    </row>
    <row r="723" spans="1:7" x14ac:dyDescent="0.25">
      <c r="A723">
        <v>20221028</v>
      </c>
      <c r="B723" t="s">
        <v>770</v>
      </c>
      <c r="C723" t="s">
        <v>748</v>
      </c>
      <c r="D723" t="s">
        <v>265</v>
      </c>
      <c r="E723" s="35">
        <v>0.22900000000000001</v>
      </c>
      <c r="F723" s="35">
        <v>0.29799999999999999</v>
      </c>
      <c r="G723" s="35">
        <v>530</v>
      </c>
    </row>
    <row r="724" spans="1:7" x14ac:dyDescent="0.25">
      <c r="A724">
        <v>20221028</v>
      </c>
      <c r="B724" t="s">
        <v>770</v>
      </c>
      <c r="C724" t="s">
        <v>748</v>
      </c>
      <c r="D724" t="s">
        <v>273</v>
      </c>
      <c r="E724" s="35">
        <v>0.22900000000000001</v>
      </c>
      <c r="F724" s="35">
        <v>0.29799999999999999</v>
      </c>
      <c r="G724" s="35">
        <v>460</v>
      </c>
    </row>
    <row r="725" spans="1:7" x14ac:dyDescent="0.25">
      <c r="A725">
        <v>20221028</v>
      </c>
      <c r="B725" t="s">
        <v>770</v>
      </c>
      <c r="C725" t="s">
        <v>748</v>
      </c>
      <c r="D725" t="s">
        <v>279</v>
      </c>
      <c r="E725" s="35">
        <v>0.22900000000000001</v>
      </c>
      <c r="F725" s="35">
        <v>0.29799999999999999</v>
      </c>
      <c r="G725" s="35">
        <v>360</v>
      </c>
    </row>
    <row r="726" spans="1:7" x14ac:dyDescent="0.25">
      <c r="A726">
        <v>20221028</v>
      </c>
      <c r="B726" t="s">
        <v>770</v>
      </c>
      <c r="C726" t="s">
        <v>748</v>
      </c>
      <c r="D726" t="s">
        <v>285</v>
      </c>
      <c r="E726" s="35">
        <v>0.22900000000000001</v>
      </c>
      <c r="F726" s="35">
        <v>0.29799999999999999</v>
      </c>
      <c r="G726" s="35">
        <v>280</v>
      </c>
    </row>
    <row r="727" spans="1:7" x14ac:dyDescent="0.25">
      <c r="A727">
        <v>20221028</v>
      </c>
      <c r="B727" t="s">
        <v>770</v>
      </c>
      <c r="C727" t="s">
        <v>748</v>
      </c>
      <c r="D727" t="s">
        <v>289</v>
      </c>
      <c r="E727" s="35">
        <v>0.22900000000000001</v>
      </c>
      <c r="F727" s="35">
        <v>0.29799999999999999</v>
      </c>
      <c r="G727" s="35">
        <v>220</v>
      </c>
    </row>
    <row r="728" spans="1:7" x14ac:dyDescent="0.25">
      <c r="A728">
        <v>20221028</v>
      </c>
      <c r="B728" t="s">
        <v>770</v>
      </c>
      <c r="C728" t="s">
        <v>186</v>
      </c>
      <c r="D728" t="s">
        <v>187</v>
      </c>
      <c r="E728" s="35">
        <v>0.29899999999999999</v>
      </c>
      <c r="F728" s="35">
        <v>0.39800000000000002</v>
      </c>
      <c r="G728" s="35">
        <v>3900</v>
      </c>
    </row>
    <row r="729" spans="1:7" x14ac:dyDescent="0.25">
      <c r="A729">
        <v>20221028</v>
      </c>
      <c r="B729" t="s">
        <v>770</v>
      </c>
      <c r="C729" t="s">
        <v>186</v>
      </c>
      <c r="D729" t="s">
        <v>214</v>
      </c>
      <c r="E729" s="35">
        <v>0.29899999999999999</v>
      </c>
      <c r="F729" s="35">
        <v>0.39800000000000002</v>
      </c>
      <c r="G729" s="35">
        <v>3100</v>
      </c>
    </row>
    <row r="730" spans="1:7" x14ac:dyDescent="0.25">
      <c r="A730">
        <v>20221028</v>
      </c>
      <c r="B730" t="s">
        <v>770</v>
      </c>
      <c r="C730" t="s">
        <v>186</v>
      </c>
      <c r="D730" t="s">
        <v>233</v>
      </c>
      <c r="E730" s="35">
        <v>0.29899999999999999</v>
      </c>
      <c r="F730" s="35">
        <v>0.39800000000000002</v>
      </c>
      <c r="G730" s="35">
        <v>2800</v>
      </c>
    </row>
    <row r="731" spans="1:7" x14ac:dyDescent="0.25">
      <c r="A731">
        <v>20221028</v>
      </c>
      <c r="B731" t="s">
        <v>770</v>
      </c>
      <c r="C731" t="s">
        <v>186</v>
      </c>
      <c r="D731" t="s">
        <v>242</v>
      </c>
      <c r="E731" s="35">
        <v>0.29899999999999999</v>
      </c>
      <c r="F731" s="35">
        <v>0.39800000000000002</v>
      </c>
      <c r="G731" s="35">
        <v>2500</v>
      </c>
    </row>
    <row r="732" spans="1:7" x14ac:dyDescent="0.25">
      <c r="A732">
        <v>20221028</v>
      </c>
      <c r="B732" t="s">
        <v>770</v>
      </c>
      <c r="C732" t="s">
        <v>186</v>
      </c>
      <c r="D732" t="s">
        <v>250</v>
      </c>
      <c r="E732" s="35">
        <v>0.29899999999999999</v>
      </c>
      <c r="F732" s="35">
        <v>0.39800000000000002</v>
      </c>
      <c r="G732" s="35">
        <v>2200</v>
      </c>
    </row>
    <row r="733" spans="1:7" x14ac:dyDescent="0.25">
      <c r="A733">
        <v>20221028</v>
      </c>
      <c r="B733" t="s">
        <v>770</v>
      </c>
      <c r="C733" t="s">
        <v>186</v>
      </c>
      <c r="D733" t="s">
        <v>258</v>
      </c>
      <c r="E733" s="35">
        <v>0.29899999999999999</v>
      </c>
      <c r="F733" s="35">
        <v>0.39800000000000002</v>
      </c>
      <c r="G733" s="35">
        <v>2000</v>
      </c>
    </row>
    <row r="734" spans="1:7" x14ac:dyDescent="0.25">
      <c r="A734">
        <v>20221028</v>
      </c>
      <c r="B734" t="s">
        <v>770</v>
      </c>
      <c r="C734" t="s">
        <v>186</v>
      </c>
      <c r="D734" t="s">
        <v>265</v>
      </c>
      <c r="E734" s="35">
        <v>0.29899999999999999</v>
      </c>
      <c r="F734" s="35">
        <v>0.39800000000000002</v>
      </c>
      <c r="G734" s="35">
        <v>1700</v>
      </c>
    </row>
    <row r="735" spans="1:7" x14ac:dyDescent="0.25">
      <c r="A735">
        <v>20221028</v>
      </c>
      <c r="B735" t="s">
        <v>770</v>
      </c>
      <c r="C735" t="s">
        <v>186</v>
      </c>
      <c r="D735" t="s">
        <v>273</v>
      </c>
      <c r="E735" s="35">
        <v>0.29899999999999999</v>
      </c>
      <c r="F735" s="35">
        <v>0.39800000000000002</v>
      </c>
      <c r="G735" s="35">
        <v>1600</v>
      </c>
    </row>
    <row r="736" spans="1:7" x14ac:dyDescent="0.25">
      <c r="A736">
        <v>20221028</v>
      </c>
      <c r="B736" t="s">
        <v>770</v>
      </c>
      <c r="C736" t="s">
        <v>186</v>
      </c>
      <c r="D736" t="s">
        <v>279</v>
      </c>
      <c r="E736" s="35">
        <v>0.29899999999999999</v>
      </c>
      <c r="F736" s="35">
        <v>0.39800000000000002</v>
      </c>
      <c r="G736" s="35">
        <v>1500</v>
      </c>
    </row>
    <row r="737" spans="1:7" x14ac:dyDescent="0.25">
      <c r="A737">
        <v>20221028</v>
      </c>
      <c r="B737" t="s">
        <v>770</v>
      </c>
      <c r="C737" t="s">
        <v>186</v>
      </c>
      <c r="D737" t="s">
        <v>285</v>
      </c>
      <c r="E737" s="35">
        <v>0.29899999999999999</v>
      </c>
      <c r="F737" s="35">
        <v>0.39800000000000002</v>
      </c>
      <c r="G737" s="35">
        <v>1100</v>
      </c>
    </row>
    <row r="738" spans="1:7" x14ac:dyDescent="0.25">
      <c r="A738">
        <v>20221028</v>
      </c>
      <c r="B738" t="s">
        <v>770</v>
      </c>
      <c r="C738" t="s">
        <v>186</v>
      </c>
      <c r="D738" t="s">
        <v>289</v>
      </c>
      <c r="E738" s="35">
        <v>0.29899999999999999</v>
      </c>
      <c r="F738" s="35">
        <v>0.39800000000000002</v>
      </c>
      <c r="G738" s="35">
        <v>700</v>
      </c>
    </row>
    <row r="739" spans="1:7" x14ac:dyDescent="0.25">
      <c r="A739">
        <v>20221028</v>
      </c>
      <c r="B739" t="s">
        <v>770</v>
      </c>
      <c r="C739" t="s">
        <v>213</v>
      </c>
      <c r="D739" t="s">
        <v>187</v>
      </c>
      <c r="E739" s="35">
        <v>0.29899999999999999</v>
      </c>
      <c r="F739" s="35">
        <v>0.39800000000000002</v>
      </c>
      <c r="G739" s="35">
        <v>3100</v>
      </c>
    </row>
    <row r="740" spans="1:7" x14ac:dyDescent="0.25">
      <c r="A740">
        <v>20221028</v>
      </c>
      <c r="B740" t="s">
        <v>770</v>
      </c>
      <c r="C740" t="s">
        <v>213</v>
      </c>
      <c r="D740" t="s">
        <v>214</v>
      </c>
      <c r="E740" s="35">
        <v>0.29899999999999999</v>
      </c>
      <c r="F740" s="35">
        <v>0.39800000000000002</v>
      </c>
      <c r="G740" s="35">
        <v>2900</v>
      </c>
    </row>
    <row r="741" spans="1:7" x14ac:dyDescent="0.25">
      <c r="A741">
        <v>20221028</v>
      </c>
      <c r="B741" t="s">
        <v>770</v>
      </c>
      <c r="C741" t="s">
        <v>213</v>
      </c>
      <c r="D741" t="s">
        <v>233</v>
      </c>
      <c r="E741" s="35">
        <v>0.29899999999999999</v>
      </c>
      <c r="F741" s="35">
        <v>0.39800000000000002</v>
      </c>
      <c r="G741" s="35">
        <v>2600</v>
      </c>
    </row>
    <row r="742" spans="1:7" x14ac:dyDescent="0.25">
      <c r="A742">
        <v>20221028</v>
      </c>
      <c r="B742" t="s">
        <v>770</v>
      </c>
      <c r="C742" t="s">
        <v>213</v>
      </c>
      <c r="D742" t="s">
        <v>242</v>
      </c>
      <c r="E742" s="35">
        <v>0.29899999999999999</v>
      </c>
      <c r="F742" s="35">
        <v>0.39800000000000002</v>
      </c>
      <c r="G742" s="35">
        <v>2300</v>
      </c>
    </row>
    <row r="743" spans="1:7" x14ac:dyDescent="0.25">
      <c r="A743">
        <v>20221028</v>
      </c>
      <c r="B743" t="s">
        <v>770</v>
      </c>
      <c r="C743" t="s">
        <v>213</v>
      </c>
      <c r="D743" t="s">
        <v>250</v>
      </c>
      <c r="E743" s="35">
        <v>0.29899999999999999</v>
      </c>
      <c r="F743" s="35">
        <v>0.39800000000000002</v>
      </c>
      <c r="G743" s="35">
        <v>2100</v>
      </c>
    </row>
    <row r="744" spans="1:7" x14ac:dyDescent="0.25">
      <c r="A744">
        <v>20221028</v>
      </c>
      <c r="B744" t="s">
        <v>770</v>
      </c>
      <c r="C744" t="s">
        <v>213</v>
      </c>
      <c r="D744" t="s">
        <v>258</v>
      </c>
      <c r="E744" s="35">
        <v>0.29899999999999999</v>
      </c>
      <c r="F744" s="35">
        <v>0.39800000000000002</v>
      </c>
      <c r="G744" s="35">
        <v>1900</v>
      </c>
    </row>
    <row r="745" spans="1:7" x14ac:dyDescent="0.25">
      <c r="A745">
        <v>20221028</v>
      </c>
      <c r="B745" t="s">
        <v>770</v>
      </c>
      <c r="C745" t="s">
        <v>213</v>
      </c>
      <c r="D745" t="s">
        <v>265</v>
      </c>
      <c r="E745" s="35">
        <v>0.29899999999999999</v>
      </c>
      <c r="F745" s="35">
        <v>0.39800000000000002</v>
      </c>
      <c r="G745" s="35">
        <v>1600</v>
      </c>
    </row>
    <row r="746" spans="1:7" x14ac:dyDescent="0.25">
      <c r="A746">
        <v>20221028</v>
      </c>
      <c r="B746" t="s">
        <v>770</v>
      </c>
      <c r="C746" t="s">
        <v>213</v>
      </c>
      <c r="D746" t="s">
        <v>273</v>
      </c>
      <c r="E746" s="35">
        <v>0.29899999999999999</v>
      </c>
      <c r="F746" s="35">
        <v>0.39800000000000002</v>
      </c>
      <c r="G746" s="35">
        <v>1500</v>
      </c>
    </row>
    <row r="747" spans="1:7" x14ac:dyDescent="0.25">
      <c r="A747">
        <v>20221028</v>
      </c>
      <c r="B747" t="s">
        <v>770</v>
      </c>
      <c r="C747" t="s">
        <v>213</v>
      </c>
      <c r="D747" t="s">
        <v>279</v>
      </c>
      <c r="E747" s="35">
        <v>0.29899999999999999</v>
      </c>
      <c r="F747" s="35">
        <v>0.39800000000000002</v>
      </c>
      <c r="G747" s="35">
        <v>1400</v>
      </c>
    </row>
    <row r="748" spans="1:7" x14ac:dyDescent="0.25">
      <c r="A748">
        <v>20221028</v>
      </c>
      <c r="B748" t="s">
        <v>770</v>
      </c>
      <c r="C748" t="s">
        <v>213</v>
      </c>
      <c r="D748" t="s">
        <v>285</v>
      </c>
      <c r="E748" s="35">
        <v>0.29899999999999999</v>
      </c>
      <c r="F748" s="35">
        <v>0.39800000000000002</v>
      </c>
      <c r="G748" s="35">
        <v>1000</v>
      </c>
    </row>
    <row r="749" spans="1:7" x14ac:dyDescent="0.25">
      <c r="A749">
        <v>20221028</v>
      </c>
      <c r="B749" t="s">
        <v>770</v>
      </c>
      <c r="C749" t="s">
        <v>213</v>
      </c>
      <c r="D749" t="s">
        <v>289</v>
      </c>
      <c r="E749" s="35">
        <v>0.29899999999999999</v>
      </c>
      <c r="F749" s="35">
        <v>0.39800000000000002</v>
      </c>
      <c r="G749" s="35">
        <v>600</v>
      </c>
    </row>
    <row r="750" spans="1:7" x14ac:dyDescent="0.25">
      <c r="A750">
        <v>20221028</v>
      </c>
      <c r="B750" t="s">
        <v>770</v>
      </c>
      <c r="C750" t="s">
        <v>232</v>
      </c>
      <c r="D750" t="s">
        <v>187</v>
      </c>
      <c r="E750" s="35">
        <v>0.29899999999999999</v>
      </c>
      <c r="F750" s="35">
        <v>0.39800000000000002</v>
      </c>
      <c r="G750" s="35">
        <v>2900</v>
      </c>
    </row>
    <row r="751" spans="1:7" x14ac:dyDescent="0.25">
      <c r="A751">
        <v>20221028</v>
      </c>
      <c r="B751" t="s">
        <v>770</v>
      </c>
      <c r="C751" t="s">
        <v>232</v>
      </c>
      <c r="D751" t="s">
        <v>214</v>
      </c>
      <c r="E751" s="35">
        <v>0.29899999999999999</v>
      </c>
      <c r="F751" s="35">
        <v>0.39800000000000002</v>
      </c>
      <c r="G751" s="35">
        <v>2700</v>
      </c>
    </row>
    <row r="752" spans="1:7" x14ac:dyDescent="0.25">
      <c r="A752">
        <v>20221028</v>
      </c>
      <c r="B752" t="s">
        <v>770</v>
      </c>
      <c r="C752" t="s">
        <v>232</v>
      </c>
      <c r="D752" t="s">
        <v>233</v>
      </c>
      <c r="E752" s="35">
        <v>0.29899999999999999</v>
      </c>
      <c r="F752" s="35">
        <v>0.39800000000000002</v>
      </c>
      <c r="G752" s="35">
        <v>2400</v>
      </c>
    </row>
    <row r="753" spans="1:7" x14ac:dyDescent="0.25">
      <c r="A753">
        <v>20221028</v>
      </c>
      <c r="B753" t="s">
        <v>770</v>
      </c>
      <c r="C753" t="s">
        <v>232</v>
      </c>
      <c r="D753" t="s">
        <v>242</v>
      </c>
      <c r="E753" s="35">
        <v>0.29899999999999999</v>
      </c>
      <c r="F753" s="35">
        <v>0.39800000000000002</v>
      </c>
      <c r="G753" s="35">
        <v>2200</v>
      </c>
    </row>
    <row r="754" spans="1:7" x14ac:dyDescent="0.25">
      <c r="A754">
        <v>20221028</v>
      </c>
      <c r="B754" t="s">
        <v>770</v>
      </c>
      <c r="C754" t="s">
        <v>232</v>
      </c>
      <c r="D754" t="s">
        <v>250</v>
      </c>
      <c r="E754" s="35">
        <v>0.29899999999999999</v>
      </c>
      <c r="F754" s="35">
        <v>0.39800000000000002</v>
      </c>
      <c r="G754" s="35">
        <v>2000</v>
      </c>
    </row>
    <row r="755" spans="1:7" x14ac:dyDescent="0.25">
      <c r="A755">
        <v>20221028</v>
      </c>
      <c r="B755" t="s">
        <v>770</v>
      </c>
      <c r="C755" t="s">
        <v>232</v>
      </c>
      <c r="D755" t="s">
        <v>258</v>
      </c>
      <c r="E755" s="35">
        <v>0.29899999999999999</v>
      </c>
      <c r="F755" s="35">
        <v>0.39800000000000002</v>
      </c>
      <c r="G755" s="35">
        <v>1800</v>
      </c>
    </row>
    <row r="756" spans="1:7" x14ac:dyDescent="0.25">
      <c r="A756">
        <v>20221028</v>
      </c>
      <c r="B756" t="s">
        <v>770</v>
      </c>
      <c r="C756" t="s">
        <v>232</v>
      </c>
      <c r="D756" t="s">
        <v>265</v>
      </c>
      <c r="E756" s="35">
        <v>0.29899999999999999</v>
      </c>
      <c r="F756" s="35">
        <v>0.39800000000000002</v>
      </c>
      <c r="G756" s="35">
        <v>1500</v>
      </c>
    </row>
    <row r="757" spans="1:7" x14ac:dyDescent="0.25">
      <c r="A757">
        <v>20221028</v>
      </c>
      <c r="B757" t="s">
        <v>770</v>
      </c>
      <c r="C757" t="s">
        <v>232</v>
      </c>
      <c r="D757" t="s">
        <v>273</v>
      </c>
      <c r="E757" s="35">
        <v>0.29899999999999999</v>
      </c>
      <c r="F757" s="35">
        <v>0.39800000000000002</v>
      </c>
      <c r="G757" s="35">
        <v>1400</v>
      </c>
    </row>
    <row r="758" spans="1:7" x14ac:dyDescent="0.25">
      <c r="A758">
        <v>20221028</v>
      </c>
      <c r="B758" t="s">
        <v>770</v>
      </c>
      <c r="C758" t="s">
        <v>232</v>
      </c>
      <c r="D758" t="s">
        <v>279</v>
      </c>
      <c r="E758" s="35">
        <v>0.29899999999999999</v>
      </c>
      <c r="F758" s="35">
        <v>0.39800000000000002</v>
      </c>
      <c r="G758" s="35">
        <v>1300</v>
      </c>
    </row>
    <row r="759" spans="1:7" x14ac:dyDescent="0.25">
      <c r="A759">
        <v>20221028</v>
      </c>
      <c r="B759" t="s">
        <v>770</v>
      </c>
      <c r="C759" t="s">
        <v>232</v>
      </c>
      <c r="D759" t="s">
        <v>285</v>
      </c>
      <c r="E759" s="35">
        <v>0.29899999999999999</v>
      </c>
      <c r="F759" s="35">
        <v>0.39800000000000002</v>
      </c>
      <c r="G759" s="35">
        <v>1000</v>
      </c>
    </row>
    <row r="760" spans="1:7" x14ac:dyDescent="0.25">
      <c r="A760">
        <v>20221028</v>
      </c>
      <c r="B760" t="s">
        <v>770</v>
      </c>
      <c r="C760" t="s">
        <v>232</v>
      </c>
      <c r="D760" t="s">
        <v>289</v>
      </c>
      <c r="E760" s="35">
        <v>0.29899999999999999</v>
      </c>
      <c r="F760" s="35">
        <v>0.39800000000000002</v>
      </c>
      <c r="G760" s="35">
        <v>600</v>
      </c>
    </row>
    <row r="761" spans="1:7" x14ac:dyDescent="0.25">
      <c r="A761">
        <v>20221028</v>
      </c>
      <c r="B761" t="s">
        <v>770</v>
      </c>
      <c r="C761" t="s">
        <v>215</v>
      </c>
      <c r="D761" t="s">
        <v>187</v>
      </c>
      <c r="E761" s="35">
        <v>0.29899999999999999</v>
      </c>
      <c r="F761" s="35">
        <v>0.39800000000000002</v>
      </c>
      <c r="G761" s="35">
        <v>2600</v>
      </c>
    </row>
    <row r="762" spans="1:7" x14ac:dyDescent="0.25">
      <c r="A762">
        <v>20221028</v>
      </c>
      <c r="B762" t="s">
        <v>770</v>
      </c>
      <c r="C762" t="s">
        <v>215</v>
      </c>
      <c r="D762" t="s">
        <v>214</v>
      </c>
      <c r="E762" s="35">
        <v>0.29899999999999999</v>
      </c>
      <c r="F762" s="35">
        <v>0.39800000000000002</v>
      </c>
      <c r="G762" s="35">
        <v>2400</v>
      </c>
    </row>
    <row r="763" spans="1:7" x14ac:dyDescent="0.25">
      <c r="A763">
        <v>20221028</v>
      </c>
      <c r="B763" t="s">
        <v>770</v>
      </c>
      <c r="C763" t="s">
        <v>215</v>
      </c>
      <c r="D763" t="s">
        <v>233</v>
      </c>
      <c r="E763" s="35">
        <v>0.29899999999999999</v>
      </c>
      <c r="F763" s="35">
        <v>0.39800000000000002</v>
      </c>
      <c r="G763" s="35">
        <v>2200</v>
      </c>
    </row>
    <row r="764" spans="1:7" x14ac:dyDescent="0.25">
      <c r="A764">
        <v>20221028</v>
      </c>
      <c r="B764" t="s">
        <v>770</v>
      </c>
      <c r="C764" t="s">
        <v>215</v>
      </c>
      <c r="D764" t="s">
        <v>242</v>
      </c>
      <c r="E764" s="35">
        <v>0.29899999999999999</v>
      </c>
      <c r="F764" s="35">
        <v>0.39800000000000002</v>
      </c>
      <c r="G764" s="35">
        <v>2100</v>
      </c>
    </row>
    <row r="765" spans="1:7" x14ac:dyDescent="0.25">
      <c r="A765">
        <v>20221028</v>
      </c>
      <c r="B765" t="s">
        <v>770</v>
      </c>
      <c r="C765" t="s">
        <v>215</v>
      </c>
      <c r="D765" t="s">
        <v>250</v>
      </c>
      <c r="E765" s="35">
        <v>0.29899999999999999</v>
      </c>
      <c r="F765" s="35">
        <v>0.39800000000000002</v>
      </c>
      <c r="G765" s="35">
        <v>1900</v>
      </c>
    </row>
    <row r="766" spans="1:7" x14ac:dyDescent="0.25">
      <c r="A766">
        <v>20221028</v>
      </c>
      <c r="B766" t="s">
        <v>770</v>
      </c>
      <c r="C766" t="s">
        <v>215</v>
      </c>
      <c r="D766" t="s">
        <v>258</v>
      </c>
      <c r="E766" s="35">
        <v>0.29899999999999999</v>
      </c>
      <c r="F766" s="35">
        <v>0.39800000000000002</v>
      </c>
      <c r="G766" s="35">
        <v>1700</v>
      </c>
    </row>
    <row r="767" spans="1:7" x14ac:dyDescent="0.25">
      <c r="A767">
        <v>20221028</v>
      </c>
      <c r="B767" t="s">
        <v>770</v>
      </c>
      <c r="C767" t="s">
        <v>215</v>
      </c>
      <c r="D767" t="s">
        <v>265</v>
      </c>
      <c r="E767" s="35">
        <v>0.29899999999999999</v>
      </c>
      <c r="F767" s="35">
        <v>0.39800000000000002</v>
      </c>
      <c r="G767" s="35">
        <v>1400</v>
      </c>
    </row>
    <row r="768" spans="1:7" x14ac:dyDescent="0.25">
      <c r="A768">
        <v>20221028</v>
      </c>
      <c r="B768" t="s">
        <v>770</v>
      </c>
      <c r="C768" t="s">
        <v>215</v>
      </c>
      <c r="D768" t="s">
        <v>273</v>
      </c>
      <c r="E768" s="35">
        <v>0.29899999999999999</v>
      </c>
      <c r="F768" s="35">
        <v>0.39800000000000002</v>
      </c>
      <c r="G768" s="35">
        <v>1300</v>
      </c>
    </row>
    <row r="769" spans="1:7" x14ac:dyDescent="0.25">
      <c r="A769">
        <v>20221028</v>
      </c>
      <c r="B769" t="s">
        <v>770</v>
      </c>
      <c r="C769" t="s">
        <v>215</v>
      </c>
      <c r="D769" t="s">
        <v>279</v>
      </c>
      <c r="E769" s="35">
        <v>0.29899999999999999</v>
      </c>
      <c r="F769" s="35">
        <v>0.39800000000000002</v>
      </c>
      <c r="G769" s="35">
        <v>1200</v>
      </c>
    </row>
    <row r="770" spans="1:7" x14ac:dyDescent="0.25">
      <c r="A770">
        <v>20221028</v>
      </c>
      <c r="B770" t="s">
        <v>770</v>
      </c>
      <c r="C770" t="s">
        <v>215</v>
      </c>
      <c r="D770" t="s">
        <v>285</v>
      </c>
      <c r="E770" s="35">
        <v>0.29899999999999999</v>
      </c>
      <c r="F770" s="35">
        <v>0.39800000000000002</v>
      </c>
      <c r="G770" s="35">
        <v>900</v>
      </c>
    </row>
    <row r="771" spans="1:7" x14ac:dyDescent="0.25">
      <c r="A771">
        <v>20221028</v>
      </c>
      <c r="B771" t="s">
        <v>770</v>
      </c>
      <c r="C771" t="s">
        <v>215</v>
      </c>
      <c r="D771" t="s">
        <v>289</v>
      </c>
      <c r="E771" s="35">
        <v>0.29899999999999999</v>
      </c>
      <c r="F771" s="35">
        <v>0.39800000000000002</v>
      </c>
      <c r="G771" s="35">
        <v>500</v>
      </c>
    </row>
    <row r="772" spans="1:7" x14ac:dyDescent="0.25">
      <c r="A772">
        <v>20221028</v>
      </c>
      <c r="B772" t="s">
        <v>770</v>
      </c>
      <c r="C772" t="s">
        <v>249</v>
      </c>
      <c r="D772" t="s">
        <v>187</v>
      </c>
      <c r="E772" s="35">
        <v>0.29899999999999999</v>
      </c>
      <c r="F772" s="35">
        <v>0.39800000000000002</v>
      </c>
      <c r="G772" s="35">
        <v>2300</v>
      </c>
    </row>
    <row r="773" spans="1:7" x14ac:dyDescent="0.25">
      <c r="A773">
        <v>20221028</v>
      </c>
      <c r="B773" t="s">
        <v>770</v>
      </c>
      <c r="C773" t="s">
        <v>249</v>
      </c>
      <c r="D773" t="s">
        <v>214</v>
      </c>
      <c r="E773" s="35">
        <v>0.29899999999999999</v>
      </c>
      <c r="F773" s="35">
        <v>0.39800000000000002</v>
      </c>
      <c r="G773" s="35">
        <v>2200</v>
      </c>
    </row>
    <row r="774" spans="1:7" x14ac:dyDescent="0.25">
      <c r="A774">
        <v>20221028</v>
      </c>
      <c r="B774" t="s">
        <v>770</v>
      </c>
      <c r="C774" t="s">
        <v>249</v>
      </c>
      <c r="D774" t="s">
        <v>233</v>
      </c>
      <c r="E774" s="35">
        <v>0.29899999999999999</v>
      </c>
      <c r="F774" s="35">
        <v>0.39800000000000002</v>
      </c>
      <c r="G774" s="35">
        <v>2100</v>
      </c>
    </row>
    <row r="775" spans="1:7" x14ac:dyDescent="0.25">
      <c r="A775">
        <v>20221028</v>
      </c>
      <c r="B775" t="s">
        <v>770</v>
      </c>
      <c r="C775" t="s">
        <v>249</v>
      </c>
      <c r="D775" t="s">
        <v>242</v>
      </c>
      <c r="E775" s="35">
        <v>0.29899999999999999</v>
      </c>
      <c r="F775" s="35">
        <v>0.39800000000000002</v>
      </c>
      <c r="G775" s="35">
        <v>2000</v>
      </c>
    </row>
    <row r="776" spans="1:7" x14ac:dyDescent="0.25">
      <c r="A776">
        <v>20221028</v>
      </c>
      <c r="B776" t="s">
        <v>770</v>
      </c>
      <c r="C776" t="s">
        <v>249</v>
      </c>
      <c r="D776" t="s">
        <v>250</v>
      </c>
      <c r="E776" s="35">
        <v>0.29899999999999999</v>
      </c>
      <c r="F776" s="35">
        <v>0.39800000000000002</v>
      </c>
      <c r="G776" s="35">
        <v>1800</v>
      </c>
    </row>
    <row r="777" spans="1:7" x14ac:dyDescent="0.25">
      <c r="A777">
        <v>20221028</v>
      </c>
      <c r="B777" t="s">
        <v>770</v>
      </c>
      <c r="C777" t="s">
        <v>249</v>
      </c>
      <c r="D777" t="s">
        <v>258</v>
      </c>
      <c r="E777" s="35">
        <v>0.29899999999999999</v>
      </c>
      <c r="F777" s="35">
        <v>0.39800000000000002</v>
      </c>
      <c r="G777" s="35">
        <v>1600</v>
      </c>
    </row>
    <row r="778" spans="1:7" x14ac:dyDescent="0.25">
      <c r="A778">
        <v>20221028</v>
      </c>
      <c r="B778" t="s">
        <v>770</v>
      </c>
      <c r="C778" t="s">
        <v>249</v>
      </c>
      <c r="D778" t="s">
        <v>265</v>
      </c>
      <c r="E778" s="35">
        <v>0.29899999999999999</v>
      </c>
      <c r="F778" s="35">
        <v>0.39800000000000002</v>
      </c>
      <c r="G778" s="35">
        <v>1300</v>
      </c>
    </row>
    <row r="779" spans="1:7" x14ac:dyDescent="0.25">
      <c r="A779">
        <v>20221028</v>
      </c>
      <c r="B779" t="s">
        <v>770</v>
      </c>
      <c r="C779" t="s">
        <v>249</v>
      </c>
      <c r="D779" t="s">
        <v>273</v>
      </c>
      <c r="E779" s="35">
        <v>0.29899999999999999</v>
      </c>
      <c r="F779" s="35">
        <v>0.39800000000000002</v>
      </c>
      <c r="G779" s="35">
        <v>1200</v>
      </c>
    </row>
    <row r="780" spans="1:7" x14ac:dyDescent="0.25">
      <c r="A780">
        <v>20221028</v>
      </c>
      <c r="B780" t="s">
        <v>770</v>
      </c>
      <c r="C780" t="s">
        <v>249</v>
      </c>
      <c r="D780" t="s">
        <v>279</v>
      </c>
      <c r="E780" s="35">
        <v>0.29899999999999999</v>
      </c>
      <c r="F780" s="35">
        <v>0.39800000000000002</v>
      </c>
      <c r="G780" s="35">
        <v>1100</v>
      </c>
    </row>
    <row r="781" spans="1:7" x14ac:dyDescent="0.25">
      <c r="A781">
        <v>20221028</v>
      </c>
      <c r="B781" t="s">
        <v>770</v>
      </c>
      <c r="C781" t="s">
        <v>249</v>
      </c>
      <c r="D781" t="s">
        <v>285</v>
      </c>
      <c r="E781" s="35">
        <v>0.29899999999999999</v>
      </c>
      <c r="F781" s="35">
        <v>0.39800000000000002</v>
      </c>
      <c r="G781" s="35">
        <v>800</v>
      </c>
    </row>
    <row r="782" spans="1:7" x14ac:dyDescent="0.25">
      <c r="A782">
        <v>20221028</v>
      </c>
      <c r="B782" t="s">
        <v>770</v>
      </c>
      <c r="C782" t="s">
        <v>249</v>
      </c>
      <c r="D782" t="s">
        <v>289</v>
      </c>
      <c r="E782" s="35">
        <v>0.29899999999999999</v>
      </c>
      <c r="F782" s="35">
        <v>0.39800000000000002</v>
      </c>
      <c r="G782" s="35">
        <v>500</v>
      </c>
    </row>
    <row r="783" spans="1:7" x14ac:dyDescent="0.25">
      <c r="A783">
        <v>20221028</v>
      </c>
      <c r="B783" t="s">
        <v>770</v>
      </c>
      <c r="C783" t="s">
        <v>257</v>
      </c>
      <c r="D783" t="s">
        <v>187</v>
      </c>
      <c r="E783" s="35">
        <v>0.29899999999999999</v>
      </c>
      <c r="F783" s="35">
        <v>0.39800000000000002</v>
      </c>
      <c r="G783" s="35">
        <v>2100</v>
      </c>
    </row>
    <row r="784" spans="1:7" x14ac:dyDescent="0.25">
      <c r="A784">
        <v>20221028</v>
      </c>
      <c r="B784" t="s">
        <v>770</v>
      </c>
      <c r="C784" t="s">
        <v>257</v>
      </c>
      <c r="D784" t="s">
        <v>214</v>
      </c>
      <c r="E784" s="35">
        <v>0.29899999999999999</v>
      </c>
      <c r="F784" s="35">
        <v>0.39800000000000002</v>
      </c>
      <c r="G784" s="35">
        <v>2000</v>
      </c>
    </row>
    <row r="785" spans="1:7" x14ac:dyDescent="0.25">
      <c r="A785">
        <v>20221028</v>
      </c>
      <c r="B785" t="s">
        <v>770</v>
      </c>
      <c r="C785" t="s">
        <v>257</v>
      </c>
      <c r="D785" t="s">
        <v>233</v>
      </c>
      <c r="E785" s="35">
        <v>0.29899999999999999</v>
      </c>
      <c r="F785" s="35">
        <v>0.39800000000000002</v>
      </c>
      <c r="G785" s="35">
        <v>1900</v>
      </c>
    </row>
    <row r="786" spans="1:7" x14ac:dyDescent="0.25">
      <c r="A786">
        <v>20221028</v>
      </c>
      <c r="B786" t="s">
        <v>770</v>
      </c>
      <c r="C786" t="s">
        <v>257</v>
      </c>
      <c r="D786" t="s">
        <v>242</v>
      </c>
      <c r="E786" s="35">
        <v>0.29899999999999999</v>
      </c>
      <c r="F786" s="35">
        <v>0.39800000000000002</v>
      </c>
      <c r="G786" s="35">
        <v>1800</v>
      </c>
    </row>
    <row r="787" spans="1:7" x14ac:dyDescent="0.25">
      <c r="A787">
        <v>20221028</v>
      </c>
      <c r="B787" t="s">
        <v>770</v>
      </c>
      <c r="C787" t="s">
        <v>257</v>
      </c>
      <c r="D787" t="s">
        <v>250</v>
      </c>
      <c r="E787" s="35">
        <v>0.29899999999999999</v>
      </c>
      <c r="F787" s="35">
        <v>0.39800000000000002</v>
      </c>
      <c r="G787" s="35">
        <v>1600</v>
      </c>
    </row>
    <row r="788" spans="1:7" x14ac:dyDescent="0.25">
      <c r="A788">
        <v>20221028</v>
      </c>
      <c r="B788" t="s">
        <v>770</v>
      </c>
      <c r="C788" t="s">
        <v>257</v>
      </c>
      <c r="D788" t="s">
        <v>258</v>
      </c>
      <c r="E788" s="35">
        <v>0.29899999999999999</v>
      </c>
      <c r="F788" s="35">
        <v>0.39800000000000002</v>
      </c>
      <c r="G788" s="35">
        <v>1400</v>
      </c>
    </row>
    <row r="789" spans="1:7" x14ac:dyDescent="0.25">
      <c r="A789">
        <v>20221028</v>
      </c>
      <c r="B789" t="s">
        <v>770</v>
      </c>
      <c r="C789" t="s">
        <v>257</v>
      </c>
      <c r="D789" t="s">
        <v>265</v>
      </c>
      <c r="E789" s="35">
        <v>0.29899999999999999</v>
      </c>
      <c r="F789" s="35">
        <v>0.39800000000000002</v>
      </c>
      <c r="G789" s="35">
        <v>1200</v>
      </c>
    </row>
    <row r="790" spans="1:7" x14ac:dyDescent="0.25">
      <c r="A790">
        <v>20221028</v>
      </c>
      <c r="B790" t="s">
        <v>770</v>
      </c>
      <c r="C790" t="s">
        <v>257</v>
      </c>
      <c r="D790" t="s">
        <v>273</v>
      </c>
      <c r="E790" s="35">
        <v>0.29899999999999999</v>
      </c>
      <c r="F790" s="35">
        <v>0.39800000000000002</v>
      </c>
      <c r="G790" s="35">
        <v>1000</v>
      </c>
    </row>
    <row r="791" spans="1:7" x14ac:dyDescent="0.25">
      <c r="A791">
        <v>20221028</v>
      </c>
      <c r="B791" t="s">
        <v>770</v>
      </c>
      <c r="C791" t="s">
        <v>257</v>
      </c>
      <c r="D791" t="s">
        <v>279</v>
      </c>
      <c r="E791" s="35">
        <v>0.29899999999999999</v>
      </c>
      <c r="F791" s="35">
        <v>0.39800000000000002</v>
      </c>
      <c r="G791" s="35">
        <v>900</v>
      </c>
    </row>
    <row r="792" spans="1:7" x14ac:dyDescent="0.25">
      <c r="A792">
        <v>20221028</v>
      </c>
      <c r="B792" t="s">
        <v>770</v>
      </c>
      <c r="C792" t="s">
        <v>257</v>
      </c>
      <c r="D792" t="s">
        <v>285</v>
      </c>
      <c r="E792" s="35">
        <v>0.29899999999999999</v>
      </c>
      <c r="F792" s="35">
        <v>0.39800000000000002</v>
      </c>
      <c r="G792" s="35">
        <v>700</v>
      </c>
    </row>
    <row r="793" spans="1:7" x14ac:dyDescent="0.25">
      <c r="A793">
        <v>20221028</v>
      </c>
      <c r="B793" t="s">
        <v>770</v>
      </c>
      <c r="C793" t="s">
        <v>257</v>
      </c>
      <c r="D793" t="s">
        <v>289</v>
      </c>
      <c r="E793" s="35">
        <v>0.29899999999999999</v>
      </c>
      <c r="F793" s="35">
        <v>0.39800000000000002</v>
      </c>
      <c r="G793" s="35">
        <v>500</v>
      </c>
    </row>
    <row r="794" spans="1:7" x14ac:dyDescent="0.25">
      <c r="A794">
        <v>20221028</v>
      </c>
      <c r="B794" t="s">
        <v>770</v>
      </c>
      <c r="C794" t="s">
        <v>264</v>
      </c>
      <c r="D794" t="s">
        <v>187</v>
      </c>
      <c r="E794" s="35">
        <v>0.29899999999999999</v>
      </c>
      <c r="F794" s="35">
        <v>0.39800000000000002</v>
      </c>
      <c r="G794" s="35">
        <v>1800</v>
      </c>
    </row>
    <row r="795" spans="1:7" x14ac:dyDescent="0.25">
      <c r="A795">
        <v>20221028</v>
      </c>
      <c r="B795" t="s">
        <v>770</v>
      </c>
      <c r="C795" t="s">
        <v>264</v>
      </c>
      <c r="D795" t="s">
        <v>214</v>
      </c>
      <c r="E795" s="35">
        <v>0.29899999999999999</v>
      </c>
      <c r="F795" s="35">
        <v>0.39800000000000002</v>
      </c>
      <c r="G795" s="35">
        <v>1700</v>
      </c>
    </row>
    <row r="796" spans="1:7" x14ac:dyDescent="0.25">
      <c r="A796">
        <v>20221028</v>
      </c>
      <c r="B796" t="s">
        <v>770</v>
      </c>
      <c r="C796" t="s">
        <v>264</v>
      </c>
      <c r="D796" t="s">
        <v>233</v>
      </c>
      <c r="E796" s="35">
        <v>0.29899999999999999</v>
      </c>
      <c r="F796" s="35">
        <v>0.39800000000000002</v>
      </c>
      <c r="G796" s="35">
        <v>1600</v>
      </c>
    </row>
    <row r="797" spans="1:7" x14ac:dyDescent="0.25">
      <c r="A797">
        <v>20221028</v>
      </c>
      <c r="B797" t="s">
        <v>770</v>
      </c>
      <c r="C797" t="s">
        <v>264</v>
      </c>
      <c r="D797" t="s">
        <v>242</v>
      </c>
      <c r="E797" s="35">
        <v>0.29899999999999999</v>
      </c>
      <c r="F797" s="35">
        <v>0.39800000000000002</v>
      </c>
      <c r="G797" s="35">
        <v>1500</v>
      </c>
    </row>
    <row r="798" spans="1:7" x14ac:dyDescent="0.25">
      <c r="A798">
        <v>20221028</v>
      </c>
      <c r="B798" t="s">
        <v>770</v>
      </c>
      <c r="C798" t="s">
        <v>264</v>
      </c>
      <c r="D798" t="s">
        <v>250</v>
      </c>
      <c r="E798" s="35">
        <v>0.29899999999999999</v>
      </c>
      <c r="F798" s="35">
        <v>0.39800000000000002</v>
      </c>
      <c r="G798" s="35">
        <v>1400</v>
      </c>
    </row>
    <row r="799" spans="1:7" x14ac:dyDescent="0.25">
      <c r="A799">
        <v>20221028</v>
      </c>
      <c r="B799" t="s">
        <v>770</v>
      </c>
      <c r="C799" t="s">
        <v>264</v>
      </c>
      <c r="D799" t="s">
        <v>258</v>
      </c>
      <c r="E799" s="35">
        <v>0.29899999999999999</v>
      </c>
      <c r="F799" s="35">
        <v>0.39800000000000002</v>
      </c>
      <c r="G799" s="35">
        <v>1300</v>
      </c>
    </row>
    <row r="800" spans="1:7" x14ac:dyDescent="0.25">
      <c r="A800">
        <v>20221028</v>
      </c>
      <c r="B800" t="s">
        <v>770</v>
      </c>
      <c r="C800" t="s">
        <v>264</v>
      </c>
      <c r="D800" t="s">
        <v>265</v>
      </c>
      <c r="E800" s="35">
        <v>0.29899999999999999</v>
      </c>
      <c r="F800" s="35">
        <v>0.39800000000000002</v>
      </c>
      <c r="G800" s="35">
        <v>1100</v>
      </c>
    </row>
    <row r="801" spans="1:7" x14ac:dyDescent="0.25">
      <c r="A801">
        <v>20221028</v>
      </c>
      <c r="B801" t="s">
        <v>770</v>
      </c>
      <c r="C801" t="s">
        <v>264</v>
      </c>
      <c r="D801" t="s">
        <v>273</v>
      </c>
      <c r="E801" s="35">
        <v>0.29899999999999999</v>
      </c>
      <c r="F801" s="35">
        <v>0.39800000000000002</v>
      </c>
      <c r="G801" s="35">
        <v>900</v>
      </c>
    </row>
    <row r="802" spans="1:7" x14ac:dyDescent="0.25">
      <c r="A802">
        <v>20221028</v>
      </c>
      <c r="B802" t="s">
        <v>770</v>
      </c>
      <c r="C802" t="s">
        <v>264</v>
      </c>
      <c r="D802" t="s">
        <v>279</v>
      </c>
      <c r="E802" s="35">
        <v>0.29899999999999999</v>
      </c>
      <c r="F802" s="35">
        <v>0.39800000000000002</v>
      </c>
      <c r="G802" s="35">
        <v>800</v>
      </c>
    </row>
    <row r="803" spans="1:7" x14ac:dyDescent="0.25">
      <c r="A803">
        <v>20221028</v>
      </c>
      <c r="B803" t="s">
        <v>770</v>
      </c>
      <c r="C803" t="s">
        <v>264</v>
      </c>
      <c r="D803" t="s">
        <v>285</v>
      </c>
      <c r="E803" s="35">
        <v>0.29899999999999999</v>
      </c>
      <c r="F803" s="35">
        <v>0.39800000000000002</v>
      </c>
      <c r="G803" s="35">
        <v>700</v>
      </c>
    </row>
    <row r="804" spans="1:7" x14ac:dyDescent="0.25">
      <c r="A804">
        <v>20221028</v>
      </c>
      <c r="B804" t="s">
        <v>770</v>
      </c>
      <c r="C804" t="s">
        <v>264</v>
      </c>
      <c r="D804" t="s">
        <v>289</v>
      </c>
      <c r="E804" s="35">
        <v>0.29899999999999999</v>
      </c>
      <c r="F804" s="35">
        <v>0.39800000000000002</v>
      </c>
      <c r="G804" s="35">
        <v>400</v>
      </c>
    </row>
    <row r="805" spans="1:7" x14ac:dyDescent="0.25">
      <c r="A805">
        <v>20221028</v>
      </c>
      <c r="B805" t="s">
        <v>770</v>
      </c>
      <c r="C805" t="s">
        <v>272</v>
      </c>
      <c r="D805" t="s">
        <v>187</v>
      </c>
      <c r="E805" s="35">
        <v>0.29899999999999999</v>
      </c>
      <c r="F805" s="35">
        <v>0.39800000000000002</v>
      </c>
      <c r="G805" s="35">
        <v>1600</v>
      </c>
    </row>
    <row r="806" spans="1:7" x14ac:dyDescent="0.25">
      <c r="A806">
        <v>20221028</v>
      </c>
      <c r="B806" t="s">
        <v>770</v>
      </c>
      <c r="C806" t="s">
        <v>272</v>
      </c>
      <c r="D806" t="s">
        <v>214</v>
      </c>
      <c r="E806" s="35">
        <v>0.29899999999999999</v>
      </c>
      <c r="F806" s="35">
        <v>0.39800000000000002</v>
      </c>
      <c r="G806" s="35">
        <v>1500</v>
      </c>
    </row>
    <row r="807" spans="1:7" x14ac:dyDescent="0.25">
      <c r="A807">
        <v>20221028</v>
      </c>
      <c r="B807" t="s">
        <v>770</v>
      </c>
      <c r="C807" t="s">
        <v>272</v>
      </c>
      <c r="D807" t="s">
        <v>233</v>
      </c>
      <c r="E807" s="35">
        <v>0.29899999999999999</v>
      </c>
      <c r="F807" s="35">
        <v>0.39800000000000002</v>
      </c>
      <c r="G807" s="35">
        <v>1400</v>
      </c>
    </row>
    <row r="808" spans="1:7" x14ac:dyDescent="0.25">
      <c r="A808">
        <v>20221028</v>
      </c>
      <c r="B808" t="s">
        <v>770</v>
      </c>
      <c r="C808" t="s">
        <v>272</v>
      </c>
      <c r="D808" t="s">
        <v>242</v>
      </c>
      <c r="E808" s="35">
        <v>0.29899999999999999</v>
      </c>
      <c r="F808" s="35">
        <v>0.39800000000000002</v>
      </c>
      <c r="G808" s="35">
        <v>1300</v>
      </c>
    </row>
    <row r="809" spans="1:7" x14ac:dyDescent="0.25">
      <c r="A809">
        <v>20221028</v>
      </c>
      <c r="B809" t="s">
        <v>770</v>
      </c>
      <c r="C809" t="s">
        <v>272</v>
      </c>
      <c r="D809" t="s">
        <v>250</v>
      </c>
      <c r="E809" s="35">
        <v>0.29899999999999999</v>
      </c>
      <c r="F809" s="35">
        <v>0.39800000000000002</v>
      </c>
      <c r="G809" s="35">
        <v>1200</v>
      </c>
    </row>
    <row r="810" spans="1:7" x14ac:dyDescent="0.25">
      <c r="A810">
        <v>20221028</v>
      </c>
      <c r="B810" t="s">
        <v>770</v>
      </c>
      <c r="C810" t="s">
        <v>272</v>
      </c>
      <c r="D810" t="s">
        <v>258</v>
      </c>
      <c r="E810" s="35">
        <v>0.29899999999999999</v>
      </c>
      <c r="F810" s="35">
        <v>0.39800000000000002</v>
      </c>
      <c r="G810" s="35">
        <v>1100</v>
      </c>
    </row>
    <row r="811" spans="1:7" x14ac:dyDescent="0.25">
      <c r="A811">
        <v>20221028</v>
      </c>
      <c r="B811" t="s">
        <v>770</v>
      </c>
      <c r="C811" t="s">
        <v>272</v>
      </c>
      <c r="D811" t="s">
        <v>265</v>
      </c>
      <c r="E811" s="35">
        <v>0.29899999999999999</v>
      </c>
      <c r="F811" s="35">
        <v>0.39800000000000002</v>
      </c>
      <c r="G811" s="35">
        <v>900</v>
      </c>
    </row>
    <row r="812" spans="1:7" x14ac:dyDescent="0.25">
      <c r="A812">
        <v>20221028</v>
      </c>
      <c r="B812" t="s">
        <v>770</v>
      </c>
      <c r="C812" t="s">
        <v>272</v>
      </c>
      <c r="D812" t="s">
        <v>273</v>
      </c>
      <c r="E812" s="35">
        <v>0.29899999999999999</v>
      </c>
      <c r="F812" s="35">
        <v>0.39800000000000002</v>
      </c>
      <c r="G812" s="35">
        <v>800</v>
      </c>
    </row>
    <row r="813" spans="1:7" x14ac:dyDescent="0.25">
      <c r="A813">
        <v>20221028</v>
      </c>
      <c r="B813" t="s">
        <v>770</v>
      </c>
      <c r="C813" t="s">
        <v>272</v>
      </c>
      <c r="D813" t="s">
        <v>279</v>
      </c>
      <c r="E813" s="35">
        <v>0.29899999999999999</v>
      </c>
      <c r="F813" s="35">
        <v>0.39800000000000002</v>
      </c>
      <c r="G813" s="35">
        <v>700</v>
      </c>
    </row>
    <row r="814" spans="1:7" x14ac:dyDescent="0.25">
      <c r="A814">
        <v>20221028</v>
      </c>
      <c r="B814" t="s">
        <v>770</v>
      </c>
      <c r="C814" t="s">
        <v>272</v>
      </c>
      <c r="D814" t="s">
        <v>285</v>
      </c>
      <c r="E814" s="35">
        <v>0.29899999999999999</v>
      </c>
      <c r="F814" s="35">
        <v>0.39800000000000002</v>
      </c>
      <c r="G814" s="35">
        <v>600</v>
      </c>
    </row>
    <row r="815" spans="1:7" x14ac:dyDescent="0.25">
      <c r="A815">
        <v>20221028</v>
      </c>
      <c r="B815" t="s">
        <v>770</v>
      </c>
      <c r="C815" t="s">
        <v>272</v>
      </c>
      <c r="D815" t="s">
        <v>289</v>
      </c>
      <c r="E815" s="35">
        <v>0.29899999999999999</v>
      </c>
      <c r="F815" s="35">
        <v>0.39800000000000002</v>
      </c>
      <c r="G815" s="35">
        <v>400</v>
      </c>
    </row>
    <row r="816" spans="1:7" x14ac:dyDescent="0.25">
      <c r="A816">
        <v>20221028</v>
      </c>
      <c r="B816" t="s">
        <v>770</v>
      </c>
      <c r="C816" t="s">
        <v>278</v>
      </c>
      <c r="D816" t="s">
        <v>187</v>
      </c>
      <c r="E816" s="35">
        <v>0.29899999999999999</v>
      </c>
      <c r="F816" s="35">
        <v>0.39800000000000002</v>
      </c>
      <c r="G816" s="35">
        <v>1400</v>
      </c>
    </row>
    <row r="817" spans="1:7" x14ac:dyDescent="0.25">
      <c r="A817">
        <v>20221028</v>
      </c>
      <c r="B817" t="s">
        <v>770</v>
      </c>
      <c r="C817" t="s">
        <v>278</v>
      </c>
      <c r="D817" t="s">
        <v>214</v>
      </c>
      <c r="E817" s="35">
        <v>0.29899999999999999</v>
      </c>
      <c r="F817" s="35">
        <v>0.39800000000000002</v>
      </c>
      <c r="G817" s="35">
        <v>1300</v>
      </c>
    </row>
    <row r="818" spans="1:7" x14ac:dyDescent="0.25">
      <c r="A818">
        <v>20221028</v>
      </c>
      <c r="B818" t="s">
        <v>770</v>
      </c>
      <c r="C818" t="s">
        <v>278</v>
      </c>
      <c r="D818" t="s">
        <v>233</v>
      </c>
      <c r="E818" s="35">
        <v>0.29899999999999999</v>
      </c>
      <c r="F818" s="35">
        <v>0.39800000000000002</v>
      </c>
      <c r="G818" s="35">
        <v>1200</v>
      </c>
    </row>
    <row r="819" spans="1:7" x14ac:dyDescent="0.25">
      <c r="A819">
        <v>20221028</v>
      </c>
      <c r="B819" t="s">
        <v>770</v>
      </c>
      <c r="C819" t="s">
        <v>278</v>
      </c>
      <c r="D819" t="s">
        <v>242</v>
      </c>
      <c r="E819" s="35">
        <v>0.29899999999999999</v>
      </c>
      <c r="F819" s="35">
        <v>0.39800000000000002</v>
      </c>
      <c r="G819" s="35">
        <v>1100</v>
      </c>
    </row>
    <row r="820" spans="1:7" x14ac:dyDescent="0.25">
      <c r="A820">
        <v>20221028</v>
      </c>
      <c r="B820" t="s">
        <v>770</v>
      </c>
      <c r="C820" t="s">
        <v>278</v>
      </c>
      <c r="D820" t="s">
        <v>250</v>
      </c>
      <c r="E820" s="35">
        <v>0.29899999999999999</v>
      </c>
      <c r="F820" s="35">
        <v>0.39800000000000002</v>
      </c>
      <c r="G820" s="35">
        <v>1000</v>
      </c>
    </row>
    <row r="821" spans="1:7" x14ac:dyDescent="0.25">
      <c r="A821">
        <v>20221028</v>
      </c>
      <c r="B821" t="s">
        <v>770</v>
      </c>
      <c r="C821" t="s">
        <v>278</v>
      </c>
      <c r="D821" t="s">
        <v>258</v>
      </c>
      <c r="E821" s="35">
        <v>0.29899999999999999</v>
      </c>
      <c r="F821" s="35">
        <v>0.39800000000000002</v>
      </c>
      <c r="G821" s="35">
        <v>900</v>
      </c>
    </row>
    <row r="822" spans="1:7" x14ac:dyDescent="0.25">
      <c r="A822">
        <v>20221028</v>
      </c>
      <c r="B822" t="s">
        <v>770</v>
      </c>
      <c r="C822" t="s">
        <v>278</v>
      </c>
      <c r="D822" t="s">
        <v>265</v>
      </c>
      <c r="E822" s="35">
        <v>0.29899999999999999</v>
      </c>
      <c r="F822" s="35">
        <v>0.39800000000000002</v>
      </c>
      <c r="G822" s="35">
        <v>800</v>
      </c>
    </row>
    <row r="823" spans="1:7" x14ac:dyDescent="0.25">
      <c r="A823">
        <v>20221028</v>
      </c>
      <c r="B823" t="s">
        <v>770</v>
      </c>
      <c r="C823" t="s">
        <v>278</v>
      </c>
      <c r="D823" t="s">
        <v>273</v>
      </c>
      <c r="E823" s="35">
        <v>0.29899999999999999</v>
      </c>
      <c r="F823" s="35">
        <v>0.39800000000000002</v>
      </c>
      <c r="G823" s="35">
        <v>700</v>
      </c>
    </row>
    <row r="824" spans="1:7" x14ac:dyDescent="0.25">
      <c r="A824">
        <v>20221028</v>
      </c>
      <c r="B824" t="s">
        <v>770</v>
      </c>
      <c r="C824" t="s">
        <v>278</v>
      </c>
      <c r="D824" t="s">
        <v>279</v>
      </c>
      <c r="E824" s="35">
        <v>0.29899999999999999</v>
      </c>
      <c r="F824" s="35">
        <v>0.39800000000000002</v>
      </c>
      <c r="G824" s="35">
        <v>600</v>
      </c>
    </row>
    <row r="825" spans="1:7" x14ac:dyDescent="0.25">
      <c r="A825">
        <v>20221028</v>
      </c>
      <c r="B825" t="s">
        <v>770</v>
      </c>
      <c r="C825" t="s">
        <v>278</v>
      </c>
      <c r="D825" t="s">
        <v>285</v>
      </c>
      <c r="E825" s="35">
        <v>0.29899999999999999</v>
      </c>
      <c r="F825" s="35">
        <v>0.39800000000000002</v>
      </c>
      <c r="G825" s="35">
        <v>500</v>
      </c>
    </row>
    <row r="826" spans="1:7" x14ac:dyDescent="0.25">
      <c r="A826">
        <v>20221028</v>
      </c>
      <c r="B826" t="s">
        <v>770</v>
      </c>
      <c r="C826" t="s">
        <v>278</v>
      </c>
      <c r="D826" t="s">
        <v>289</v>
      </c>
      <c r="E826" s="35">
        <v>0.29899999999999999</v>
      </c>
      <c r="F826" s="35">
        <v>0.39800000000000002</v>
      </c>
      <c r="G826" s="35">
        <v>300</v>
      </c>
    </row>
    <row r="827" spans="1:7" x14ac:dyDescent="0.25">
      <c r="A827">
        <v>20221028</v>
      </c>
      <c r="B827" t="s">
        <v>770</v>
      </c>
      <c r="C827" t="s">
        <v>284</v>
      </c>
      <c r="D827" t="s">
        <v>187</v>
      </c>
      <c r="E827" s="35">
        <v>0.29899999999999999</v>
      </c>
      <c r="F827" s="35">
        <v>0.39800000000000002</v>
      </c>
      <c r="G827" s="35">
        <v>1200</v>
      </c>
    </row>
    <row r="828" spans="1:7" x14ac:dyDescent="0.25">
      <c r="A828">
        <v>20221028</v>
      </c>
      <c r="B828" t="s">
        <v>770</v>
      </c>
      <c r="C828" t="s">
        <v>284</v>
      </c>
      <c r="D828" t="s">
        <v>214</v>
      </c>
      <c r="E828" s="35">
        <v>0.29899999999999999</v>
      </c>
      <c r="F828" s="35">
        <v>0.39800000000000002</v>
      </c>
      <c r="G828" s="35">
        <v>1100</v>
      </c>
    </row>
    <row r="829" spans="1:7" x14ac:dyDescent="0.25">
      <c r="A829">
        <v>20221028</v>
      </c>
      <c r="B829" t="s">
        <v>770</v>
      </c>
      <c r="C829" t="s">
        <v>284</v>
      </c>
      <c r="D829" t="s">
        <v>233</v>
      </c>
      <c r="E829" s="35">
        <v>0.29899999999999999</v>
      </c>
      <c r="F829" s="35">
        <v>0.39800000000000002</v>
      </c>
      <c r="G829" s="35">
        <v>1000</v>
      </c>
    </row>
    <row r="830" spans="1:7" x14ac:dyDescent="0.25">
      <c r="A830">
        <v>20221028</v>
      </c>
      <c r="B830" t="s">
        <v>770</v>
      </c>
      <c r="C830" t="s">
        <v>284</v>
      </c>
      <c r="D830" t="s">
        <v>242</v>
      </c>
      <c r="E830" s="35">
        <v>0.29899999999999999</v>
      </c>
      <c r="F830" s="35">
        <v>0.39800000000000002</v>
      </c>
      <c r="G830" s="35">
        <v>900</v>
      </c>
    </row>
    <row r="831" spans="1:7" x14ac:dyDescent="0.25">
      <c r="A831">
        <v>20221028</v>
      </c>
      <c r="B831" t="s">
        <v>770</v>
      </c>
      <c r="C831" t="s">
        <v>284</v>
      </c>
      <c r="D831" t="s">
        <v>250</v>
      </c>
      <c r="E831" s="35">
        <v>0.29899999999999999</v>
      </c>
      <c r="F831" s="35">
        <v>0.39800000000000002</v>
      </c>
      <c r="G831" s="35">
        <v>900</v>
      </c>
    </row>
    <row r="832" spans="1:7" x14ac:dyDescent="0.25">
      <c r="A832">
        <v>20221028</v>
      </c>
      <c r="B832" t="s">
        <v>770</v>
      </c>
      <c r="C832" t="s">
        <v>284</v>
      </c>
      <c r="D832" t="s">
        <v>258</v>
      </c>
      <c r="E832" s="35">
        <v>0.29899999999999999</v>
      </c>
      <c r="F832" s="35">
        <v>0.39800000000000002</v>
      </c>
      <c r="G832" s="35">
        <v>800</v>
      </c>
    </row>
    <row r="833" spans="1:7" x14ac:dyDescent="0.25">
      <c r="A833">
        <v>20221028</v>
      </c>
      <c r="B833" t="s">
        <v>770</v>
      </c>
      <c r="C833" t="s">
        <v>284</v>
      </c>
      <c r="D833" t="s">
        <v>265</v>
      </c>
      <c r="E833" s="35">
        <v>0.29899999999999999</v>
      </c>
      <c r="F833" s="35">
        <v>0.39800000000000002</v>
      </c>
      <c r="G833" s="35">
        <v>700</v>
      </c>
    </row>
    <row r="834" spans="1:7" x14ac:dyDescent="0.25">
      <c r="A834">
        <v>20221028</v>
      </c>
      <c r="B834" t="s">
        <v>770</v>
      </c>
      <c r="C834" t="s">
        <v>284</v>
      </c>
      <c r="D834" t="s">
        <v>273</v>
      </c>
      <c r="E834" s="35">
        <v>0.29899999999999999</v>
      </c>
      <c r="F834" s="35">
        <v>0.39800000000000002</v>
      </c>
      <c r="G834" s="35">
        <v>600</v>
      </c>
    </row>
    <row r="835" spans="1:7" x14ac:dyDescent="0.25">
      <c r="A835">
        <v>20221028</v>
      </c>
      <c r="B835" t="s">
        <v>770</v>
      </c>
      <c r="C835" t="s">
        <v>284</v>
      </c>
      <c r="D835" t="s">
        <v>279</v>
      </c>
      <c r="E835" s="35">
        <v>0.29899999999999999</v>
      </c>
      <c r="F835" s="35">
        <v>0.39800000000000002</v>
      </c>
      <c r="G835" s="35">
        <v>500</v>
      </c>
    </row>
    <row r="836" spans="1:7" x14ac:dyDescent="0.25">
      <c r="A836">
        <v>20221028</v>
      </c>
      <c r="B836" t="s">
        <v>770</v>
      </c>
      <c r="C836" t="s">
        <v>284</v>
      </c>
      <c r="D836" t="s">
        <v>285</v>
      </c>
      <c r="E836" s="35">
        <v>0.29899999999999999</v>
      </c>
      <c r="F836" s="35">
        <v>0.39800000000000002</v>
      </c>
      <c r="G836" s="35">
        <v>400</v>
      </c>
    </row>
    <row r="837" spans="1:7" x14ac:dyDescent="0.25">
      <c r="A837">
        <v>20221028</v>
      </c>
      <c r="B837" t="s">
        <v>770</v>
      </c>
      <c r="C837" t="s">
        <v>284</v>
      </c>
      <c r="D837" t="s">
        <v>289</v>
      </c>
      <c r="E837" s="35">
        <v>0.29899999999999999</v>
      </c>
      <c r="F837" s="35">
        <v>0.39800000000000002</v>
      </c>
      <c r="G837" s="35">
        <v>300</v>
      </c>
    </row>
    <row r="838" spans="1:7" x14ac:dyDescent="0.25">
      <c r="A838">
        <v>20221028</v>
      </c>
      <c r="B838" t="s">
        <v>770</v>
      </c>
      <c r="C838" t="s">
        <v>186</v>
      </c>
      <c r="D838" t="s">
        <v>187</v>
      </c>
      <c r="E838" s="35">
        <v>0.39900000000000002</v>
      </c>
      <c r="F838" s="35">
        <v>0.498</v>
      </c>
      <c r="G838" s="35">
        <v>4600</v>
      </c>
    </row>
    <row r="839" spans="1:7" x14ac:dyDescent="0.25">
      <c r="A839">
        <v>20221028</v>
      </c>
      <c r="B839" t="s">
        <v>770</v>
      </c>
      <c r="C839" t="s">
        <v>186</v>
      </c>
      <c r="D839" t="s">
        <v>214</v>
      </c>
      <c r="E839" s="35">
        <v>0.39900000000000002</v>
      </c>
      <c r="F839" s="35">
        <v>0.498</v>
      </c>
      <c r="G839" s="35">
        <v>3800</v>
      </c>
    </row>
    <row r="840" spans="1:7" x14ac:dyDescent="0.25">
      <c r="A840">
        <v>20221028</v>
      </c>
      <c r="B840" t="s">
        <v>770</v>
      </c>
      <c r="C840" t="s">
        <v>186</v>
      </c>
      <c r="D840" t="s">
        <v>233</v>
      </c>
      <c r="E840" s="35">
        <v>0.39900000000000002</v>
      </c>
      <c r="F840" s="35">
        <v>0.498</v>
      </c>
      <c r="G840" s="35">
        <v>3500</v>
      </c>
    </row>
    <row r="841" spans="1:7" x14ac:dyDescent="0.25">
      <c r="A841">
        <v>20221028</v>
      </c>
      <c r="B841" t="s">
        <v>770</v>
      </c>
      <c r="C841" t="s">
        <v>186</v>
      </c>
      <c r="D841" t="s">
        <v>242</v>
      </c>
      <c r="E841" s="35">
        <v>0.39900000000000002</v>
      </c>
      <c r="F841" s="35">
        <v>0.498</v>
      </c>
      <c r="G841" s="35">
        <v>3200</v>
      </c>
    </row>
    <row r="842" spans="1:7" x14ac:dyDescent="0.25">
      <c r="A842">
        <v>20221028</v>
      </c>
      <c r="B842" t="s">
        <v>770</v>
      </c>
      <c r="C842" t="s">
        <v>186</v>
      </c>
      <c r="D842" t="s">
        <v>250</v>
      </c>
      <c r="E842" s="35">
        <v>0.39900000000000002</v>
      </c>
      <c r="F842" s="35">
        <v>0.498</v>
      </c>
      <c r="G842" s="35">
        <v>2800</v>
      </c>
    </row>
    <row r="843" spans="1:7" x14ac:dyDescent="0.25">
      <c r="A843">
        <v>20221028</v>
      </c>
      <c r="B843" t="s">
        <v>770</v>
      </c>
      <c r="C843" t="s">
        <v>186</v>
      </c>
      <c r="D843" t="s">
        <v>258</v>
      </c>
      <c r="E843" s="35">
        <v>0.39900000000000002</v>
      </c>
      <c r="F843" s="35">
        <v>0.498</v>
      </c>
      <c r="G843" s="35">
        <v>2400</v>
      </c>
    </row>
    <row r="844" spans="1:7" x14ac:dyDescent="0.25">
      <c r="A844">
        <v>20221028</v>
      </c>
      <c r="B844" t="s">
        <v>770</v>
      </c>
      <c r="C844" t="s">
        <v>186</v>
      </c>
      <c r="D844" t="s">
        <v>265</v>
      </c>
      <c r="E844" s="35">
        <v>0.39900000000000002</v>
      </c>
      <c r="F844" s="35">
        <v>0.498</v>
      </c>
      <c r="G844" s="35">
        <v>2100</v>
      </c>
    </row>
    <row r="845" spans="1:7" x14ac:dyDescent="0.25">
      <c r="A845">
        <v>20221028</v>
      </c>
      <c r="B845" t="s">
        <v>770</v>
      </c>
      <c r="C845" t="s">
        <v>186</v>
      </c>
      <c r="D845" t="s">
        <v>273</v>
      </c>
      <c r="E845" s="35">
        <v>0.39900000000000002</v>
      </c>
      <c r="F845" s="35">
        <v>0.498</v>
      </c>
      <c r="G845" s="35">
        <v>1900</v>
      </c>
    </row>
    <row r="846" spans="1:7" x14ac:dyDescent="0.25">
      <c r="A846">
        <v>20221028</v>
      </c>
      <c r="B846" t="s">
        <v>770</v>
      </c>
      <c r="C846" t="s">
        <v>186</v>
      </c>
      <c r="D846" t="s">
        <v>279</v>
      </c>
      <c r="E846" s="35">
        <v>0.39900000000000002</v>
      </c>
      <c r="F846" s="35">
        <v>0.498</v>
      </c>
      <c r="G846" s="35">
        <v>1800</v>
      </c>
    </row>
    <row r="847" spans="1:7" x14ac:dyDescent="0.25">
      <c r="A847">
        <v>20221028</v>
      </c>
      <c r="B847" t="s">
        <v>770</v>
      </c>
      <c r="C847" t="s">
        <v>186</v>
      </c>
      <c r="D847" t="s">
        <v>285</v>
      </c>
      <c r="E847" s="35">
        <v>0.39900000000000002</v>
      </c>
      <c r="F847" s="35">
        <v>0.498</v>
      </c>
      <c r="G847" s="35">
        <v>1200</v>
      </c>
    </row>
    <row r="848" spans="1:7" x14ac:dyDescent="0.25">
      <c r="A848">
        <v>20221028</v>
      </c>
      <c r="B848" t="s">
        <v>770</v>
      </c>
      <c r="C848" t="s">
        <v>186</v>
      </c>
      <c r="D848" t="s">
        <v>289</v>
      </c>
      <c r="E848" s="35">
        <v>0.39900000000000002</v>
      </c>
      <c r="F848" s="35">
        <v>0.498</v>
      </c>
      <c r="G848" s="35">
        <v>800</v>
      </c>
    </row>
    <row r="849" spans="1:7" x14ac:dyDescent="0.25">
      <c r="A849">
        <v>20221028</v>
      </c>
      <c r="B849" t="s">
        <v>770</v>
      </c>
      <c r="C849" t="s">
        <v>213</v>
      </c>
      <c r="D849" t="s">
        <v>187</v>
      </c>
      <c r="E849" s="35">
        <v>0.39900000000000002</v>
      </c>
      <c r="F849" s="35">
        <v>0.498</v>
      </c>
      <c r="G849" s="35">
        <v>3900</v>
      </c>
    </row>
    <row r="850" spans="1:7" x14ac:dyDescent="0.25">
      <c r="A850">
        <v>20221028</v>
      </c>
      <c r="B850" t="s">
        <v>770</v>
      </c>
      <c r="C850" t="s">
        <v>213</v>
      </c>
      <c r="D850" t="s">
        <v>214</v>
      </c>
      <c r="E850" s="35">
        <v>0.39900000000000002</v>
      </c>
      <c r="F850" s="35">
        <v>0.498</v>
      </c>
      <c r="G850" s="35">
        <v>3600</v>
      </c>
    </row>
    <row r="851" spans="1:7" x14ac:dyDescent="0.25">
      <c r="A851">
        <v>20221028</v>
      </c>
      <c r="B851" t="s">
        <v>770</v>
      </c>
      <c r="C851" t="s">
        <v>213</v>
      </c>
      <c r="D851" t="s">
        <v>233</v>
      </c>
      <c r="E851" s="35">
        <v>0.39900000000000002</v>
      </c>
      <c r="F851" s="35">
        <v>0.498</v>
      </c>
      <c r="G851" s="35">
        <v>3300</v>
      </c>
    </row>
    <row r="852" spans="1:7" x14ac:dyDescent="0.25">
      <c r="A852">
        <v>20221028</v>
      </c>
      <c r="B852" t="s">
        <v>770</v>
      </c>
      <c r="C852" t="s">
        <v>213</v>
      </c>
      <c r="D852" t="s">
        <v>242</v>
      </c>
      <c r="E852" s="35">
        <v>0.39900000000000002</v>
      </c>
      <c r="F852" s="35">
        <v>0.498</v>
      </c>
      <c r="G852" s="35">
        <v>3000</v>
      </c>
    </row>
    <row r="853" spans="1:7" x14ac:dyDescent="0.25">
      <c r="A853">
        <v>20221028</v>
      </c>
      <c r="B853" t="s">
        <v>770</v>
      </c>
      <c r="C853" t="s">
        <v>213</v>
      </c>
      <c r="D853" t="s">
        <v>250</v>
      </c>
      <c r="E853" s="35">
        <v>0.39900000000000002</v>
      </c>
      <c r="F853" s="35">
        <v>0.498</v>
      </c>
      <c r="G853" s="35">
        <v>2700</v>
      </c>
    </row>
    <row r="854" spans="1:7" x14ac:dyDescent="0.25">
      <c r="A854">
        <v>20221028</v>
      </c>
      <c r="B854" t="s">
        <v>770</v>
      </c>
      <c r="C854" t="s">
        <v>213</v>
      </c>
      <c r="D854" t="s">
        <v>258</v>
      </c>
      <c r="E854" s="35">
        <v>0.39900000000000002</v>
      </c>
      <c r="F854" s="35">
        <v>0.498</v>
      </c>
      <c r="G854" s="35">
        <v>2300</v>
      </c>
    </row>
    <row r="855" spans="1:7" x14ac:dyDescent="0.25">
      <c r="A855">
        <v>20221028</v>
      </c>
      <c r="B855" t="s">
        <v>770</v>
      </c>
      <c r="C855" t="s">
        <v>213</v>
      </c>
      <c r="D855" t="s">
        <v>265</v>
      </c>
      <c r="E855" s="35">
        <v>0.39900000000000002</v>
      </c>
      <c r="F855" s="35">
        <v>0.498</v>
      </c>
      <c r="G855" s="35">
        <v>2000</v>
      </c>
    </row>
    <row r="856" spans="1:7" x14ac:dyDescent="0.25">
      <c r="A856">
        <v>20221028</v>
      </c>
      <c r="B856" t="s">
        <v>770</v>
      </c>
      <c r="C856" t="s">
        <v>213</v>
      </c>
      <c r="D856" t="s">
        <v>273</v>
      </c>
      <c r="E856" s="35">
        <v>0.39900000000000002</v>
      </c>
      <c r="F856" s="35">
        <v>0.498</v>
      </c>
      <c r="G856" s="35">
        <v>1800</v>
      </c>
    </row>
    <row r="857" spans="1:7" x14ac:dyDescent="0.25">
      <c r="A857">
        <v>20221028</v>
      </c>
      <c r="B857" t="s">
        <v>770</v>
      </c>
      <c r="C857" t="s">
        <v>213</v>
      </c>
      <c r="D857" t="s">
        <v>279</v>
      </c>
      <c r="E857" s="35">
        <v>0.39900000000000002</v>
      </c>
      <c r="F857" s="35">
        <v>0.498</v>
      </c>
      <c r="G857" s="35">
        <v>1700</v>
      </c>
    </row>
    <row r="858" spans="1:7" x14ac:dyDescent="0.25">
      <c r="A858">
        <v>20221028</v>
      </c>
      <c r="B858" t="s">
        <v>770</v>
      </c>
      <c r="C858" t="s">
        <v>213</v>
      </c>
      <c r="D858" t="s">
        <v>285</v>
      </c>
      <c r="E858" s="35">
        <v>0.39900000000000002</v>
      </c>
      <c r="F858" s="35">
        <v>0.498</v>
      </c>
      <c r="G858" s="35">
        <v>1100</v>
      </c>
    </row>
    <row r="859" spans="1:7" x14ac:dyDescent="0.25">
      <c r="A859">
        <v>20221028</v>
      </c>
      <c r="B859" t="s">
        <v>770</v>
      </c>
      <c r="C859" t="s">
        <v>213</v>
      </c>
      <c r="D859" t="s">
        <v>289</v>
      </c>
      <c r="E859" s="35">
        <v>0.39900000000000002</v>
      </c>
      <c r="F859" s="35">
        <v>0.498</v>
      </c>
      <c r="G859" s="35">
        <v>700</v>
      </c>
    </row>
    <row r="860" spans="1:7" x14ac:dyDescent="0.25">
      <c r="A860">
        <v>20221028</v>
      </c>
      <c r="B860" t="s">
        <v>770</v>
      </c>
      <c r="C860" t="s">
        <v>232</v>
      </c>
      <c r="D860" t="s">
        <v>187</v>
      </c>
      <c r="E860" s="35">
        <v>0.39900000000000002</v>
      </c>
      <c r="F860" s="35">
        <v>0.498</v>
      </c>
      <c r="G860" s="35">
        <v>3600</v>
      </c>
    </row>
    <row r="861" spans="1:7" x14ac:dyDescent="0.25">
      <c r="A861">
        <v>20221028</v>
      </c>
      <c r="B861" t="s">
        <v>770</v>
      </c>
      <c r="C861" t="s">
        <v>232</v>
      </c>
      <c r="D861" t="s">
        <v>214</v>
      </c>
      <c r="E861" s="35">
        <v>0.39900000000000002</v>
      </c>
      <c r="F861" s="35">
        <v>0.498</v>
      </c>
      <c r="G861" s="35">
        <v>3400</v>
      </c>
    </row>
    <row r="862" spans="1:7" x14ac:dyDescent="0.25">
      <c r="A862">
        <v>20221028</v>
      </c>
      <c r="B862" t="s">
        <v>770</v>
      </c>
      <c r="C862" t="s">
        <v>232</v>
      </c>
      <c r="D862" t="s">
        <v>233</v>
      </c>
      <c r="E862" s="35">
        <v>0.39900000000000002</v>
      </c>
      <c r="F862" s="35">
        <v>0.498</v>
      </c>
      <c r="G862" s="35">
        <v>3100</v>
      </c>
    </row>
    <row r="863" spans="1:7" x14ac:dyDescent="0.25">
      <c r="A863">
        <v>20221028</v>
      </c>
      <c r="B863" t="s">
        <v>770</v>
      </c>
      <c r="C863" t="s">
        <v>232</v>
      </c>
      <c r="D863" t="s">
        <v>242</v>
      </c>
      <c r="E863" s="35">
        <v>0.39900000000000002</v>
      </c>
      <c r="F863" s="35">
        <v>0.498</v>
      </c>
      <c r="G863" s="35">
        <v>2800</v>
      </c>
    </row>
    <row r="864" spans="1:7" x14ac:dyDescent="0.25">
      <c r="A864">
        <v>20221028</v>
      </c>
      <c r="B864" t="s">
        <v>770</v>
      </c>
      <c r="C864" t="s">
        <v>232</v>
      </c>
      <c r="D864" t="s">
        <v>250</v>
      </c>
      <c r="E864" s="35">
        <v>0.39900000000000002</v>
      </c>
      <c r="F864" s="35">
        <v>0.498</v>
      </c>
      <c r="G864" s="35">
        <v>2600</v>
      </c>
    </row>
    <row r="865" spans="1:7" x14ac:dyDescent="0.25">
      <c r="A865">
        <v>20221028</v>
      </c>
      <c r="B865" t="s">
        <v>770</v>
      </c>
      <c r="C865" t="s">
        <v>232</v>
      </c>
      <c r="D865" t="s">
        <v>258</v>
      </c>
      <c r="E865" s="35">
        <v>0.39900000000000002</v>
      </c>
      <c r="F865" s="35">
        <v>0.498</v>
      </c>
      <c r="G865" s="35">
        <v>2200</v>
      </c>
    </row>
    <row r="866" spans="1:7" x14ac:dyDescent="0.25">
      <c r="A866">
        <v>20221028</v>
      </c>
      <c r="B866" t="s">
        <v>770</v>
      </c>
      <c r="C866" t="s">
        <v>232</v>
      </c>
      <c r="D866" t="s">
        <v>265</v>
      </c>
      <c r="E866" s="35">
        <v>0.39900000000000002</v>
      </c>
      <c r="F866" s="35">
        <v>0.498</v>
      </c>
      <c r="G866" s="35">
        <v>1900</v>
      </c>
    </row>
    <row r="867" spans="1:7" x14ac:dyDescent="0.25">
      <c r="A867">
        <v>20221028</v>
      </c>
      <c r="B867" t="s">
        <v>770</v>
      </c>
      <c r="C867" t="s">
        <v>232</v>
      </c>
      <c r="D867" t="s">
        <v>273</v>
      </c>
      <c r="E867" s="35">
        <v>0.39900000000000002</v>
      </c>
      <c r="F867" s="35">
        <v>0.498</v>
      </c>
      <c r="G867" s="35">
        <v>1700</v>
      </c>
    </row>
    <row r="868" spans="1:7" x14ac:dyDescent="0.25">
      <c r="A868">
        <v>20221028</v>
      </c>
      <c r="B868" t="s">
        <v>770</v>
      </c>
      <c r="C868" t="s">
        <v>232</v>
      </c>
      <c r="D868" t="s">
        <v>279</v>
      </c>
      <c r="E868" s="35">
        <v>0.39900000000000002</v>
      </c>
      <c r="F868" s="35">
        <v>0.498</v>
      </c>
      <c r="G868" s="35">
        <v>1600</v>
      </c>
    </row>
    <row r="869" spans="1:7" x14ac:dyDescent="0.25">
      <c r="A869">
        <v>20221028</v>
      </c>
      <c r="B869" t="s">
        <v>770</v>
      </c>
      <c r="C869" t="s">
        <v>232</v>
      </c>
      <c r="D869" t="s">
        <v>285</v>
      </c>
      <c r="E869" s="35">
        <v>0.39900000000000002</v>
      </c>
      <c r="F869" s="35">
        <v>0.498</v>
      </c>
      <c r="G869" s="35">
        <v>1100</v>
      </c>
    </row>
    <row r="870" spans="1:7" x14ac:dyDescent="0.25">
      <c r="A870">
        <v>20221028</v>
      </c>
      <c r="B870" t="s">
        <v>770</v>
      </c>
      <c r="C870" t="s">
        <v>232</v>
      </c>
      <c r="D870" t="s">
        <v>289</v>
      </c>
      <c r="E870" s="35">
        <v>0.39900000000000002</v>
      </c>
      <c r="F870" s="35">
        <v>0.498</v>
      </c>
      <c r="G870" s="35">
        <v>700</v>
      </c>
    </row>
    <row r="871" spans="1:7" x14ac:dyDescent="0.25">
      <c r="A871">
        <v>20221028</v>
      </c>
      <c r="B871" t="s">
        <v>770</v>
      </c>
      <c r="C871" t="s">
        <v>215</v>
      </c>
      <c r="D871" t="s">
        <v>187</v>
      </c>
      <c r="E871" s="35">
        <v>0.39900000000000002</v>
      </c>
      <c r="F871" s="35">
        <v>0.498</v>
      </c>
      <c r="G871" s="35">
        <v>3300</v>
      </c>
    </row>
    <row r="872" spans="1:7" x14ac:dyDescent="0.25">
      <c r="A872">
        <v>20221028</v>
      </c>
      <c r="B872" t="s">
        <v>770</v>
      </c>
      <c r="C872" t="s">
        <v>215</v>
      </c>
      <c r="D872" t="s">
        <v>214</v>
      </c>
      <c r="E872" s="35">
        <v>0.39900000000000002</v>
      </c>
      <c r="F872" s="35">
        <v>0.498</v>
      </c>
      <c r="G872" s="35">
        <v>3100</v>
      </c>
    </row>
    <row r="873" spans="1:7" x14ac:dyDescent="0.25">
      <c r="A873">
        <v>20221028</v>
      </c>
      <c r="B873" t="s">
        <v>770</v>
      </c>
      <c r="C873" t="s">
        <v>215</v>
      </c>
      <c r="D873" t="s">
        <v>233</v>
      </c>
      <c r="E873" s="35">
        <v>0.39900000000000002</v>
      </c>
      <c r="F873" s="35">
        <v>0.498</v>
      </c>
      <c r="G873" s="35">
        <v>2900</v>
      </c>
    </row>
    <row r="874" spans="1:7" x14ac:dyDescent="0.25">
      <c r="A874">
        <v>20221028</v>
      </c>
      <c r="B874" t="s">
        <v>770</v>
      </c>
      <c r="C874" t="s">
        <v>215</v>
      </c>
      <c r="D874" t="s">
        <v>242</v>
      </c>
      <c r="E874" s="35">
        <v>0.39900000000000002</v>
      </c>
      <c r="F874" s="35">
        <v>0.498</v>
      </c>
      <c r="G874" s="35">
        <v>2700</v>
      </c>
    </row>
    <row r="875" spans="1:7" x14ac:dyDescent="0.25">
      <c r="A875">
        <v>20221028</v>
      </c>
      <c r="B875" t="s">
        <v>770</v>
      </c>
      <c r="C875" t="s">
        <v>215</v>
      </c>
      <c r="D875" t="s">
        <v>250</v>
      </c>
      <c r="E875" s="35">
        <v>0.39900000000000002</v>
      </c>
      <c r="F875" s="35">
        <v>0.498</v>
      </c>
      <c r="G875" s="35">
        <v>2500</v>
      </c>
    </row>
    <row r="876" spans="1:7" x14ac:dyDescent="0.25">
      <c r="A876">
        <v>20221028</v>
      </c>
      <c r="B876" t="s">
        <v>770</v>
      </c>
      <c r="C876" t="s">
        <v>215</v>
      </c>
      <c r="D876" t="s">
        <v>258</v>
      </c>
      <c r="E876" s="35">
        <v>0.39900000000000002</v>
      </c>
      <c r="F876" s="35">
        <v>0.498</v>
      </c>
      <c r="G876" s="35">
        <v>2100</v>
      </c>
    </row>
    <row r="877" spans="1:7" x14ac:dyDescent="0.25">
      <c r="A877">
        <v>20221028</v>
      </c>
      <c r="B877" t="s">
        <v>770</v>
      </c>
      <c r="C877" t="s">
        <v>215</v>
      </c>
      <c r="D877" t="s">
        <v>265</v>
      </c>
      <c r="E877" s="35">
        <v>0.39900000000000002</v>
      </c>
      <c r="F877" s="35">
        <v>0.498</v>
      </c>
      <c r="G877" s="35">
        <v>1800</v>
      </c>
    </row>
    <row r="878" spans="1:7" x14ac:dyDescent="0.25">
      <c r="A878">
        <v>20221028</v>
      </c>
      <c r="B878" t="s">
        <v>770</v>
      </c>
      <c r="C878" t="s">
        <v>215</v>
      </c>
      <c r="D878" t="s">
        <v>273</v>
      </c>
      <c r="E878" s="35">
        <v>0.39900000000000002</v>
      </c>
      <c r="F878" s="35">
        <v>0.498</v>
      </c>
      <c r="G878" s="35">
        <v>1600</v>
      </c>
    </row>
    <row r="879" spans="1:7" x14ac:dyDescent="0.25">
      <c r="A879">
        <v>20221028</v>
      </c>
      <c r="B879" t="s">
        <v>770</v>
      </c>
      <c r="C879" t="s">
        <v>215</v>
      </c>
      <c r="D879" t="s">
        <v>279</v>
      </c>
      <c r="E879" s="35">
        <v>0.39900000000000002</v>
      </c>
      <c r="F879" s="35">
        <v>0.498</v>
      </c>
      <c r="G879" s="35">
        <v>1500</v>
      </c>
    </row>
    <row r="880" spans="1:7" x14ac:dyDescent="0.25">
      <c r="A880">
        <v>20221028</v>
      </c>
      <c r="B880" t="s">
        <v>770</v>
      </c>
      <c r="C880" t="s">
        <v>215</v>
      </c>
      <c r="D880" t="s">
        <v>285</v>
      </c>
      <c r="E880" s="35">
        <v>0.39900000000000002</v>
      </c>
      <c r="F880" s="35">
        <v>0.498</v>
      </c>
      <c r="G880" s="35">
        <v>1000</v>
      </c>
    </row>
    <row r="881" spans="1:7" x14ac:dyDescent="0.25">
      <c r="A881">
        <v>20221028</v>
      </c>
      <c r="B881" t="s">
        <v>770</v>
      </c>
      <c r="C881" t="s">
        <v>215</v>
      </c>
      <c r="D881" t="s">
        <v>289</v>
      </c>
      <c r="E881" s="35">
        <v>0.39900000000000002</v>
      </c>
      <c r="F881" s="35">
        <v>0.498</v>
      </c>
      <c r="G881" s="35">
        <v>600</v>
      </c>
    </row>
    <row r="882" spans="1:7" x14ac:dyDescent="0.25">
      <c r="A882">
        <v>20221028</v>
      </c>
      <c r="B882" t="s">
        <v>770</v>
      </c>
      <c r="C882" t="s">
        <v>249</v>
      </c>
      <c r="D882" t="s">
        <v>187</v>
      </c>
      <c r="E882" s="35">
        <v>0.39900000000000002</v>
      </c>
      <c r="F882" s="35">
        <v>0.498</v>
      </c>
      <c r="G882" s="35">
        <v>2900</v>
      </c>
    </row>
    <row r="883" spans="1:7" x14ac:dyDescent="0.25">
      <c r="A883">
        <v>20221028</v>
      </c>
      <c r="B883" t="s">
        <v>770</v>
      </c>
      <c r="C883" t="s">
        <v>249</v>
      </c>
      <c r="D883" t="s">
        <v>214</v>
      </c>
      <c r="E883" s="35">
        <v>0.39900000000000002</v>
      </c>
      <c r="F883" s="35">
        <v>0.498</v>
      </c>
      <c r="G883" s="35">
        <v>2700</v>
      </c>
    </row>
    <row r="884" spans="1:7" x14ac:dyDescent="0.25">
      <c r="A884">
        <v>20221028</v>
      </c>
      <c r="B884" t="s">
        <v>770</v>
      </c>
      <c r="C884" t="s">
        <v>249</v>
      </c>
      <c r="D884" t="s">
        <v>233</v>
      </c>
      <c r="E884" s="35">
        <v>0.39900000000000002</v>
      </c>
      <c r="F884" s="35">
        <v>0.498</v>
      </c>
      <c r="G884" s="35">
        <v>2600</v>
      </c>
    </row>
    <row r="885" spans="1:7" x14ac:dyDescent="0.25">
      <c r="A885">
        <v>20221028</v>
      </c>
      <c r="B885" t="s">
        <v>770</v>
      </c>
      <c r="C885" t="s">
        <v>249</v>
      </c>
      <c r="D885" t="s">
        <v>242</v>
      </c>
      <c r="E885" s="35">
        <v>0.39900000000000002</v>
      </c>
      <c r="F885" s="35">
        <v>0.498</v>
      </c>
      <c r="G885" s="35">
        <v>2500</v>
      </c>
    </row>
    <row r="886" spans="1:7" x14ac:dyDescent="0.25">
      <c r="A886">
        <v>20221028</v>
      </c>
      <c r="B886" t="s">
        <v>770</v>
      </c>
      <c r="C886" t="s">
        <v>249</v>
      </c>
      <c r="D886" t="s">
        <v>250</v>
      </c>
      <c r="E886" s="35">
        <v>0.39900000000000002</v>
      </c>
      <c r="F886" s="35">
        <v>0.498</v>
      </c>
      <c r="G886" s="35">
        <v>2300</v>
      </c>
    </row>
    <row r="887" spans="1:7" x14ac:dyDescent="0.25">
      <c r="A887">
        <v>20221028</v>
      </c>
      <c r="B887" t="s">
        <v>770</v>
      </c>
      <c r="C887" t="s">
        <v>249</v>
      </c>
      <c r="D887" t="s">
        <v>258</v>
      </c>
      <c r="E887" s="35">
        <v>0.39900000000000002</v>
      </c>
      <c r="F887" s="35">
        <v>0.498</v>
      </c>
      <c r="G887" s="35">
        <v>2000</v>
      </c>
    </row>
    <row r="888" spans="1:7" x14ac:dyDescent="0.25">
      <c r="A888">
        <v>20221028</v>
      </c>
      <c r="B888" t="s">
        <v>770</v>
      </c>
      <c r="C888" t="s">
        <v>249</v>
      </c>
      <c r="D888" t="s">
        <v>265</v>
      </c>
      <c r="E888" s="35">
        <v>0.39900000000000002</v>
      </c>
      <c r="F888" s="35">
        <v>0.498</v>
      </c>
      <c r="G888" s="35">
        <v>1700</v>
      </c>
    </row>
    <row r="889" spans="1:7" x14ac:dyDescent="0.25">
      <c r="A889">
        <v>20221028</v>
      </c>
      <c r="B889" t="s">
        <v>770</v>
      </c>
      <c r="C889" t="s">
        <v>249</v>
      </c>
      <c r="D889" t="s">
        <v>273</v>
      </c>
      <c r="E889" s="35">
        <v>0.39900000000000002</v>
      </c>
      <c r="F889" s="35">
        <v>0.498</v>
      </c>
      <c r="G889" s="35">
        <v>1500</v>
      </c>
    </row>
    <row r="890" spans="1:7" x14ac:dyDescent="0.25">
      <c r="A890">
        <v>20221028</v>
      </c>
      <c r="B890" t="s">
        <v>770</v>
      </c>
      <c r="C890" t="s">
        <v>249</v>
      </c>
      <c r="D890" t="s">
        <v>279</v>
      </c>
      <c r="E890" s="35">
        <v>0.39900000000000002</v>
      </c>
      <c r="F890" s="35">
        <v>0.498</v>
      </c>
      <c r="G890" s="35">
        <v>1400</v>
      </c>
    </row>
    <row r="891" spans="1:7" x14ac:dyDescent="0.25">
      <c r="A891">
        <v>20221028</v>
      </c>
      <c r="B891" t="s">
        <v>770</v>
      </c>
      <c r="C891" t="s">
        <v>249</v>
      </c>
      <c r="D891" t="s">
        <v>285</v>
      </c>
      <c r="E891" s="35">
        <v>0.39900000000000002</v>
      </c>
      <c r="F891" s="35">
        <v>0.498</v>
      </c>
      <c r="G891" s="35">
        <v>900</v>
      </c>
    </row>
    <row r="892" spans="1:7" x14ac:dyDescent="0.25">
      <c r="A892">
        <v>20221028</v>
      </c>
      <c r="B892" t="s">
        <v>770</v>
      </c>
      <c r="C892" t="s">
        <v>249</v>
      </c>
      <c r="D892" t="s">
        <v>289</v>
      </c>
      <c r="E892" s="35">
        <v>0.39900000000000002</v>
      </c>
      <c r="F892" s="35">
        <v>0.498</v>
      </c>
      <c r="G892" s="35">
        <v>600</v>
      </c>
    </row>
    <row r="893" spans="1:7" x14ac:dyDescent="0.25">
      <c r="A893">
        <v>20221028</v>
      </c>
      <c r="B893" t="s">
        <v>770</v>
      </c>
      <c r="C893" t="s">
        <v>257</v>
      </c>
      <c r="D893" t="s">
        <v>187</v>
      </c>
      <c r="E893" s="35">
        <v>0.39900000000000002</v>
      </c>
      <c r="F893" s="35">
        <v>0.498</v>
      </c>
      <c r="G893" s="35">
        <v>2500</v>
      </c>
    </row>
    <row r="894" spans="1:7" x14ac:dyDescent="0.25">
      <c r="A894">
        <v>20221028</v>
      </c>
      <c r="B894" t="s">
        <v>770</v>
      </c>
      <c r="C894" t="s">
        <v>257</v>
      </c>
      <c r="D894" t="s">
        <v>214</v>
      </c>
      <c r="E894" s="35">
        <v>0.39900000000000002</v>
      </c>
      <c r="F894" s="35">
        <v>0.498</v>
      </c>
      <c r="G894" s="35">
        <v>2400</v>
      </c>
    </row>
    <row r="895" spans="1:7" x14ac:dyDescent="0.25">
      <c r="A895">
        <v>20221028</v>
      </c>
      <c r="B895" t="s">
        <v>770</v>
      </c>
      <c r="C895" t="s">
        <v>257</v>
      </c>
      <c r="D895" t="s">
        <v>233</v>
      </c>
      <c r="E895" s="35">
        <v>0.39900000000000002</v>
      </c>
      <c r="F895" s="35">
        <v>0.498</v>
      </c>
      <c r="G895" s="35">
        <v>2300</v>
      </c>
    </row>
    <row r="896" spans="1:7" x14ac:dyDescent="0.25">
      <c r="A896">
        <v>20221028</v>
      </c>
      <c r="B896" t="s">
        <v>770</v>
      </c>
      <c r="C896" t="s">
        <v>257</v>
      </c>
      <c r="D896" t="s">
        <v>242</v>
      </c>
      <c r="E896" s="35">
        <v>0.39900000000000002</v>
      </c>
      <c r="F896" s="35">
        <v>0.498</v>
      </c>
      <c r="G896" s="35">
        <v>2200</v>
      </c>
    </row>
    <row r="897" spans="1:7" x14ac:dyDescent="0.25">
      <c r="A897">
        <v>20221028</v>
      </c>
      <c r="B897" t="s">
        <v>770</v>
      </c>
      <c r="C897" t="s">
        <v>257</v>
      </c>
      <c r="D897" t="s">
        <v>250</v>
      </c>
      <c r="E897" s="35">
        <v>0.39900000000000002</v>
      </c>
      <c r="F897" s="35">
        <v>0.498</v>
      </c>
      <c r="G897" s="35">
        <v>2100</v>
      </c>
    </row>
    <row r="898" spans="1:7" x14ac:dyDescent="0.25">
      <c r="A898">
        <v>20221028</v>
      </c>
      <c r="B898" t="s">
        <v>770</v>
      </c>
      <c r="C898" t="s">
        <v>257</v>
      </c>
      <c r="D898" t="s">
        <v>258</v>
      </c>
      <c r="E898" s="35">
        <v>0.39900000000000002</v>
      </c>
      <c r="F898" s="35">
        <v>0.498</v>
      </c>
      <c r="G898" s="35">
        <v>1800</v>
      </c>
    </row>
    <row r="899" spans="1:7" x14ac:dyDescent="0.25">
      <c r="A899">
        <v>20221028</v>
      </c>
      <c r="B899" t="s">
        <v>770</v>
      </c>
      <c r="C899" t="s">
        <v>257</v>
      </c>
      <c r="D899" t="s">
        <v>265</v>
      </c>
      <c r="E899" s="35">
        <v>0.39900000000000002</v>
      </c>
      <c r="F899" s="35">
        <v>0.498</v>
      </c>
      <c r="G899" s="35">
        <v>1600</v>
      </c>
    </row>
    <row r="900" spans="1:7" x14ac:dyDescent="0.25">
      <c r="A900">
        <v>20221028</v>
      </c>
      <c r="B900" t="s">
        <v>770</v>
      </c>
      <c r="C900" t="s">
        <v>257</v>
      </c>
      <c r="D900" t="s">
        <v>273</v>
      </c>
      <c r="E900" s="35">
        <v>0.39900000000000002</v>
      </c>
      <c r="F900" s="35">
        <v>0.498</v>
      </c>
      <c r="G900" s="35">
        <v>1400</v>
      </c>
    </row>
    <row r="901" spans="1:7" x14ac:dyDescent="0.25">
      <c r="A901">
        <v>20221028</v>
      </c>
      <c r="B901" t="s">
        <v>770</v>
      </c>
      <c r="C901" t="s">
        <v>257</v>
      </c>
      <c r="D901" t="s">
        <v>279</v>
      </c>
      <c r="E901" s="35">
        <v>0.39900000000000002</v>
      </c>
      <c r="F901" s="35">
        <v>0.498</v>
      </c>
      <c r="G901" s="35">
        <v>1200</v>
      </c>
    </row>
    <row r="902" spans="1:7" x14ac:dyDescent="0.25">
      <c r="A902">
        <v>20221028</v>
      </c>
      <c r="B902" t="s">
        <v>770</v>
      </c>
      <c r="C902" t="s">
        <v>257</v>
      </c>
      <c r="D902" t="s">
        <v>285</v>
      </c>
      <c r="E902" s="35">
        <v>0.39900000000000002</v>
      </c>
      <c r="F902" s="35">
        <v>0.498</v>
      </c>
      <c r="G902" s="35">
        <v>800</v>
      </c>
    </row>
    <row r="903" spans="1:7" x14ac:dyDescent="0.25">
      <c r="A903">
        <v>20221028</v>
      </c>
      <c r="B903" t="s">
        <v>770</v>
      </c>
      <c r="C903" t="s">
        <v>257</v>
      </c>
      <c r="D903" t="s">
        <v>289</v>
      </c>
      <c r="E903" s="35">
        <v>0.39900000000000002</v>
      </c>
      <c r="F903" s="35">
        <v>0.498</v>
      </c>
      <c r="G903" s="35">
        <v>600</v>
      </c>
    </row>
    <row r="904" spans="1:7" x14ac:dyDescent="0.25">
      <c r="A904">
        <v>20221028</v>
      </c>
      <c r="B904" t="s">
        <v>770</v>
      </c>
      <c r="C904" t="s">
        <v>264</v>
      </c>
      <c r="D904" t="s">
        <v>187</v>
      </c>
      <c r="E904" s="35">
        <v>0.39900000000000002</v>
      </c>
      <c r="F904" s="35">
        <v>0.498</v>
      </c>
      <c r="G904" s="35">
        <v>2200</v>
      </c>
    </row>
    <row r="905" spans="1:7" x14ac:dyDescent="0.25">
      <c r="A905">
        <v>20221028</v>
      </c>
      <c r="B905" t="s">
        <v>770</v>
      </c>
      <c r="C905" t="s">
        <v>264</v>
      </c>
      <c r="D905" t="s">
        <v>214</v>
      </c>
      <c r="E905" s="35">
        <v>0.39900000000000002</v>
      </c>
      <c r="F905" s="35">
        <v>0.498</v>
      </c>
      <c r="G905" s="35">
        <v>2100</v>
      </c>
    </row>
    <row r="906" spans="1:7" x14ac:dyDescent="0.25">
      <c r="A906">
        <v>20221028</v>
      </c>
      <c r="B906" t="s">
        <v>770</v>
      </c>
      <c r="C906" t="s">
        <v>264</v>
      </c>
      <c r="D906" t="s">
        <v>233</v>
      </c>
      <c r="E906" s="35">
        <v>0.39900000000000002</v>
      </c>
      <c r="F906" s="35">
        <v>0.498</v>
      </c>
      <c r="G906" s="35">
        <v>2000</v>
      </c>
    </row>
    <row r="907" spans="1:7" x14ac:dyDescent="0.25">
      <c r="A907">
        <v>20221028</v>
      </c>
      <c r="B907" t="s">
        <v>770</v>
      </c>
      <c r="C907" t="s">
        <v>264</v>
      </c>
      <c r="D907" t="s">
        <v>242</v>
      </c>
      <c r="E907" s="35">
        <v>0.39900000000000002</v>
      </c>
      <c r="F907" s="35">
        <v>0.498</v>
      </c>
      <c r="G907" s="35">
        <v>1900</v>
      </c>
    </row>
    <row r="908" spans="1:7" x14ac:dyDescent="0.25">
      <c r="A908">
        <v>20221028</v>
      </c>
      <c r="B908" t="s">
        <v>770</v>
      </c>
      <c r="C908" t="s">
        <v>264</v>
      </c>
      <c r="D908" t="s">
        <v>250</v>
      </c>
      <c r="E908" s="35">
        <v>0.39900000000000002</v>
      </c>
      <c r="F908" s="35">
        <v>0.498</v>
      </c>
      <c r="G908" s="35">
        <v>1800</v>
      </c>
    </row>
    <row r="909" spans="1:7" x14ac:dyDescent="0.25">
      <c r="A909">
        <v>20221028</v>
      </c>
      <c r="B909" t="s">
        <v>770</v>
      </c>
      <c r="C909" t="s">
        <v>264</v>
      </c>
      <c r="D909" t="s">
        <v>258</v>
      </c>
      <c r="E909" s="35">
        <v>0.39900000000000002</v>
      </c>
      <c r="F909" s="35">
        <v>0.498</v>
      </c>
      <c r="G909" s="35">
        <v>1600</v>
      </c>
    </row>
    <row r="910" spans="1:7" x14ac:dyDescent="0.25">
      <c r="A910">
        <v>20221028</v>
      </c>
      <c r="B910" t="s">
        <v>770</v>
      </c>
      <c r="C910" t="s">
        <v>264</v>
      </c>
      <c r="D910" t="s">
        <v>265</v>
      </c>
      <c r="E910" s="35">
        <v>0.39900000000000002</v>
      </c>
      <c r="F910" s="35">
        <v>0.498</v>
      </c>
      <c r="G910" s="35">
        <v>1400</v>
      </c>
    </row>
    <row r="911" spans="1:7" x14ac:dyDescent="0.25">
      <c r="A911">
        <v>20221028</v>
      </c>
      <c r="B911" t="s">
        <v>770</v>
      </c>
      <c r="C911" t="s">
        <v>264</v>
      </c>
      <c r="D911" t="s">
        <v>273</v>
      </c>
      <c r="E911" s="35">
        <v>0.39900000000000002</v>
      </c>
      <c r="F911" s="35">
        <v>0.498</v>
      </c>
      <c r="G911" s="35">
        <v>1200</v>
      </c>
    </row>
    <row r="912" spans="1:7" x14ac:dyDescent="0.25">
      <c r="A912">
        <v>20221028</v>
      </c>
      <c r="B912" t="s">
        <v>770</v>
      </c>
      <c r="C912" t="s">
        <v>264</v>
      </c>
      <c r="D912" t="s">
        <v>279</v>
      </c>
      <c r="E912" s="35">
        <v>0.39900000000000002</v>
      </c>
      <c r="F912" s="35">
        <v>0.498</v>
      </c>
      <c r="G912" s="35">
        <v>1100</v>
      </c>
    </row>
    <row r="913" spans="1:7" x14ac:dyDescent="0.25">
      <c r="A913">
        <v>20221028</v>
      </c>
      <c r="B913" t="s">
        <v>770</v>
      </c>
      <c r="C913" t="s">
        <v>264</v>
      </c>
      <c r="D913" t="s">
        <v>285</v>
      </c>
      <c r="E913" s="35">
        <v>0.39900000000000002</v>
      </c>
      <c r="F913" s="35">
        <v>0.498</v>
      </c>
      <c r="G913" s="35">
        <v>800</v>
      </c>
    </row>
    <row r="914" spans="1:7" x14ac:dyDescent="0.25">
      <c r="A914">
        <v>20221028</v>
      </c>
      <c r="B914" t="s">
        <v>770</v>
      </c>
      <c r="C914" t="s">
        <v>264</v>
      </c>
      <c r="D914" t="s">
        <v>289</v>
      </c>
      <c r="E914" s="35">
        <v>0.39900000000000002</v>
      </c>
      <c r="F914" s="35">
        <v>0.498</v>
      </c>
      <c r="G914" s="35">
        <v>500</v>
      </c>
    </row>
    <row r="915" spans="1:7" x14ac:dyDescent="0.25">
      <c r="A915">
        <v>20221028</v>
      </c>
      <c r="B915" t="s">
        <v>770</v>
      </c>
      <c r="C915" t="s">
        <v>272</v>
      </c>
      <c r="D915" t="s">
        <v>187</v>
      </c>
      <c r="E915" s="35">
        <v>0.39900000000000002</v>
      </c>
      <c r="F915" s="35">
        <v>0.498</v>
      </c>
      <c r="G915" s="35">
        <v>1900</v>
      </c>
    </row>
    <row r="916" spans="1:7" x14ac:dyDescent="0.25">
      <c r="A916">
        <v>20221028</v>
      </c>
      <c r="B916" t="s">
        <v>770</v>
      </c>
      <c r="C916" t="s">
        <v>272</v>
      </c>
      <c r="D916" t="s">
        <v>214</v>
      </c>
      <c r="E916" s="35">
        <v>0.39900000000000002</v>
      </c>
      <c r="F916" s="35">
        <v>0.498</v>
      </c>
      <c r="G916" s="35">
        <v>1800</v>
      </c>
    </row>
    <row r="917" spans="1:7" x14ac:dyDescent="0.25">
      <c r="A917">
        <v>20221028</v>
      </c>
      <c r="B917" t="s">
        <v>770</v>
      </c>
      <c r="C917" t="s">
        <v>272</v>
      </c>
      <c r="D917" t="s">
        <v>233</v>
      </c>
      <c r="E917" s="35">
        <v>0.39900000000000002</v>
      </c>
      <c r="F917" s="35">
        <v>0.498</v>
      </c>
      <c r="G917" s="35">
        <v>1700</v>
      </c>
    </row>
    <row r="918" spans="1:7" x14ac:dyDescent="0.25">
      <c r="A918">
        <v>20221028</v>
      </c>
      <c r="B918" t="s">
        <v>770</v>
      </c>
      <c r="C918" t="s">
        <v>272</v>
      </c>
      <c r="D918" t="s">
        <v>242</v>
      </c>
      <c r="E918" s="35">
        <v>0.39900000000000002</v>
      </c>
      <c r="F918" s="35">
        <v>0.498</v>
      </c>
      <c r="G918" s="35">
        <v>1600</v>
      </c>
    </row>
    <row r="919" spans="1:7" x14ac:dyDescent="0.25">
      <c r="A919">
        <v>20221028</v>
      </c>
      <c r="B919" t="s">
        <v>770</v>
      </c>
      <c r="C919" t="s">
        <v>272</v>
      </c>
      <c r="D919" t="s">
        <v>250</v>
      </c>
      <c r="E919" s="35">
        <v>0.39900000000000002</v>
      </c>
      <c r="F919" s="35">
        <v>0.498</v>
      </c>
      <c r="G919" s="35">
        <v>1500</v>
      </c>
    </row>
    <row r="920" spans="1:7" x14ac:dyDescent="0.25">
      <c r="A920">
        <v>20221028</v>
      </c>
      <c r="B920" t="s">
        <v>770</v>
      </c>
      <c r="C920" t="s">
        <v>272</v>
      </c>
      <c r="D920" t="s">
        <v>258</v>
      </c>
      <c r="E920" s="35">
        <v>0.39900000000000002</v>
      </c>
      <c r="F920" s="35">
        <v>0.498</v>
      </c>
      <c r="G920" s="35">
        <v>1400</v>
      </c>
    </row>
    <row r="921" spans="1:7" x14ac:dyDescent="0.25">
      <c r="A921">
        <v>20221028</v>
      </c>
      <c r="B921" t="s">
        <v>770</v>
      </c>
      <c r="C921" t="s">
        <v>272</v>
      </c>
      <c r="D921" t="s">
        <v>265</v>
      </c>
      <c r="E921" s="35">
        <v>0.39900000000000002</v>
      </c>
      <c r="F921" s="35">
        <v>0.498</v>
      </c>
      <c r="G921" s="35">
        <v>1200</v>
      </c>
    </row>
    <row r="922" spans="1:7" x14ac:dyDescent="0.25">
      <c r="A922">
        <v>20221028</v>
      </c>
      <c r="B922" t="s">
        <v>770</v>
      </c>
      <c r="C922" t="s">
        <v>272</v>
      </c>
      <c r="D922" t="s">
        <v>273</v>
      </c>
      <c r="E922" s="35">
        <v>0.39900000000000002</v>
      </c>
      <c r="F922" s="35">
        <v>0.498</v>
      </c>
      <c r="G922" s="35">
        <v>1000</v>
      </c>
    </row>
    <row r="923" spans="1:7" x14ac:dyDescent="0.25">
      <c r="A923">
        <v>20221028</v>
      </c>
      <c r="B923" t="s">
        <v>770</v>
      </c>
      <c r="C923" t="s">
        <v>272</v>
      </c>
      <c r="D923" t="s">
        <v>279</v>
      </c>
      <c r="E923" s="35">
        <v>0.39900000000000002</v>
      </c>
      <c r="F923" s="35">
        <v>0.498</v>
      </c>
      <c r="G923" s="35">
        <v>900</v>
      </c>
    </row>
    <row r="924" spans="1:7" x14ac:dyDescent="0.25">
      <c r="A924">
        <v>20221028</v>
      </c>
      <c r="B924" t="s">
        <v>770</v>
      </c>
      <c r="C924" t="s">
        <v>272</v>
      </c>
      <c r="D924" t="s">
        <v>285</v>
      </c>
      <c r="E924" s="35">
        <v>0.39900000000000002</v>
      </c>
      <c r="F924" s="35">
        <v>0.498</v>
      </c>
      <c r="G924" s="35">
        <v>700</v>
      </c>
    </row>
    <row r="925" spans="1:7" x14ac:dyDescent="0.25">
      <c r="A925">
        <v>20221028</v>
      </c>
      <c r="B925" t="s">
        <v>770</v>
      </c>
      <c r="C925" t="s">
        <v>272</v>
      </c>
      <c r="D925" t="s">
        <v>289</v>
      </c>
      <c r="E925" s="35">
        <v>0.39900000000000002</v>
      </c>
      <c r="F925" s="35">
        <v>0.498</v>
      </c>
      <c r="G925" s="35">
        <v>500</v>
      </c>
    </row>
    <row r="926" spans="1:7" x14ac:dyDescent="0.25">
      <c r="A926">
        <v>20221028</v>
      </c>
      <c r="B926" t="s">
        <v>770</v>
      </c>
      <c r="C926" t="s">
        <v>278</v>
      </c>
      <c r="D926" t="s">
        <v>187</v>
      </c>
      <c r="E926" s="35">
        <v>0.39900000000000002</v>
      </c>
      <c r="F926" s="35">
        <v>0.498</v>
      </c>
      <c r="G926" s="35">
        <v>1700</v>
      </c>
    </row>
    <row r="927" spans="1:7" x14ac:dyDescent="0.25">
      <c r="A927">
        <v>20221028</v>
      </c>
      <c r="B927" t="s">
        <v>770</v>
      </c>
      <c r="C927" t="s">
        <v>278</v>
      </c>
      <c r="D927" t="s">
        <v>214</v>
      </c>
      <c r="E927" s="35">
        <v>0.39900000000000002</v>
      </c>
      <c r="F927" s="35">
        <v>0.498</v>
      </c>
      <c r="G927" s="35">
        <v>1600</v>
      </c>
    </row>
    <row r="928" spans="1:7" x14ac:dyDescent="0.25">
      <c r="A928">
        <v>20221028</v>
      </c>
      <c r="B928" t="s">
        <v>770</v>
      </c>
      <c r="C928" t="s">
        <v>278</v>
      </c>
      <c r="D928" t="s">
        <v>233</v>
      </c>
      <c r="E928" s="35">
        <v>0.39900000000000002</v>
      </c>
      <c r="F928" s="35">
        <v>0.498</v>
      </c>
      <c r="G928" s="35">
        <v>1500</v>
      </c>
    </row>
    <row r="929" spans="1:7" x14ac:dyDescent="0.25">
      <c r="A929">
        <v>20221028</v>
      </c>
      <c r="B929" t="s">
        <v>770</v>
      </c>
      <c r="C929" t="s">
        <v>278</v>
      </c>
      <c r="D929" t="s">
        <v>242</v>
      </c>
      <c r="E929" s="35">
        <v>0.39900000000000002</v>
      </c>
      <c r="F929" s="35">
        <v>0.498</v>
      </c>
      <c r="G929" s="35">
        <v>1400</v>
      </c>
    </row>
    <row r="930" spans="1:7" x14ac:dyDescent="0.25">
      <c r="A930">
        <v>20221028</v>
      </c>
      <c r="B930" t="s">
        <v>770</v>
      </c>
      <c r="C930" t="s">
        <v>278</v>
      </c>
      <c r="D930" t="s">
        <v>250</v>
      </c>
      <c r="E930" s="35">
        <v>0.39900000000000002</v>
      </c>
      <c r="F930" s="35">
        <v>0.498</v>
      </c>
      <c r="G930" s="35">
        <v>1300</v>
      </c>
    </row>
    <row r="931" spans="1:7" x14ac:dyDescent="0.25">
      <c r="A931">
        <v>20221028</v>
      </c>
      <c r="B931" t="s">
        <v>770</v>
      </c>
      <c r="C931" t="s">
        <v>278</v>
      </c>
      <c r="D931" t="s">
        <v>258</v>
      </c>
      <c r="E931" s="35">
        <v>0.39900000000000002</v>
      </c>
      <c r="F931" s="35">
        <v>0.498</v>
      </c>
      <c r="G931" s="35">
        <v>1200</v>
      </c>
    </row>
    <row r="932" spans="1:7" x14ac:dyDescent="0.25">
      <c r="A932">
        <v>20221028</v>
      </c>
      <c r="B932" t="s">
        <v>770</v>
      </c>
      <c r="C932" t="s">
        <v>278</v>
      </c>
      <c r="D932" t="s">
        <v>265</v>
      </c>
      <c r="E932" s="35">
        <v>0.39900000000000002</v>
      </c>
      <c r="F932" s="35">
        <v>0.498</v>
      </c>
      <c r="G932" s="35">
        <v>1000</v>
      </c>
    </row>
    <row r="933" spans="1:7" x14ac:dyDescent="0.25">
      <c r="A933">
        <v>20221028</v>
      </c>
      <c r="B933" t="s">
        <v>770</v>
      </c>
      <c r="C933" t="s">
        <v>278</v>
      </c>
      <c r="D933" t="s">
        <v>273</v>
      </c>
      <c r="E933" s="35">
        <v>0.39900000000000002</v>
      </c>
      <c r="F933" s="35">
        <v>0.498</v>
      </c>
      <c r="G933" s="35">
        <v>900</v>
      </c>
    </row>
    <row r="934" spans="1:7" x14ac:dyDescent="0.25">
      <c r="A934">
        <v>20221028</v>
      </c>
      <c r="B934" t="s">
        <v>770</v>
      </c>
      <c r="C934" t="s">
        <v>278</v>
      </c>
      <c r="D934" t="s">
        <v>279</v>
      </c>
      <c r="E934" s="35">
        <v>0.39900000000000002</v>
      </c>
      <c r="F934" s="35">
        <v>0.498</v>
      </c>
      <c r="G934" s="35">
        <v>800</v>
      </c>
    </row>
    <row r="935" spans="1:7" x14ac:dyDescent="0.25">
      <c r="A935">
        <v>20221028</v>
      </c>
      <c r="B935" t="s">
        <v>770</v>
      </c>
      <c r="C935" t="s">
        <v>278</v>
      </c>
      <c r="D935" t="s">
        <v>285</v>
      </c>
      <c r="E935" s="35">
        <v>0.39900000000000002</v>
      </c>
      <c r="F935" s="35">
        <v>0.498</v>
      </c>
      <c r="G935" s="35">
        <v>600</v>
      </c>
    </row>
    <row r="936" spans="1:7" x14ac:dyDescent="0.25">
      <c r="A936">
        <v>20221028</v>
      </c>
      <c r="B936" t="s">
        <v>770</v>
      </c>
      <c r="C936" t="s">
        <v>278</v>
      </c>
      <c r="D936" t="s">
        <v>289</v>
      </c>
      <c r="E936" s="35">
        <v>0.39900000000000002</v>
      </c>
      <c r="F936" s="35">
        <v>0.498</v>
      </c>
      <c r="G936" s="35">
        <v>400</v>
      </c>
    </row>
    <row r="937" spans="1:7" x14ac:dyDescent="0.25">
      <c r="A937">
        <v>20221028</v>
      </c>
      <c r="B937" t="s">
        <v>770</v>
      </c>
      <c r="C937" t="s">
        <v>284</v>
      </c>
      <c r="D937" t="s">
        <v>187</v>
      </c>
      <c r="E937" s="35">
        <v>0.39900000000000002</v>
      </c>
      <c r="F937" s="35">
        <v>0.498</v>
      </c>
      <c r="G937" s="35">
        <v>1500</v>
      </c>
    </row>
    <row r="938" spans="1:7" x14ac:dyDescent="0.25">
      <c r="A938">
        <v>20221028</v>
      </c>
      <c r="B938" t="s">
        <v>770</v>
      </c>
      <c r="C938" t="s">
        <v>284</v>
      </c>
      <c r="D938" t="s">
        <v>214</v>
      </c>
      <c r="E938" s="35">
        <v>0.39900000000000002</v>
      </c>
      <c r="F938" s="35">
        <v>0.498</v>
      </c>
      <c r="G938" s="35">
        <v>1400</v>
      </c>
    </row>
    <row r="939" spans="1:7" x14ac:dyDescent="0.25">
      <c r="A939">
        <v>20221028</v>
      </c>
      <c r="B939" t="s">
        <v>770</v>
      </c>
      <c r="C939" t="s">
        <v>284</v>
      </c>
      <c r="D939" t="s">
        <v>233</v>
      </c>
      <c r="E939" s="35">
        <v>0.39900000000000002</v>
      </c>
      <c r="F939" s="35">
        <v>0.498</v>
      </c>
      <c r="G939" s="35">
        <v>1300</v>
      </c>
    </row>
    <row r="940" spans="1:7" x14ac:dyDescent="0.25">
      <c r="A940">
        <v>20221028</v>
      </c>
      <c r="B940" t="s">
        <v>770</v>
      </c>
      <c r="C940" t="s">
        <v>284</v>
      </c>
      <c r="D940" t="s">
        <v>242</v>
      </c>
      <c r="E940" s="35">
        <v>0.39900000000000002</v>
      </c>
      <c r="F940" s="35">
        <v>0.498</v>
      </c>
      <c r="G940" s="35">
        <v>1200</v>
      </c>
    </row>
    <row r="941" spans="1:7" x14ac:dyDescent="0.25">
      <c r="A941">
        <v>20221028</v>
      </c>
      <c r="B941" t="s">
        <v>770</v>
      </c>
      <c r="C941" t="s">
        <v>284</v>
      </c>
      <c r="D941" t="s">
        <v>250</v>
      </c>
      <c r="E941" s="35">
        <v>0.39900000000000002</v>
      </c>
      <c r="F941" s="35">
        <v>0.498</v>
      </c>
      <c r="G941" s="35">
        <v>1100</v>
      </c>
    </row>
    <row r="942" spans="1:7" x14ac:dyDescent="0.25">
      <c r="A942">
        <v>20221028</v>
      </c>
      <c r="B942" t="s">
        <v>770</v>
      </c>
      <c r="C942" t="s">
        <v>284</v>
      </c>
      <c r="D942" t="s">
        <v>258</v>
      </c>
      <c r="E942" s="35">
        <v>0.39900000000000002</v>
      </c>
      <c r="F942" s="35">
        <v>0.498</v>
      </c>
      <c r="G942" s="35">
        <v>1000</v>
      </c>
    </row>
    <row r="943" spans="1:7" x14ac:dyDescent="0.25">
      <c r="A943">
        <v>20221028</v>
      </c>
      <c r="B943" t="s">
        <v>770</v>
      </c>
      <c r="C943" t="s">
        <v>284</v>
      </c>
      <c r="D943" t="s">
        <v>265</v>
      </c>
      <c r="E943" s="35">
        <v>0.39900000000000002</v>
      </c>
      <c r="F943" s="35">
        <v>0.498</v>
      </c>
      <c r="G943" s="35">
        <v>900</v>
      </c>
    </row>
    <row r="944" spans="1:7" x14ac:dyDescent="0.25">
      <c r="A944">
        <v>20221028</v>
      </c>
      <c r="B944" t="s">
        <v>770</v>
      </c>
      <c r="C944" t="s">
        <v>284</v>
      </c>
      <c r="D944" t="s">
        <v>273</v>
      </c>
      <c r="E944" s="35">
        <v>0.39900000000000002</v>
      </c>
      <c r="F944" s="35">
        <v>0.498</v>
      </c>
      <c r="G944" s="35">
        <v>800</v>
      </c>
    </row>
    <row r="945" spans="1:7" x14ac:dyDescent="0.25">
      <c r="A945">
        <v>20221028</v>
      </c>
      <c r="B945" t="s">
        <v>770</v>
      </c>
      <c r="C945" t="s">
        <v>284</v>
      </c>
      <c r="D945" t="s">
        <v>279</v>
      </c>
      <c r="E945" s="35">
        <v>0.39900000000000002</v>
      </c>
      <c r="F945" s="35">
        <v>0.498</v>
      </c>
      <c r="G945" s="35">
        <v>700</v>
      </c>
    </row>
    <row r="946" spans="1:7" x14ac:dyDescent="0.25">
      <c r="A946">
        <v>20221028</v>
      </c>
      <c r="B946" t="s">
        <v>770</v>
      </c>
      <c r="C946" t="s">
        <v>284</v>
      </c>
      <c r="D946" t="s">
        <v>285</v>
      </c>
      <c r="E946" s="35">
        <v>0.39900000000000002</v>
      </c>
      <c r="F946" s="35">
        <v>0.498</v>
      </c>
      <c r="G946" s="35">
        <v>500</v>
      </c>
    </row>
    <row r="947" spans="1:7" x14ac:dyDescent="0.25">
      <c r="A947">
        <v>20221028</v>
      </c>
      <c r="B947" t="s">
        <v>770</v>
      </c>
      <c r="C947" t="s">
        <v>284</v>
      </c>
      <c r="D947" t="s">
        <v>289</v>
      </c>
      <c r="E947" s="35">
        <v>0.39900000000000002</v>
      </c>
      <c r="F947" s="35">
        <v>0.498</v>
      </c>
      <c r="G947" s="35">
        <v>400</v>
      </c>
    </row>
    <row r="948" spans="1:7" x14ac:dyDescent="0.25">
      <c r="A948">
        <v>20221028</v>
      </c>
      <c r="B948" t="s">
        <v>770</v>
      </c>
      <c r="C948" t="s">
        <v>186</v>
      </c>
      <c r="D948" t="s">
        <v>187</v>
      </c>
      <c r="E948" s="35">
        <v>0.499</v>
      </c>
      <c r="F948" s="35">
        <v>0.69799999999999995</v>
      </c>
      <c r="G948" s="35">
        <v>7000</v>
      </c>
    </row>
    <row r="949" spans="1:7" x14ac:dyDescent="0.25">
      <c r="A949">
        <v>20221028</v>
      </c>
      <c r="B949" t="s">
        <v>770</v>
      </c>
      <c r="C949" t="s">
        <v>186</v>
      </c>
      <c r="D949" t="s">
        <v>214</v>
      </c>
      <c r="E949" s="35">
        <v>0.499</v>
      </c>
      <c r="F949" s="35">
        <v>0.69799999999999995</v>
      </c>
      <c r="G949" s="35">
        <v>5800</v>
      </c>
    </row>
    <row r="950" spans="1:7" x14ac:dyDescent="0.25">
      <c r="A950">
        <v>20221028</v>
      </c>
      <c r="B950" t="s">
        <v>770</v>
      </c>
      <c r="C950" t="s">
        <v>186</v>
      </c>
      <c r="D950" t="s">
        <v>233</v>
      </c>
      <c r="E950" s="35">
        <v>0.499</v>
      </c>
      <c r="F950" s="35">
        <v>0.69799999999999995</v>
      </c>
      <c r="G950" s="35">
        <v>5000</v>
      </c>
    </row>
    <row r="951" spans="1:7" x14ac:dyDescent="0.25">
      <c r="A951">
        <v>20221028</v>
      </c>
      <c r="B951" t="s">
        <v>770</v>
      </c>
      <c r="C951" t="s">
        <v>186</v>
      </c>
      <c r="D951" t="s">
        <v>242</v>
      </c>
      <c r="E951" s="35">
        <v>0.499</v>
      </c>
      <c r="F951" s="35">
        <v>0.69799999999999995</v>
      </c>
      <c r="G951" s="35">
        <v>4600</v>
      </c>
    </row>
    <row r="952" spans="1:7" x14ac:dyDescent="0.25">
      <c r="A952">
        <v>20221028</v>
      </c>
      <c r="B952" t="s">
        <v>770</v>
      </c>
      <c r="C952" t="s">
        <v>186</v>
      </c>
      <c r="D952" t="s">
        <v>250</v>
      </c>
      <c r="E952" s="35">
        <v>0.499</v>
      </c>
      <c r="F952" s="35">
        <v>0.69799999999999995</v>
      </c>
      <c r="G952" s="35">
        <v>4300</v>
      </c>
    </row>
    <row r="953" spans="1:7" x14ac:dyDescent="0.25">
      <c r="A953">
        <v>20221028</v>
      </c>
      <c r="B953" t="s">
        <v>770</v>
      </c>
      <c r="C953" t="s">
        <v>186</v>
      </c>
      <c r="D953" t="s">
        <v>258</v>
      </c>
      <c r="E953" s="35">
        <v>0.499</v>
      </c>
      <c r="F953" s="35">
        <v>0.69799999999999995</v>
      </c>
      <c r="G953" s="35">
        <v>3600</v>
      </c>
    </row>
    <row r="954" spans="1:7" x14ac:dyDescent="0.25">
      <c r="A954">
        <v>20221028</v>
      </c>
      <c r="B954" t="s">
        <v>770</v>
      </c>
      <c r="C954" t="s">
        <v>186</v>
      </c>
      <c r="D954" t="s">
        <v>265</v>
      </c>
      <c r="E954" s="35">
        <v>0.499</v>
      </c>
      <c r="F954" s="35">
        <v>0.69799999999999995</v>
      </c>
      <c r="G954" s="35">
        <v>2900</v>
      </c>
    </row>
    <row r="955" spans="1:7" x14ac:dyDescent="0.25">
      <c r="A955">
        <v>20221028</v>
      </c>
      <c r="B955" t="s">
        <v>770</v>
      </c>
      <c r="C955" t="s">
        <v>186</v>
      </c>
      <c r="D955" t="s">
        <v>273</v>
      </c>
      <c r="E955" s="35">
        <v>0.499</v>
      </c>
      <c r="F955" s="35">
        <v>0.69799999999999995</v>
      </c>
      <c r="G955" s="35">
        <v>2500</v>
      </c>
    </row>
    <row r="956" spans="1:7" x14ac:dyDescent="0.25">
      <c r="A956">
        <v>20221028</v>
      </c>
      <c r="B956" t="s">
        <v>770</v>
      </c>
      <c r="C956" t="s">
        <v>186</v>
      </c>
      <c r="D956" t="s">
        <v>279</v>
      </c>
      <c r="E956" s="35">
        <v>0.499</v>
      </c>
      <c r="F956" s="35">
        <v>0.69799999999999995</v>
      </c>
      <c r="G956" s="35">
        <v>2200</v>
      </c>
    </row>
    <row r="957" spans="1:7" x14ac:dyDescent="0.25">
      <c r="A957">
        <v>20221028</v>
      </c>
      <c r="B957" t="s">
        <v>770</v>
      </c>
      <c r="C957" t="s">
        <v>186</v>
      </c>
      <c r="D957" t="s">
        <v>285</v>
      </c>
      <c r="E957" s="35">
        <v>0.499</v>
      </c>
      <c r="F957" s="35">
        <v>0.69799999999999995</v>
      </c>
      <c r="G957" s="35">
        <v>1600</v>
      </c>
    </row>
    <row r="958" spans="1:7" x14ac:dyDescent="0.25">
      <c r="A958">
        <v>20221028</v>
      </c>
      <c r="B958" t="s">
        <v>770</v>
      </c>
      <c r="C958" t="s">
        <v>186</v>
      </c>
      <c r="D958" t="s">
        <v>289</v>
      </c>
      <c r="E958" s="35">
        <v>0.499</v>
      </c>
      <c r="F958" s="35">
        <v>0.69799999999999995</v>
      </c>
      <c r="G958" s="35">
        <v>1100</v>
      </c>
    </row>
    <row r="959" spans="1:7" x14ac:dyDescent="0.25">
      <c r="A959">
        <v>20221028</v>
      </c>
      <c r="B959" t="s">
        <v>770</v>
      </c>
      <c r="C959" t="s">
        <v>213</v>
      </c>
      <c r="D959" t="s">
        <v>187</v>
      </c>
      <c r="E959" s="35">
        <v>0.499</v>
      </c>
      <c r="F959" s="35">
        <v>0.69799999999999995</v>
      </c>
      <c r="G959" s="35">
        <v>5700</v>
      </c>
    </row>
    <row r="960" spans="1:7" x14ac:dyDescent="0.25">
      <c r="A960">
        <v>20221028</v>
      </c>
      <c r="B960" t="s">
        <v>770</v>
      </c>
      <c r="C960" t="s">
        <v>213</v>
      </c>
      <c r="D960" t="s">
        <v>214</v>
      </c>
      <c r="E960" s="35">
        <v>0.499</v>
      </c>
      <c r="F960" s="35">
        <v>0.69799999999999995</v>
      </c>
      <c r="G960" s="35">
        <v>5200</v>
      </c>
    </row>
    <row r="961" spans="1:7" x14ac:dyDescent="0.25">
      <c r="A961">
        <v>20221028</v>
      </c>
      <c r="B961" t="s">
        <v>770</v>
      </c>
      <c r="C961" t="s">
        <v>213</v>
      </c>
      <c r="D961" t="s">
        <v>233</v>
      </c>
      <c r="E961" s="35">
        <v>0.499</v>
      </c>
      <c r="F961" s="35">
        <v>0.69799999999999995</v>
      </c>
      <c r="G961" s="35">
        <v>4700</v>
      </c>
    </row>
    <row r="962" spans="1:7" x14ac:dyDescent="0.25">
      <c r="A962">
        <v>20221028</v>
      </c>
      <c r="B962" t="s">
        <v>770</v>
      </c>
      <c r="C962" t="s">
        <v>213</v>
      </c>
      <c r="D962" t="s">
        <v>242</v>
      </c>
      <c r="E962" s="35">
        <v>0.499</v>
      </c>
      <c r="F962" s="35">
        <v>0.69799999999999995</v>
      </c>
      <c r="G962" s="35">
        <v>4400</v>
      </c>
    </row>
    <row r="963" spans="1:7" x14ac:dyDescent="0.25">
      <c r="A963">
        <v>20221028</v>
      </c>
      <c r="B963" t="s">
        <v>770</v>
      </c>
      <c r="C963" t="s">
        <v>213</v>
      </c>
      <c r="D963" t="s">
        <v>250</v>
      </c>
      <c r="E963" s="35">
        <v>0.499</v>
      </c>
      <c r="F963" s="35">
        <v>0.69799999999999995</v>
      </c>
      <c r="G963" s="35">
        <v>4100</v>
      </c>
    </row>
    <row r="964" spans="1:7" x14ac:dyDescent="0.25">
      <c r="A964">
        <v>20221028</v>
      </c>
      <c r="B964" t="s">
        <v>770</v>
      </c>
      <c r="C964" t="s">
        <v>213</v>
      </c>
      <c r="D964" t="s">
        <v>258</v>
      </c>
      <c r="E964" s="35">
        <v>0.499</v>
      </c>
      <c r="F964" s="35">
        <v>0.69799999999999995</v>
      </c>
      <c r="G964" s="35">
        <v>3400</v>
      </c>
    </row>
    <row r="965" spans="1:7" x14ac:dyDescent="0.25">
      <c r="A965">
        <v>20221028</v>
      </c>
      <c r="B965" t="s">
        <v>770</v>
      </c>
      <c r="C965" t="s">
        <v>213</v>
      </c>
      <c r="D965" t="s">
        <v>265</v>
      </c>
      <c r="E965" s="35">
        <v>0.499</v>
      </c>
      <c r="F965" s="35">
        <v>0.69799999999999995</v>
      </c>
      <c r="G965" s="35">
        <v>2800</v>
      </c>
    </row>
    <row r="966" spans="1:7" x14ac:dyDescent="0.25">
      <c r="A966">
        <v>20221028</v>
      </c>
      <c r="B966" t="s">
        <v>770</v>
      </c>
      <c r="C966" t="s">
        <v>213</v>
      </c>
      <c r="D966" t="s">
        <v>273</v>
      </c>
      <c r="E966" s="35">
        <v>0.499</v>
      </c>
      <c r="F966" s="35">
        <v>0.69799999999999995</v>
      </c>
      <c r="G966" s="35">
        <v>2400</v>
      </c>
    </row>
    <row r="967" spans="1:7" x14ac:dyDescent="0.25">
      <c r="A967">
        <v>20221028</v>
      </c>
      <c r="B967" t="s">
        <v>770</v>
      </c>
      <c r="C967" t="s">
        <v>213</v>
      </c>
      <c r="D967" t="s">
        <v>279</v>
      </c>
      <c r="E967" s="35">
        <v>0.499</v>
      </c>
      <c r="F967" s="35">
        <v>0.69799999999999995</v>
      </c>
      <c r="G967" s="35">
        <v>2100</v>
      </c>
    </row>
    <row r="968" spans="1:7" x14ac:dyDescent="0.25">
      <c r="A968">
        <v>20221028</v>
      </c>
      <c r="B968" t="s">
        <v>770</v>
      </c>
      <c r="C968" t="s">
        <v>213</v>
      </c>
      <c r="D968" t="s">
        <v>285</v>
      </c>
      <c r="E968" s="35">
        <v>0.499</v>
      </c>
      <c r="F968" s="35">
        <v>0.69799999999999995</v>
      </c>
      <c r="G968" s="35">
        <v>1500</v>
      </c>
    </row>
    <row r="969" spans="1:7" x14ac:dyDescent="0.25">
      <c r="A969">
        <v>20221028</v>
      </c>
      <c r="B969" t="s">
        <v>770</v>
      </c>
      <c r="C969" t="s">
        <v>213</v>
      </c>
      <c r="D969" t="s">
        <v>289</v>
      </c>
      <c r="E969" s="35">
        <v>0.499</v>
      </c>
      <c r="F969" s="35">
        <v>0.69799999999999995</v>
      </c>
      <c r="G969" s="35">
        <v>1000</v>
      </c>
    </row>
    <row r="970" spans="1:7" x14ac:dyDescent="0.25">
      <c r="A970">
        <v>20221028</v>
      </c>
      <c r="B970" t="s">
        <v>770</v>
      </c>
      <c r="C970" t="s">
        <v>232</v>
      </c>
      <c r="D970" t="s">
        <v>187</v>
      </c>
      <c r="E970" s="35">
        <v>0.499</v>
      </c>
      <c r="F970" s="35">
        <v>0.69799999999999995</v>
      </c>
      <c r="G970" s="35">
        <v>5000</v>
      </c>
    </row>
    <row r="971" spans="1:7" x14ac:dyDescent="0.25">
      <c r="A971">
        <v>20221028</v>
      </c>
      <c r="B971" t="s">
        <v>770</v>
      </c>
      <c r="C971" t="s">
        <v>232</v>
      </c>
      <c r="D971" t="s">
        <v>214</v>
      </c>
      <c r="E971" s="35">
        <v>0.499</v>
      </c>
      <c r="F971" s="35">
        <v>0.69799999999999995</v>
      </c>
      <c r="G971" s="35">
        <v>4800</v>
      </c>
    </row>
    <row r="972" spans="1:7" x14ac:dyDescent="0.25">
      <c r="A972">
        <v>20221028</v>
      </c>
      <c r="B972" t="s">
        <v>770</v>
      </c>
      <c r="C972" t="s">
        <v>232</v>
      </c>
      <c r="D972" t="s">
        <v>233</v>
      </c>
      <c r="E972" s="35">
        <v>0.499</v>
      </c>
      <c r="F972" s="35">
        <v>0.69799999999999995</v>
      </c>
      <c r="G972" s="35">
        <v>4400</v>
      </c>
    </row>
    <row r="973" spans="1:7" x14ac:dyDescent="0.25">
      <c r="A973">
        <v>20221028</v>
      </c>
      <c r="B973" t="s">
        <v>770</v>
      </c>
      <c r="C973" t="s">
        <v>232</v>
      </c>
      <c r="D973" t="s">
        <v>242</v>
      </c>
      <c r="E973" s="35">
        <v>0.499</v>
      </c>
      <c r="F973" s="35">
        <v>0.69799999999999995</v>
      </c>
      <c r="G973" s="35">
        <v>4200</v>
      </c>
    </row>
    <row r="974" spans="1:7" x14ac:dyDescent="0.25">
      <c r="A974">
        <v>20221028</v>
      </c>
      <c r="B974" t="s">
        <v>770</v>
      </c>
      <c r="C974" t="s">
        <v>232</v>
      </c>
      <c r="D974" t="s">
        <v>250</v>
      </c>
      <c r="E974" s="35">
        <v>0.499</v>
      </c>
      <c r="F974" s="35">
        <v>0.69799999999999995</v>
      </c>
      <c r="G974" s="35">
        <v>3900</v>
      </c>
    </row>
    <row r="975" spans="1:7" x14ac:dyDescent="0.25">
      <c r="A975">
        <v>20221028</v>
      </c>
      <c r="B975" t="s">
        <v>770</v>
      </c>
      <c r="C975" t="s">
        <v>232</v>
      </c>
      <c r="D975" t="s">
        <v>258</v>
      </c>
      <c r="E975" s="35">
        <v>0.499</v>
      </c>
      <c r="F975" s="35">
        <v>0.69799999999999995</v>
      </c>
      <c r="G975" s="35">
        <v>3300</v>
      </c>
    </row>
    <row r="976" spans="1:7" x14ac:dyDescent="0.25">
      <c r="A976">
        <v>20221028</v>
      </c>
      <c r="B976" t="s">
        <v>770</v>
      </c>
      <c r="C976" t="s">
        <v>232</v>
      </c>
      <c r="D976" t="s">
        <v>265</v>
      </c>
      <c r="E976" s="35">
        <v>0.499</v>
      </c>
      <c r="F976" s="35">
        <v>0.69799999999999995</v>
      </c>
      <c r="G976" s="35">
        <v>2700</v>
      </c>
    </row>
    <row r="977" spans="1:7" x14ac:dyDescent="0.25">
      <c r="A977">
        <v>20221028</v>
      </c>
      <c r="B977" t="s">
        <v>770</v>
      </c>
      <c r="C977" t="s">
        <v>232</v>
      </c>
      <c r="D977" t="s">
        <v>273</v>
      </c>
      <c r="E977" s="35">
        <v>0.499</v>
      </c>
      <c r="F977" s="35">
        <v>0.69799999999999995</v>
      </c>
      <c r="G977" s="35">
        <v>2300</v>
      </c>
    </row>
    <row r="978" spans="1:7" x14ac:dyDescent="0.25">
      <c r="A978">
        <v>20221028</v>
      </c>
      <c r="B978" t="s">
        <v>770</v>
      </c>
      <c r="C978" t="s">
        <v>232</v>
      </c>
      <c r="D978" t="s">
        <v>279</v>
      </c>
      <c r="E978" s="35">
        <v>0.499</v>
      </c>
      <c r="F978" s="35">
        <v>0.69799999999999995</v>
      </c>
      <c r="G978" s="35">
        <v>2000</v>
      </c>
    </row>
    <row r="979" spans="1:7" x14ac:dyDescent="0.25">
      <c r="A979">
        <v>20221028</v>
      </c>
      <c r="B979" t="s">
        <v>770</v>
      </c>
      <c r="C979" t="s">
        <v>232</v>
      </c>
      <c r="D979" t="s">
        <v>285</v>
      </c>
      <c r="E979" s="35">
        <v>0.499</v>
      </c>
      <c r="F979" s="35">
        <v>0.69799999999999995</v>
      </c>
      <c r="G979" s="35">
        <v>1400</v>
      </c>
    </row>
    <row r="980" spans="1:7" x14ac:dyDescent="0.25">
      <c r="A980">
        <v>20221028</v>
      </c>
      <c r="B980" t="s">
        <v>770</v>
      </c>
      <c r="C980" t="s">
        <v>232</v>
      </c>
      <c r="D980" t="s">
        <v>289</v>
      </c>
      <c r="E980" s="35">
        <v>0.499</v>
      </c>
      <c r="F980" s="35">
        <v>0.69799999999999995</v>
      </c>
      <c r="G980" s="35">
        <v>1000</v>
      </c>
    </row>
    <row r="981" spans="1:7" x14ac:dyDescent="0.25">
      <c r="A981">
        <v>20221028</v>
      </c>
      <c r="B981" t="s">
        <v>770</v>
      </c>
      <c r="C981" t="s">
        <v>215</v>
      </c>
      <c r="D981" t="s">
        <v>187</v>
      </c>
      <c r="E981" s="35">
        <v>0.499</v>
      </c>
      <c r="F981" s="35">
        <v>0.69799999999999995</v>
      </c>
      <c r="G981" s="35">
        <v>4500</v>
      </c>
    </row>
    <row r="982" spans="1:7" x14ac:dyDescent="0.25">
      <c r="A982">
        <v>20221028</v>
      </c>
      <c r="B982" t="s">
        <v>770</v>
      </c>
      <c r="C982" t="s">
        <v>215</v>
      </c>
      <c r="D982" t="s">
        <v>214</v>
      </c>
      <c r="E982" s="35">
        <v>0.499</v>
      </c>
      <c r="F982" s="35">
        <v>0.69799999999999995</v>
      </c>
      <c r="G982" s="35">
        <v>4300</v>
      </c>
    </row>
    <row r="983" spans="1:7" x14ac:dyDescent="0.25">
      <c r="A983">
        <v>20221028</v>
      </c>
      <c r="B983" t="s">
        <v>770</v>
      </c>
      <c r="C983" t="s">
        <v>215</v>
      </c>
      <c r="D983" t="s">
        <v>233</v>
      </c>
      <c r="E983" s="35">
        <v>0.499</v>
      </c>
      <c r="F983" s="35">
        <v>0.69799999999999995</v>
      </c>
      <c r="G983" s="35">
        <v>4100</v>
      </c>
    </row>
    <row r="984" spans="1:7" x14ac:dyDescent="0.25">
      <c r="A984">
        <v>20221028</v>
      </c>
      <c r="B984" t="s">
        <v>770</v>
      </c>
      <c r="C984" t="s">
        <v>215</v>
      </c>
      <c r="D984" t="s">
        <v>242</v>
      </c>
      <c r="E984" s="35">
        <v>0.499</v>
      </c>
      <c r="F984" s="35">
        <v>0.69799999999999995</v>
      </c>
      <c r="G984" s="35">
        <v>4000</v>
      </c>
    </row>
    <row r="985" spans="1:7" x14ac:dyDescent="0.25">
      <c r="A985">
        <v>20221028</v>
      </c>
      <c r="B985" t="s">
        <v>770</v>
      </c>
      <c r="C985" t="s">
        <v>215</v>
      </c>
      <c r="D985" t="s">
        <v>250</v>
      </c>
      <c r="E985" s="35">
        <v>0.499</v>
      </c>
      <c r="F985" s="35">
        <v>0.69799999999999995</v>
      </c>
      <c r="G985" s="35">
        <v>3700</v>
      </c>
    </row>
    <row r="986" spans="1:7" x14ac:dyDescent="0.25">
      <c r="A986">
        <v>20221028</v>
      </c>
      <c r="B986" t="s">
        <v>770</v>
      </c>
      <c r="C986" t="s">
        <v>215</v>
      </c>
      <c r="D986" t="s">
        <v>258</v>
      </c>
      <c r="E986" s="35">
        <v>0.499</v>
      </c>
      <c r="F986" s="35">
        <v>0.69799999999999995</v>
      </c>
      <c r="G986" s="35">
        <v>3200</v>
      </c>
    </row>
    <row r="987" spans="1:7" x14ac:dyDescent="0.25">
      <c r="A987">
        <v>20221028</v>
      </c>
      <c r="B987" t="s">
        <v>770</v>
      </c>
      <c r="C987" t="s">
        <v>215</v>
      </c>
      <c r="D987" t="s">
        <v>265</v>
      </c>
      <c r="E987" s="35">
        <v>0.499</v>
      </c>
      <c r="F987" s="35">
        <v>0.69799999999999995</v>
      </c>
      <c r="G987" s="35">
        <v>2600</v>
      </c>
    </row>
    <row r="988" spans="1:7" x14ac:dyDescent="0.25">
      <c r="A988">
        <v>20221028</v>
      </c>
      <c r="B988" t="s">
        <v>770</v>
      </c>
      <c r="C988" t="s">
        <v>215</v>
      </c>
      <c r="D988" t="s">
        <v>273</v>
      </c>
      <c r="E988" s="35">
        <v>0.499</v>
      </c>
      <c r="F988" s="35">
        <v>0.69799999999999995</v>
      </c>
      <c r="G988" s="35">
        <v>2200</v>
      </c>
    </row>
    <row r="989" spans="1:7" x14ac:dyDescent="0.25">
      <c r="A989">
        <v>20221028</v>
      </c>
      <c r="B989" t="s">
        <v>770</v>
      </c>
      <c r="C989" t="s">
        <v>215</v>
      </c>
      <c r="D989" t="s">
        <v>279</v>
      </c>
      <c r="E989" s="35">
        <v>0.499</v>
      </c>
      <c r="F989" s="35">
        <v>0.69799999999999995</v>
      </c>
      <c r="G989" s="35">
        <v>1900</v>
      </c>
    </row>
    <row r="990" spans="1:7" x14ac:dyDescent="0.25">
      <c r="A990">
        <v>20221028</v>
      </c>
      <c r="B990" t="s">
        <v>770</v>
      </c>
      <c r="C990" t="s">
        <v>215</v>
      </c>
      <c r="D990" t="s">
        <v>285</v>
      </c>
      <c r="E990" s="35">
        <v>0.499</v>
      </c>
      <c r="F990" s="35">
        <v>0.69799999999999995</v>
      </c>
      <c r="G990" s="35">
        <v>1300</v>
      </c>
    </row>
    <row r="991" spans="1:7" x14ac:dyDescent="0.25">
      <c r="A991">
        <v>20221028</v>
      </c>
      <c r="B991" t="s">
        <v>770</v>
      </c>
      <c r="C991" t="s">
        <v>215</v>
      </c>
      <c r="D991" t="s">
        <v>289</v>
      </c>
      <c r="E991" s="35">
        <v>0.499</v>
      </c>
      <c r="F991" s="35">
        <v>0.69799999999999995</v>
      </c>
      <c r="G991" s="35">
        <v>900</v>
      </c>
    </row>
    <row r="992" spans="1:7" x14ac:dyDescent="0.25">
      <c r="A992">
        <v>20221028</v>
      </c>
      <c r="B992" t="s">
        <v>770</v>
      </c>
      <c r="C992" t="s">
        <v>249</v>
      </c>
      <c r="D992" t="s">
        <v>187</v>
      </c>
      <c r="E992" s="35">
        <v>0.499</v>
      </c>
      <c r="F992" s="35">
        <v>0.69799999999999995</v>
      </c>
      <c r="G992" s="35">
        <v>4100</v>
      </c>
    </row>
    <row r="993" spans="1:7" x14ac:dyDescent="0.25">
      <c r="A993">
        <v>20221028</v>
      </c>
      <c r="B993" t="s">
        <v>770</v>
      </c>
      <c r="C993" t="s">
        <v>249</v>
      </c>
      <c r="D993" t="s">
        <v>214</v>
      </c>
      <c r="E993" s="35">
        <v>0.499</v>
      </c>
      <c r="F993" s="35">
        <v>0.69799999999999995</v>
      </c>
      <c r="G993" s="35">
        <v>4000</v>
      </c>
    </row>
    <row r="994" spans="1:7" x14ac:dyDescent="0.25">
      <c r="A994">
        <v>20221028</v>
      </c>
      <c r="B994" t="s">
        <v>770</v>
      </c>
      <c r="C994" t="s">
        <v>249</v>
      </c>
      <c r="D994" t="s">
        <v>233</v>
      </c>
      <c r="E994" s="35">
        <v>0.499</v>
      </c>
      <c r="F994" s="35">
        <v>0.69799999999999995</v>
      </c>
      <c r="G994" s="35">
        <v>3900</v>
      </c>
    </row>
    <row r="995" spans="1:7" x14ac:dyDescent="0.25">
      <c r="A995">
        <v>20221028</v>
      </c>
      <c r="B995" t="s">
        <v>770</v>
      </c>
      <c r="C995" t="s">
        <v>249</v>
      </c>
      <c r="D995" t="s">
        <v>242</v>
      </c>
      <c r="E995" s="35">
        <v>0.499</v>
      </c>
      <c r="F995" s="35">
        <v>0.69799999999999995</v>
      </c>
      <c r="G995" s="35">
        <v>3800</v>
      </c>
    </row>
    <row r="996" spans="1:7" x14ac:dyDescent="0.25">
      <c r="A996">
        <v>20221028</v>
      </c>
      <c r="B996" t="s">
        <v>770</v>
      </c>
      <c r="C996" t="s">
        <v>249</v>
      </c>
      <c r="D996" t="s">
        <v>250</v>
      </c>
      <c r="E996" s="35">
        <v>0.499</v>
      </c>
      <c r="F996" s="35">
        <v>0.69799999999999995</v>
      </c>
      <c r="G996" s="35">
        <v>3500</v>
      </c>
    </row>
    <row r="997" spans="1:7" x14ac:dyDescent="0.25">
      <c r="A997">
        <v>20221028</v>
      </c>
      <c r="B997" t="s">
        <v>770</v>
      </c>
      <c r="C997" t="s">
        <v>249</v>
      </c>
      <c r="D997" t="s">
        <v>258</v>
      </c>
      <c r="E997" s="35">
        <v>0.499</v>
      </c>
      <c r="F997" s="35">
        <v>0.69799999999999995</v>
      </c>
      <c r="G997" s="35">
        <v>3000</v>
      </c>
    </row>
    <row r="998" spans="1:7" x14ac:dyDescent="0.25">
      <c r="A998">
        <v>20221028</v>
      </c>
      <c r="B998" t="s">
        <v>770</v>
      </c>
      <c r="C998" t="s">
        <v>249</v>
      </c>
      <c r="D998" t="s">
        <v>265</v>
      </c>
      <c r="E998" s="35">
        <v>0.499</v>
      </c>
      <c r="F998" s="35">
        <v>0.69799999999999995</v>
      </c>
      <c r="G998" s="35">
        <v>2500</v>
      </c>
    </row>
    <row r="999" spans="1:7" x14ac:dyDescent="0.25">
      <c r="A999">
        <v>20221028</v>
      </c>
      <c r="B999" t="s">
        <v>770</v>
      </c>
      <c r="C999" t="s">
        <v>249</v>
      </c>
      <c r="D999" t="s">
        <v>273</v>
      </c>
      <c r="E999" s="35">
        <v>0.499</v>
      </c>
      <c r="F999" s="35">
        <v>0.69799999999999995</v>
      </c>
      <c r="G999" s="35">
        <v>2100</v>
      </c>
    </row>
    <row r="1000" spans="1:7" x14ac:dyDescent="0.25">
      <c r="A1000">
        <v>20221028</v>
      </c>
      <c r="B1000" t="s">
        <v>770</v>
      </c>
      <c r="C1000" t="s">
        <v>249</v>
      </c>
      <c r="D1000" t="s">
        <v>279</v>
      </c>
      <c r="E1000" s="35">
        <v>0.499</v>
      </c>
      <c r="F1000" s="35">
        <v>0.69799999999999995</v>
      </c>
      <c r="G1000" s="35">
        <v>1800</v>
      </c>
    </row>
    <row r="1001" spans="1:7" x14ac:dyDescent="0.25">
      <c r="A1001">
        <v>20221028</v>
      </c>
      <c r="B1001" t="s">
        <v>770</v>
      </c>
      <c r="C1001" t="s">
        <v>249</v>
      </c>
      <c r="D1001" t="s">
        <v>285</v>
      </c>
      <c r="E1001" s="35">
        <v>0.499</v>
      </c>
      <c r="F1001" s="35">
        <v>0.69799999999999995</v>
      </c>
      <c r="G1001" s="35">
        <v>1200</v>
      </c>
    </row>
    <row r="1002" spans="1:7" x14ac:dyDescent="0.25">
      <c r="A1002">
        <v>20221028</v>
      </c>
      <c r="B1002" t="s">
        <v>770</v>
      </c>
      <c r="C1002" t="s">
        <v>249</v>
      </c>
      <c r="D1002" t="s">
        <v>289</v>
      </c>
      <c r="E1002" s="35">
        <v>0.499</v>
      </c>
      <c r="F1002" s="35">
        <v>0.69799999999999995</v>
      </c>
      <c r="G1002" s="35">
        <v>800</v>
      </c>
    </row>
    <row r="1003" spans="1:7" x14ac:dyDescent="0.25">
      <c r="A1003">
        <v>20221028</v>
      </c>
      <c r="B1003" t="s">
        <v>770</v>
      </c>
      <c r="C1003" t="s">
        <v>257</v>
      </c>
      <c r="D1003" t="s">
        <v>187</v>
      </c>
      <c r="E1003" s="35">
        <v>0.499</v>
      </c>
      <c r="F1003" s="35">
        <v>0.69799999999999995</v>
      </c>
      <c r="G1003" s="35">
        <v>3500</v>
      </c>
    </row>
    <row r="1004" spans="1:7" x14ac:dyDescent="0.25">
      <c r="A1004">
        <v>20221028</v>
      </c>
      <c r="B1004" t="s">
        <v>770</v>
      </c>
      <c r="C1004" t="s">
        <v>257</v>
      </c>
      <c r="D1004" t="s">
        <v>214</v>
      </c>
      <c r="E1004" s="35">
        <v>0.499</v>
      </c>
      <c r="F1004" s="35">
        <v>0.69799999999999995</v>
      </c>
      <c r="G1004" s="35">
        <v>3400</v>
      </c>
    </row>
    <row r="1005" spans="1:7" x14ac:dyDescent="0.25">
      <c r="A1005">
        <v>20221028</v>
      </c>
      <c r="B1005" t="s">
        <v>770</v>
      </c>
      <c r="C1005" t="s">
        <v>257</v>
      </c>
      <c r="D1005" t="s">
        <v>233</v>
      </c>
      <c r="E1005" s="35">
        <v>0.499</v>
      </c>
      <c r="F1005" s="35">
        <v>0.69799999999999995</v>
      </c>
      <c r="G1005" s="35">
        <v>3300</v>
      </c>
    </row>
    <row r="1006" spans="1:7" x14ac:dyDescent="0.25">
      <c r="A1006">
        <v>20221028</v>
      </c>
      <c r="B1006" t="s">
        <v>770</v>
      </c>
      <c r="C1006" t="s">
        <v>257</v>
      </c>
      <c r="D1006" t="s">
        <v>242</v>
      </c>
      <c r="E1006" s="35">
        <v>0.499</v>
      </c>
      <c r="F1006" s="35">
        <v>0.69799999999999995</v>
      </c>
      <c r="G1006" s="35">
        <v>3200</v>
      </c>
    </row>
    <row r="1007" spans="1:7" x14ac:dyDescent="0.25">
      <c r="A1007">
        <v>20221028</v>
      </c>
      <c r="B1007" t="s">
        <v>770</v>
      </c>
      <c r="C1007" t="s">
        <v>257</v>
      </c>
      <c r="D1007" t="s">
        <v>250</v>
      </c>
      <c r="E1007" s="35">
        <v>0.499</v>
      </c>
      <c r="F1007" s="35">
        <v>0.69799999999999995</v>
      </c>
      <c r="G1007" s="35">
        <v>3000</v>
      </c>
    </row>
    <row r="1008" spans="1:7" x14ac:dyDescent="0.25">
      <c r="A1008">
        <v>20221028</v>
      </c>
      <c r="B1008" t="s">
        <v>770</v>
      </c>
      <c r="C1008" t="s">
        <v>257</v>
      </c>
      <c r="D1008" t="s">
        <v>258</v>
      </c>
      <c r="E1008" s="35">
        <v>0.499</v>
      </c>
      <c r="F1008" s="35">
        <v>0.69799999999999995</v>
      </c>
      <c r="G1008" s="35">
        <v>2600</v>
      </c>
    </row>
    <row r="1009" spans="1:7" x14ac:dyDescent="0.25">
      <c r="A1009">
        <v>20221028</v>
      </c>
      <c r="B1009" t="s">
        <v>770</v>
      </c>
      <c r="C1009" t="s">
        <v>257</v>
      </c>
      <c r="D1009" t="s">
        <v>265</v>
      </c>
      <c r="E1009" s="35">
        <v>0.499</v>
      </c>
      <c r="F1009" s="35">
        <v>0.69799999999999995</v>
      </c>
      <c r="G1009" s="35">
        <v>2300</v>
      </c>
    </row>
    <row r="1010" spans="1:7" x14ac:dyDescent="0.25">
      <c r="A1010">
        <v>20221028</v>
      </c>
      <c r="B1010" t="s">
        <v>770</v>
      </c>
      <c r="C1010" t="s">
        <v>257</v>
      </c>
      <c r="D1010" t="s">
        <v>273</v>
      </c>
      <c r="E1010" s="35">
        <v>0.499</v>
      </c>
      <c r="F1010" s="35">
        <v>0.69799999999999995</v>
      </c>
      <c r="G1010" s="35">
        <v>1900</v>
      </c>
    </row>
    <row r="1011" spans="1:7" x14ac:dyDescent="0.25">
      <c r="A1011">
        <v>20221028</v>
      </c>
      <c r="B1011" t="s">
        <v>770</v>
      </c>
      <c r="C1011" t="s">
        <v>257</v>
      </c>
      <c r="D1011" t="s">
        <v>279</v>
      </c>
      <c r="E1011" s="35">
        <v>0.499</v>
      </c>
      <c r="F1011" s="35">
        <v>0.69799999999999995</v>
      </c>
      <c r="G1011" s="35">
        <v>1600</v>
      </c>
    </row>
    <row r="1012" spans="1:7" x14ac:dyDescent="0.25">
      <c r="A1012">
        <v>20221028</v>
      </c>
      <c r="B1012" t="s">
        <v>770</v>
      </c>
      <c r="C1012" t="s">
        <v>257</v>
      </c>
      <c r="D1012" t="s">
        <v>285</v>
      </c>
      <c r="E1012" s="35">
        <v>0.499</v>
      </c>
      <c r="F1012" s="35">
        <v>0.69799999999999995</v>
      </c>
      <c r="G1012" s="35">
        <v>1100</v>
      </c>
    </row>
    <row r="1013" spans="1:7" x14ac:dyDescent="0.25">
      <c r="A1013">
        <v>20221028</v>
      </c>
      <c r="B1013" t="s">
        <v>770</v>
      </c>
      <c r="C1013" t="s">
        <v>257</v>
      </c>
      <c r="D1013" t="s">
        <v>289</v>
      </c>
      <c r="E1013" s="35">
        <v>0.499</v>
      </c>
      <c r="F1013" s="35">
        <v>0.69799999999999995</v>
      </c>
      <c r="G1013" s="35">
        <v>800</v>
      </c>
    </row>
    <row r="1014" spans="1:7" x14ac:dyDescent="0.25">
      <c r="A1014">
        <v>20221028</v>
      </c>
      <c r="B1014" t="s">
        <v>770</v>
      </c>
      <c r="C1014" t="s">
        <v>264</v>
      </c>
      <c r="D1014" t="s">
        <v>187</v>
      </c>
      <c r="E1014" s="35">
        <v>0.499</v>
      </c>
      <c r="F1014" s="35">
        <v>0.69799999999999995</v>
      </c>
      <c r="G1014" s="35">
        <v>2900</v>
      </c>
    </row>
    <row r="1015" spans="1:7" x14ac:dyDescent="0.25">
      <c r="A1015">
        <v>20221028</v>
      </c>
      <c r="B1015" t="s">
        <v>770</v>
      </c>
      <c r="C1015" t="s">
        <v>264</v>
      </c>
      <c r="D1015" t="s">
        <v>214</v>
      </c>
      <c r="E1015" s="35">
        <v>0.499</v>
      </c>
      <c r="F1015" s="35">
        <v>0.69799999999999995</v>
      </c>
      <c r="G1015" s="35">
        <v>2800</v>
      </c>
    </row>
    <row r="1016" spans="1:7" x14ac:dyDescent="0.25">
      <c r="A1016">
        <v>20221028</v>
      </c>
      <c r="B1016" t="s">
        <v>770</v>
      </c>
      <c r="C1016" t="s">
        <v>264</v>
      </c>
      <c r="D1016" t="s">
        <v>233</v>
      </c>
      <c r="E1016" s="35">
        <v>0.499</v>
      </c>
      <c r="F1016" s="35">
        <v>0.69799999999999995</v>
      </c>
      <c r="G1016" s="35">
        <v>2700</v>
      </c>
    </row>
    <row r="1017" spans="1:7" x14ac:dyDescent="0.25">
      <c r="A1017">
        <v>20221028</v>
      </c>
      <c r="B1017" t="s">
        <v>770</v>
      </c>
      <c r="C1017" t="s">
        <v>264</v>
      </c>
      <c r="D1017" t="s">
        <v>242</v>
      </c>
      <c r="E1017" s="35">
        <v>0.499</v>
      </c>
      <c r="F1017" s="35">
        <v>0.69799999999999995</v>
      </c>
      <c r="G1017" s="35">
        <v>2600</v>
      </c>
    </row>
    <row r="1018" spans="1:7" x14ac:dyDescent="0.25">
      <c r="A1018">
        <v>20221028</v>
      </c>
      <c r="B1018" t="s">
        <v>770</v>
      </c>
      <c r="C1018" t="s">
        <v>264</v>
      </c>
      <c r="D1018" t="s">
        <v>250</v>
      </c>
      <c r="E1018" s="35">
        <v>0.499</v>
      </c>
      <c r="F1018" s="35">
        <v>0.69799999999999995</v>
      </c>
      <c r="G1018" s="35">
        <v>2400</v>
      </c>
    </row>
    <row r="1019" spans="1:7" x14ac:dyDescent="0.25">
      <c r="A1019">
        <v>20221028</v>
      </c>
      <c r="B1019" t="s">
        <v>770</v>
      </c>
      <c r="C1019" t="s">
        <v>264</v>
      </c>
      <c r="D1019" t="s">
        <v>258</v>
      </c>
      <c r="E1019" s="35">
        <v>0.499</v>
      </c>
      <c r="F1019" s="35">
        <v>0.69799999999999995</v>
      </c>
      <c r="G1019" s="35">
        <v>2200</v>
      </c>
    </row>
    <row r="1020" spans="1:7" x14ac:dyDescent="0.25">
      <c r="A1020">
        <v>20221028</v>
      </c>
      <c r="B1020" t="s">
        <v>770</v>
      </c>
      <c r="C1020" t="s">
        <v>264</v>
      </c>
      <c r="D1020" t="s">
        <v>265</v>
      </c>
      <c r="E1020" s="35">
        <v>0.499</v>
      </c>
      <c r="F1020" s="35">
        <v>0.69799999999999995</v>
      </c>
      <c r="G1020" s="35">
        <v>2000</v>
      </c>
    </row>
    <row r="1021" spans="1:7" x14ac:dyDescent="0.25">
      <c r="A1021">
        <v>20221028</v>
      </c>
      <c r="B1021" t="s">
        <v>770</v>
      </c>
      <c r="C1021" t="s">
        <v>264</v>
      </c>
      <c r="D1021" t="s">
        <v>273</v>
      </c>
      <c r="E1021" s="35">
        <v>0.499</v>
      </c>
      <c r="F1021" s="35">
        <v>0.69799999999999995</v>
      </c>
      <c r="G1021" s="35">
        <v>1700</v>
      </c>
    </row>
    <row r="1022" spans="1:7" x14ac:dyDescent="0.25">
      <c r="A1022">
        <v>20221028</v>
      </c>
      <c r="B1022" t="s">
        <v>770</v>
      </c>
      <c r="C1022" t="s">
        <v>264</v>
      </c>
      <c r="D1022" t="s">
        <v>279</v>
      </c>
      <c r="E1022" s="35">
        <v>0.499</v>
      </c>
      <c r="F1022" s="35">
        <v>0.69799999999999995</v>
      </c>
      <c r="G1022" s="35">
        <v>1400</v>
      </c>
    </row>
    <row r="1023" spans="1:7" x14ac:dyDescent="0.25">
      <c r="A1023">
        <v>20221028</v>
      </c>
      <c r="B1023" t="s">
        <v>770</v>
      </c>
      <c r="C1023" t="s">
        <v>264</v>
      </c>
      <c r="D1023" t="s">
        <v>285</v>
      </c>
      <c r="E1023" s="35">
        <v>0.499</v>
      </c>
      <c r="F1023" s="35">
        <v>0.69799999999999995</v>
      </c>
      <c r="G1023" s="35">
        <v>1000</v>
      </c>
    </row>
    <row r="1024" spans="1:7" x14ac:dyDescent="0.25">
      <c r="A1024">
        <v>20221028</v>
      </c>
      <c r="B1024" t="s">
        <v>770</v>
      </c>
      <c r="C1024" t="s">
        <v>264</v>
      </c>
      <c r="D1024" t="s">
        <v>289</v>
      </c>
      <c r="E1024" s="35">
        <v>0.499</v>
      </c>
      <c r="F1024" s="35">
        <v>0.69799999999999995</v>
      </c>
      <c r="G1024" s="35">
        <v>700</v>
      </c>
    </row>
    <row r="1025" spans="1:7" x14ac:dyDescent="0.25">
      <c r="A1025">
        <v>20221028</v>
      </c>
      <c r="B1025" t="s">
        <v>770</v>
      </c>
      <c r="C1025" t="s">
        <v>272</v>
      </c>
      <c r="D1025" t="s">
        <v>187</v>
      </c>
      <c r="E1025" s="35">
        <v>0.499</v>
      </c>
      <c r="F1025" s="35">
        <v>0.69799999999999995</v>
      </c>
      <c r="G1025" s="35">
        <v>2400</v>
      </c>
    </row>
    <row r="1026" spans="1:7" x14ac:dyDescent="0.25">
      <c r="A1026">
        <v>20221028</v>
      </c>
      <c r="B1026" t="s">
        <v>770</v>
      </c>
      <c r="C1026" t="s">
        <v>272</v>
      </c>
      <c r="D1026" t="s">
        <v>214</v>
      </c>
      <c r="E1026" s="35">
        <v>0.499</v>
      </c>
      <c r="F1026" s="35">
        <v>0.69799999999999995</v>
      </c>
      <c r="G1026" s="35">
        <v>2300</v>
      </c>
    </row>
    <row r="1027" spans="1:7" x14ac:dyDescent="0.25">
      <c r="A1027">
        <v>20221028</v>
      </c>
      <c r="B1027" t="s">
        <v>770</v>
      </c>
      <c r="C1027" t="s">
        <v>272</v>
      </c>
      <c r="D1027" t="s">
        <v>233</v>
      </c>
      <c r="E1027" s="35">
        <v>0.499</v>
      </c>
      <c r="F1027" s="35">
        <v>0.69799999999999995</v>
      </c>
      <c r="G1027" s="35">
        <v>2200</v>
      </c>
    </row>
    <row r="1028" spans="1:7" x14ac:dyDescent="0.25">
      <c r="A1028">
        <v>20221028</v>
      </c>
      <c r="B1028" t="s">
        <v>770</v>
      </c>
      <c r="C1028" t="s">
        <v>272</v>
      </c>
      <c r="D1028" t="s">
        <v>242</v>
      </c>
      <c r="E1028" s="35">
        <v>0.499</v>
      </c>
      <c r="F1028" s="35">
        <v>0.69799999999999995</v>
      </c>
      <c r="G1028" s="35">
        <v>2100</v>
      </c>
    </row>
    <row r="1029" spans="1:7" x14ac:dyDescent="0.25">
      <c r="A1029">
        <v>20221028</v>
      </c>
      <c r="B1029" t="s">
        <v>770</v>
      </c>
      <c r="C1029" t="s">
        <v>272</v>
      </c>
      <c r="D1029" t="s">
        <v>250</v>
      </c>
      <c r="E1029" s="35">
        <v>0.499</v>
      </c>
      <c r="F1029" s="35">
        <v>0.69799999999999995</v>
      </c>
      <c r="G1029" s="35">
        <v>2000</v>
      </c>
    </row>
    <row r="1030" spans="1:7" x14ac:dyDescent="0.25">
      <c r="A1030">
        <v>20221028</v>
      </c>
      <c r="B1030" t="s">
        <v>770</v>
      </c>
      <c r="C1030" t="s">
        <v>272</v>
      </c>
      <c r="D1030" t="s">
        <v>258</v>
      </c>
      <c r="E1030" s="35">
        <v>0.499</v>
      </c>
      <c r="F1030" s="35">
        <v>0.69799999999999995</v>
      </c>
      <c r="G1030" s="35">
        <v>1800</v>
      </c>
    </row>
    <row r="1031" spans="1:7" x14ac:dyDescent="0.25">
      <c r="A1031">
        <v>20221028</v>
      </c>
      <c r="B1031" t="s">
        <v>770</v>
      </c>
      <c r="C1031" t="s">
        <v>272</v>
      </c>
      <c r="D1031" t="s">
        <v>265</v>
      </c>
      <c r="E1031" s="35">
        <v>0.499</v>
      </c>
      <c r="F1031" s="35">
        <v>0.69799999999999995</v>
      </c>
      <c r="G1031" s="35">
        <v>1600</v>
      </c>
    </row>
    <row r="1032" spans="1:7" x14ac:dyDescent="0.25">
      <c r="A1032">
        <v>20221028</v>
      </c>
      <c r="B1032" t="s">
        <v>770</v>
      </c>
      <c r="C1032" t="s">
        <v>272</v>
      </c>
      <c r="D1032" t="s">
        <v>273</v>
      </c>
      <c r="E1032" s="35">
        <v>0.499</v>
      </c>
      <c r="F1032" s="35">
        <v>0.69799999999999995</v>
      </c>
      <c r="G1032" s="35">
        <v>1400</v>
      </c>
    </row>
    <row r="1033" spans="1:7" x14ac:dyDescent="0.25">
      <c r="A1033">
        <v>20221028</v>
      </c>
      <c r="B1033" t="s">
        <v>770</v>
      </c>
      <c r="C1033" t="s">
        <v>272</v>
      </c>
      <c r="D1033" t="s">
        <v>279</v>
      </c>
      <c r="E1033" s="35">
        <v>0.499</v>
      </c>
      <c r="F1033" s="35">
        <v>0.69799999999999995</v>
      </c>
      <c r="G1033" s="35">
        <v>1200</v>
      </c>
    </row>
    <row r="1034" spans="1:7" x14ac:dyDescent="0.25">
      <c r="A1034">
        <v>20221028</v>
      </c>
      <c r="B1034" t="s">
        <v>770</v>
      </c>
      <c r="C1034" t="s">
        <v>272</v>
      </c>
      <c r="D1034" t="s">
        <v>285</v>
      </c>
      <c r="E1034" s="35">
        <v>0.499</v>
      </c>
      <c r="F1034" s="35">
        <v>0.69799999999999995</v>
      </c>
      <c r="G1034" s="35">
        <v>900</v>
      </c>
    </row>
    <row r="1035" spans="1:7" x14ac:dyDescent="0.25">
      <c r="A1035">
        <v>20221028</v>
      </c>
      <c r="B1035" t="s">
        <v>770</v>
      </c>
      <c r="C1035" t="s">
        <v>272</v>
      </c>
      <c r="D1035" t="s">
        <v>289</v>
      </c>
      <c r="E1035" s="35">
        <v>0.499</v>
      </c>
      <c r="F1035" s="35">
        <v>0.69799999999999995</v>
      </c>
      <c r="G1035" s="35">
        <v>700</v>
      </c>
    </row>
    <row r="1036" spans="1:7" x14ac:dyDescent="0.25">
      <c r="A1036">
        <v>20221028</v>
      </c>
      <c r="B1036" t="s">
        <v>770</v>
      </c>
      <c r="C1036" t="s">
        <v>278</v>
      </c>
      <c r="D1036" t="s">
        <v>187</v>
      </c>
      <c r="E1036" s="35">
        <v>0.499</v>
      </c>
      <c r="F1036" s="35">
        <v>0.69799999999999995</v>
      </c>
      <c r="G1036" s="35">
        <v>2100</v>
      </c>
    </row>
    <row r="1037" spans="1:7" x14ac:dyDescent="0.25">
      <c r="A1037">
        <v>20221028</v>
      </c>
      <c r="B1037" t="s">
        <v>770</v>
      </c>
      <c r="C1037" t="s">
        <v>278</v>
      </c>
      <c r="D1037" t="s">
        <v>214</v>
      </c>
      <c r="E1037" s="35">
        <v>0.499</v>
      </c>
      <c r="F1037" s="35">
        <v>0.69799999999999995</v>
      </c>
      <c r="G1037" s="35">
        <v>2000</v>
      </c>
    </row>
    <row r="1038" spans="1:7" x14ac:dyDescent="0.25">
      <c r="A1038">
        <v>20221028</v>
      </c>
      <c r="B1038" t="s">
        <v>770</v>
      </c>
      <c r="C1038" t="s">
        <v>278</v>
      </c>
      <c r="D1038" t="s">
        <v>233</v>
      </c>
      <c r="E1038" s="35">
        <v>0.499</v>
      </c>
      <c r="F1038" s="35">
        <v>0.69799999999999995</v>
      </c>
      <c r="G1038" s="35">
        <v>1900</v>
      </c>
    </row>
    <row r="1039" spans="1:7" x14ac:dyDescent="0.25">
      <c r="A1039">
        <v>20221028</v>
      </c>
      <c r="B1039" t="s">
        <v>770</v>
      </c>
      <c r="C1039" t="s">
        <v>278</v>
      </c>
      <c r="D1039" t="s">
        <v>242</v>
      </c>
      <c r="E1039" s="35">
        <v>0.499</v>
      </c>
      <c r="F1039" s="35">
        <v>0.69799999999999995</v>
      </c>
      <c r="G1039" s="35">
        <v>1800</v>
      </c>
    </row>
    <row r="1040" spans="1:7" x14ac:dyDescent="0.25">
      <c r="A1040">
        <v>20221028</v>
      </c>
      <c r="B1040" t="s">
        <v>770</v>
      </c>
      <c r="C1040" t="s">
        <v>278</v>
      </c>
      <c r="D1040" t="s">
        <v>250</v>
      </c>
      <c r="E1040" s="35">
        <v>0.499</v>
      </c>
      <c r="F1040" s="35">
        <v>0.69799999999999995</v>
      </c>
      <c r="G1040" s="35">
        <v>1700</v>
      </c>
    </row>
    <row r="1041" spans="1:7" x14ac:dyDescent="0.25">
      <c r="A1041">
        <v>20221028</v>
      </c>
      <c r="B1041" t="s">
        <v>770</v>
      </c>
      <c r="C1041" t="s">
        <v>278</v>
      </c>
      <c r="D1041" t="s">
        <v>258</v>
      </c>
      <c r="E1041" s="35">
        <v>0.499</v>
      </c>
      <c r="F1041" s="35">
        <v>0.69799999999999995</v>
      </c>
      <c r="G1041" s="35">
        <v>1600</v>
      </c>
    </row>
    <row r="1042" spans="1:7" x14ac:dyDescent="0.25">
      <c r="A1042">
        <v>20221028</v>
      </c>
      <c r="B1042" t="s">
        <v>770</v>
      </c>
      <c r="C1042" t="s">
        <v>278</v>
      </c>
      <c r="D1042" t="s">
        <v>265</v>
      </c>
      <c r="E1042" s="35">
        <v>0.499</v>
      </c>
      <c r="F1042" s="35">
        <v>0.69799999999999995</v>
      </c>
      <c r="G1042" s="35">
        <v>1400</v>
      </c>
    </row>
    <row r="1043" spans="1:7" x14ac:dyDescent="0.25">
      <c r="A1043">
        <v>20221028</v>
      </c>
      <c r="B1043" t="s">
        <v>770</v>
      </c>
      <c r="C1043" t="s">
        <v>278</v>
      </c>
      <c r="D1043" t="s">
        <v>273</v>
      </c>
      <c r="E1043" s="35">
        <v>0.499</v>
      </c>
      <c r="F1043" s="35">
        <v>0.69799999999999995</v>
      </c>
      <c r="G1043" s="35">
        <v>1200</v>
      </c>
    </row>
    <row r="1044" spans="1:7" x14ac:dyDescent="0.25">
      <c r="A1044">
        <v>20221028</v>
      </c>
      <c r="B1044" t="s">
        <v>770</v>
      </c>
      <c r="C1044" t="s">
        <v>278</v>
      </c>
      <c r="D1044" t="s">
        <v>279</v>
      </c>
      <c r="E1044" s="35">
        <v>0.499</v>
      </c>
      <c r="F1044" s="35">
        <v>0.69799999999999995</v>
      </c>
      <c r="G1044" s="35">
        <v>1000</v>
      </c>
    </row>
    <row r="1045" spans="1:7" x14ac:dyDescent="0.25">
      <c r="A1045">
        <v>20221028</v>
      </c>
      <c r="B1045" t="s">
        <v>770</v>
      </c>
      <c r="C1045" t="s">
        <v>278</v>
      </c>
      <c r="D1045" t="s">
        <v>285</v>
      </c>
      <c r="E1045" s="35">
        <v>0.499</v>
      </c>
      <c r="F1045" s="35">
        <v>0.69799999999999995</v>
      </c>
      <c r="G1045" s="35">
        <v>800</v>
      </c>
    </row>
    <row r="1046" spans="1:7" x14ac:dyDescent="0.25">
      <c r="A1046">
        <v>20221028</v>
      </c>
      <c r="B1046" t="s">
        <v>770</v>
      </c>
      <c r="C1046" t="s">
        <v>278</v>
      </c>
      <c r="D1046" t="s">
        <v>289</v>
      </c>
      <c r="E1046" s="35">
        <v>0.499</v>
      </c>
      <c r="F1046" s="35">
        <v>0.69799999999999995</v>
      </c>
      <c r="G1046" s="35">
        <v>600</v>
      </c>
    </row>
    <row r="1047" spans="1:7" x14ac:dyDescent="0.25">
      <c r="A1047">
        <v>20221028</v>
      </c>
      <c r="B1047" t="s">
        <v>770</v>
      </c>
      <c r="C1047" t="s">
        <v>284</v>
      </c>
      <c r="D1047" t="s">
        <v>187</v>
      </c>
      <c r="E1047" s="35">
        <v>0.499</v>
      </c>
      <c r="F1047" s="35">
        <v>0.69799999999999995</v>
      </c>
      <c r="G1047" s="35">
        <v>1900</v>
      </c>
    </row>
    <row r="1048" spans="1:7" x14ac:dyDescent="0.25">
      <c r="A1048">
        <v>20221028</v>
      </c>
      <c r="B1048" t="s">
        <v>770</v>
      </c>
      <c r="C1048" t="s">
        <v>284</v>
      </c>
      <c r="D1048" t="s">
        <v>214</v>
      </c>
      <c r="E1048" s="35">
        <v>0.499</v>
      </c>
      <c r="F1048" s="35">
        <v>0.69799999999999995</v>
      </c>
      <c r="G1048" s="35">
        <v>1800</v>
      </c>
    </row>
    <row r="1049" spans="1:7" x14ac:dyDescent="0.25">
      <c r="A1049">
        <v>20221028</v>
      </c>
      <c r="B1049" t="s">
        <v>770</v>
      </c>
      <c r="C1049" t="s">
        <v>284</v>
      </c>
      <c r="D1049" t="s">
        <v>233</v>
      </c>
      <c r="E1049" s="35">
        <v>0.499</v>
      </c>
      <c r="F1049" s="35">
        <v>0.69799999999999995</v>
      </c>
      <c r="G1049" s="35">
        <v>1600</v>
      </c>
    </row>
    <row r="1050" spans="1:7" x14ac:dyDescent="0.25">
      <c r="A1050">
        <v>20221028</v>
      </c>
      <c r="B1050" t="s">
        <v>770</v>
      </c>
      <c r="C1050" t="s">
        <v>284</v>
      </c>
      <c r="D1050" t="s">
        <v>242</v>
      </c>
      <c r="E1050" s="35">
        <v>0.499</v>
      </c>
      <c r="F1050" s="35">
        <v>0.69799999999999995</v>
      </c>
      <c r="G1050" s="35">
        <v>1500</v>
      </c>
    </row>
    <row r="1051" spans="1:7" x14ac:dyDescent="0.25">
      <c r="A1051">
        <v>20221028</v>
      </c>
      <c r="B1051" t="s">
        <v>770</v>
      </c>
      <c r="C1051" t="s">
        <v>284</v>
      </c>
      <c r="D1051" t="s">
        <v>250</v>
      </c>
      <c r="E1051" s="35">
        <v>0.499</v>
      </c>
      <c r="F1051" s="35">
        <v>0.69799999999999995</v>
      </c>
      <c r="G1051" s="35">
        <v>1400</v>
      </c>
    </row>
    <row r="1052" spans="1:7" x14ac:dyDescent="0.25">
      <c r="A1052">
        <v>20221028</v>
      </c>
      <c r="B1052" t="s">
        <v>770</v>
      </c>
      <c r="C1052" t="s">
        <v>284</v>
      </c>
      <c r="D1052" t="s">
        <v>258</v>
      </c>
      <c r="E1052" s="35">
        <v>0.499</v>
      </c>
      <c r="F1052" s="35">
        <v>0.69799999999999995</v>
      </c>
      <c r="G1052" s="35">
        <v>1300</v>
      </c>
    </row>
    <row r="1053" spans="1:7" x14ac:dyDescent="0.25">
      <c r="A1053">
        <v>20221028</v>
      </c>
      <c r="B1053" t="s">
        <v>770</v>
      </c>
      <c r="C1053" t="s">
        <v>284</v>
      </c>
      <c r="D1053" t="s">
        <v>265</v>
      </c>
      <c r="E1053" s="35">
        <v>0.499</v>
      </c>
      <c r="F1053" s="35">
        <v>0.69799999999999995</v>
      </c>
      <c r="G1053" s="35">
        <v>1200</v>
      </c>
    </row>
    <row r="1054" spans="1:7" x14ac:dyDescent="0.25">
      <c r="A1054">
        <v>20221028</v>
      </c>
      <c r="B1054" t="s">
        <v>770</v>
      </c>
      <c r="C1054" t="s">
        <v>284</v>
      </c>
      <c r="D1054" t="s">
        <v>273</v>
      </c>
      <c r="E1054" s="35">
        <v>0.499</v>
      </c>
      <c r="F1054" s="35">
        <v>0.69799999999999995</v>
      </c>
      <c r="G1054" s="35">
        <v>1000</v>
      </c>
    </row>
    <row r="1055" spans="1:7" x14ac:dyDescent="0.25">
      <c r="A1055">
        <v>20221028</v>
      </c>
      <c r="B1055" t="s">
        <v>770</v>
      </c>
      <c r="C1055" t="s">
        <v>284</v>
      </c>
      <c r="D1055" t="s">
        <v>279</v>
      </c>
      <c r="E1055" s="35">
        <v>0.499</v>
      </c>
      <c r="F1055" s="35">
        <v>0.69799999999999995</v>
      </c>
      <c r="G1055" s="35">
        <v>900</v>
      </c>
    </row>
    <row r="1056" spans="1:7" x14ac:dyDescent="0.25">
      <c r="A1056">
        <v>20221028</v>
      </c>
      <c r="B1056" t="s">
        <v>770</v>
      </c>
      <c r="C1056" t="s">
        <v>284</v>
      </c>
      <c r="D1056" t="s">
        <v>285</v>
      </c>
      <c r="E1056" s="35">
        <v>0.499</v>
      </c>
      <c r="F1056" s="35">
        <v>0.69799999999999995</v>
      </c>
      <c r="G1056" s="35">
        <v>700</v>
      </c>
    </row>
    <row r="1057" spans="1:7" x14ac:dyDescent="0.25">
      <c r="A1057">
        <v>20221028</v>
      </c>
      <c r="B1057" t="s">
        <v>770</v>
      </c>
      <c r="C1057" t="s">
        <v>284</v>
      </c>
      <c r="D1057" t="s">
        <v>289</v>
      </c>
      <c r="E1057" s="35">
        <v>0.499</v>
      </c>
      <c r="F1057" s="35">
        <v>0.69799999999999995</v>
      </c>
      <c r="G1057" s="35">
        <v>500</v>
      </c>
    </row>
    <row r="1058" spans="1:7" x14ac:dyDescent="0.25">
      <c r="A1058">
        <v>20221028</v>
      </c>
      <c r="B1058" t="s">
        <v>770</v>
      </c>
      <c r="C1058" t="s">
        <v>186</v>
      </c>
      <c r="D1058" t="s">
        <v>187</v>
      </c>
      <c r="E1058" s="35">
        <v>0.69899999999999995</v>
      </c>
      <c r="F1058" s="35">
        <v>0.89800000000000002</v>
      </c>
      <c r="G1058" s="35">
        <v>9600</v>
      </c>
    </row>
    <row r="1059" spans="1:7" x14ac:dyDescent="0.25">
      <c r="A1059">
        <v>20221028</v>
      </c>
      <c r="B1059" t="s">
        <v>770</v>
      </c>
      <c r="C1059" t="s">
        <v>186</v>
      </c>
      <c r="D1059" t="s">
        <v>214</v>
      </c>
      <c r="E1059" s="35">
        <v>0.69899999999999995</v>
      </c>
      <c r="F1059" s="35">
        <v>0.89800000000000002</v>
      </c>
      <c r="G1059" s="35">
        <v>7600</v>
      </c>
    </row>
    <row r="1060" spans="1:7" x14ac:dyDescent="0.25">
      <c r="A1060">
        <v>20221028</v>
      </c>
      <c r="B1060" t="s">
        <v>770</v>
      </c>
      <c r="C1060" t="s">
        <v>186</v>
      </c>
      <c r="D1060" t="s">
        <v>233</v>
      </c>
      <c r="E1060" s="35">
        <v>0.69899999999999995</v>
      </c>
      <c r="F1060" s="35">
        <v>0.89800000000000002</v>
      </c>
      <c r="G1060" s="35">
        <v>6800</v>
      </c>
    </row>
    <row r="1061" spans="1:7" x14ac:dyDescent="0.25">
      <c r="A1061">
        <v>20221028</v>
      </c>
      <c r="B1061" t="s">
        <v>770</v>
      </c>
      <c r="C1061" t="s">
        <v>186</v>
      </c>
      <c r="D1061" t="s">
        <v>242</v>
      </c>
      <c r="E1061" s="35">
        <v>0.69899999999999995</v>
      </c>
      <c r="F1061" s="35">
        <v>0.89800000000000002</v>
      </c>
      <c r="G1061" s="35">
        <v>6100</v>
      </c>
    </row>
    <row r="1062" spans="1:7" x14ac:dyDescent="0.25">
      <c r="A1062">
        <v>20221028</v>
      </c>
      <c r="B1062" t="s">
        <v>770</v>
      </c>
      <c r="C1062" t="s">
        <v>186</v>
      </c>
      <c r="D1062" t="s">
        <v>250</v>
      </c>
      <c r="E1062" s="35">
        <v>0.69899999999999995</v>
      </c>
      <c r="F1062" s="35">
        <v>0.89800000000000002</v>
      </c>
      <c r="G1062" s="35">
        <v>5500</v>
      </c>
    </row>
    <row r="1063" spans="1:7" x14ac:dyDescent="0.25">
      <c r="A1063">
        <v>20221028</v>
      </c>
      <c r="B1063" t="s">
        <v>770</v>
      </c>
      <c r="C1063" t="s">
        <v>186</v>
      </c>
      <c r="D1063" t="s">
        <v>258</v>
      </c>
      <c r="E1063" s="35">
        <v>0.69899999999999995</v>
      </c>
      <c r="F1063" s="35">
        <v>0.89800000000000002</v>
      </c>
      <c r="G1063" s="35">
        <v>4700</v>
      </c>
    </row>
    <row r="1064" spans="1:7" x14ac:dyDescent="0.25">
      <c r="A1064">
        <v>20221028</v>
      </c>
      <c r="B1064" t="s">
        <v>770</v>
      </c>
      <c r="C1064" t="s">
        <v>186</v>
      </c>
      <c r="D1064" t="s">
        <v>265</v>
      </c>
      <c r="E1064" s="35">
        <v>0.69899999999999995</v>
      </c>
      <c r="F1064" s="35">
        <v>0.89800000000000002</v>
      </c>
      <c r="G1064" s="35">
        <v>3900</v>
      </c>
    </row>
    <row r="1065" spans="1:7" x14ac:dyDescent="0.25">
      <c r="A1065">
        <v>20221028</v>
      </c>
      <c r="B1065" t="s">
        <v>770</v>
      </c>
      <c r="C1065" t="s">
        <v>186</v>
      </c>
      <c r="D1065" t="s">
        <v>273</v>
      </c>
      <c r="E1065" s="35">
        <v>0.69899999999999995</v>
      </c>
      <c r="F1065" s="35">
        <v>0.89800000000000002</v>
      </c>
      <c r="G1065" s="35">
        <v>3300</v>
      </c>
    </row>
    <row r="1066" spans="1:7" x14ac:dyDescent="0.25">
      <c r="A1066">
        <v>20221028</v>
      </c>
      <c r="B1066" t="s">
        <v>770</v>
      </c>
      <c r="C1066" t="s">
        <v>186</v>
      </c>
      <c r="D1066" t="s">
        <v>279</v>
      </c>
      <c r="E1066" s="35">
        <v>0.69899999999999995</v>
      </c>
      <c r="F1066" s="35">
        <v>0.89800000000000002</v>
      </c>
      <c r="G1066" s="35">
        <v>2800</v>
      </c>
    </row>
    <row r="1067" spans="1:7" x14ac:dyDescent="0.25">
      <c r="A1067">
        <v>20221028</v>
      </c>
      <c r="B1067" t="s">
        <v>770</v>
      </c>
      <c r="C1067" t="s">
        <v>186</v>
      </c>
      <c r="D1067" t="s">
        <v>285</v>
      </c>
      <c r="E1067" s="35">
        <v>0.69899999999999995</v>
      </c>
      <c r="F1067" s="35">
        <v>0.89800000000000002</v>
      </c>
      <c r="G1067" s="35">
        <v>2000</v>
      </c>
    </row>
    <row r="1068" spans="1:7" x14ac:dyDescent="0.25">
      <c r="A1068">
        <v>20221028</v>
      </c>
      <c r="B1068" t="s">
        <v>770</v>
      </c>
      <c r="C1068" t="s">
        <v>186</v>
      </c>
      <c r="D1068" t="s">
        <v>289</v>
      </c>
      <c r="E1068" s="35">
        <v>0.69899999999999995</v>
      </c>
      <c r="F1068" s="35">
        <v>0.89800000000000002</v>
      </c>
      <c r="G1068" s="35">
        <v>1200</v>
      </c>
    </row>
    <row r="1069" spans="1:7" x14ac:dyDescent="0.25">
      <c r="A1069">
        <v>20221028</v>
      </c>
      <c r="B1069" t="s">
        <v>770</v>
      </c>
      <c r="C1069" t="s">
        <v>213</v>
      </c>
      <c r="D1069" t="s">
        <v>187</v>
      </c>
      <c r="E1069" s="35">
        <v>0.69899999999999995</v>
      </c>
      <c r="F1069" s="35">
        <v>0.89800000000000002</v>
      </c>
      <c r="G1069" s="35">
        <v>7600</v>
      </c>
    </row>
    <row r="1070" spans="1:7" x14ac:dyDescent="0.25">
      <c r="A1070">
        <v>20221028</v>
      </c>
      <c r="B1070" t="s">
        <v>770</v>
      </c>
      <c r="C1070" t="s">
        <v>213</v>
      </c>
      <c r="D1070" t="s">
        <v>214</v>
      </c>
      <c r="E1070" s="35">
        <v>0.69899999999999995</v>
      </c>
      <c r="F1070" s="35">
        <v>0.89800000000000002</v>
      </c>
      <c r="G1070" s="35">
        <v>7100</v>
      </c>
    </row>
    <row r="1071" spans="1:7" x14ac:dyDescent="0.25">
      <c r="A1071">
        <v>20221028</v>
      </c>
      <c r="B1071" t="s">
        <v>770</v>
      </c>
      <c r="C1071" t="s">
        <v>213</v>
      </c>
      <c r="D1071" t="s">
        <v>233</v>
      </c>
      <c r="E1071" s="35">
        <v>0.69899999999999995</v>
      </c>
      <c r="F1071" s="35">
        <v>0.89800000000000002</v>
      </c>
      <c r="G1071" s="35">
        <v>6400</v>
      </c>
    </row>
    <row r="1072" spans="1:7" x14ac:dyDescent="0.25">
      <c r="A1072">
        <v>20221028</v>
      </c>
      <c r="B1072" t="s">
        <v>770</v>
      </c>
      <c r="C1072" t="s">
        <v>213</v>
      </c>
      <c r="D1072" t="s">
        <v>242</v>
      </c>
      <c r="E1072" s="35">
        <v>0.69899999999999995</v>
      </c>
      <c r="F1072" s="35">
        <v>0.89800000000000002</v>
      </c>
      <c r="G1072" s="35">
        <v>5700</v>
      </c>
    </row>
    <row r="1073" spans="1:7" x14ac:dyDescent="0.25">
      <c r="A1073">
        <v>20221028</v>
      </c>
      <c r="B1073" t="s">
        <v>770</v>
      </c>
      <c r="C1073" t="s">
        <v>213</v>
      </c>
      <c r="D1073" t="s">
        <v>250</v>
      </c>
      <c r="E1073" s="35">
        <v>0.69899999999999995</v>
      </c>
      <c r="F1073" s="35">
        <v>0.89800000000000002</v>
      </c>
      <c r="G1073" s="35">
        <v>5200</v>
      </c>
    </row>
    <row r="1074" spans="1:7" x14ac:dyDescent="0.25">
      <c r="A1074">
        <v>20221028</v>
      </c>
      <c r="B1074" t="s">
        <v>770</v>
      </c>
      <c r="C1074" t="s">
        <v>213</v>
      </c>
      <c r="D1074" t="s">
        <v>258</v>
      </c>
      <c r="E1074" s="35">
        <v>0.69899999999999995</v>
      </c>
      <c r="F1074" s="35">
        <v>0.89800000000000002</v>
      </c>
      <c r="G1074" s="35">
        <v>4500</v>
      </c>
    </row>
    <row r="1075" spans="1:7" x14ac:dyDescent="0.25">
      <c r="A1075">
        <v>20221028</v>
      </c>
      <c r="B1075" t="s">
        <v>770</v>
      </c>
      <c r="C1075" t="s">
        <v>213</v>
      </c>
      <c r="D1075" t="s">
        <v>265</v>
      </c>
      <c r="E1075" s="35">
        <v>0.69899999999999995</v>
      </c>
      <c r="F1075" s="35">
        <v>0.89800000000000002</v>
      </c>
      <c r="G1075" s="35">
        <v>3700</v>
      </c>
    </row>
    <row r="1076" spans="1:7" x14ac:dyDescent="0.25">
      <c r="A1076">
        <v>20221028</v>
      </c>
      <c r="B1076" t="s">
        <v>770</v>
      </c>
      <c r="C1076" t="s">
        <v>213</v>
      </c>
      <c r="D1076" t="s">
        <v>273</v>
      </c>
      <c r="E1076" s="35">
        <v>0.69899999999999995</v>
      </c>
      <c r="F1076" s="35">
        <v>0.89800000000000002</v>
      </c>
      <c r="G1076" s="35">
        <v>3100</v>
      </c>
    </row>
    <row r="1077" spans="1:7" x14ac:dyDescent="0.25">
      <c r="A1077">
        <v>20221028</v>
      </c>
      <c r="B1077" t="s">
        <v>770</v>
      </c>
      <c r="C1077" t="s">
        <v>213</v>
      </c>
      <c r="D1077" t="s">
        <v>279</v>
      </c>
      <c r="E1077" s="35">
        <v>0.69899999999999995</v>
      </c>
      <c r="F1077" s="35">
        <v>0.89800000000000002</v>
      </c>
      <c r="G1077" s="35">
        <v>2700</v>
      </c>
    </row>
    <row r="1078" spans="1:7" x14ac:dyDescent="0.25">
      <c r="A1078">
        <v>20221028</v>
      </c>
      <c r="B1078" t="s">
        <v>770</v>
      </c>
      <c r="C1078" t="s">
        <v>213</v>
      </c>
      <c r="D1078" t="s">
        <v>285</v>
      </c>
      <c r="E1078" s="35">
        <v>0.69899999999999995</v>
      </c>
      <c r="F1078" s="35">
        <v>0.89800000000000002</v>
      </c>
      <c r="G1078" s="35">
        <v>1900</v>
      </c>
    </row>
    <row r="1079" spans="1:7" x14ac:dyDescent="0.25">
      <c r="A1079">
        <v>20221028</v>
      </c>
      <c r="B1079" t="s">
        <v>770</v>
      </c>
      <c r="C1079" t="s">
        <v>213</v>
      </c>
      <c r="D1079" t="s">
        <v>289</v>
      </c>
      <c r="E1079" s="35">
        <v>0.69899999999999995</v>
      </c>
      <c r="F1079" s="35">
        <v>0.89800000000000002</v>
      </c>
      <c r="G1079" s="35">
        <v>1100</v>
      </c>
    </row>
    <row r="1080" spans="1:7" x14ac:dyDescent="0.25">
      <c r="A1080">
        <v>20221028</v>
      </c>
      <c r="B1080" t="s">
        <v>770</v>
      </c>
      <c r="C1080" t="s">
        <v>232</v>
      </c>
      <c r="D1080" t="s">
        <v>187</v>
      </c>
      <c r="E1080" s="35">
        <v>0.69899999999999995</v>
      </c>
      <c r="F1080" s="35">
        <v>0.89800000000000002</v>
      </c>
      <c r="G1080" s="35">
        <v>7000</v>
      </c>
    </row>
    <row r="1081" spans="1:7" x14ac:dyDescent="0.25">
      <c r="A1081">
        <v>20221028</v>
      </c>
      <c r="B1081" t="s">
        <v>770</v>
      </c>
      <c r="C1081" t="s">
        <v>232</v>
      </c>
      <c r="D1081" t="s">
        <v>214</v>
      </c>
      <c r="E1081" s="35">
        <v>0.69899999999999995</v>
      </c>
      <c r="F1081" s="35">
        <v>0.89800000000000002</v>
      </c>
      <c r="G1081" s="35">
        <v>6600</v>
      </c>
    </row>
    <row r="1082" spans="1:7" x14ac:dyDescent="0.25">
      <c r="A1082">
        <v>20221028</v>
      </c>
      <c r="B1082" t="s">
        <v>770</v>
      </c>
      <c r="C1082" t="s">
        <v>232</v>
      </c>
      <c r="D1082" t="s">
        <v>233</v>
      </c>
      <c r="E1082" s="35">
        <v>0.69899999999999995</v>
      </c>
      <c r="F1082" s="35">
        <v>0.89800000000000002</v>
      </c>
      <c r="G1082" s="35">
        <v>6000</v>
      </c>
    </row>
    <row r="1083" spans="1:7" x14ac:dyDescent="0.25">
      <c r="A1083">
        <v>20221028</v>
      </c>
      <c r="B1083" t="s">
        <v>770</v>
      </c>
      <c r="C1083" t="s">
        <v>232</v>
      </c>
      <c r="D1083" t="s">
        <v>242</v>
      </c>
      <c r="E1083" s="35">
        <v>0.69899999999999995</v>
      </c>
      <c r="F1083" s="35">
        <v>0.89800000000000002</v>
      </c>
      <c r="G1083" s="35">
        <v>5400</v>
      </c>
    </row>
    <row r="1084" spans="1:7" x14ac:dyDescent="0.25">
      <c r="A1084">
        <v>20221028</v>
      </c>
      <c r="B1084" t="s">
        <v>770</v>
      </c>
      <c r="C1084" t="s">
        <v>232</v>
      </c>
      <c r="D1084" t="s">
        <v>250</v>
      </c>
      <c r="E1084" s="35">
        <v>0.69899999999999995</v>
      </c>
      <c r="F1084" s="35">
        <v>0.89800000000000002</v>
      </c>
      <c r="G1084" s="35">
        <v>5000</v>
      </c>
    </row>
    <row r="1085" spans="1:7" x14ac:dyDescent="0.25">
      <c r="A1085">
        <v>20221028</v>
      </c>
      <c r="B1085" t="s">
        <v>770</v>
      </c>
      <c r="C1085" t="s">
        <v>232</v>
      </c>
      <c r="D1085" t="s">
        <v>258</v>
      </c>
      <c r="E1085" s="35">
        <v>0.69899999999999995</v>
      </c>
      <c r="F1085" s="35">
        <v>0.89800000000000002</v>
      </c>
      <c r="G1085" s="35">
        <v>4200</v>
      </c>
    </row>
    <row r="1086" spans="1:7" x14ac:dyDescent="0.25">
      <c r="A1086">
        <v>20221028</v>
      </c>
      <c r="B1086" t="s">
        <v>770</v>
      </c>
      <c r="C1086" t="s">
        <v>232</v>
      </c>
      <c r="D1086" t="s">
        <v>265</v>
      </c>
      <c r="E1086" s="35">
        <v>0.69899999999999995</v>
      </c>
      <c r="F1086" s="35">
        <v>0.89800000000000002</v>
      </c>
      <c r="G1086" s="35">
        <v>3500</v>
      </c>
    </row>
    <row r="1087" spans="1:7" x14ac:dyDescent="0.25">
      <c r="A1087">
        <v>20221028</v>
      </c>
      <c r="B1087" t="s">
        <v>770</v>
      </c>
      <c r="C1087" t="s">
        <v>232</v>
      </c>
      <c r="D1087" t="s">
        <v>273</v>
      </c>
      <c r="E1087" s="35">
        <v>0.69899999999999995</v>
      </c>
      <c r="F1087" s="35">
        <v>0.89800000000000002</v>
      </c>
      <c r="G1087" s="35">
        <v>2900</v>
      </c>
    </row>
    <row r="1088" spans="1:7" x14ac:dyDescent="0.25">
      <c r="A1088">
        <v>20221028</v>
      </c>
      <c r="B1088" t="s">
        <v>770</v>
      </c>
      <c r="C1088" t="s">
        <v>232</v>
      </c>
      <c r="D1088" t="s">
        <v>279</v>
      </c>
      <c r="E1088" s="35">
        <v>0.69899999999999995</v>
      </c>
      <c r="F1088" s="35">
        <v>0.89800000000000002</v>
      </c>
      <c r="G1088" s="35">
        <v>2500</v>
      </c>
    </row>
    <row r="1089" spans="1:7" x14ac:dyDescent="0.25">
      <c r="A1089">
        <v>20221028</v>
      </c>
      <c r="B1089" t="s">
        <v>770</v>
      </c>
      <c r="C1089" t="s">
        <v>232</v>
      </c>
      <c r="D1089" t="s">
        <v>285</v>
      </c>
      <c r="E1089" s="35">
        <v>0.69899999999999995</v>
      </c>
      <c r="F1089" s="35">
        <v>0.89800000000000002</v>
      </c>
      <c r="G1089" s="35">
        <v>1800</v>
      </c>
    </row>
    <row r="1090" spans="1:7" x14ac:dyDescent="0.25">
      <c r="A1090">
        <v>20221028</v>
      </c>
      <c r="B1090" t="s">
        <v>770</v>
      </c>
      <c r="C1090" t="s">
        <v>232</v>
      </c>
      <c r="D1090" t="s">
        <v>289</v>
      </c>
      <c r="E1090" s="35">
        <v>0.69899999999999995</v>
      </c>
      <c r="F1090" s="35">
        <v>0.89800000000000002</v>
      </c>
      <c r="G1090" s="35">
        <v>1100</v>
      </c>
    </row>
    <row r="1091" spans="1:7" x14ac:dyDescent="0.25">
      <c r="A1091">
        <v>20221028</v>
      </c>
      <c r="B1091" t="s">
        <v>770</v>
      </c>
      <c r="C1091" t="s">
        <v>215</v>
      </c>
      <c r="D1091" t="s">
        <v>187</v>
      </c>
      <c r="E1091" s="35">
        <v>0.69899999999999995</v>
      </c>
      <c r="F1091" s="35">
        <v>0.89800000000000002</v>
      </c>
      <c r="G1091" s="35">
        <v>6300</v>
      </c>
    </row>
    <row r="1092" spans="1:7" x14ac:dyDescent="0.25">
      <c r="A1092">
        <v>20221028</v>
      </c>
      <c r="B1092" t="s">
        <v>770</v>
      </c>
      <c r="C1092" t="s">
        <v>215</v>
      </c>
      <c r="D1092" t="s">
        <v>214</v>
      </c>
      <c r="E1092" s="35">
        <v>0.69899999999999995</v>
      </c>
      <c r="F1092" s="35">
        <v>0.89800000000000002</v>
      </c>
      <c r="G1092" s="35">
        <v>5900</v>
      </c>
    </row>
    <row r="1093" spans="1:7" x14ac:dyDescent="0.25">
      <c r="A1093">
        <v>20221028</v>
      </c>
      <c r="B1093" t="s">
        <v>770</v>
      </c>
      <c r="C1093" t="s">
        <v>215</v>
      </c>
      <c r="D1093" t="s">
        <v>233</v>
      </c>
      <c r="E1093" s="35">
        <v>0.69899999999999995</v>
      </c>
      <c r="F1093" s="35">
        <v>0.89800000000000002</v>
      </c>
      <c r="G1093" s="35">
        <v>5500</v>
      </c>
    </row>
    <row r="1094" spans="1:7" x14ac:dyDescent="0.25">
      <c r="A1094">
        <v>20221028</v>
      </c>
      <c r="B1094" t="s">
        <v>770</v>
      </c>
      <c r="C1094" t="s">
        <v>215</v>
      </c>
      <c r="D1094" t="s">
        <v>242</v>
      </c>
      <c r="E1094" s="35">
        <v>0.69899999999999995</v>
      </c>
      <c r="F1094" s="35">
        <v>0.89800000000000002</v>
      </c>
      <c r="G1094" s="35">
        <v>5100</v>
      </c>
    </row>
    <row r="1095" spans="1:7" x14ac:dyDescent="0.25">
      <c r="A1095">
        <v>20221028</v>
      </c>
      <c r="B1095" t="s">
        <v>770</v>
      </c>
      <c r="C1095" t="s">
        <v>215</v>
      </c>
      <c r="D1095" t="s">
        <v>250</v>
      </c>
      <c r="E1095" s="35">
        <v>0.69899999999999995</v>
      </c>
      <c r="F1095" s="35">
        <v>0.89800000000000002</v>
      </c>
      <c r="G1095" s="35">
        <v>4800</v>
      </c>
    </row>
    <row r="1096" spans="1:7" x14ac:dyDescent="0.25">
      <c r="A1096">
        <v>20221028</v>
      </c>
      <c r="B1096" t="s">
        <v>770</v>
      </c>
      <c r="C1096" t="s">
        <v>215</v>
      </c>
      <c r="D1096" t="s">
        <v>258</v>
      </c>
      <c r="E1096" s="35">
        <v>0.69899999999999995</v>
      </c>
      <c r="F1096" s="35">
        <v>0.89800000000000002</v>
      </c>
      <c r="G1096" s="35">
        <v>4000</v>
      </c>
    </row>
    <row r="1097" spans="1:7" x14ac:dyDescent="0.25">
      <c r="A1097">
        <v>20221028</v>
      </c>
      <c r="B1097" t="s">
        <v>770</v>
      </c>
      <c r="C1097" t="s">
        <v>215</v>
      </c>
      <c r="D1097" t="s">
        <v>265</v>
      </c>
      <c r="E1097" s="35">
        <v>0.69899999999999995</v>
      </c>
      <c r="F1097" s="35">
        <v>0.89800000000000002</v>
      </c>
      <c r="G1097" s="35">
        <v>3300</v>
      </c>
    </row>
    <row r="1098" spans="1:7" x14ac:dyDescent="0.25">
      <c r="A1098">
        <v>20221028</v>
      </c>
      <c r="B1098" t="s">
        <v>770</v>
      </c>
      <c r="C1098" t="s">
        <v>215</v>
      </c>
      <c r="D1098" t="s">
        <v>273</v>
      </c>
      <c r="E1098" s="35">
        <v>0.69899999999999995</v>
      </c>
      <c r="F1098" s="35">
        <v>0.89800000000000002</v>
      </c>
      <c r="G1098" s="35">
        <v>2800</v>
      </c>
    </row>
    <row r="1099" spans="1:7" x14ac:dyDescent="0.25">
      <c r="A1099">
        <v>20221028</v>
      </c>
      <c r="B1099" t="s">
        <v>770</v>
      </c>
      <c r="C1099" t="s">
        <v>215</v>
      </c>
      <c r="D1099" t="s">
        <v>279</v>
      </c>
      <c r="E1099" s="35">
        <v>0.69899999999999995</v>
      </c>
      <c r="F1099" s="35">
        <v>0.89800000000000002</v>
      </c>
      <c r="G1099" s="35">
        <v>2400</v>
      </c>
    </row>
    <row r="1100" spans="1:7" x14ac:dyDescent="0.25">
      <c r="A1100">
        <v>20221028</v>
      </c>
      <c r="B1100" t="s">
        <v>770</v>
      </c>
      <c r="C1100" t="s">
        <v>215</v>
      </c>
      <c r="D1100" t="s">
        <v>285</v>
      </c>
      <c r="E1100" s="35">
        <v>0.69899999999999995</v>
      </c>
      <c r="F1100" s="35">
        <v>0.89800000000000002</v>
      </c>
      <c r="G1100" s="35">
        <v>1700</v>
      </c>
    </row>
    <row r="1101" spans="1:7" x14ac:dyDescent="0.25">
      <c r="A1101">
        <v>20221028</v>
      </c>
      <c r="B1101" t="s">
        <v>770</v>
      </c>
      <c r="C1101" t="s">
        <v>215</v>
      </c>
      <c r="D1101" t="s">
        <v>289</v>
      </c>
      <c r="E1101" s="35">
        <v>0.69899999999999995</v>
      </c>
      <c r="F1101" s="35">
        <v>0.89800000000000002</v>
      </c>
      <c r="G1101" s="35">
        <v>1000</v>
      </c>
    </row>
    <row r="1102" spans="1:7" x14ac:dyDescent="0.25">
      <c r="A1102">
        <v>20221028</v>
      </c>
      <c r="B1102" t="s">
        <v>770</v>
      </c>
      <c r="C1102" t="s">
        <v>249</v>
      </c>
      <c r="D1102" t="s">
        <v>187</v>
      </c>
      <c r="E1102" s="35">
        <v>0.69899999999999995</v>
      </c>
      <c r="F1102" s="35">
        <v>0.89800000000000002</v>
      </c>
      <c r="G1102" s="35">
        <v>5500</v>
      </c>
    </row>
    <row r="1103" spans="1:7" x14ac:dyDescent="0.25">
      <c r="A1103">
        <v>20221028</v>
      </c>
      <c r="B1103" t="s">
        <v>770</v>
      </c>
      <c r="C1103" t="s">
        <v>249</v>
      </c>
      <c r="D1103" t="s">
        <v>214</v>
      </c>
      <c r="E1103" s="35">
        <v>0.69899999999999995</v>
      </c>
      <c r="F1103" s="35">
        <v>0.89800000000000002</v>
      </c>
      <c r="G1103" s="35">
        <v>5200</v>
      </c>
    </row>
    <row r="1104" spans="1:7" x14ac:dyDescent="0.25">
      <c r="A1104">
        <v>20221028</v>
      </c>
      <c r="B1104" t="s">
        <v>770</v>
      </c>
      <c r="C1104" t="s">
        <v>249</v>
      </c>
      <c r="D1104" t="s">
        <v>233</v>
      </c>
      <c r="E1104" s="35">
        <v>0.69899999999999995</v>
      </c>
      <c r="F1104" s="35">
        <v>0.89800000000000002</v>
      </c>
      <c r="G1104" s="35">
        <v>5000</v>
      </c>
    </row>
    <row r="1105" spans="1:7" x14ac:dyDescent="0.25">
      <c r="A1105">
        <v>20221028</v>
      </c>
      <c r="B1105" t="s">
        <v>770</v>
      </c>
      <c r="C1105" t="s">
        <v>249</v>
      </c>
      <c r="D1105" t="s">
        <v>242</v>
      </c>
      <c r="E1105" s="35">
        <v>0.69899999999999995</v>
      </c>
      <c r="F1105" s="35">
        <v>0.89800000000000002</v>
      </c>
      <c r="G1105" s="35">
        <v>4700</v>
      </c>
    </row>
    <row r="1106" spans="1:7" x14ac:dyDescent="0.25">
      <c r="A1106">
        <v>20221028</v>
      </c>
      <c r="B1106" t="s">
        <v>770</v>
      </c>
      <c r="C1106" t="s">
        <v>249</v>
      </c>
      <c r="D1106" t="s">
        <v>250</v>
      </c>
      <c r="E1106" s="35">
        <v>0.69899999999999995</v>
      </c>
      <c r="F1106" s="35">
        <v>0.89800000000000002</v>
      </c>
      <c r="G1106" s="35">
        <v>4400</v>
      </c>
    </row>
    <row r="1107" spans="1:7" x14ac:dyDescent="0.25">
      <c r="A1107">
        <v>20221028</v>
      </c>
      <c r="B1107" t="s">
        <v>770</v>
      </c>
      <c r="C1107" t="s">
        <v>249</v>
      </c>
      <c r="D1107" t="s">
        <v>258</v>
      </c>
      <c r="E1107" s="35">
        <v>0.69899999999999995</v>
      </c>
      <c r="F1107" s="35">
        <v>0.89800000000000002</v>
      </c>
      <c r="G1107" s="35">
        <v>3700</v>
      </c>
    </row>
    <row r="1108" spans="1:7" x14ac:dyDescent="0.25">
      <c r="A1108">
        <v>20221028</v>
      </c>
      <c r="B1108" t="s">
        <v>770</v>
      </c>
      <c r="C1108" t="s">
        <v>249</v>
      </c>
      <c r="D1108" t="s">
        <v>265</v>
      </c>
      <c r="E1108" s="35">
        <v>0.69899999999999995</v>
      </c>
      <c r="F1108" s="35">
        <v>0.89800000000000002</v>
      </c>
      <c r="G1108" s="35">
        <v>3100</v>
      </c>
    </row>
    <row r="1109" spans="1:7" x14ac:dyDescent="0.25">
      <c r="A1109">
        <v>20221028</v>
      </c>
      <c r="B1109" t="s">
        <v>770</v>
      </c>
      <c r="C1109" t="s">
        <v>249</v>
      </c>
      <c r="D1109" t="s">
        <v>273</v>
      </c>
      <c r="E1109" s="35">
        <v>0.69899999999999995</v>
      </c>
      <c r="F1109" s="35">
        <v>0.89800000000000002</v>
      </c>
      <c r="G1109" s="35">
        <v>2600</v>
      </c>
    </row>
    <row r="1110" spans="1:7" x14ac:dyDescent="0.25">
      <c r="A1110">
        <v>20221028</v>
      </c>
      <c r="B1110" t="s">
        <v>770</v>
      </c>
      <c r="C1110" t="s">
        <v>249</v>
      </c>
      <c r="D1110" t="s">
        <v>279</v>
      </c>
      <c r="E1110" s="35">
        <v>0.69899999999999995</v>
      </c>
      <c r="F1110" s="35">
        <v>0.89800000000000002</v>
      </c>
      <c r="G1110" s="35">
        <v>2300</v>
      </c>
    </row>
    <row r="1111" spans="1:7" x14ac:dyDescent="0.25">
      <c r="A1111">
        <v>20221028</v>
      </c>
      <c r="B1111" t="s">
        <v>770</v>
      </c>
      <c r="C1111" t="s">
        <v>249</v>
      </c>
      <c r="D1111" t="s">
        <v>285</v>
      </c>
      <c r="E1111" s="35">
        <v>0.69899999999999995</v>
      </c>
      <c r="F1111" s="35">
        <v>0.89800000000000002</v>
      </c>
      <c r="G1111" s="35">
        <v>1600</v>
      </c>
    </row>
    <row r="1112" spans="1:7" x14ac:dyDescent="0.25">
      <c r="A1112">
        <v>20221028</v>
      </c>
      <c r="B1112" t="s">
        <v>770</v>
      </c>
      <c r="C1112" t="s">
        <v>249</v>
      </c>
      <c r="D1112" t="s">
        <v>289</v>
      </c>
      <c r="E1112" s="35">
        <v>0.69899999999999995</v>
      </c>
      <c r="F1112" s="35">
        <v>0.89800000000000002</v>
      </c>
      <c r="G1112" s="35">
        <v>900</v>
      </c>
    </row>
    <row r="1113" spans="1:7" x14ac:dyDescent="0.25">
      <c r="A1113">
        <v>20221028</v>
      </c>
      <c r="B1113" t="s">
        <v>770</v>
      </c>
      <c r="C1113" t="s">
        <v>257</v>
      </c>
      <c r="D1113" t="s">
        <v>187</v>
      </c>
      <c r="E1113" s="35">
        <v>0.69899999999999995</v>
      </c>
      <c r="F1113" s="35">
        <v>0.89800000000000002</v>
      </c>
      <c r="G1113" s="35">
        <v>4600</v>
      </c>
    </row>
    <row r="1114" spans="1:7" x14ac:dyDescent="0.25">
      <c r="A1114">
        <v>20221028</v>
      </c>
      <c r="B1114" t="s">
        <v>770</v>
      </c>
      <c r="C1114" t="s">
        <v>257</v>
      </c>
      <c r="D1114" t="s">
        <v>214</v>
      </c>
      <c r="E1114" s="35">
        <v>0.69899999999999995</v>
      </c>
      <c r="F1114" s="35">
        <v>0.89800000000000002</v>
      </c>
      <c r="G1114" s="35">
        <v>4400</v>
      </c>
    </row>
    <row r="1115" spans="1:7" x14ac:dyDescent="0.25">
      <c r="A1115">
        <v>20221028</v>
      </c>
      <c r="B1115" t="s">
        <v>770</v>
      </c>
      <c r="C1115" t="s">
        <v>257</v>
      </c>
      <c r="D1115" t="s">
        <v>233</v>
      </c>
      <c r="E1115" s="35">
        <v>0.69899999999999995</v>
      </c>
      <c r="F1115" s="35">
        <v>0.89800000000000002</v>
      </c>
      <c r="G1115" s="35">
        <v>4200</v>
      </c>
    </row>
    <row r="1116" spans="1:7" x14ac:dyDescent="0.25">
      <c r="A1116">
        <v>20221028</v>
      </c>
      <c r="B1116" t="s">
        <v>770</v>
      </c>
      <c r="C1116" t="s">
        <v>257</v>
      </c>
      <c r="D1116" t="s">
        <v>242</v>
      </c>
      <c r="E1116" s="35">
        <v>0.69899999999999995</v>
      </c>
      <c r="F1116" s="35">
        <v>0.89800000000000002</v>
      </c>
      <c r="G1116" s="35">
        <v>4000</v>
      </c>
    </row>
    <row r="1117" spans="1:7" x14ac:dyDescent="0.25">
      <c r="A1117">
        <v>20221028</v>
      </c>
      <c r="B1117" t="s">
        <v>770</v>
      </c>
      <c r="C1117" t="s">
        <v>257</v>
      </c>
      <c r="D1117" t="s">
        <v>250</v>
      </c>
      <c r="E1117" s="35">
        <v>0.69899999999999995</v>
      </c>
      <c r="F1117" s="35">
        <v>0.89800000000000002</v>
      </c>
      <c r="G1117" s="35">
        <v>3700</v>
      </c>
    </row>
    <row r="1118" spans="1:7" x14ac:dyDescent="0.25">
      <c r="A1118">
        <v>20221028</v>
      </c>
      <c r="B1118" t="s">
        <v>770</v>
      </c>
      <c r="C1118" t="s">
        <v>257</v>
      </c>
      <c r="D1118" t="s">
        <v>258</v>
      </c>
      <c r="E1118" s="35">
        <v>0.69899999999999995</v>
      </c>
      <c r="F1118" s="35">
        <v>0.89800000000000002</v>
      </c>
      <c r="G1118" s="35">
        <v>3200</v>
      </c>
    </row>
    <row r="1119" spans="1:7" x14ac:dyDescent="0.25">
      <c r="A1119">
        <v>20221028</v>
      </c>
      <c r="B1119" t="s">
        <v>770</v>
      </c>
      <c r="C1119" t="s">
        <v>257</v>
      </c>
      <c r="D1119" t="s">
        <v>265</v>
      </c>
      <c r="E1119" s="35">
        <v>0.69899999999999995</v>
      </c>
      <c r="F1119" s="35">
        <v>0.89800000000000002</v>
      </c>
      <c r="G1119" s="35">
        <v>2800</v>
      </c>
    </row>
    <row r="1120" spans="1:7" x14ac:dyDescent="0.25">
      <c r="A1120">
        <v>20221028</v>
      </c>
      <c r="B1120" t="s">
        <v>770</v>
      </c>
      <c r="C1120" t="s">
        <v>257</v>
      </c>
      <c r="D1120" t="s">
        <v>273</v>
      </c>
      <c r="E1120" s="35">
        <v>0.69899999999999995</v>
      </c>
      <c r="F1120" s="35">
        <v>0.89800000000000002</v>
      </c>
      <c r="G1120" s="35">
        <v>2400</v>
      </c>
    </row>
    <row r="1121" spans="1:7" x14ac:dyDescent="0.25">
      <c r="A1121">
        <v>20221028</v>
      </c>
      <c r="B1121" t="s">
        <v>770</v>
      </c>
      <c r="C1121" t="s">
        <v>257</v>
      </c>
      <c r="D1121" t="s">
        <v>279</v>
      </c>
      <c r="E1121" s="35">
        <v>0.69899999999999995</v>
      </c>
      <c r="F1121" s="35">
        <v>0.89800000000000002</v>
      </c>
      <c r="G1121" s="35">
        <v>2100</v>
      </c>
    </row>
    <row r="1122" spans="1:7" x14ac:dyDescent="0.25">
      <c r="A1122">
        <v>20221028</v>
      </c>
      <c r="B1122" t="s">
        <v>770</v>
      </c>
      <c r="C1122" t="s">
        <v>257</v>
      </c>
      <c r="D1122" t="s">
        <v>285</v>
      </c>
      <c r="E1122" s="35">
        <v>0.69899999999999995</v>
      </c>
      <c r="F1122" s="35">
        <v>0.89800000000000002</v>
      </c>
      <c r="G1122" s="35">
        <v>1500</v>
      </c>
    </row>
    <row r="1123" spans="1:7" x14ac:dyDescent="0.25">
      <c r="A1123">
        <v>20221028</v>
      </c>
      <c r="B1123" t="s">
        <v>770</v>
      </c>
      <c r="C1123" t="s">
        <v>257</v>
      </c>
      <c r="D1123" t="s">
        <v>289</v>
      </c>
      <c r="E1123" s="35">
        <v>0.69899999999999995</v>
      </c>
      <c r="F1123" s="35">
        <v>0.89800000000000002</v>
      </c>
      <c r="G1123" s="35">
        <v>900</v>
      </c>
    </row>
    <row r="1124" spans="1:7" x14ac:dyDescent="0.25">
      <c r="A1124">
        <v>20221028</v>
      </c>
      <c r="B1124" t="s">
        <v>770</v>
      </c>
      <c r="C1124" t="s">
        <v>264</v>
      </c>
      <c r="D1124" t="s">
        <v>187</v>
      </c>
      <c r="E1124" s="35">
        <v>0.69899999999999995</v>
      </c>
      <c r="F1124" s="35">
        <v>0.89800000000000002</v>
      </c>
      <c r="G1124" s="35">
        <v>3900</v>
      </c>
    </row>
    <row r="1125" spans="1:7" x14ac:dyDescent="0.25">
      <c r="A1125">
        <v>20221028</v>
      </c>
      <c r="B1125" t="s">
        <v>770</v>
      </c>
      <c r="C1125" t="s">
        <v>264</v>
      </c>
      <c r="D1125" t="s">
        <v>214</v>
      </c>
      <c r="E1125" s="35">
        <v>0.69899999999999995</v>
      </c>
      <c r="F1125" s="35">
        <v>0.89800000000000002</v>
      </c>
      <c r="G1125" s="35">
        <v>3700</v>
      </c>
    </row>
    <row r="1126" spans="1:7" x14ac:dyDescent="0.25">
      <c r="A1126">
        <v>20221028</v>
      </c>
      <c r="B1126" t="s">
        <v>770</v>
      </c>
      <c r="C1126" t="s">
        <v>264</v>
      </c>
      <c r="D1126" t="s">
        <v>233</v>
      </c>
      <c r="E1126" s="35">
        <v>0.69899999999999995</v>
      </c>
      <c r="F1126" s="35">
        <v>0.89800000000000002</v>
      </c>
      <c r="G1126" s="35">
        <v>3500</v>
      </c>
    </row>
    <row r="1127" spans="1:7" x14ac:dyDescent="0.25">
      <c r="A1127">
        <v>20221028</v>
      </c>
      <c r="B1127" t="s">
        <v>770</v>
      </c>
      <c r="C1127" t="s">
        <v>264</v>
      </c>
      <c r="D1127" t="s">
        <v>242</v>
      </c>
      <c r="E1127" s="35">
        <v>0.69899999999999995</v>
      </c>
      <c r="F1127" s="35">
        <v>0.89800000000000002</v>
      </c>
      <c r="G1127" s="35">
        <v>3300</v>
      </c>
    </row>
    <row r="1128" spans="1:7" x14ac:dyDescent="0.25">
      <c r="A1128">
        <v>20221028</v>
      </c>
      <c r="B1128" t="s">
        <v>770</v>
      </c>
      <c r="C1128" t="s">
        <v>264</v>
      </c>
      <c r="D1128" t="s">
        <v>250</v>
      </c>
      <c r="E1128" s="35">
        <v>0.69899999999999995</v>
      </c>
      <c r="F1128" s="35">
        <v>0.89800000000000002</v>
      </c>
      <c r="G1128" s="35">
        <v>3000</v>
      </c>
    </row>
    <row r="1129" spans="1:7" x14ac:dyDescent="0.25">
      <c r="A1129">
        <v>20221028</v>
      </c>
      <c r="B1129" t="s">
        <v>770</v>
      </c>
      <c r="C1129" t="s">
        <v>264</v>
      </c>
      <c r="D1129" t="s">
        <v>258</v>
      </c>
      <c r="E1129" s="35">
        <v>0.69899999999999995</v>
      </c>
      <c r="F1129" s="35">
        <v>0.89800000000000002</v>
      </c>
      <c r="G1129" s="35">
        <v>2700</v>
      </c>
    </row>
    <row r="1130" spans="1:7" x14ac:dyDescent="0.25">
      <c r="A1130">
        <v>20221028</v>
      </c>
      <c r="B1130" t="s">
        <v>770</v>
      </c>
      <c r="C1130" t="s">
        <v>264</v>
      </c>
      <c r="D1130" t="s">
        <v>265</v>
      </c>
      <c r="E1130" s="35">
        <v>0.69899999999999995</v>
      </c>
      <c r="F1130" s="35">
        <v>0.89800000000000002</v>
      </c>
      <c r="G1130" s="35">
        <v>2500</v>
      </c>
    </row>
    <row r="1131" spans="1:7" x14ac:dyDescent="0.25">
      <c r="A1131">
        <v>20221028</v>
      </c>
      <c r="B1131" t="s">
        <v>770</v>
      </c>
      <c r="C1131" t="s">
        <v>264</v>
      </c>
      <c r="D1131" t="s">
        <v>273</v>
      </c>
      <c r="E1131" s="35">
        <v>0.69899999999999995</v>
      </c>
      <c r="F1131" s="35">
        <v>0.89800000000000002</v>
      </c>
      <c r="G1131" s="35">
        <v>2200</v>
      </c>
    </row>
    <row r="1132" spans="1:7" x14ac:dyDescent="0.25">
      <c r="A1132">
        <v>20221028</v>
      </c>
      <c r="B1132" t="s">
        <v>770</v>
      </c>
      <c r="C1132" t="s">
        <v>264</v>
      </c>
      <c r="D1132" t="s">
        <v>279</v>
      </c>
      <c r="E1132" s="35">
        <v>0.69899999999999995</v>
      </c>
      <c r="F1132" s="35">
        <v>0.89800000000000002</v>
      </c>
      <c r="G1132" s="35">
        <v>2000</v>
      </c>
    </row>
    <row r="1133" spans="1:7" x14ac:dyDescent="0.25">
      <c r="A1133">
        <v>20221028</v>
      </c>
      <c r="B1133" t="s">
        <v>770</v>
      </c>
      <c r="C1133" t="s">
        <v>264</v>
      </c>
      <c r="D1133" t="s">
        <v>285</v>
      </c>
      <c r="E1133" s="35">
        <v>0.69899999999999995</v>
      </c>
      <c r="F1133" s="35">
        <v>0.89800000000000002</v>
      </c>
      <c r="G1133" s="35">
        <v>1400</v>
      </c>
    </row>
    <row r="1134" spans="1:7" x14ac:dyDescent="0.25">
      <c r="A1134">
        <v>20221028</v>
      </c>
      <c r="B1134" t="s">
        <v>770</v>
      </c>
      <c r="C1134" t="s">
        <v>264</v>
      </c>
      <c r="D1134" t="s">
        <v>289</v>
      </c>
      <c r="E1134" s="35">
        <v>0.69899999999999995</v>
      </c>
      <c r="F1134" s="35">
        <v>0.89800000000000002</v>
      </c>
      <c r="G1134" s="35">
        <v>800</v>
      </c>
    </row>
    <row r="1135" spans="1:7" x14ac:dyDescent="0.25">
      <c r="A1135">
        <v>20221028</v>
      </c>
      <c r="B1135" t="s">
        <v>770</v>
      </c>
      <c r="C1135" t="s">
        <v>272</v>
      </c>
      <c r="D1135" t="s">
        <v>187</v>
      </c>
      <c r="E1135" s="35">
        <v>0.69899999999999995</v>
      </c>
      <c r="F1135" s="35">
        <v>0.89800000000000002</v>
      </c>
      <c r="G1135" s="35">
        <v>3300</v>
      </c>
    </row>
    <row r="1136" spans="1:7" x14ac:dyDescent="0.25">
      <c r="A1136">
        <v>20221028</v>
      </c>
      <c r="B1136" t="s">
        <v>770</v>
      </c>
      <c r="C1136" t="s">
        <v>272</v>
      </c>
      <c r="D1136" t="s">
        <v>214</v>
      </c>
      <c r="E1136" s="35">
        <v>0.69899999999999995</v>
      </c>
      <c r="F1136" s="35">
        <v>0.89800000000000002</v>
      </c>
      <c r="G1136" s="35">
        <v>3100</v>
      </c>
    </row>
    <row r="1137" spans="1:7" x14ac:dyDescent="0.25">
      <c r="A1137">
        <v>20221028</v>
      </c>
      <c r="B1137" t="s">
        <v>770</v>
      </c>
      <c r="C1137" t="s">
        <v>272</v>
      </c>
      <c r="D1137" t="s">
        <v>233</v>
      </c>
      <c r="E1137" s="35">
        <v>0.69899999999999995</v>
      </c>
      <c r="F1137" s="35">
        <v>0.89800000000000002</v>
      </c>
      <c r="G1137" s="35">
        <v>2900</v>
      </c>
    </row>
    <row r="1138" spans="1:7" x14ac:dyDescent="0.25">
      <c r="A1138">
        <v>20221028</v>
      </c>
      <c r="B1138" t="s">
        <v>770</v>
      </c>
      <c r="C1138" t="s">
        <v>272</v>
      </c>
      <c r="D1138" t="s">
        <v>242</v>
      </c>
      <c r="E1138" s="35">
        <v>0.69899999999999995</v>
      </c>
      <c r="F1138" s="35">
        <v>0.89800000000000002</v>
      </c>
      <c r="G1138" s="35">
        <v>2700</v>
      </c>
    </row>
    <row r="1139" spans="1:7" x14ac:dyDescent="0.25">
      <c r="A1139">
        <v>20221028</v>
      </c>
      <c r="B1139" t="s">
        <v>770</v>
      </c>
      <c r="C1139" t="s">
        <v>272</v>
      </c>
      <c r="D1139" t="s">
        <v>250</v>
      </c>
      <c r="E1139" s="35">
        <v>0.69899999999999995</v>
      </c>
      <c r="F1139" s="35">
        <v>0.89800000000000002</v>
      </c>
      <c r="G1139" s="35">
        <v>2500</v>
      </c>
    </row>
    <row r="1140" spans="1:7" x14ac:dyDescent="0.25">
      <c r="A1140">
        <v>20221028</v>
      </c>
      <c r="B1140" t="s">
        <v>770</v>
      </c>
      <c r="C1140" t="s">
        <v>272</v>
      </c>
      <c r="D1140" t="s">
        <v>258</v>
      </c>
      <c r="E1140" s="35">
        <v>0.69899999999999995</v>
      </c>
      <c r="F1140" s="35">
        <v>0.89800000000000002</v>
      </c>
      <c r="G1140" s="35">
        <v>2300</v>
      </c>
    </row>
    <row r="1141" spans="1:7" x14ac:dyDescent="0.25">
      <c r="A1141">
        <v>20221028</v>
      </c>
      <c r="B1141" t="s">
        <v>770</v>
      </c>
      <c r="C1141" t="s">
        <v>272</v>
      </c>
      <c r="D1141" t="s">
        <v>265</v>
      </c>
      <c r="E1141" s="35">
        <v>0.69899999999999995</v>
      </c>
      <c r="F1141" s="35">
        <v>0.89800000000000002</v>
      </c>
      <c r="G1141" s="35">
        <v>2100</v>
      </c>
    </row>
    <row r="1142" spans="1:7" x14ac:dyDescent="0.25">
      <c r="A1142">
        <v>20221028</v>
      </c>
      <c r="B1142" t="s">
        <v>770</v>
      </c>
      <c r="C1142" t="s">
        <v>272</v>
      </c>
      <c r="D1142" t="s">
        <v>273</v>
      </c>
      <c r="E1142" s="35">
        <v>0.69899999999999995</v>
      </c>
      <c r="F1142" s="35">
        <v>0.89800000000000002</v>
      </c>
      <c r="G1142" s="35">
        <v>1900</v>
      </c>
    </row>
    <row r="1143" spans="1:7" x14ac:dyDescent="0.25">
      <c r="A1143">
        <v>20221028</v>
      </c>
      <c r="B1143" t="s">
        <v>770</v>
      </c>
      <c r="C1143" t="s">
        <v>272</v>
      </c>
      <c r="D1143" t="s">
        <v>279</v>
      </c>
      <c r="E1143" s="35">
        <v>0.69899999999999995</v>
      </c>
      <c r="F1143" s="35">
        <v>0.89800000000000002</v>
      </c>
      <c r="G1143" s="35">
        <v>1700</v>
      </c>
    </row>
    <row r="1144" spans="1:7" x14ac:dyDescent="0.25">
      <c r="A1144">
        <v>20221028</v>
      </c>
      <c r="B1144" t="s">
        <v>770</v>
      </c>
      <c r="C1144" t="s">
        <v>272</v>
      </c>
      <c r="D1144" t="s">
        <v>285</v>
      </c>
      <c r="E1144" s="35">
        <v>0.69899999999999995</v>
      </c>
      <c r="F1144" s="35">
        <v>0.89800000000000002</v>
      </c>
      <c r="G1144" s="35">
        <v>1200</v>
      </c>
    </row>
    <row r="1145" spans="1:7" x14ac:dyDescent="0.25">
      <c r="A1145">
        <v>20221028</v>
      </c>
      <c r="B1145" t="s">
        <v>770</v>
      </c>
      <c r="C1145" t="s">
        <v>272</v>
      </c>
      <c r="D1145" t="s">
        <v>289</v>
      </c>
      <c r="E1145" s="35">
        <v>0.69899999999999995</v>
      </c>
      <c r="F1145" s="35">
        <v>0.89800000000000002</v>
      </c>
      <c r="G1145" s="35">
        <v>800</v>
      </c>
    </row>
    <row r="1146" spans="1:7" x14ac:dyDescent="0.25">
      <c r="A1146">
        <v>20221028</v>
      </c>
      <c r="B1146" t="s">
        <v>770</v>
      </c>
      <c r="C1146" t="s">
        <v>278</v>
      </c>
      <c r="D1146" t="s">
        <v>187</v>
      </c>
      <c r="E1146" s="35">
        <v>0.69899999999999995</v>
      </c>
      <c r="F1146" s="35">
        <v>0.89800000000000002</v>
      </c>
      <c r="G1146" s="35">
        <v>2900</v>
      </c>
    </row>
    <row r="1147" spans="1:7" x14ac:dyDescent="0.25">
      <c r="A1147">
        <v>20221028</v>
      </c>
      <c r="B1147" t="s">
        <v>770</v>
      </c>
      <c r="C1147" t="s">
        <v>278</v>
      </c>
      <c r="D1147" t="s">
        <v>214</v>
      </c>
      <c r="E1147" s="35">
        <v>0.69899999999999995</v>
      </c>
      <c r="F1147" s="35">
        <v>0.89800000000000002</v>
      </c>
      <c r="G1147" s="35">
        <v>2700</v>
      </c>
    </row>
    <row r="1148" spans="1:7" x14ac:dyDescent="0.25">
      <c r="A1148">
        <v>20221028</v>
      </c>
      <c r="B1148" t="s">
        <v>770</v>
      </c>
      <c r="C1148" t="s">
        <v>278</v>
      </c>
      <c r="D1148" t="s">
        <v>233</v>
      </c>
      <c r="E1148" s="35">
        <v>0.69899999999999995</v>
      </c>
      <c r="F1148" s="35">
        <v>0.89800000000000002</v>
      </c>
      <c r="G1148" s="35">
        <v>2500</v>
      </c>
    </row>
    <row r="1149" spans="1:7" x14ac:dyDescent="0.25">
      <c r="A1149">
        <v>20221028</v>
      </c>
      <c r="B1149" t="s">
        <v>770</v>
      </c>
      <c r="C1149" t="s">
        <v>278</v>
      </c>
      <c r="D1149" t="s">
        <v>242</v>
      </c>
      <c r="E1149" s="35">
        <v>0.69899999999999995</v>
      </c>
      <c r="F1149" s="35">
        <v>0.89800000000000002</v>
      </c>
      <c r="G1149" s="35">
        <v>2300</v>
      </c>
    </row>
    <row r="1150" spans="1:7" x14ac:dyDescent="0.25">
      <c r="A1150">
        <v>20221028</v>
      </c>
      <c r="B1150" t="s">
        <v>770</v>
      </c>
      <c r="C1150" t="s">
        <v>278</v>
      </c>
      <c r="D1150" t="s">
        <v>250</v>
      </c>
      <c r="E1150" s="35">
        <v>0.69899999999999995</v>
      </c>
      <c r="F1150" s="35">
        <v>0.89800000000000002</v>
      </c>
      <c r="G1150" s="35">
        <v>2200</v>
      </c>
    </row>
    <row r="1151" spans="1:7" x14ac:dyDescent="0.25">
      <c r="A1151">
        <v>20221028</v>
      </c>
      <c r="B1151" t="s">
        <v>770</v>
      </c>
      <c r="C1151" t="s">
        <v>278</v>
      </c>
      <c r="D1151" t="s">
        <v>258</v>
      </c>
      <c r="E1151" s="35">
        <v>0.69899999999999995</v>
      </c>
      <c r="F1151" s="35">
        <v>0.89800000000000002</v>
      </c>
      <c r="G1151" s="35">
        <v>2000</v>
      </c>
    </row>
    <row r="1152" spans="1:7" x14ac:dyDescent="0.25">
      <c r="A1152">
        <v>20221028</v>
      </c>
      <c r="B1152" t="s">
        <v>770</v>
      </c>
      <c r="C1152" t="s">
        <v>278</v>
      </c>
      <c r="D1152" t="s">
        <v>265</v>
      </c>
      <c r="E1152" s="35">
        <v>0.69899999999999995</v>
      </c>
      <c r="F1152" s="35">
        <v>0.89800000000000002</v>
      </c>
      <c r="G1152" s="35">
        <v>1800</v>
      </c>
    </row>
    <row r="1153" spans="1:7" x14ac:dyDescent="0.25">
      <c r="A1153">
        <v>20221028</v>
      </c>
      <c r="B1153" t="s">
        <v>770</v>
      </c>
      <c r="C1153" t="s">
        <v>278</v>
      </c>
      <c r="D1153" t="s">
        <v>273</v>
      </c>
      <c r="E1153" s="35">
        <v>0.69899999999999995</v>
      </c>
      <c r="F1153" s="35">
        <v>0.89800000000000002</v>
      </c>
      <c r="G1153" s="35">
        <v>1600</v>
      </c>
    </row>
    <row r="1154" spans="1:7" x14ac:dyDescent="0.25">
      <c r="A1154">
        <v>20221028</v>
      </c>
      <c r="B1154" t="s">
        <v>770</v>
      </c>
      <c r="C1154" t="s">
        <v>278</v>
      </c>
      <c r="D1154" t="s">
        <v>279</v>
      </c>
      <c r="E1154" s="35">
        <v>0.69899999999999995</v>
      </c>
      <c r="F1154" s="35">
        <v>0.89800000000000002</v>
      </c>
      <c r="G1154" s="35">
        <v>1400</v>
      </c>
    </row>
    <row r="1155" spans="1:7" x14ac:dyDescent="0.25">
      <c r="A1155">
        <v>20221028</v>
      </c>
      <c r="B1155" t="s">
        <v>770</v>
      </c>
      <c r="C1155" t="s">
        <v>278</v>
      </c>
      <c r="D1155" t="s">
        <v>285</v>
      </c>
      <c r="E1155" s="35">
        <v>0.69899999999999995</v>
      </c>
      <c r="F1155" s="35">
        <v>0.89800000000000002</v>
      </c>
      <c r="G1155" s="35">
        <v>1000</v>
      </c>
    </row>
    <row r="1156" spans="1:7" x14ac:dyDescent="0.25">
      <c r="A1156">
        <v>20221028</v>
      </c>
      <c r="B1156" t="s">
        <v>770</v>
      </c>
      <c r="C1156" t="s">
        <v>278</v>
      </c>
      <c r="D1156" t="s">
        <v>289</v>
      </c>
      <c r="E1156" s="35">
        <v>0.69899999999999995</v>
      </c>
      <c r="F1156" s="35">
        <v>0.89800000000000002</v>
      </c>
      <c r="G1156" s="35">
        <v>700</v>
      </c>
    </row>
    <row r="1157" spans="1:7" x14ac:dyDescent="0.25">
      <c r="A1157">
        <v>20221028</v>
      </c>
      <c r="B1157" t="s">
        <v>770</v>
      </c>
      <c r="C1157" t="s">
        <v>284</v>
      </c>
      <c r="D1157" t="s">
        <v>187</v>
      </c>
      <c r="E1157" s="35">
        <v>0.69899999999999995</v>
      </c>
      <c r="F1157" s="35">
        <v>0.89800000000000002</v>
      </c>
      <c r="G1157" s="35">
        <v>2600</v>
      </c>
    </row>
    <row r="1158" spans="1:7" x14ac:dyDescent="0.25">
      <c r="A1158">
        <v>20221028</v>
      </c>
      <c r="B1158" t="s">
        <v>770</v>
      </c>
      <c r="C1158" t="s">
        <v>284</v>
      </c>
      <c r="D1158" t="s">
        <v>214</v>
      </c>
      <c r="E1158" s="35">
        <v>0.69899999999999995</v>
      </c>
      <c r="F1158" s="35">
        <v>0.89800000000000002</v>
      </c>
      <c r="G1158" s="35">
        <v>2400</v>
      </c>
    </row>
    <row r="1159" spans="1:7" x14ac:dyDescent="0.25">
      <c r="A1159">
        <v>20221028</v>
      </c>
      <c r="B1159" t="s">
        <v>770</v>
      </c>
      <c r="C1159" t="s">
        <v>284</v>
      </c>
      <c r="D1159" t="s">
        <v>233</v>
      </c>
      <c r="E1159" s="35">
        <v>0.69899999999999995</v>
      </c>
      <c r="F1159" s="35">
        <v>0.89800000000000002</v>
      </c>
      <c r="G1159" s="35">
        <v>2200</v>
      </c>
    </row>
    <row r="1160" spans="1:7" x14ac:dyDescent="0.25">
      <c r="A1160">
        <v>20221028</v>
      </c>
      <c r="B1160" t="s">
        <v>770</v>
      </c>
      <c r="C1160" t="s">
        <v>284</v>
      </c>
      <c r="D1160" t="s">
        <v>242</v>
      </c>
      <c r="E1160" s="35">
        <v>0.69899999999999995</v>
      </c>
      <c r="F1160" s="35">
        <v>0.89800000000000002</v>
      </c>
      <c r="G1160" s="35">
        <v>2100</v>
      </c>
    </row>
    <row r="1161" spans="1:7" x14ac:dyDescent="0.25">
      <c r="A1161">
        <v>20221028</v>
      </c>
      <c r="B1161" t="s">
        <v>770</v>
      </c>
      <c r="C1161" t="s">
        <v>284</v>
      </c>
      <c r="D1161" t="s">
        <v>250</v>
      </c>
      <c r="E1161" s="35">
        <v>0.69899999999999995</v>
      </c>
      <c r="F1161" s="35">
        <v>0.89800000000000002</v>
      </c>
      <c r="G1161" s="35">
        <v>2000</v>
      </c>
    </row>
    <row r="1162" spans="1:7" x14ac:dyDescent="0.25">
      <c r="A1162">
        <v>20221028</v>
      </c>
      <c r="B1162" t="s">
        <v>770</v>
      </c>
      <c r="C1162" t="s">
        <v>284</v>
      </c>
      <c r="D1162" t="s">
        <v>258</v>
      </c>
      <c r="E1162" s="35">
        <v>0.69899999999999995</v>
      </c>
      <c r="F1162" s="35">
        <v>0.89800000000000002</v>
      </c>
      <c r="G1162" s="35">
        <v>1800</v>
      </c>
    </row>
    <row r="1163" spans="1:7" x14ac:dyDescent="0.25">
      <c r="A1163">
        <v>20221028</v>
      </c>
      <c r="B1163" t="s">
        <v>770</v>
      </c>
      <c r="C1163" t="s">
        <v>284</v>
      </c>
      <c r="D1163" t="s">
        <v>265</v>
      </c>
      <c r="E1163" s="35">
        <v>0.69899999999999995</v>
      </c>
      <c r="F1163" s="35">
        <v>0.89800000000000002</v>
      </c>
      <c r="G1163" s="35">
        <v>1600</v>
      </c>
    </row>
    <row r="1164" spans="1:7" x14ac:dyDescent="0.25">
      <c r="A1164">
        <v>20221028</v>
      </c>
      <c r="B1164" t="s">
        <v>770</v>
      </c>
      <c r="C1164" t="s">
        <v>284</v>
      </c>
      <c r="D1164" t="s">
        <v>273</v>
      </c>
      <c r="E1164" s="35">
        <v>0.69899999999999995</v>
      </c>
      <c r="F1164" s="35">
        <v>0.89800000000000002</v>
      </c>
      <c r="G1164" s="35">
        <v>1400</v>
      </c>
    </row>
    <row r="1165" spans="1:7" x14ac:dyDescent="0.25">
      <c r="A1165">
        <v>20221028</v>
      </c>
      <c r="B1165" t="s">
        <v>770</v>
      </c>
      <c r="C1165" t="s">
        <v>284</v>
      </c>
      <c r="D1165" t="s">
        <v>279</v>
      </c>
      <c r="E1165" s="35">
        <v>0.69899999999999995</v>
      </c>
      <c r="F1165" s="35">
        <v>0.89800000000000002</v>
      </c>
      <c r="G1165" s="35">
        <v>1200</v>
      </c>
    </row>
    <row r="1166" spans="1:7" x14ac:dyDescent="0.25">
      <c r="A1166">
        <v>20221028</v>
      </c>
      <c r="B1166" t="s">
        <v>770</v>
      </c>
      <c r="C1166" t="s">
        <v>284</v>
      </c>
      <c r="D1166" t="s">
        <v>285</v>
      </c>
      <c r="E1166" s="35">
        <v>0.69899999999999995</v>
      </c>
      <c r="F1166" s="35">
        <v>0.89800000000000002</v>
      </c>
      <c r="G1166" s="35">
        <v>800</v>
      </c>
    </row>
    <row r="1167" spans="1:7" x14ac:dyDescent="0.25">
      <c r="A1167">
        <v>20221028</v>
      </c>
      <c r="B1167" t="s">
        <v>770</v>
      </c>
      <c r="C1167" t="s">
        <v>284</v>
      </c>
      <c r="D1167" t="s">
        <v>289</v>
      </c>
      <c r="E1167" s="35">
        <v>0.69899999999999995</v>
      </c>
      <c r="F1167" s="35">
        <v>0.89800000000000002</v>
      </c>
      <c r="G1167" s="35">
        <v>600</v>
      </c>
    </row>
    <row r="1168" spans="1:7" x14ac:dyDescent="0.25">
      <c r="A1168">
        <v>20221028</v>
      </c>
      <c r="B1168" t="s">
        <v>770</v>
      </c>
      <c r="C1168" t="s">
        <v>186</v>
      </c>
      <c r="D1168" t="s">
        <v>187</v>
      </c>
      <c r="E1168" s="35">
        <v>0.89900000000000002</v>
      </c>
      <c r="F1168" s="35">
        <v>0.998</v>
      </c>
      <c r="G1168" s="35">
        <v>14300</v>
      </c>
    </row>
    <row r="1169" spans="1:7" x14ac:dyDescent="0.25">
      <c r="A1169">
        <v>20221028</v>
      </c>
      <c r="B1169" t="s">
        <v>770</v>
      </c>
      <c r="C1169" t="s">
        <v>186</v>
      </c>
      <c r="D1169" t="s">
        <v>214</v>
      </c>
      <c r="E1169" s="35">
        <v>0.89900000000000002</v>
      </c>
      <c r="F1169" s="35">
        <v>0.998</v>
      </c>
      <c r="G1169" s="35">
        <v>12600</v>
      </c>
    </row>
    <row r="1170" spans="1:7" x14ac:dyDescent="0.25">
      <c r="A1170">
        <v>20221028</v>
      </c>
      <c r="B1170" t="s">
        <v>770</v>
      </c>
      <c r="C1170" t="s">
        <v>186</v>
      </c>
      <c r="D1170" t="s">
        <v>233</v>
      </c>
      <c r="E1170" s="35">
        <v>0.89900000000000002</v>
      </c>
      <c r="F1170" s="35">
        <v>0.998</v>
      </c>
      <c r="G1170" s="35">
        <v>10400</v>
      </c>
    </row>
    <row r="1171" spans="1:7" x14ac:dyDescent="0.25">
      <c r="A1171">
        <v>20221028</v>
      </c>
      <c r="B1171" t="s">
        <v>770</v>
      </c>
      <c r="C1171" t="s">
        <v>186</v>
      </c>
      <c r="D1171" t="s">
        <v>242</v>
      </c>
      <c r="E1171" s="35">
        <v>0.89900000000000002</v>
      </c>
      <c r="F1171" s="35">
        <v>0.998</v>
      </c>
      <c r="G1171" s="35">
        <v>9100</v>
      </c>
    </row>
    <row r="1172" spans="1:7" x14ac:dyDescent="0.25">
      <c r="A1172">
        <v>20221028</v>
      </c>
      <c r="B1172" t="s">
        <v>770</v>
      </c>
      <c r="C1172" t="s">
        <v>186</v>
      </c>
      <c r="D1172" t="s">
        <v>250</v>
      </c>
      <c r="E1172" s="35">
        <v>0.89900000000000002</v>
      </c>
      <c r="F1172" s="35">
        <v>0.998</v>
      </c>
      <c r="G1172" s="35">
        <v>8000</v>
      </c>
    </row>
    <row r="1173" spans="1:7" x14ac:dyDescent="0.25">
      <c r="A1173">
        <v>20221028</v>
      </c>
      <c r="B1173" t="s">
        <v>770</v>
      </c>
      <c r="C1173" t="s">
        <v>186</v>
      </c>
      <c r="D1173" t="s">
        <v>258</v>
      </c>
      <c r="E1173" s="35">
        <v>0.89900000000000002</v>
      </c>
      <c r="F1173" s="35">
        <v>0.998</v>
      </c>
      <c r="G1173" s="35">
        <v>6900</v>
      </c>
    </row>
    <row r="1174" spans="1:7" x14ac:dyDescent="0.25">
      <c r="A1174">
        <v>20221028</v>
      </c>
      <c r="B1174" t="s">
        <v>770</v>
      </c>
      <c r="C1174" t="s">
        <v>186</v>
      </c>
      <c r="D1174" t="s">
        <v>265</v>
      </c>
      <c r="E1174" s="35">
        <v>0.89900000000000002</v>
      </c>
      <c r="F1174" s="35">
        <v>0.998</v>
      </c>
      <c r="G1174" s="35">
        <v>5600</v>
      </c>
    </row>
    <row r="1175" spans="1:7" x14ac:dyDescent="0.25">
      <c r="A1175">
        <v>20221028</v>
      </c>
      <c r="B1175" t="s">
        <v>770</v>
      </c>
      <c r="C1175" t="s">
        <v>186</v>
      </c>
      <c r="D1175" t="s">
        <v>273</v>
      </c>
      <c r="E1175" s="35">
        <v>0.89900000000000002</v>
      </c>
      <c r="F1175" s="35">
        <v>0.998</v>
      </c>
      <c r="G1175" s="35">
        <v>4700</v>
      </c>
    </row>
    <row r="1176" spans="1:7" x14ac:dyDescent="0.25">
      <c r="A1176">
        <v>20221028</v>
      </c>
      <c r="B1176" t="s">
        <v>770</v>
      </c>
      <c r="C1176" t="s">
        <v>186</v>
      </c>
      <c r="D1176" t="s">
        <v>279</v>
      </c>
      <c r="E1176" s="35">
        <v>0.89900000000000002</v>
      </c>
      <c r="F1176" s="35">
        <v>0.998</v>
      </c>
      <c r="G1176" s="35">
        <v>3800</v>
      </c>
    </row>
    <row r="1177" spans="1:7" x14ac:dyDescent="0.25">
      <c r="A1177">
        <v>20221028</v>
      </c>
      <c r="B1177" t="s">
        <v>770</v>
      </c>
      <c r="C1177" t="s">
        <v>186</v>
      </c>
      <c r="D1177" t="s">
        <v>285</v>
      </c>
      <c r="E1177" s="35">
        <v>0.89900000000000002</v>
      </c>
      <c r="F1177" s="35">
        <v>0.998</v>
      </c>
      <c r="G1177" s="35">
        <v>2300</v>
      </c>
    </row>
    <row r="1178" spans="1:7" x14ac:dyDescent="0.25">
      <c r="A1178">
        <v>20221028</v>
      </c>
      <c r="B1178" t="s">
        <v>770</v>
      </c>
      <c r="C1178" t="s">
        <v>186</v>
      </c>
      <c r="D1178" t="s">
        <v>289</v>
      </c>
      <c r="E1178" s="35">
        <v>0.89900000000000002</v>
      </c>
      <c r="F1178" s="35">
        <v>0.998</v>
      </c>
      <c r="G1178" s="35">
        <v>1500</v>
      </c>
    </row>
    <row r="1179" spans="1:7" x14ac:dyDescent="0.25">
      <c r="A1179">
        <v>20221028</v>
      </c>
      <c r="B1179" t="s">
        <v>770</v>
      </c>
      <c r="C1179" t="s">
        <v>213</v>
      </c>
      <c r="D1179" t="s">
        <v>187</v>
      </c>
      <c r="E1179" s="35">
        <v>0.89900000000000002</v>
      </c>
      <c r="F1179" s="35">
        <v>0.998</v>
      </c>
      <c r="G1179" s="35">
        <v>12600</v>
      </c>
    </row>
    <row r="1180" spans="1:7" x14ac:dyDescent="0.25">
      <c r="A1180">
        <v>20221028</v>
      </c>
      <c r="B1180" t="s">
        <v>770</v>
      </c>
      <c r="C1180" t="s">
        <v>213</v>
      </c>
      <c r="D1180" t="s">
        <v>214</v>
      </c>
      <c r="E1180" s="35">
        <v>0.89900000000000002</v>
      </c>
      <c r="F1180" s="35">
        <v>0.998</v>
      </c>
      <c r="G1180" s="35">
        <v>11600</v>
      </c>
    </row>
    <row r="1181" spans="1:7" x14ac:dyDescent="0.25">
      <c r="A1181">
        <v>20221028</v>
      </c>
      <c r="B1181" t="s">
        <v>770</v>
      </c>
      <c r="C1181" t="s">
        <v>213</v>
      </c>
      <c r="D1181" t="s">
        <v>233</v>
      </c>
      <c r="E1181" s="35">
        <v>0.89900000000000002</v>
      </c>
      <c r="F1181" s="35">
        <v>0.998</v>
      </c>
      <c r="G1181" s="35">
        <v>9800</v>
      </c>
    </row>
    <row r="1182" spans="1:7" x14ac:dyDescent="0.25">
      <c r="A1182">
        <v>20221028</v>
      </c>
      <c r="B1182" t="s">
        <v>770</v>
      </c>
      <c r="C1182" t="s">
        <v>213</v>
      </c>
      <c r="D1182" t="s">
        <v>242</v>
      </c>
      <c r="E1182" s="35">
        <v>0.89900000000000002</v>
      </c>
      <c r="F1182" s="35">
        <v>0.998</v>
      </c>
      <c r="G1182" s="35">
        <v>8500</v>
      </c>
    </row>
    <row r="1183" spans="1:7" x14ac:dyDescent="0.25">
      <c r="A1183">
        <v>20221028</v>
      </c>
      <c r="B1183" t="s">
        <v>770</v>
      </c>
      <c r="C1183" t="s">
        <v>213</v>
      </c>
      <c r="D1183" t="s">
        <v>250</v>
      </c>
      <c r="E1183" s="35">
        <v>0.89900000000000002</v>
      </c>
      <c r="F1183" s="35">
        <v>0.998</v>
      </c>
      <c r="G1183" s="35">
        <v>7600</v>
      </c>
    </row>
    <row r="1184" spans="1:7" x14ac:dyDescent="0.25">
      <c r="A1184">
        <v>20221028</v>
      </c>
      <c r="B1184" t="s">
        <v>770</v>
      </c>
      <c r="C1184" t="s">
        <v>213</v>
      </c>
      <c r="D1184" t="s">
        <v>258</v>
      </c>
      <c r="E1184" s="35">
        <v>0.89900000000000002</v>
      </c>
      <c r="F1184" s="35">
        <v>0.998</v>
      </c>
      <c r="G1184" s="35">
        <v>6500</v>
      </c>
    </row>
    <row r="1185" spans="1:7" x14ac:dyDescent="0.25">
      <c r="A1185">
        <v>20221028</v>
      </c>
      <c r="B1185" t="s">
        <v>770</v>
      </c>
      <c r="C1185" t="s">
        <v>213</v>
      </c>
      <c r="D1185" t="s">
        <v>265</v>
      </c>
      <c r="E1185" s="35">
        <v>0.89900000000000002</v>
      </c>
      <c r="F1185" s="35">
        <v>0.998</v>
      </c>
      <c r="G1185" s="35">
        <v>5200</v>
      </c>
    </row>
    <row r="1186" spans="1:7" x14ac:dyDescent="0.25">
      <c r="A1186">
        <v>20221028</v>
      </c>
      <c r="B1186" t="s">
        <v>770</v>
      </c>
      <c r="C1186" t="s">
        <v>213</v>
      </c>
      <c r="D1186" t="s">
        <v>273</v>
      </c>
      <c r="E1186" s="35">
        <v>0.89900000000000002</v>
      </c>
      <c r="F1186" s="35">
        <v>0.998</v>
      </c>
      <c r="G1186" s="35">
        <v>4400</v>
      </c>
    </row>
    <row r="1187" spans="1:7" x14ac:dyDescent="0.25">
      <c r="A1187">
        <v>20221028</v>
      </c>
      <c r="B1187" t="s">
        <v>770</v>
      </c>
      <c r="C1187" t="s">
        <v>213</v>
      </c>
      <c r="D1187" t="s">
        <v>279</v>
      </c>
      <c r="E1187" s="35">
        <v>0.89900000000000002</v>
      </c>
      <c r="F1187" s="35">
        <v>0.998</v>
      </c>
      <c r="G1187" s="35">
        <v>3700</v>
      </c>
    </row>
    <row r="1188" spans="1:7" x14ac:dyDescent="0.25">
      <c r="A1188">
        <v>20221028</v>
      </c>
      <c r="B1188" t="s">
        <v>770</v>
      </c>
      <c r="C1188" t="s">
        <v>213</v>
      </c>
      <c r="D1188" t="s">
        <v>285</v>
      </c>
      <c r="E1188" s="35">
        <v>0.89900000000000002</v>
      </c>
      <c r="F1188" s="35">
        <v>0.998</v>
      </c>
      <c r="G1188" s="35">
        <v>2200</v>
      </c>
    </row>
    <row r="1189" spans="1:7" x14ac:dyDescent="0.25">
      <c r="A1189">
        <v>20221028</v>
      </c>
      <c r="B1189" t="s">
        <v>770</v>
      </c>
      <c r="C1189" t="s">
        <v>213</v>
      </c>
      <c r="D1189" t="s">
        <v>289</v>
      </c>
      <c r="E1189" s="35">
        <v>0.89900000000000002</v>
      </c>
      <c r="F1189" s="35">
        <v>0.998</v>
      </c>
      <c r="G1189" s="35">
        <v>1400</v>
      </c>
    </row>
    <row r="1190" spans="1:7" x14ac:dyDescent="0.25">
      <c r="A1190">
        <v>20221028</v>
      </c>
      <c r="B1190" t="s">
        <v>770</v>
      </c>
      <c r="C1190" t="s">
        <v>232</v>
      </c>
      <c r="D1190" t="s">
        <v>187</v>
      </c>
      <c r="E1190" s="35">
        <v>0.89900000000000002</v>
      </c>
      <c r="F1190" s="35">
        <v>0.998</v>
      </c>
      <c r="G1190" s="35">
        <v>11500</v>
      </c>
    </row>
    <row r="1191" spans="1:7" x14ac:dyDescent="0.25">
      <c r="A1191">
        <v>20221028</v>
      </c>
      <c r="B1191" t="s">
        <v>770</v>
      </c>
      <c r="C1191" t="s">
        <v>232</v>
      </c>
      <c r="D1191" t="s">
        <v>214</v>
      </c>
      <c r="E1191" s="35">
        <v>0.89900000000000002</v>
      </c>
      <c r="F1191" s="35">
        <v>0.998</v>
      </c>
      <c r="G1191" s="35">
        <v>10700</v>
      </c>
    </row>
    <row r="1192" spans="1:7" x14ac:dyDescent="0.25">
      <c r="A1192">
        <v>20221028</v>
      </c>
      <c r="B1192" t="s">
        <v>770</v>
      </c>
      <c r="C1192" t="s">
        <v>232</v>
      </c>
      <c r="D1192" t="s">
        <v>233</v>
      </c>
      <c r="E1192" s="35">
        <v>0.89900000000000002</v>
      </c>
      <c r="F1192" s="35">
        <v>0.998</v>
      </c>
      <c r="G1192" s="35">
        <v>9200</v>
      </c>
    </row>
    <row r="1193" spans="1:7" x14ac:dyDescent="0.25">
      <c r="A1193">
        <v>20221028</v>
      </c>
      <c r="B1193" t="s">
        <v>770</v>
      </c>
      <c r="C1193" t="s">
        <v>232</v>
      </c>
      <c r="D1193" t="s">
        <v>242</v>
      </c>
      <c r="E1193" s="35">
        <v>0.89900000000000002</v>
      </c>
      <c r="F1193" s="35">
        <v>0.998</v>
      </c>
      <c r="G1193" s="35">
        <v>8000</v>
      </c>
    </row>
    <row r="1194" spans="1:7" x14ac:dyDescent="0.25">
      <c r="A1194">
        <v>20221028</v>
      </c>
      <c r="B1194" t="s">
        <v>770</v>
      </c>
      <c r="C1194" t="s">
        <v>232</v>
      </c>
      <c r="D1194" t="s">
        <v>250</v>
      </c>
      <c r="E1194" s="35">
        <v>0.89900000000000002</v>
      </c>
      <c r="F1194" s="35">
        <v>0.998</v>
      </c>
      <c r="G1194" s="35">
        <v>7200</v>
      </c>
    </row>
    <row r="1195" spans="1:7" x14ac:dyDescent="0.25">
      <c r="A1195">
        <v>20221028</v>
      </c>
      <c r="B1195" t="s">
        <v>770</v>
      </c>
      <c r="C1195" t="s">
        <v>232</v>
      </c>
      <c r="D1195" t="s">
        <v>258</v>
      </c>
      <c r="E1195" s="35">
        <v>0.89900000000000002</v>
      </c>
      <c r="F1195" s="35">
        <v>0.998</v>
      </c>
      <c r="G1195" s="35">
        <v>6200</v>
      </c>
    </row>
    <row r="1196" spans="1:7" x14ac:dyDescent="0.25">
      <c r="A1196">
        <v>20221028</v>
      </c>
      <c r="B1196" t="s">
        <v>770</v>
      </c>
      <c r="C1196" t="s">
        <v>232</v>
      </c>
      <c r="D1196" t="s">
        <v>265</v>
      </c>
      <c r="E1196" s="35">
        <v>0.89900000000000002</v>
      </c>
      <c r="F1196" s="35">
        <v>0.998</v>
      </c>
      <c r="G1196" s="35">
        <v>4900</v>
      </c>
    </row>
    <row r="1197" spans="1:7" x14ac:dyDescent="0.25">
      <c r="A1197">
        <v>20221028</v>
      </c>
      <c r="B1197" t="s">
        <v>770</v>
      </c>
      <c r="C1197" t="s">
        <v>232</v>
      </c>
      <c r="D1197" t="s">
        <v>273</v>
      </c>
      <c r="E1197" s="35">
        <v>0.89900000000000002</v>
      </c>
      <c r="F1197" s="35">
        <v>0.998</v>
      </c>
      <c r="G1197" s="35">
        <v>4200</v>
      </c>
    </row>
    <row r="1198" spans="1:7" x14ac:dyDescent="0.25">
      <c r="A1198">
        <v>20221028</v>
      </c>
      <c r="B1198" t="s">
        <v>770</v>
      </c>
      <c r="C1198" t="s">
        <v>232</v>
      </c>
      <c r="D1198" t="s">
        <v>279</v>
      </c>
      <c r="E1198" s="35">
        <v>0.89900000000000002</v>
      </c>
      <c r="F1198" s="35">
        <v>0.998</v>
      </c>
      <c r="G1198" s="35">
        <v>3600</v>
      </c>
    </row>
    <row r="1199" spans="1:7" x14ac:dyDescent="0.25">
      <c r="A1199">
        <v>20221028</v>
      </c>
      <c r="B1199" t="s">
        <v>770</v>
      </c>
      <c r="C1199" t="s">
        <v>232</v>
      </c>
      <c r="D1199" t="s">
        <v>285</v>
      </c>
      <c r="E1199" s="35">
        <v>0.89900000000000002</v>
      </c>
      <c r="F1199" s="35">
        <v>0.998</v>
      </c>
      <c r="G1199" s="35">
        <v>2100</v>
      </c>
    </row>
    <row r="1200" spans="1:7" x14ac:dyDescent="0.25">
      <c r="A1200">
        <v>20221028</v>
      </c>
      <c r="B1200" t="s">
        <v>770</v>
      </c>
      <c r="C1200" t="s">
        <v>232</v>
      </c>
      <c r="D1200" t="s">
        <v>289</v>
      </c>
      <c r="E1200" s="35">
        <v>0.89900000000000002</v>
      </c>
      <c r="F1200" s="35">
        <v>0.998</v>
      </c>
      <c r="G1200" s="35">
        <v>1300</v>
      </c>
    </row>
    <row r="1201" spans="1:7" x14ac:dyDescent="0.25">
      <c r="A1201">
        <v>20221028</v>
      </c>
      <c r="B1201" t="s">
        <v>770</v>
      </c>
      <c r="C1201" t="s">
        <v>215</v>
      </c>
      <c r="D1201" t="s">
        <v>187</v>
      </c>
      <c r="E1201" s="35">
        <v>0.89900000000000002</v>
      </c>
      <c r="F1201" s="35">
        <v>0.998</v>
      </c>
      <c r="G1201" s="35">
        <v>10100</v>
      </c>
    </row>
    <row r="1202" spans="1:7" x14ac:dyDescent="0.25">
      <c r="A1202">
        <v>20221028</v>
      </c>
      <c r="B1202" t="s">
        <v>770</v>
      </c>
      <c r="C1202" t="s">
        <v>215</v>
      </c>
      <c r="D1202" t="s">
        <v>214</v>
      </c>
      <c r="E1202" s="35">
        <v>0.89900000000000002</v>
      </c>
      <c r="F1202" s="35">
        <v>0.998</v>
      </c>
      <c r="G1202" s="35">
        <v>9100</v>
      </c>
    </row>
    <row r="1203" spans="1:7" x14ac:dyDescent="0.25">
      <c r="A1203">
        <v>20221028</v>
      </c>
      <c r="B1203" t="s">
        <v>770</v>
      </c>
      <c r="C1203" t="s">
        <v>215</v>
      </c>
      <c r="D1203" t="s">
        <v>233</v>
      </c>
      <c r="E1203" s="35">
        <v>0.89900000000000002</v>
      </c>
      <c r="F1203" s="35">
        <v>0.998</v>
      </c>
      <c r="G1203" s="35">
        <v>8200</v>
      </c>
    </row>
    <row r="1204" spans="1:7" x14ac:dyDescent="0.25">
      <c r="A1204">
        <v>20221028</v>
      </c>
      <c r="B1204" t="s">
        <v>770</v>
      </c>
      <c r="C1204" t="s">
        <v>215</v>
      </c>
      <c r="D1204" t="s">
        <v>242</v>
      </c>
      <c r="E1204" s="35">
        <v>0.89900000000000002</v>
      </c>
      <c r="F1204" s="35">
        <v>0.998</v>
      </c>
      <c r="G1204" s="35">
        <v>7500</v>
      </c>
    </row>
    <row r="1205" spans="1:7" x14ac:dyDescent="0.25">
      <c r="A1205">
        <v>20221028</v>
      </c>
      <c r="B1205" t="s">
        <v>770</v>
      </c>
      <c r="C1205" t="s">
        <v>215</v>
      </c>
      <c r="D1205" t="s">
        <v>250</v>
      </c>
      <c r="E1205" s="35">
        <v>0.89900000000000002</v>
      </c>
      <c r="F1205" s="35">
        <v>0.998</v>
      </c>
      <c r="G1205" s="35">
        <v>6800</v>
      </c>
    </row>
    <row r="1206" spans="1:7" x14ac:dyDescent="0.25">
      <c r="A1206">
        <v>20221028</v>
      </c>
      <c r="B1206" t="s">
        <v>770</v>
      </c>
      <c r="C1206" t="s">
        <v>215</v>
      </c>
      <c r="D1206" t="s">
        <v>258</v>
      </c>
      <c r="E1206" s="35">
        <v>0.89900000000000002</v>
      </c>
      <c r="F1206" s="35">
        <v>0.998</v>
      </c>
      <c r="G1206" s="35">
        <v>5700</v>
      </c>
    </row>
    <row r="1207" spans="1:7" x14ac:dyDescent="0.25">
      <c r="A1207">
        <v>20221028</v>
      </c>
      <c r="B1207" t="s">
        <v>770</v>
      </c>
      <c r="C1207" t="s">
        <v>215</v>
      </c>
      <c r="D1207" t="s">
        <v>265</v>
      </c>
      <c r="E1207" s="35">
        <v>0.89900000000000002</v>
      </c>
      <c r="F1207" s="35">
        <v>0.998</v>
      </c>
      <c r="G1207" s="35">
        <v>4600</v>
      </c>
    </row>
    <row r="1208" spans="1:7" x14ac:dyDescent="0.25">
      <c r="A1208">
        <v>20221028</v>
      </c>
      <c r="B1208" t="s">
        <v>770</v>
      </c>
      <c r="C1208" t="s">
        <v>215</v>
      </c>
      <c r="D1208" t="s">
        <v>273</v>
      </c>
      <c r="E1208" s="35">
        <v>0.89900000000000002</v>
      </c>
      <c r="F1208" s="35">
        <v>0.998</v>
      </c>
      <c r="G1208" s="35">
        <v>4000</v>
      </c>
    </row>
    <row r="1209" spans="1:7" x14ac:dyDescent="0.25">
      <c r="A1209">
        <v>20221028</v>
      </c>
      <c r="B1209" t="s">
        <v>770</v>
      </c>
      <c r="C1209" t="s">
        <v>215</v>
      </c>
      <c r="D1209" t="s">
        <v>279</v>
      </c>
      <c r="E1209" s="35">
        <v>0.89900000000000002</v>
      </c>
      <c r="F1209" s="35">
        <v>0.998</v>
      </c>
      <c r="G1209" s="35">
        <v>3500</v>
      </c>
    </row>
    <row r="1210" spans="1:7" x14ac:dyDescent="0.25">
      <c r="A1210">
        <v>20221028</v>
      </c>
      <c r="B1210" t="s">
        <v>770</v>
      </c>
      <c r="C1210" t="s">
        <v>215</v>
      </c>
      <c r="D1210" t="s">
        <v>285</v>
      </c>
      <c r="E1210" s="35">
        <v>0.89900000000000002</v>
      </c>
      <c r="F1210" s="35">
        <v>0.998</v>
      </c>
      <c r="G1210" s="35">
        <v>2000</v>
      </c>
    </row>
    <row r="1211" spans="1:7" x14ac:dyDescent="0.25">
      <c r="A1211">
        <v>20221028</v>
      </c>
      <c r="B1211" t="s">
        <v>770</v>
      </c>
      <c r="C1211" t="s">
        <v>215</v>
      </c>
      <c r="D1211" t="s">
        <v>289</v>
      </c>
      <c r="E1211" s="35">
        <v>0.89900000000000002</v>
      </c>
      <c r="F1211" s="35">
        <v>0.998</v>
      </c>
      <c r="G1211" s="35">
        <v>1200</v>
      </c>
    </row>
    <row r="1212" spans="1:7" x14ac:dyDescent="0.25">
      <c r="A1212">
        <v>20221028</v>
      </c>
      <c r="B1212" t="s">
        <v>770</v>
      </c>
      <c r="C1212" t="s">
        <v>249</v>
      </c>
      <c r="D1212" t="s">
        <v>187</v>
      </c>
      <c r="E1212" s="35">
        <v>0.89900000000000002</v>
      </c>
      <c r="F1212" s="35">
        <v>0.998</v>
      </c>
      <c r="G1212" s="35">
        <v>8400</v>
      </c>
    </row>
    <row r="1213" spans="1:7" x14ac:dyDescent="0.25">
      <c r="A1213">
        <v>20221028</v>
      </c>
      <c r="B1213" t="s">
        <v>770</v>
      </c>
      <c r="C1213" t="s">
        <v>249</v>
      </c>
      <c r="D1213" t="s">
        <v>214</v>
      </c>
      <c r="E1213" s="35">
        <v>0.89900000000000002</v>
      </c>
      <c r="F1213" s="35">
        <v>0.998</v>
      </c>
      <c r="G1213" s="35">
        <v>7700</v>
      </c>
    </row>
    <row r="1214" spans="1:7" x14ac:dyDescent="0.25">
      <c r="A1214">
        <v>20221028</v>
      </c>
      <c r="B1214" t="s">
        <v>770</v>
      </c>
      <c r="C1214" t="s">
        <v>249</v>
      </c>
      <c r="D1214" t="s">
        <v>233</v>
      </c>
      <c r="E1214" s="35">
        <v>0.89900000000000002</v>
      </c>
      <c r="F1214" s="35">
        <v>0.998</v>
      </c>
      <c r="G1214" s="35">
        <v>7200</v>
      </c>
    </row>
    <row r="1215" spans="1:7" x14ac:dyDescent="0.25">
      <c r="A1215">
        <v>20221028</v>
      </c>
      <c r="B1215" t="s">
        <v>770</v>
      </c>
      <c r="C1215" t="s">
        <v>249</v>
      </c>
      <c r="D1215" t="s">
        <v>242</v>
      </c>
      <c r="E1215" s="35">
        <v>0.89900000000000002</v>
      </c>
      <c r="F1215" s="35">
        <v>0.998</v>
      </c>
      <c r="G1215" s="35">
        <v>6800</v>
      </c>
    </row>
    <row r="1216" spans="1:7" x14ac:dyDescent="0.25">
      <c r="A1216">
        <v>20221028</v>
      </c>
      <c r="B1216" t="s">
        <v>770</v>
      </c>
      <c r="C1216" t="s">
        <v>249</v>
      </c>
      <c r="D1216" t="s">
        <v>250</v>
      </c>
      <c r="E1216" s="35">
        <v>0.89900000000000002</v>
      </c>
      <c r="F1216" s="35">
        <v>0.998</v>
      </c>
      <c r="G1216" s="35">
        <v>6400</v>
      </c>
    </row>
    <row r="1217" spans="1:7" x14ac:dyDescent="0.25">
      <c r="A1217">
        <v>20221028</v>
      </c>
      <c r="B1217" t="s">
        <v>770</v>
      </c>
      <c r="C1217" t="s">
        <v>249</v>
      </c>
      <c r="D1217" t="s">
        <v>258</v>
      </c>
      <c r="E1217" s="35">
        <v>0.89900000000000002</v>
      </c>
      <c r="F1217" s="35">
        <v>0.998</v>
      </c>
      <c r="G1217" s="35">
        <v>5300</v>
      </c>
    </row>
    <row r="1218" spans="1:7" x14ac:dyDescent="0.25">
      <c r="A1218">
        <v>20221028</v>
      </c>
      <c r="B1218" t="s">
        <v>770</v>
      </c>
      <c r="C1218" t="s">
        <v>249</v>
      </c>
      <c r="D1218" t="s">
        <v>265</v>
      </c>
      <c r="E1218" s="35">
        <v>0.89900000000000002</v>
      </c>
      <c r="F1218" s="35">
        <v>0.998</v>
      </c>
      <c r="G1218" s="35">
        <v>4300</v>
      </c>
    </row>
    <row r="1219" spans="1:7" x14ac:dyDescent="0.25">
      <c r="A1219">
        <v>20221028</v>
      </c>
      <c r="B1219" t="s">
        <v>770</v>
      </c>
      <c r="C1219" t="s">
        <v>249</v>
      </c>
      <c r="D1219" t="s">
        <v>273</v>
      </c>
      <c r="E1219" s="35">
        <v>0.89900000000000002</v>
      </c>
      <c r="F1219" s="35">
        <v>0.998</v>
      </c>
      <c r="G1219" s="35">
        <v>3700</v>
      </c>
    </row>
    <row r="1220" spans="1:7" x14ac:dyDescent="0.25">
      <c r="A1220">
        <v>20221028</v>
      </c>
      <c r="B1220" t="s">
        <v>770</v>
      </c>
      <c r="C1220" t="s">
        <v>249</v>
      </c>
      <c r="D1220" t="s">
        <v>279</v>
      </c>
      <c r="E1220" s="35">
        <v>0.89900000000000002</v>
      </c>
      <c r="F1220" s="35">
        <v>0.998</v>
      </c>
      <c r="G1220" s="35">
        <v>3300</v>
      </c>
    </row>
    <row r="1221" spans="1:7" x14ac:dyDescent="0.25">
      <c r="A1221">
        <v>20221028</v>
      </c>
      <c r="B1221" t="s">
        <v>770</v>
      </c>
      <c r="C1221" t="s">
        <v>249</v>
      </c>
      <c r="D1221" t="s">
        <v>285</v>
      </c>
      <c r="E1221" s="35">
        <v>0.89900000000000002</v>
      </c>
      <c r="F1221" s="35">
        <v>0.998</v>
      </c>
      <c r="G1221" s="35">
        <v>1900</v>
      </c>
    </row>
    <row r="1222" spans="1:7" x14ac:dyDescent="0.25">
      <c r="A1222">
        <v>20221028</v>
      </c>
      <c r="B1222" t="s">
        <v>770</v>
      </c>
      <c r="C1222" t="s">
        <v>249</v>
      </c>
      <c r="D1222" t="s">
        <v>289</v>
      </c>
      <c r="E1222" s="35">
        <v>0.89900000000000002</v>
      </c>
      <c r="F1222" s="35">
        <v>0.998</v>
      </c>
      <c r="G1222" s="35">
        <v>1200</v>
      </c>
    </row>
    <row r="1223" spans="1:7" x14ac:dyDescent="0.25">
      <c r="A1223">
        <v>20221028</v>
      </c>
      <c r="B1223" t="s">
        <v>770</v>
      </c>
      <c r="C1223" t="s">
        <v>257</v>
      </c>
      <c r="D1223" t="s">
        <v>187</v>
      </c>
      <c r="E1223" s="35">
        <v>0.89900000000000002</v>
      </c>
      <c r="F1223" s="35">
        <v>0.998</v>
      </c>
      <c r="G1223" s="35">
        <v>7000</v>
      </c>
    </row>
    <row r="1224" spans="1:7" x14ac:dyDescent="0.25">
      <c r="A1224">
        <v>20221028</v>
      </c>
      <c r="B1224" t="s">
        <v>770</v>
      </c>
      <c r="C1224" t="s">
        <v>257</v>
      </c>
      <c r="D1224" t="s">
        <v>214</v>
      </c>
      <c r="E1224" s="35">
        <v>0.89900000000000002</v>
      </c>
      <c r="F1224" s="35">
        <v>0.998</v>
      </c>
      <c r="G1224" s="35">
        <v>6600</v>
      </c>
    </row>
    <row r="1225" spans="1:7" x14ac:dyDescent="0.25">
      <c r="A1225">
        <v>20221028</v>
      </c>
      <c r="B1225" t="s">
        <v>770</v>
      </c>
      <c r="C1225" t="s">
        <v>257</v>
      </c>
      <c r="D1225" t="s">
        <v>233</v>
      </c>
      <c r="E1225" s="35">
        <v>0.89900000000000002</v>
      </c>
      <c r="F1225" s="35">
        <v>0.998</v>
      </c>
      <c r="G1225" s="35">
        <v>6200</v>
      </c>
    </row>
    <row r="1226" spans="1:7" x14ac:dyDescent="0.25">
      <c r="A1226">
        <v>20221028</v>
      </c>
      <c r="B1226" t="s">
        <v>770</v>
      </c>
      <c r="C1226" t="s">
        <v>257</v>
      </c>
      <c r="D1226" t="s">
        <v>242</v>
      </c>
      <c r="E1226" s="35">
        <v>0.89900000000000002</v>
      </c>
      <c r="F1226" s="35">
        <v>0.998</v>
      </c>
      <c r="G1226" s="35">
        <v>5900</v>
      </c>
    </row>
    <row r="1227" spans="1:7" x14ac:dyDescent="0.25">
      <c r="A1227">
        <v>20221028</v>
      </c>
      <c r="B1227" t="s">
        <v>770</v>
      </c>
      <c r="C1227" t="s">
        <v>257</v>
      </c>
      <c r="D1227" t="s">
        <v>250</v>
      </c>
      <c r="E1227" s="35">
        <v>0.89900000000000002</v>
      </c>
      <c r="F1227" s="35">
        <v>0.998</v>
      </c>
      <c r="G1227" s="35">
        <v>5600</v>
      </c>
    </row>
    <row r="1228" spans="1:7" x14ac:dyDescent="0.25">
      <c r="A1228">
        <v>20221028</v>
      </c>
      <c r="B1228" t="s">
        <v>770</v>
      </c>
      <c r="C1228" t="s">
        <v>257</v>
      </c>
      <c r="D1228" t="s">
        <v>258</v>
      </c>
      <c r="E1228" s="35">
        <v>0.89900000000000002</v>
      </c>
      <c r="F1228" s="35">
        <v>0.998</v>
      </c>
      <c r="G1228" s="35">
        <v>4800</v>
      </c>
    </row>
    <row r="1229" spans="1:7" x14ac:dyDescent="0.25">
      <c r="A1229">
        <v>20221028</v>
      </c>
      <c r="B1229" t="s">
        <v>770</v>
      </c>
      <c r="C1229" t="s">
        <v>257</v>
      </c>
      <c r="D1229" t="s">
        <v>265</v>
      </c>
      <c r="E1229" s="35">
        <v>0.89900000000000002</v>
      </c>
      <c r="F1229" s="35">
        <v>0.998</v>
      </c>
      <c r="G1229" s="35">
        <v>4000</v>
      </c>
    </row>
    <row r="1230" spans="1:7" x14ac:dyDescent="0.25">
      <c r="A1230">
        <v>20221028</v>
      </c>
      <c r="B1230" t="s">
        <v>770</v>
      </c>
      <c r="C1230" t="s">
        <v>257</v>
      </c>
      <c r="D1230" t="s">
        <v>273</v>
      </c>
      <c r="E1230" s="35">
        <v>0.89900000000000002</v>
      </c>
      <c r="F1230" s="35">
        <v>0.998</v>
      </c>
      <c r="G1230" s="35">
        <v>3500</v>
      </c>
    </row>
    <row r="1231" spans="1:7" x14ac:dyDescent="0.25">
      <c r="A1231">
        <v>20221028</v>
      </c>
      <c r="B1231" t="s">
        <v>770</v>
      </c>
      <c r="C1231" t="s">
        <v>257</v>
      </c>
      <c r="D1231" t="s">
        <v>279</v>
      </c>
      <c r="E1231" s="35">
        <v>0.89900000000000002</v>
      </c>
      <c r="F1231" s="35">
        <v>0.998</v>
      </c>
      <c r="G1231" s="35">
        <v>3000</v>
      </c>
    </row>
    <row r="1232" spans="1:7" x14ac:dyDescent="0.25">
      <c r="A1232">
        <v>20221028</v>
      </c>
      <c r="B1232" t="s">
        <v>770</v>
      </c>
      <c r="C1232" t="s">
        <v>257</v>
      </c>
      <c r="D1232" t="s">
        <v>285</v>
      </c>
      <c r="E1232" s="35">
        <v>0.89900000000000002</v>
      </c>
      <c r="F1232" s="35">
        <v>0.998</v>
      </c>
      <c r="G1232" s="35">
        <v>1800</v>
      </c>
    </row>
    <row r="1233" spans="1:7" x14ac:dyDescent="0.25">
      <c r="A1233">
        <v>20221028</v>
      </c>
      <c r="B1233" t="s">
        <v>770</v>
      </c>
      <c r="C1233" t="s">
        <v>257</v>
      </c>
      <c r="D1233" t="s">
        <v>289</v>
      </c>
      <c r="E1233" s="35">
        <v>0.89900000000000002</v>
      </c>
      <c r="F1233" s="35">
        <v>0.998</v>
      </c>
      <c r="G1233" s="35">
        <v>1100</v>
      </c>
    </row>
    <row r="1234" spans="1:7" x14ac:dyDescent="0.25">
      <c r="A1234">
        <v>20221028</v>
      </c>
      <c r="B1234" t="s">
        <v>770</v>
      </c>
      <c r="C1234" t="s">
        <v>264</v>
      </c>
      <c r="D1234" t="s">
        <v>187</v>
      </c>
      <c r="E1234" s="35">
        <v>0.89900000000000002</v>
      </c>
      <c r="F1234" s="35">
        <v>0.998</v>
      </c>
      <c r="G1234" s="35">
        <v>5900</v>
      </c>
    </row>
    <row r="1235" spans="1:7" x14ac:dyDescent="0.25">
      <c r="A1235">
        <v>20221028</v>
      </c>
      <c r="B1235" t="s">
        <v>770</v>
      </c>
      <c r="C1235" t="s">
        <v>264</v>
      </c>
      <c r="D1235" t="s">
        <v>214</v>
      </c>
      <c r="E1235" s="35">
        <v>0.89900000000000002</v>
      </c>
      <c r="F1235" s="35">
        <v>0.998</v>
      </c>
      <c r="G1235" s="35">
        <v>5600</v>
      </c>
    </row>
    <row r="1236" spans="1:7" x14ac:dyDescent="0.25">
      <c r="A1236">
        <v>20221028</v>
      </c>
      <c r="B1236" t="s">
        <v>770</v>
      </c>
      <c r="C1236" t="s">
        <v>264</v>
      </c>
      <c r="D1236" t="s">
        <v>233</v>
      </c>
      <c r="E1236" s="35">
        <v>0.89900000000000002</v>
      </c>
      <c r="F1236" s="35">
        <v>0.998</v>
      </c>
      <c r="G1236" s="35">
        <v>5300</v>
      </c>
    </row>
    <row r="1237" spans="1:7" x14ac:dyDescent="0.25">
      <c r="A1237">
        <v>20221028</v>
      </c>
      <c r="B1237" t="s">
        <v>770</v>
      </c>
      <c r="C1237" t="s">
        <v>264</v>
      </c>
      <c r="D1237" t="s">
        <v>242</v>
      </c>
      <c r="E1237" s="35">
        <v>0.89900000000000002</v>
      </c>
      <c r="F1237" s="35">
        <v>0.998</v>
      </c>
      <c r="G1237" s="35">
        <v>5000</v>
      </c>
    </row>
    <row r="1238" spans="1:7" x14ac:dyDescent="0.25">
      <c r="A1238">
        <v>20221028</v>
      </c>
      <c r="B1238" t="s">
        <v>770</v>
      </c>
      <c r="C1238" t="s">
        <v>264</v>
      </c>
      <c r="D1238" t="s">
        <v>250</v>
      </c>
      <c r="E1238" s="35">
        <v>0.89900000000000002</v>
      </c>
      <c r="F1238" s="35">
        <v>0.998</v>
      </c>
      <c r="G1238" s="35">
        <v>4700</v>
      </c>
    </row>
    <row r="1239" spans="1:7" x14ac:dyDescent="0.25">
      <c r="A1239">
        <v>20221028</v>
      </c>
      <c r="B1239" t="s">
        <v>770</v>
      </c>
      <c r="C1239" t="s">
        <v>264</v>
      </c>
      <c r="D1239" t="s">
        <v>258</v>
      </c>
      <c r="E1239" s="35">
        <v>0.89900000000000002</v>
      </c>
      <c r="F1239" s="35">
        <v>0.998</v>
      </c>
      <c r="G1239" s="35">
        <v>4200</v>
      </c>
    </row>
    <row r="1240" spans="1:7" x14ac:dyDescent="0.25">
      <c r="A1240">
        <v>20221028</v>
      </c>
      <c r="B1240" t="s">
        <v>770</v>
      </c>
      <c r="C1240" t="s">
        <v>264</v>
      </c>
      <c r="D1240" t="s">
        <v>265</v>
      </c>
      <c r="E1240" s="35">
        <v>0.89900000000000002</v>
      </c>
      <c r="F1240" s="35">
        <v>0.998</v>
      </c>
      <c r="G1240" s="35">
        <v>3500</v>
      </c>
    </row>
    <row r="1241" spans="1:7" x14ac:dyDescent="0.25">
      <c r="A1241">
        <v>20221028</v>
      </c>
      <c r="B1241" t="s">
        <v>770</v>
      </c>
      <c r="C1241" t="s">
        <v>264</v>
      </c>
      <c r="D1241" t="s">
        <v>273</v>
      </c>
      <c r="E1241" s="35">
        <v>0.89900000000000002</v>
      </c>
      <c r="F1241" s="35">
        <v>0.998</v>
      </c>
      <c r="G1241" s="35">
        <v>3000</v>
      </c>
    </row>
    <row r="1242" spans="1:7" x14ac:dyDescent="0.25">
      <c r="A1242">
        <v>20221028</v>
      </c>
      <c r="B1242" t="s">
        <v>770</v>
      </c>
      <c r="C1242" t="s">
        <v>264</v>
      </c>
      <c r="D1242" t="s">
        <v>279</v>
      </c>
      <c r="E1242" s="35">
        <v>0.89900000000000002</v>
      </c>
      <c r="F1242" s="35">
        <v>0.998</v>
      </c>
      <c r="G1242" s="35">
        <v>2600</v>
      </c>
    </row>
    <row r="1243" spans="1:7" x14ac:dyDescent="0.25">
      <c r="A1243">
        <v>20221028</v>
      </c>
      <c r="B1243" t="s">
        <v>770</v>
      </c>
      <c r="C1243" t="s">
        <v>264</v>
      </c>
      <c r="D1243" t="s">
        <v>285</v>
      </c>
      <c r="E1243" s="35">
        <v>0.89900000000000002</v>
      </c>
      <c r="F1243" s="35">
        <v>0.998</v>
      </c>
      <c r="G1243" s="35">
        <v>1700</v>
      </c>
    </row>
    <row r="1244" spans="1:7" x14ac:dyDescent="0.25">
      <c r="A1244">
        <v>20221028</v>
      </c>
      <c r="B1244" t="s">
        <v>770</v>
      </c>
      <c r="C1244" t="s">
        <v>264</v>
      </c>
      <c r="D1244" t="s">
        <v>289</v>
      </c>
      <c r="E1244" s="35">
        <v>0.89900000000000002</v>
      </c>
      <c r="F1244" s="35">
        <v>0.998</v>
      </c>
      <c r="G1244" s="35">
        <v>1000</v>
      </c>
    </row>
    <row r="1245" spans="1:7" x14ac:dyDescent="0.25">
      <c r="A1245">
        <v>20221028</v>
      </c>
      <c r="B1245" t="s">
        <v>770</v>
      </c>
      <c r="C1245" t="s">
        <v>272</v>
      </c>
      <c r="D1245" t="s">
        <v>187</v>
      </c>
      <c r="E1245" s="35">
        <v>0.89900000000000002</v>
      </c>
      <c r="F1245" s="35">
        <v>0.998</v>
      </c>
      <c r="G1245" s="35">
        <v>4900</v>
      </c>
    </row>
    <row r="1246" spans="1:7" x14ac:dyDescent="0.25">
      <c r="A1246">
        <v>20221028</v>
      </c>
      <c r="B1246" t="s">
        <v>770</v>
      </c>
      <c r="C1246" t="s">
        <v>272</v>
      </c>
      <c r="D1246" t="s">
        <v>214</v>
      </c>
      <c r="E1246" s="35">
        <v>0.89900000000000002</v>
      </c>
      <c r="F1246" s="35">
        <v>0.998</v>
      </c>
      <c r="G1246" s="35">
        <v>4700</v>
      </c>
    </row>
    <row r="1247" spans="1:7" x14ac:dyDescent="0.25">
      <c r="A1247">
        <v>20221028</v>
      </c>
      <c r="B1247" t="s">
        <v>770</v>
      </c>
      <c r="C1247" t="s">
        <v>272</v>
      </c>
      <c r="D1247" t="s">
        <v>233</v>
      </c>
      <c r="E1247" s="35">
        <v>0.89900000000000002</v>
      </c>
      <c r="F1247" s="35">
        <v>0.998</v>
      </c>
      <c r="G1247" s="35">
        <v>4400</v>
      </c>
    </row>
    <row r="1248" spans="1:7" x14ac:dyDescent="0.25">
      <c r="A1248">
        <v>20221028</v>
      </c>
      <c r="B1248" t="s">
        <v>770</v>
      </c>
      <c r="C1248" t="s">
        <v>272</v>
      </c>
      <c r="D1248" t="s">
        <v>242</v>
      </c>
      <c r="E1248" s="35">
        <v>0.89900000000000002</v>
      </c>
      <c r="F1248" s="35">
        <v>0.998</v>
      </c>
      <c r="G1248" s="35">
        <v>4100</v>
      </c>
    </row>
    <row r="1249" spans="1:7" x14ac:dyDescent="0.25">
      <c r="A1249">
        <v>20221028</v>
      </c>
      <c r="B1249" t="s">
        <v>770</v>
      </c>
      <c r="C1249" t="s">
        <v>272</v>
      </c>
      <c r="D1249" t="s">
        <v>250</v>
      </c>
      <c r="E1249" s="35">
        <v>0.89900000000000002</v>
      </c>
      <c r="F1249" s="35">
        <v>0.998</v>
      </c>
      <c r="G1249" s="35">
        <v>3900</v>
      </c>
    </row>
    <row r="1250" spans="1:7" x14ac:dyDescent="0.25">
      <c r="A1250">
        <v>20221028</v>
      </c>
      <c r="B1250" t="s">
        <v>770</v>
      </c>
      <c r="C1250" t="s">
        <v>272</v>
      </c>
      <c r="D1250" t="s">
        <v>258</v>
      </c>
      <c r="E1250" s="35">
        <v>0.89900000000000002</v>
      </c>
      <c r="F1250" s="35">
        <v>0.998</v>
      </c>
      <c r="G1250" s="35">
        <v>3500</v>
      </c>
    </row>
    <row r="1251" spans="1:7" x14ac:dyDescent="0.25">
      <c r="A1251">
        <v>20221028</v>
      </c>
      <c r="B1251" t="s">
        <v>770</v>
      </c>
      <c r="C1251" t="s">
        <v>272</v>
      </c>
      <c r="D1251" t="s">
        <v>265</v>
      </c>
      <c r="E1251" s="35">
        <v>0.89900000000000002</v>
      </c>
      <c r="F1251" s="35">
        <v>0.998</v>
      </c>
      <c r="G1251" s="35">
        <v>3000</v>
      </c>
    </row>
    <row r="1252" spans="1:7" x14ac:dyDescent="0.25">
      <c r="A1252">
        <v>20221028</v>
      </c>
      <c r="B1252" t="s">
        <v>770</v>
      </c>
      <c r="C1252" t="s">
        <v>272</v>
      </c>
      <c r="D1252" t="s">
        <v>273</v>
      </c>
      <c r="E1252" s="35">
        <v>0.89900000000000002</v>
      </c>
      <c r="F1252" s="35">
        <v>0.998</v>
      </c>
      <c r="G1252" s="35">
        <v>2600</v>
      </c>
    </row>
    <row r="1253" spans="1:7" x14ac:dyDescent="0.25">
      <c r="A1253">
        <v>20221028</v>
      </c>
      <c r="B1253" t="s">
        <v>770</v>
      </c>
      <c r="C1253" t="s">
        <v>272</v>
      </c>
      <c r="D1253" t="s">
        <v>279</v>
      </c>
      <c r="E1253" s="35">
        <v>0.89900000000000002</v>
      </c>
      <c r="F1253" s="35">
        <v>0.998</v>
      </c>
      <c r="G1253" s="35">
        <v>2300</v>
      </c>
    </row>
    <row r="1254" spans="1:7" x14ac:dyDescent="0.25">
      <c r="A1254">
        <v>20221028</v>
      </c>
      <c r="B1254" t="s">
        <v>770</v>
      </c>
      <c r="C1254" t="s">
        <v>272</v>
      </c>
      <c r="D1254" t="s">
        <v>285</v>
      </c>
      <c r="E1254" s="35">
        <v>0.89900000000000002</v>
      </c>
      <c r="F1254" s="35">
        <v>0.998</v>
      </c>
      <c r="G1254" s="35">
        <v>1500</v>
      </c>
    </row>
    <row r="1255" spans="1:7" x14ac:dyDescent="0.25">
      <c r="A1255">
        <v>20221028</v>
      </c>
      <c r="B1255" t="s">
        <v>770</v>
      </c>
      <c r="C1255" t="s">
        <v>272</v>
      </c>
      <c r="D1255" t="s">
        <v>289</v>
      </c>
      <c r="E1255" s="35">
        <v>0.89900000000000002</v>
      </c>
      <c r="F1255" s="35">
        <v>0.998</v>
      </c>
      <c r="G1255" s="35">
        <v>900</v>
      </c>
    </row>
    <row r="1256" spans="1:7" x14ac:dyDescent="0.25">
      <c r="A1256">
        <v>20221028</v>
      </c>
      <c r="B1256" t="s">
        <v>770</v>
      </c>
      <c r="C1256" t="s">
        <v>278</v>
      </c>
      <c r="D1256" t="s">
        <v>187</v>
      </c>
      <c r="E1256" s="35">
        <v>0.89900000000000002</v>
      </c>
      <c r="F1256" s="35">
        <v>0.998</v>
      </c>
      <c r="G1256" s="35">
        <v>4200</v>
      </c>
    </row>
    <row r="1257" spans="1:7" x14ac:dyDescent="0.25">
      <c r="A1257">
        <v>20221028</v>
      </c>
      <c r="B1257" t="s">
        <v>770</v>
      </c>
      <c r="C1257" t="s">
        <v>278</v>
      </c>
      <c r="D1257" t="s">
        <v>214</v>
      </c>
      <c r="E1257" s="35">
        <v>0.89900000000000002</v>
      </c>
      <c r="F1257" s="35">
        <v>0.998</v>
      </c>
      <c r="G1257" s="35">
        <v>4000</v>
      </c>
    </row>
    <row r="1258" spans="1:7" x14ac:dyDescent="0.25">
      <c r="A1258">
        <v>20221028</v>
      </c>
      <c r="B1258" t="s">
        <v>770</v>
      </c>
      <c r="C1258" t="s">
        <v>278</v>
      </c>
      <c r="D1258" t="s">
        <v>233</v>
      </c>
      <c r="E1258" s="35">
        <v>0.89900000000000002</v>
      </c>
      <c r="F1258" s="35">
        <v>0.998</v>
      </c>
      <c r="G1258" s="35">
        <v>3800</v>
      </c>
    </row>
    <row r="1259" spans="1:7" x14ac:dyDescent="0.25">
      <c r="A1259">
        <v>20221028</v>
      </c>
      <c r="B1259" t="s">
        <v>770</v>
      </c>
      <c r="C1259" t="s">
        <v>278</v>
      </c>
      <c r="D1259" t="s">
        <v>242</v>
      </c>
      <c r="E1259" s="35">
        <v>0.89900000000000002</v>
      </c>
      <c r="F1259" s="35">
        <v>0.998</v>
      </c>
      <c r="G1259" s="35">
        <v>3500</v>
      </c>
    </row>
    <row r="1260" spans="1:7" x14ac:dyDescent="0.25">
      <c r="A1260">
        <v>20221028</v>
      </c>
      <c r="B1260" t="s">
        <v>770</v>
      </c>
      <c r="C1260" t="s">
        <v>278</v>
      </c>
      <c r="D1260" t="s">
        <v>250</v>
      </c>
      <c r="E1260" s="35">
        <v>0.89900000000000002</v>
      </c>
      <c r="F1260" s="35">
        <v>0.998</v>
      </c>
      <c r="G1260" s="35">
        <v>3300</v>
      </c>
    </row>
    <row r="1261" spans="1:7" x14ac:dyDescent="0.25">
      <c r="A1261">
        <v>20221028</v>
      </c>
      <c r="B1261" t="s">
        <v>770</v>
      </c>
      <c r="C1261" t="s">
        <v>278</v>
      </c>
      <c r="D1261" t="s">
        <v>258</v>
      </c>
      <c r="E1261" s="35">
        <v>0.89900000000000002</v>
      </c>
      <c r="F1261" s="35">
        <v>0.998</v>
      </c>
      <c r="G1261" s="35">
        <v>3000</v>
      </c>
    </row>
    <row r="1262" spans="1:7" x14ac:dyDescent="0.25">
      <c r="A1262">
        <v>20221028</v>
      </c>
      <c r="B1262" t="s">
        <v>770</v>
      </c>
      <c r="C1262" t="s">
        <v>278</v>
      </c>
      <c r="D1262" t="s">
        <v>265</v>
      </c>
      <c r="E1262" s="35">
        <v>0.89900000000000002</v>
      </c>
      <c r="F1262" s="35">
        <v>0.998</v>
      </c>
      <c r="G1262" s="35">
        <v>2600</v>
      </c>
    </row>
    <row r="1263" spans="1:7" x14ac:dyDescent="0.25">
      <c r="A1263">
        <v>20221028</v>
      </c>
      <c r="B1263" t="s">
        <v>770</v>
      </c>
      <c r="C1263" t="s">
        <v>278</v>
      </c>
      <c r="D1263" t="s">
        <v>273</v>
      </c>
      <c r="E1263" s="35">
        <v>0.89900000000000002</v>
      </c>
      <c r="F1263" s="35">
        <v>0.998</v>
      </c>
      <c r="G1263" s="35">
        <v>2300</v>
      </c>
    </row>
    <row r="1264" spans="1:7" x14ac:dyDescent="0.25">
      <c r="A1264">
        <v>20221028</v>
      </c>
      <c r="B1264" t="s">
        <v>770</v>
      </c>
      <c r="C1264" t="s">
        <v>278</v>
      </c>
      <c r="D1264" t="s">
        <v>279</v>
      </c>
      <c r="E1264" s="35">
        <v>0.89900000000000002</v>
      </c>
      <c r="F1264" s="35">
        <v>0.998</v>
      </c>
      <c r="G1264" s="35">
        <v>2000</v>
      </c>
    </row>
    <row r="1265" spans="1:7" x14ac:dyDescent="0.25">
      <c r="A1265">
        <v>20221028</v>
      </c>
      <c r="B1265" t="s">
        <v>770</v>
      </c>
      <c r="C1265" t="s">
        <v>278</v>
      </c>
      <c r="D1265" t="s">
        <v>285</v>
      </c>
      <c r="E1265" s="35">
        <v>0.89900000000000002</v>
      </c>
      <c r="F1265" s="35">
        <v>0.998</v>
      </c>
      <c r="G1265" s="35">
        <v>1300</v>
      </c>
    </row>
    <row r="1266" spans="1:7" x14ac:dyDescent="0.25">
      <c r="A1266">
        <v>20221028</v>
      </c>
      <c r="B1266" t="s">
        <v>770</v>
      </c>
      <c r="C1266" t="s">
        <v>278</v>
      </c>
      <c r="D1266" t="s">
        <v>289</v>
      </c>
      <c r="E1266" s="35">
        <v>0.89900000000000002</v>
      </c>
      <c r="F1266" s="35">
        <v>0.998</v>
      </c>
      <c r="G1266" s="35">
        <v>800</v>
      </c>
    </row>
    <row r="1267" spans="1:7" x14ac:dyDescent="0.25">
      <c r="A1267">
        <v>20221028</v>
      </c>
      <c r="B1267" t="s">
        <v>770</v>
      </c>
      <c r="C1267" t="s">
        <v>284</v>
      </c>
      <c r="D1267" t="s">
        <v>187</v>
      </c>
      <c r="E1267" s="35">
        <v>0.89900000000000002</v>
      </c>
      <c r="F1267" s="35">
        <v>0.998</v>
      </c>
      <c r="G1267" s="35">
        <v>3700</v>
      </c>
    </row>
    <row r="1268" spans="1:7" x14ac:dyDescent="0.25">
      <c r="A1268">
        <v>20221028</v>
      </c>
      <c r="B1268" t="s">
        <v>770</v>
      </c>
      <c r="C1268" t="s">
        <v>284</v>
      </c>
      <c r="D1268" t="s">
        <v>214</v>
      </c>
      <c r="E1268" s="35">
        <v>0.89900000000000002</v>
      </c>
      <c r="F1268" s="35">
        <v>0.998</v>
      </c>
      <c r="G1268" s="35">
        <v>3500</v>
      </c>
    </row>
    <row r="1269" spans="1:7" x14ac:dyDescent="0.25">
      <c r="A1269">
        <v>20221028</v>
      </c>
      <c r="B1269" t="s">
        <v>770</v>
      </c>
      <c r="C1269" t="s">
        <v>284</v>
      </c>
      <c r="D1269" t="s">
        <v>233</v>
      </c>
      <c r="E1269" s="35">
        <v>0.89900000000000002</v>
      </c>
      <c r="F1269" s="35">
        <v>0.998</v>
      </c>
      <c r="G1269" s="35">
        <v>3300</v>
      </c>
    </row>
    <row r="1270" spans="1:7" x14ac:dyDescent="0.25">
      <c r="A1270">
        <v>20221028</v>
      </c>
      <c r="B1270" t="s">
        <v>770</v>
      </c>
      <c r="C1270" t="s">
        <v>284</v>
      </c>
      <c r="D1270" t="s">
        <v>242</v>
      </c>
      <c r="E1270" s="35">
        <v>0.89900000000000002</v>
      </c>
      <c r="F1270" s="35">
        <v>0.998</v>
      </c>
      <c r="G1270" s="35">
        <v>3100</v>
      </c>
    </row>
    <row r="1271" spans="1:7" x14ac:dyDescent="0.25">
      <c r="A1271">
        <v>20221028</v>
      </c>
      <c r="B1271" t="s">
        <v>770</v>
      </c>
      <c r="C1271" t="s">
        <v>284</v>
      </c>
      <c r="D1271" t="s">
        <v>250</v>
      </c>
      <c r="E1271" s="35">
        <v>0.89900000000000002</v>
      </c>
      <c r="F1271" s="35">
        <v>0.998</v>
      </c>
      <c r="G1271" s="35">
        <v>2900</v>
      </c>
    </row>
    <row r="1272" spans="1:7" x14ac:dyDescent="0.25">
      <c r="A1272">
        <v>20221028</v>
      </c>
      <c r="B1272" t="s">
        <v>770</v>
      </c>
      <c r="C1272" t="s">
        <v>284</v>
      </c>
      <c r="D1272" t="s">
        <v>258</v>
      </c>
      <c r="E1272" s="35">
        <v>0.89900000000000002</v>
      </c>
      <c r="F1272" s="35">
        <v>0.998</v>
      </c>
      <c r="G1272" s="35">
        <v>2700</v>
      </c>
    </row>
    <row r="1273" spans="1:7" x14ac:dyDescent="0.25">
      <c r="A1273">
        <v>20221028</v>
      </c>
      <c r="B1273" t="s">
        <v>770</v>
      </c>
      <c r="C1273" t="s">
        <v>284</v>
      </c>
      <c r="D1273" t="s">
        <v>265</v>
      </c>
      <c r="E1273" s="35">
        <v>0.89900000000000002</v>
      </c>
      <c r="F1273" s="35">
        <v>0.998</v>
      </c>
      <c r="G1273" s="35">
        <v>2300</v>
      </c>
    </row>
    <row r="1274" spans="1:7" x14ac:dyDescent="0.25">
      <c r="A1274">
        <v>20221028</v>
      </c>
      <c r="B1274" t="s">
        <v>770</v>
      </c>
      <c r="C1274" t="s">
        <v>284</v>
      </c>
      <c r="D1274" t="s">
        <v>273</v>
      </c>
      <c r="E1274" s="35">
        <v>0.89900000000000002</v>
      </c>
      <c r="F1274" s="35">
        <v>0.998</v>
      </c>
      <c r="G1274" s="35">
        <v>2100</v>
      </c>
    </row>
    <row r="1275" spans="1:7" x14ac:dyDescent="0.25">
      <c r="A1275">
        <v>20221028</v>
      </c>
      <c r="B1275" t="s">
        <v>770</v>
      </c>
      <c r="C1275" t="s">
        <v>284</v>
      </c>
      <c r="D1275" t="s">
        <v>279</v>
      </c>
      <c r="E1275" s="35">
        <v>0.89900000000000002</v>
      </c>
      <c r="F1275" s="35">
        <v>0.998</v>
      </c>
      <c r="G1275" s="35">
        <v>1700</v>
      </c>
    </row>
    <row r="1276" spans="1:7" x14ac:dyDescent="0.25">
      <c r="A1276">
        <v>20221028</v>
      </c>
      <c r="B1276" t="s">
        <v>770</v>
      </c>
      <c r="C1276" t="s">
        <v>284</v>
      </c>
      <c r="D1276" t="s">
        <v>285</v>
      </c>
      <c r="E1276" s="35">
        <v>0.89900000000000002</v>
      </c>
      <c r="F1276" s="35">
        <v>0.998</v>
      </c>
      <c r="G1276" s="35">
        <v>1100</v>
      </c>
    </row>
    <row r="1277" spans="1:7" x14ac:dyDescent="0.25">
      <c r="A1277">
        <v>20221028</v>
      </c>
      <c r="B1277" t="s">
        <v>770</v>
      </c>
      <c r="C1277" t="s">
        <v>284</v>
      </c>
      <c r="D1277" t="s">
        <v>289</v>
      </c>
      <c r="E1277" s="35">
        <v>0.89900000000000002</v>
      </c>
      <c r="F1277" s="35">
        <v>0.998</v>
      </c>
      <c r="G1277" s="35">
        <v>700</v>
      </c>
    </row>
    <row r="1278" spans="1:7" x14ac:dyDescent="0.25">
      <c r="A1278">
        <v>20221028</v>
      </c>
      <c r="B1278" t="s">
        <v>770</v>
      </c>
      <c r="C1278" t="s">
        <v>186</v>
      </c>
      <c r="D1278" t="s">
        <v>187</v>
      </c>
      <c r="E1278" s="35">
        <v>0.999</v>
      </c>
      <c r="F1278" s="35">
        <v>1.498</v>
      </c>
      <c r="G1278" s="35">
        <v>22000</v>
      </c>
    </row>
    <row r="1279" spans="1:7" x14ac:dyDescent="0.25">
      <c r="A1279">
        <v>20221028</v>
      </c>
      <c r="B1279" t="s">
        <v>770</v>
      </c>
      <c r="C1279" t="s">
        <v>186</v>
      </c>
      <c r="D1279" t="s">
        <v>214</v>
      </c>
      <c r="E1279" s="35">
        <v>0.999</v>
      </c>
      <c r="F1279" s="35">
        <v>1.498</v>
      </c>
      <c r="G1279" s="35">
        <v>17600</v>
      </c>
    </row>
    <row r="1280" spans="1:7" x14ac:dyDescent="0.25">
      <c r="A1280">
        <v>20221028</v>
      </c>
      <c r="B1280" t="s">
        <v>770</v>
      </c>
      <c r="C1280" t="s">
        <v>186</v>
      </c>
      <c r="D1280" t="s">
        <v>233</v>
      </c>
      <c r="E1280" s="35">
        <v>0.999</v>
      </c>
      <c r="F1280" s="35">
        <v>1.498</v>
      </c>
      <c r="G1280" s="35">
        <v>14700</v>
      </c>
    </row>
    <row r="1281" spans="1:7" x14ac:dyDescent="0.25">
      <c r="A1281">
        <v>20221028</v>
      </c>
      <c r="B1281" t="s">
        <v>770</v>
      </c>
      <c r="C1281" t="s">
        <v>186</v>
      </c>
      <c r="D1281" t="s">
        <v>242</v>
      </c>
      <c r="E1281" s="35">
        <v>0.999</v>
      </c>
      <c r="F1281" s="35">
        <v>1.498</v>
      </c>
      <c r="G1281" s="35">
        <v>12900</v>
      </c>
    </row>
    <row r="1282" spans="1:7" x14ac:dyDescent="0.25">
      <c r="A1282">
        <v>20221028</v>
      </c>
      <c r="B1282" t="s">
        <v>770</v>
      </c>
      <c r="C1282" t="s">
        <v>186</v>
      </c>
      <c r="D1282" t="s">
        <v>250</v>
      </c>
      <c r="E1282" s="35">
        <v>0.999</v>
      </c>
      <c r="F1282" s="35">
        <v>1.498</v>
      </c>
      <c r="G1282" s="35">
        <v>11400</v>
      </c>
    </row>
    <row r="1283" spans="1:7" x14ac:dyDescent="0.25">
      <c r="A1283">
        <v>20221028</v>
      </c>
      <c r="B1283" t="s">
        <v>770</v>
      </c>
      <c r="C1283" t="s">
        <v>186</v>
      </c>
      <c r="D1283" t="s">
        <v>258</v>
      </c>
      <c r="E1283" s="35">
        <v>0.999</v>
      </c>
      <c r="F1283" s="35">
        <v>1.498</v>
      </c>
      <c r="G1283" s="35">
        <v>9000</v>
      </c>
    </row>
    <row r="1284" spans="1:7" x14ac:dyDescent="0.25">
      <c r="A1284">
        <v>20221028</v>
      </c>
      <c r="B1284" t="s">
        <v>770</v>
      </c>
      <c r="C1284" t="s">
        <v>186</v>
      </c>
      <c r="D1284" t="s">
        <v>265</v>
      </c>
      <c r="E1284" s="35">
        <v>0.999</v>
      </c>
      <c r="F1284" s="35">
        <v>1.498</v>
      </c>
      <c r="G1284" s="35">
        <v>7400</v>
      </c>
    </row>
    <row r="1285" spans="1:7" x14ac:dyDescent="0.25">
      <c r="A1285">
        <v>20221028</v>
      </c>
      <c r="B1285" t="s">
        <v>770</v>
      </c>
      <c r="C1285" t="s">
        <v>186</v>
      </c>
      <c r="D1285" t="s">
        <v>273</v>
      </c>
      <c r="E1285" s="35">
        <v>0.999</v>
      </c>
      <c r="F1285" s="35">
        <v>1.498</v>
      </c>
      <c r="G1285" s="35">
        <v>6100</v>
      </c>
    </row>
    <row r="1286" spans="1:7" x14ac:dyDescent="0.25">
      <c r="A1286">
        <v>20221028</v>
      </c>
      <c r="B1286" t="s">
        <v>770</v>
      </c>
      <c r="C1286" t="s">
        <v>186</v>
      </c>
      <c r="D1286" t="s">
        <v>279</v>
      </c>
      <c r="E1286" s="35">
        <v>0.999</v>
      </c>
      <c r="F1286" s="35">
        <v>1.498</v>
      </c>
      <c r="G1286" s="35">
        <v>5200</v>
      </c>
    </row>
    <row r="1287" spans="1:7" x14ac:dyDescent="0.25">
      <c r="A1287">
        <v>20221028</v>
      </c>
      <c r="B1287" t="s">
        <v>770</v>
      </c>
      <c r="C1287" t="s">
        <v>186</v>
      </c>
      <c r="D1287" t="s">
        <v>285</v>
      </c>
      <c r="E1287" s="35">
        <v>0.999</v>
      </c>
      <c r="F1287" s="35">
        <v>1.498</v>
      </c>
      <c r="G1287" s="35">
        <v>2600</v>
      </c>
    </row>
    <row r="1288" spans="1:7" x14ac:dyDescent="0.25">
      <c r="A1288">
        <v>20221028</v>
      </c>
      <c r="B1288" t="s">
        <v>770</v>
      </c>
      <c r="C1288" t="s">
        <v>186</v>
      </c>
      <c r="D1288" t="s">
        <v>289</v>
      </c>
      <c r="E1288" s="35">
        <v>0.999</v>
      </c>
      <c r="F1288" s="35">
        <v>1.498</v>
      </c>
      <c r="G1288" s="35">
        <v>1600</v>
      </c>
    </row>
    <row r="1289" spans="1:7" x14ac:dyDescent="0.25">
      <c r="A1289">
        <v>20221028</v>
      </c>
      <c r="B1289" t="s">
        <v>770</v>
      </c>
      <c r="C1289" t="s">
        <v>213</v>
      </c>
      <c r="D1289" t="s">
        <v>187</v>
      </c>
      <c r="E1289" s="35">
        <v>0.999</v>
      </c>
      <c r="F1289" s="35">
        <v>1.498</v>
      </c>
      <c r="G1289" s="35">
        <v>17100</v>
      </c>
    </row>
    <row r="1290" spans="1:7" x14ac:dyDescent="0.25">
      <c r="A1290">
        <v>20221028</v>
      </c>
      <c r="B1290" t="s">
        <v>770</v>
      </c>
      <c r="C1290" t="s">
        <v>213</v>
      </c>
      <c r="D1290" t="s">
        <v>214</v>
      </c>
      <c r="E1290" s="35">
        <v>0.999</v>
      </c>
      <c r="F1290" s="35">
        <v>1.498</v>
      </c>
      <c r="G1290" s="35">
        <v>15500</v>
      </c>
    </row>
    <row r="1291" spans="1:7" x14ac:dyDescent="0.25">
      <c r="A1291">
        <v>20221028</v>
      </c>
      <c r="B1291" t="s">
        <v>770</v>
      </c>
      <c r="C1291" t="s">
        <v>213</v>
      </c>
      <c r="D1291" t="s">
        <v>233</v>
      </c>
      <c r="E1291" s="35">
        <v>0.999</v>
      </c>
      <c r="F1291" s="35">
        <v>1.498</v>
      </c>
      <c r="G1291" s="35">
        <v>13700</v>
      </c>
    </row>
    <row r="1292" spans="1:7" x14ac:dyDescent="0.25">
      <c r="A1292">
        <v>20221028</v>
      </c>
      <c r="B1292" t="s">
        <v>770</v>
      </c>
      <c r="C1292" t="s">
        <v>213</v>
      </c>
      <c r="D1292" t="s">
        <v>242</v>
      </c>
      <c r="E1292" s="35">
        <v>0.999</v>
      </c>
      <c r="F1292" s="35">
        <v>1.498</v>
      </c>
      <c r="G1292" s="35">
        <v>12100</v>
      </c>
    </row>
    <row r="1293" spans="1:7" x14ac:dyDescent="0.25">
      <c r="A1293">
        <v>20221028</v>
      </c>
      <c r="B1293" t="s">
        <v>770</v>
      </c>
      <c r="C1293" t="s">
        <v>213</v>
      </c>
      <c r="D1293" t="s">
        <v>250</v>
      </c>
      <c r="E1293" s="35">
        <v>0.999</v>
      </c>
      <c r="F1293" s="35">
        <v>1.498</v>
      </c>
      <c r="G1293" s="35">
        <v>10700</v>
      </c>
    </row>
    <row r="1294" spans="1:7" x14ac:dyDescent="0.25">
      <c r="A1294">
        <v>20221028</v>
      </c>
      <c r="B1294" t="s">
        <v>770</v>
      </c>
      <c r="C1294" t="s">
        <v>213</v>
      </c>
      <c r="D1294" t="s">
        <v>258</v>
      </c>
      <c r="E1294" s="35">
        <v>0.999</v>
      </c>
      <c r="F1294" s="35">
        <v>1.498</v>
      </c>
      <c r="G1294" s="35">
        <v>8500</v>
      </c>
    </row>
    <row r="1295" spans="1:7" x14ac:dyDescent="0.25">
      <c r="A1295">
        <v>20221028</v>
      </c>
      <c r="B1295" t="s">
        <v>770</v>
      </c>
      <c r="C1295" t="s">
        <v>213</v>
      </c>
      <c r="D1295" t="s">
        <v>265</v>
      </c>
      <c r="E1295" s="35">
        <v>0.999</v>
      </c>
      <c r="F1295" s="35">
        <v>1.498</v>
      </c>
      <c r="G1295" s="35">
        <v>7000</v>
      </c>
    </row>
    <row r="1296" spans="1:7" x14ac:dyDescent="0.25">
      <c r="A1296">
        <v>20221028</v>
      </c>
      <c r="B1296" t="s">
        <v>770</v>
      </c>
      <c r="C1296" t="s">
        <v>213</v>
      </c>
      <c r="D1296" t="s">
        <v>273</v>
      </c>
      <c r="E1296" s="35">
        <v>0.999</v>
      </c>
      <c r="F1296" s="35">
        <v>1.498</v>
      </c>
      <c r="G1296" s="35">
        <v>5800</v>
      </c>
    </row>
    <row r="1297" spans="1:7" x14ac:dyDescent="0.25">
      <c r="A1297">
        <v>20221028</v>
      </c>
      <c r="B1297" t="s">
        <v>770</v>
      </c>
      <c r="C1297" t="s">
        <v>213</v>
      </c>
      <c r="D1297" t="s">
        <v>279</v>
      </c>
      <c r="E1297" s="35">
        <v>0.999</v>
      </c>
      <c r="F1297" s="35">
        <v>1.498</v>
      </c>
      <c r="G1297" s="35">
        <v>5000</v>
      </c>
    </row>
    <row r="1298" spans="1:7" x14ac:dyDescent="0.25">
      <c r="A1298">
        <v>20221028</v>
      </c>
      <c r="B1298" t="s">
        <v>770</v>
      </c>
      <c r="C1298" t="s">
        <v>213</v>
      </c>
      <c r="D1298" t="s">
        <v>285</v>
      </c>
      <c r="E1298" s="35">
        <v>0.999</v>
      </c>
      <c r="F1298" s="35">
        <v>1.498</v>
      </c>
      <c r="G1298" s="35">
        <v>2500</v>
      </c>
    </row>
    <row r="1299" spans="1:7" x14ac:dyDescent="0.25">
      <c r="A1299">
        <v>20221028</v>
      </c>
      <c r="B1299" t="s">
        <v>770</v>
      </c>
      <c r="C1299" t="s">
        <v>213</v>
      </c>
      <c r="D1299" t="s">
        <v>289</v>
      </c>
      <c r="E1299" s="35">
        <v>0.999</v>
      </c>
      <c r="F1299" s="35">
        <v>1.498</v>
      </c>
      <c r="G1299" s="35">
        <v>1500</v>
      </c>
    </row>
    <row r="1300" spans="1:7" x14ac:dyDescent="0.25">
      <c r="A1300">
        <v>20221028</v>
      </c>
      <c r="B1300" t="s">
        <v>770</v>
      </c>
      <c r="C1300" t="s">
        <v>232</v>
      </c>
      <c r="D1300" t="s">
        <v>187</v>
      </c>
      <c r="E1300" s="35">
        <v>0.999</v>
      </c>
      <c r="F1300" s="35">
        <v>1.498</v>
      </c>
      <c r="G1300" s="35">
        <v>15200</v>
      </c>
    </row>
    <row r="1301" spans="1:7" x14ac:dyDescent="0.25">
      <c r="A1301">
        <v>20221028</v>
      </c>
      <c r="B1301" t="s">
        <v>770</v>
      </c>
      <c r="C1301" t="s">
        <v>232</v>
      </c>
      <c r="D1301" t="s">
        <v>214</v>
      </c>
      <c r="E1301" s="35">
        <v>0.999</v>
      </c>
      <c r="F1301" s="35">
        <v>1.498</v>
      </c>
      <c r="G1301" s="35">
        <v>14100</v>
      </c>
    </row>
    <row r="1302" spans="1:7" x14ac:dyDescent="0.25">
      <c r="A1302">
        <v>20221028</v>
      </c>
      <c r="B1302" t="s">
        <v>770</v>
      </c>
      <c r="C1302" t="s">
        <v>232</v>
      </c>
      <c r="D1302" t="s">
        <v>233</v>
      </c>
      <c r="E1302" s="35">
        <v>0.999</v>
      </c>
      <c r="F1302" s="35">
        <v>1.498</v>
      </c>
      <c r="G1302" s="35">
        <v>12600</v>
      </c>
    </row>
    <row r="1303" spans="1:7" x14ac:dyDescent="0.25">
      <c r="A1303">
        <v>20221028</v>
      </c>
      <c r="B1303" t="s">
        <v>770</v>
      </c>
      <c r="C1303" t="s">
        <v>232</v>
      </c>
      <c r="D1303" t="s">
        <v>242</v>
      </c>
      <c r="E1303" s="35">
        <v>0.999</v>
      </c>
      <c r="F1303" s="35">
        <v>1.498</v>
      </c>
      <c r="G1303" s="35">
        <v>11300</v>
      </c>
    </row>
    <row r="1304" spans="1:7" x14ac:dyDescent="0.25">
      <c r="A1304">
        <v>20221028</v>
      </c>
      <c r="B1304" t="s">
        <v>770</v>
      </c>
      <c r="C1304" t="s">
        <v>232</v>
      </c>
      <c r="D1304" t="s">
        <v>250</v>
      </c>
      <c r="E1304" s="35">
        <v>0.999</v>
      </c>
      <c r="F1304" s="35">
        <v>1.498</v>
      </c>
      <c r="G1304" s="35">
        <v>10100</v>
      </c>
    </row>
    <row r="1305" spans="1:7" x14ac:dyDescent="0.25">
      <c r="A1305">
        <v>20221028</v>
      </c>
      <c r="B1305" t="s">
        <v>770</v>
      </c>
      <c r="C1305" t="s">
        <v>232</v>
      </c>
      <c r="D1305" t="s">
        <v>258</v>
      </c>
      <c r="E1305" s="35">
        <v>0.999</v>
      </c>
      <c r="F1305" s="35">
        <v>1.498</v>
      </c>
      <c r="G1305" s="35">
        <v>8000</v>
      </c>
    </row>
    <row r="1306" spans="1:7" x14ac:dyDescent="0.25">
      <c r="A1306">
        <v>20221028</v>
      </c>
      <c r="B1306" t="s">
        <v>770</v>
      </c>
      <c r="C1306" t="s">
        <v>232</v>
      </c>
      <c r="D1306" t="s">
        <v>265</v>
      </c>
      <c r="E1306" s="35">
        <v>0.999</v>
      </c>
      <c r="F1306" s="35">
        <v>1.498</v>
      </c>
      <c r="G1306" s="35">
        <v>6600</v>
      </c>
    </row>
    <row r="1307" spans="1:7" x14ac:dyDescent="0.25">
      <c r="A1307">
        <v>20221028</v>
      </c>
      <c r="B1307" t="s">
        <v>770</v>
      </c>
      <c r="C1307" t="s">
        <v>232</v>
      </c>
      <c r="D1307" t="s">
        <v>273</v>
      </c>
      <c r="E1307" s="35">
        <v>0.999</v>
      </c>
      <c r="F1307" s="35">
        <v>1.498</v>
      </c>
      <c r="G1307" s="35">
        <v>5500</v>
      </c>
    </row>
    <row r="1308" spans="1:7" x14ac:dyDescent="0.25">
      <c r="A1308">
        <v>20221028</v>
      </c>
      <c r="B1308" t="s">
        <v>770</v>
      </c>
      <c r="C1308" t="s">
        <v>232</v>
      </c>
      <c r="D1308" t="s">
        <v>279</v>
      </c>
      <c r="E1308" s="35">
        <v>0.999</v>
      </c>
      <c r="F1308" s="35">
        <v>1.498</v>
      </c>
      <c r="G1308" s="35">
        <v>4700</v>
      </c>
    </row>
    <row r="1309" spans="1:7" x14ac:dyDescent="0.25">
      <c r="A1309">
        <v>20221028</v>
      </c>
      <c r="B1309" t="s">
        <v>770</v>
      </c>
      <c r="C1309" t="s">
        <v>232</v>
      </c>
      <c r="D1309" t="s">
        <v>285</v>
      </c>
      <c r="E1309" s="35">
        <v>0.999</v>
      </c>
      <c r="F1309" s="35">
        <v>1.498</v>
      </c>
      <c r="G1309" s="35">
        <v>2400</v>
      </c>
    </row>
    <row r="1310" spans="1:7" x14ac:dyDescent="0.25">
      <c r="A1310">
        <v>20221028</v>
      </c>
      <c r="B1310" t="s">
        <v>770</v>
      </c>
      <c r="C1310" t="s">
        <v>232</v>
      </c>
      <c r="D1310" t="s">
        <v>289</v>
      </c>
      <c r="E1310" s="35">
        <v>0.999</v>
      </c>
      <c r="F1310" s="35">
        <v>1.498</v>
      </c>
      <c r="G1310" s="35">
        <v>1400</v>
      </c>
    </row>
    <row r="1311" spans="1:7" x14ac:dyDescent="0.25">
      <c r="A1311">
        <v>20221028</v>
      </c>
      <c r="B1311" t="s">
        <v>770</v>
      </c>
      <c r="C1311" t="s">
        <v>215</v>
      </c>
      <c r="D1311" t="s">
        <v>187</v>
      </c>
      <c r="E1311" s="35">
        <v>0.999</v>
      </c>
      <c r="F1311" s="35">
        <v>1.498</v>
      </c>
      <c r="G1311" s="35">
        <v>12900</v>
      </c>
    </row>
    <row r="1312" spans="1:7" x14ac:dyDescent="0.25">
      <c r="A1312">
        <v>20221028</v>
      </c>
      <c r="B1312" t="s">
        <v>770</v>
      </c>
      <c r="C1312" t="s">
        <v>215</v>
      </c>
      <c r="D1312" t="s">
        <v>214</v>
      </c>
      <c r="E1312" s="35">
        <v>0.999</v>
      </c>
      <c r="F1312" s="35">
        <v>1.498</v>
      </c>
      <c r="G1312" s="35">
        <v>12300</v>
      </c>
    </row>
    <row r="1313" spans="1:7" x14ac:dyDescent="0.25">
      <c r="A1313">
        <v>20221028</v>
      </c>
      <c r="B1313" t="s">
        <v>770</v>
      </c>
      <c r="C1313" t="s">
        <v>215</v>
      </c>
      <c r="D1313" t="s">
        <v>233</v>
      </c>
      <c r="E1313" s="35">
        <v>0.999</v>
      </c>
      <c r="F1313" s="35">
        <v>1.498</v>
      </c>
      <c r="G1313" s="35">
        <v>11400</v>
      </c>
    </row>
    <row r="1314" spans="1:7" x14ac:dyDescent="0.25">
      <c r="A1314">
        <v>20221028</v>
      </c>
      <c r="B1314" t="s">
        <v>770</v>
      </c>
      <c r="C1314" t="s">
        <v>215</v>
      </c>
      <c r="D1314" t="s">
        <v>242</v>
      </c>
      <c r="E1314" s="35">
        <v>0.999</v>
      </c>
      <c r="F1314" s="35">
        <v>1.498</v>
      </c>
      <c r="G1314" s="35">
        <v>10500</v>
      </c>
    </row>
    <row r="1315" spans="1:7" x14ac:dyDescent="0.25">
      <c r="A1315">
        <v>20221028</v>
      </c>
      <c r="B1315" t="s">
        <v>770</v>
      </c>
      <c r="C1315" t="s">
        <v>215</v>
      </c>
      <c r="D1315" t="s">
        <v>250</v>
      </c>
      <c r="E1315" s="35">
        <v>0.999</v>
      </c>
      <c r="F1315" s="35">
        <v>1.498</v>
      </c>
      <c r="G1315" s="35">
        <v>9500</v>
      </c>
    </row>
    <row r="1316" spans="1:7" x14ac:dyDescent="0.25">
      <c r="A1316">
        <v>20221028</v>
      </c>
      <c r="B1316" t="s">
        <v>770</v>
      </c>
      <c r="C1316" t="s">
        <v>215</v>
      </c>
      <c r="D1316" t="s">
        <v>258</v>
      </c>
      <c r="E1316" s="35">
        <v>0.999</v>
      </c>
      <c r="F1316" s="35">
        <v>1.498</v>
      </c>
      <c r="G1316" s="35">
        <v>7500</v>
      </c>
    </row>
    <row r="1317" spans="1:7" x14ac:dyDescent="0.25">
      <c r="A1317">
        <v>20221028</v>
      </c>
      <c r="B1317" t="s">
        <v>770</v>
      </c>
      <c r="C1317" t="s">
        <v>215</v>
      </c>
      <c r="D1317" t="s">
        <v>265</v>
      </c>
      <c r="E1317" s="35">
        <v>0.999</v>
      </c>
      <c r="F1317" s="35">
        <v>1.498</v>
      </c>
      <c r="G1317" s="35">
        <v>6200</v>
      </c>
    </row>
    <row r="1318" spans="1:7" x14ac:dyDescent="0.25">
      <c r="A1318">
        <v>20221028</v>
      </c>
      <c r="B1318" t="s">
        <v>770</v>
      </c>
      <c r="C1318" t="s">
        <v>215</v>
      </c>
      <c r="D1318" t="s">
        <v>273</v>
      </c>
      <c r="E1318" s="35">
        <v>0.999</v>
      </c>
      <c r="F1318" s="35">
        <v>1.498</v>
      </c>
      <c r="G1318" s="35">
        <v>5300</v>
      </c>
    </row>
    <row r="1319" spans="1:7" x14ac:dyDescent="0.25">
      <c r="A1319">
        <v>20221028</v>
      </c>
      <c r="B1319" t="s">
        <v>770</v>
      </c>
      <c r="C1319" t="s">
        <v>215</v>
      </c>
      <c r="D1319" t="s">
        <v>279</v>
      </c>
      <c r="E1319" s="35">
        <v>0.999</v>
      </c>
      <c r="F1319" s="35">
        <v>1.498</v>
      </c>
      <c r="G1319" s="35">
        <v>4500</v>
      </c>
    </row>
    <row r="1320" spans="1:7" x14ac:dyDescent="0.25">
      <c r="A1320">
        <v>20221028</v>
      </c>
      <c r="B1320" t="s">
        <v>770</v>
      </c>
      <c r="C1320" t="s">
        <v>215</v>
      </c>
      <c r="D1320" t="s">
        <v>285</v>
      </c>
      <c r="E1320" s="35">
        <v>0.999</v>
      </c>
      <c r="F1320" s="35">
        <v>1.498</v>
      </c>
      <c r="G1320" s="35">
        <v>2300</v>
      </c>
    </row>
    <row r="1321" spans="1:7" x14ac:dyDescent="0.25">
      <c r="A1321">
        <v>20221028</v>
      </c>
      <c r="B1321" t="s">
        <v>770</v>
      </c>
      <c r="C1321" t="s">
        <v>215</v>
      </c>
      <c r="D1321" t="s">
        <v>289</v>
      </c>
      <c r="E1321" s="35">
        <v>0.999</v>
      </c>
      <c r="F1321" s="35">
        <v>1.498</v>
      </c>
      <c r="G1321" s="35">
        <v>1300</v>
      </c>
    </row>
    <row r="1322" spans="1:7" x14ac:dyDescent="0.25">
      <c r="A1322">
        <v>20221028</v>
      </c>
      <c r="B1322" t="s">
        <v>770</v>
      </c>
      <c r="C1322" t="s">
        <v>249</v>
      </c>
      <c r="D1322" t="s">
        <v>187</v>
      </c>
      <c r="E1322" s="35">
        <v>0.999</v>
      </c>
      <c r="F1322" s="35">
        <v>1.498</v>
      </c>
      <c r="G1322" s="35">
        <v>10900</v>
      </c>
    </row>
    <row r="1323" spans="1:7" x14ac:dyDescent="0.25">
      <c r="A1323">
        <v>20221028</v>
      </c>
      <c r="B1323" t="s">
        <v>770</v>
      </c>
      <c r="C1323" t="s">
        <v>249</v>
      </c>
      <c r="D1323" t="s">
        <v>214</v>
      </c>
      <c r="E1323" s="35">
        <v>0.999</v>
      </c>
      <c r="F1323" s="35">
        <v>1.498</v>
      </c>
      <c r="G1323" s="35">
        <v>10400</v>
      </c>
    </row>
    <row r="1324" spans="1:7" x14ac:dyDescent="0.25">
      <c r="A1324">
        <v>20221028</v>
      </c>
      <c r="B1324" t="s">
        <v>770</v>
      </c>
      <c r="C1324" t="s">
        <v>249</v>
      </c>
      <c r="D1324" t="s">
        <v>233</v>
      </c>
      <c r="E1324" s="35">
        <v>0.999</v>
      </c>
      <c r="F1324" s="35">
        <v>1.498</v>
      </c>
      <c r="G1324" s="35">
        <v>9900</v>
      </c>
    </row>
    <row r="1325" spans="1:7" x14ac:dyDescent="0.25">
      <c r="A1325">
        <v>20221028</v>
      </c>
      <c r="B1325" t="s">
        <v>770</v>
      </c>
      <c r="C1325" t="s">
        <v>249</v>
      </c>
      <c r="D1325" t="s">
        <v>242</v>
      </c>
      <c r="E1325" s="35">
        <v>0.999</v>
      </c>
      <c r="F1325" s="35">
        <v>1.498</v>
      </c>
      <c r="G1325" s="35">
        <v>9300</v>
      </c>
    </row>
    <row r="1326" spans="1:7" x14ac:dyDescent="0.25">
      <c r="A1326">
        <v>20221028</v>
      </c>
      <c r="B1326" t="s">
        <v>770</v>
      </c>
      <c r="C1326" t="s">
        <v>249</v>
      </c>
      <c r="D1326" t="s">
        <v>250</v>
      </c>
      <c r="E1326" s="35">
        <v>0.999</v>
      </c>
      <c r="F1326" s="35">
        <v>1.498</v>
      </c>
      <c r="G1326" s="35">
        <v>8700</v>
      </c>
    </row>
    <row r="1327" spans="1:7" x14ac:dyDescent="0.25">
      <c r="A1327">
        <v>20221028</v>
      </c>
      <c r="B1327" t="s">
        <v>770</v>
      </c>
      <c r="C1327" t="s">
        <v>249</v>
      </c>
      <c r="D1327" t="s">
        <v>258</v>
      </c>
      <c r="E1327" s="35">
        <v>0.999</v>
      </c>
      <c r="F1327" s="35">
        <v>1.498</v>
      </c>
      <c r="G1327" s="35">
        <v>7000</v>
      </c>
    </row>
    <row r="1328" spans="1:7" x14ac:dyDescent="0.25">
      <c r="A1328">
        <v>20221028</v>
      </c>
      <c r="B1328" t="s">
        <v>770</v>
      </c>
      <c r="C1328" t="s">
        <v>249</v>
      </c>
      <c r="D1328" t="s">
        <v>265</v>
      </c>
      <c r="E1328" s="35">
        <v>0.999</v>
      </c>
      <c r="F1328" s="35">
        <v>1.498</v>
      </c>
      <c r="G1328" s="35">
        <v>5800</v>
      </c>
    </row>
    <row r="1329" spans="1:7" x14ac:dyDescent="0.25">
      <c r="A1329">
        <v>20221028</v>
      </c>
      <c r="B1329" t="s">
        <v>770</v>
      </c>
      <c r="C1329" t="s">
        <v>249</v>
      </c>
      <c r="D1329" t="s">
        <v>273</v>
      </c>
      <c r="E1329" s="35">
        <v>0.999</v>
      </c>
      <c r="F1329" s="35">
        <v>1.498</v>
      </c>
      <c r="G1329" s="35">
        <v>5000</v>
      </c>
    </row>
    <row r="1330" spans="1:7" x14ac:dyDescent="0.25">
      <c r="A1330">
        <v>20221028</v>
      </c>
      <c r="B1330" t="s">
        <v>770</v>
      </c>
      <c r="C1330" t="s">
        <v>249</v>
      </c>
      <c r="D1330" t="s">
        <v>279</v>
      </c>
      <c r="E1330" s="35">
        <v>0.999</v>
      </c>
      <c r="F1330" s="35">
        <v>1.498</v>
      </c>
      <c r="G1330" s="35">
        <v>4200</v>
      </c>
    </row>
    <row r="1331" spans="1:7" x14ac:dyDescent="0.25">
      <c r="A1331">
        <v>20221028</v>
      </c>
      <c r="B1331" t="s">
        <v>770</v>
      </c>
      <c r="C1331" t="s">
        <v>249</v>
      </c>
      <c r="D1331" t="s">
        <v>285</v>
      </c>
      <c r="E1331" s="35">
        <v>0.999</v>
      </c>
      <c r="F1331" s="35">
        <v>1.498</v>
      </c>
      <c r="G1331" s="35">
        <v>2200</v>
      </c>
    </row>
    <row r="1332" spans="1:7" x14ac:dyDescent="0.25">
      <c r="A1332">
        <v>20221028</v>
      </c>
      <c r="B1332" t="s">
        <v>770</v>
      </c>
      <c r="C1332" t="s">
        <v>249</v>
      </c>
      <c r="D1332" t="s">
        <v>289</v>
      </c>
      <c r="E1332" s="35">
        <v>0.999</v>
      </c>
      <c r="F1332" s="35">
        <v>1.498</v>
      </c>
      <c r="G1332" s="35">
        <v>1300</v>
      </c>
    </row>
    <row r="1333" spans="1:7" x14ac:dyDescent="0.25">
      <c r="A1333">
        <v>20221028</v>
      </c>
      <c r="B1333" t="s">
        <v>770</v>
      </c>
      <c r="C1333" t="s">
        <v>257</v>
      </c>
      <c r="D1333" t="s">
        <v>187</v>
      </c>
      <c r="E1333" s="35">
        <v>0.999</v>
      </c>
      <c r="F1333" s="35">
        <v>1.498</v>
      </c>
      <c r="G1333" s="35">
        <v>8800</v>
      </c>
    </row>
    <row r="1334" spans="1:7" x14ac:dyDescent="0.25">
      <c r="A1334">
        <v>20221028</v>
      </c>
      <c r="B1334" t="s">
        <v>770</v>
      </c>
      <c r="C1334" t="s">
        <v>257</v>
      </c>
      <c r="D1334" t="s">
        <v>214</v>
      </c>
      <c r="E1334" s="35">
        <v>0.999</v>
      </c>
      <c r="F1334" s="35">
        <v>1.498</v>
      </c>
      <c r="G1334" s="35">
        <v>8500</v>
      </c>
    </row>
    <row r="1335" spans="1:7" x14ac:dyDescent="0.25">
      <c r="A1335">
        <v>20221028</v>
      </c>
      <c r="B1335" t="s">
        <v>770</v>
      </c>
      <c r="C1335" t="s">
        <v>257</v>
      </c>
      <c r="D1335" t="s">
        <v>233</v>
      </c>
      <c r="E1335" s="35">
        <v>0.999</v>
      </c>
      <c r="F1335" s="35">
        <v>1.498</v>
      </c>
      <c r="G1335" s="35">
        <v>8200</v>
      </c>
    </row>
    <row r="1336" spans="1:7" x14ac:dyDescent="0.25">
      <c r="A1336">
        <v>20221028</v>
      </c>
      <c r="B1336" t="s">
        <v>770</v>
      </c>
      <c r="C1336" t="s">
        <v>257</v>
      </c>
      <c r="D1336" t="s">
        <v>242</v>
      </c>
      <c r="E1336" s="35">
        <v>0.999</v>
      </c>
      <c r="F1336" s="35">
        <v>1.498</v>
      </c>
      <c r="G1336" s="35">
        <v>7800</v>
      </c>
    </row>
    <row r="1337" spans="1:7" x14ac:dyDescent="0.25">
      <c r="A1337">
        <v>20221028</v>
      </c>
      <c r="B1337" t="s">
        <v>770</v>
      </c>
      <c r="C1337" t="s">
        <v>257</v>
      </c>
      <c r="D1337" t="s">
        <v>250</v>
      </c>
      <c r="E1337" s="35">
        <v>0.999</v>
      </c>
      <c r="F1337" s="35">
        <v>1.498</v>
      </c>
      <c r="G1337" s="35">
        <v>7200</v>
      </c>
    </row>
    <row r="1338" spans="1:7" x14ac:dyDescent="0.25">
      <c r="A1338">
        <v>20221028</v>
      </c>
      <c r="B1338" t="s">
        <v>770</v>
      </c>
      <c r="C1338" t="s">
        <v>257</v>
      </c>
      <c r="D1338" t="s">
        <v>258</v>
      </c>
      <c r="E1338" s="35">
        <v>0.999</v>
      </c>
      <c r="F1338" s="35">
        <v>1.498</v>
      </c>
      <c r="G1338" s="35">
        <v>6300</v>
      </c>
    </row>
    <row r="1339" spans="1:7" x14ac:dyDescent="0.25">
      <c r="A1339">
        <v>20221028</v>
      </c>
      <c r="B1339" t="s">
        <v>770</v>
      </c>
      <c r="C1339" t="s">
        <v>257</v>
      </c>
      <c r="D1339" t="s">
        <v>265</v>
      </c>
      <c r="E1339" s="35">
        <v>0.999</v>
      </c>
      <c r="F1339" s="35">
        <v>1.498</v>
      </c>
      <c r="G1339" s="35">
        <v>5400</v>
      </c>
    </row>
    <row r="1340" spans="1:7" x14ac:dyDescent="0.25">
      <c r="A1340">
        <v>20221028</v>
      </c>
      <c r="B1340" t="s">
        <v>770</v>
      </c>
      <c r="C1340" t="s">
        <v>257</v>
      </c>
      <c r="D1340" t="s">
        <v>273</v>
      </c>
      <c r="E1340" s="35">
        <v>0.999</v>
      </c>
      <c r="F1340" s="35">
        <v>1.498</v>
      </c>
      <c r="G1340" s="35">
        <v>4700</v>
      </c>
    </row>
    <row r="1341" spans="1:7" x14ac:dyDescent="0.25">
      <c r="A1341">
        <v>20221028</v>
      </c>
      <c r="B1341" t="s">
        <v>770</v>
      </c>
      <c r="C1341" t="s">
        <v>257</v>
      </c>
      <c r="D1341" t="s">
        <v>279</v>
      </c>
      <c r="E1341" s="35">
        <v>0.999</v>
      </c>
      <c r="F1341" s="35">
        <v>1.498</v>
      </c>
      <c r="G1341" s="35">
        <v>3800</v>
      </c>
    </row>
    <row r="1342" spans="1:7" x14ac:dyDescent="0.25">
      <c r="A1342">
        <v>20221028</v>
      </c>
      <c r="B1342" t="s">
        <v>770</v>
      </c>
      <c r="C1342" t="s">
        <v>257</v>
      </c>
      <c r="D1342" t="s">
        <v>285</v>
      </c>
      <c r="E1342" s="35">
        <v>0.999</v>
      </c>
      <c r="F1342" s="35">
        <v>1.498</v>
      </c>
      <c r="G1342" s="35">
        <v>2100</v>
      </c>
    </row>
    <row r="1343" spans="1:7" x14ac:dyDescent="0.25">
      <c r="A1343">
        <v>20221028</v>
      </c>
      <c r="B1343" t="s">
        <v>770</v>
      </c>
      <c r="C1343" t="s">
        <v>257</v>
      </c>
      <c r="D1343" t="s">
        <v>289</v>
      </c>
      <c r="E1343" s="35">
        <v>0.999</v>
      </c>
      <c r="F1343" s="35">
        <v>1.498</v>
      </c>
      <c r="G1343" s="35">
        <v>1200</v>
      </c>
    </row>
    <row r="1344" spans="1:7" x14ac:dyDescent="0.25">
      <c r="A1344">
        <v>20221028</v>
      </c>
      <c r="B1344" t="s">
        <v>770</v>
      </c>
      <c r="C1344" t="s">
        <v>264</v>
      </c>
      <c r="D1344" t="s">
        <v>187</v>
      </c>
      <c r="E1344" s="35">
        <v>0.999</v>
      </c>
      <c r="F1344" s="35">
        <v>1.498</v>
      </c>
      <c r="G1344" s="35">
        <v>7200</v>
      </c>
    </row>
    <row r="1345" spans="1:7" x14ac:dyDescent="0.25">
      <c r="A1345">
        <v>20221028</v>
      </c>
      <c r="B1345" t="s">
        <v>770</v>
      </c>
      <c r="C1345" t="s">
        <v>264</v>
      </c>
      <c r="D1345" t="s">
        <v>214</v>
      </c>
      <c r="E1345" s="35">
        <v>0.999</v>
      </c>
      <c r="F1345" s="35">
        <v>1.498</v>
      </c>
      <c r="G1345" s="35">
        <v>6900</v>
      </c>
    </row>
    <row r="1346" spans="1:7" x14ac:dyDescent="0.25">
      <c r="A1346">
        <v>20221028</v>
      </c>
      <c r="B1346" t="s">
        <v>770</v>
      </c>
      <c r="C1346" t="s">
        <v>264</v>
      </c>
      <c r="D1346" t="s">
        <v>233</v>
      </c>
      <c r="E1346" s="35">
        <v>0.999</v>
      </c>
      <c r="F1346" s="35">
        <v>1.498</v>
      </c>
      <c r="G1346" s="35">
        <v>6600</v>
      </c>
    </row>
    <row r="1347" spans="1:7" x14ac:dyDescent="0.25">
      <c r="A1347">
        <v>20221028</v>
      </c>
      <c r="B1347" t="s">
        <v>770</v>
      </c>
      <c r="C1347" t="s">
        <v>264</v>
      </c>
      <c r="D1347" t="s">
        <v>242</v>
      </c>
      <c r="E1347" s="35">
        <v>0.999</v>
      </c>
      <c r="F1347" s="35">
        <v>1.498</v>
      </c>
      <c r="G1347" s="35">
        <v>6200</v>
      </c>
    </row>
    <row r="1348" spans="1:7" x14ac:dyDescent="0.25">
      <c r="A1348">
        <v>20221028</v>
      </c>
      <c r="B1348" t="s">
        <v>770</v>
      </c>
      <c r="C1348" t="s">
        <v>264</v>
      </c>
      <c r="D1348" t="s">
        <v>250</v>
      </c>
      <c r="E1348" s="35">
        <v>0.999</v>
      </c>
      <c r="F1348" s="35">
        <v>1.498</v>
      </c>
      <c r="G1348" s="35">
        <v>5700</v>
      </c>
    </row>
    <row r="1349" spans="1:7" x14ac:dyDescent="0.25">
      <c r="A1349">
        <v>20221028</v>
      </c>
      <c r="B1349" t="s">
        <v>770</v>
      </c>
      <c r="C1349" t="s">
        <v>264</v>
      </c>
      <c r="D1349" t="s">
        <v>258</v>
      </c>
      <c r="E1349" s="35">
        <v>0.999</v>
      </c>
      <c r="F1349" s="35">
        <v>1.498</v>
      </c>
      <c r="G1349" s="35">
        <v>5100</v>
      </c>
    </row>
    <row r="1350" spans="1:7" x14ac:dyDescent="0.25">
      <c r="A1350">
        <v>20221028</v>
      </c>
      <c r="B1350" t="s">
        <v>770</v>
      </c>
      <c r="C1350" t="s">
        <v>264</v>
      </c>
      <c r="D1350" t="s">
        <v>265</v>
      </c>
      <c r="E1350" s="35">
        <v>0.999</v>
      </c>
      <c r="F1350" s="35">
        <v>1.498</v>
      </c>
      <c r="G1350" s="35">
        <v>4700</v>
      </c>
    </row>
    <row r="1351" spans="1:7" x14ac:dyDescent="0.25">
      <c r="A1351">
        <v>20221028</v>
      </c>
      <c r="B1351" t="s">
        <v>770</v>
      </c>
      <c r="C1351" t="s">
        <v>264</v>
      </c>
      <c r="D1351" t="s">
        <v>273</v>
      </c>
      <c r="E1351" s="35">
        <v>0.999</v>
      </c>
      <c r="F1351" s="35">
        <v>1.498</v>
      </c>
      <c r="G1351" s="35">
        <v>4200</v>
      </c>
    </row>
    <row r="1352" spans="1:7" x14ac:dyDescent="0.25">
      <c r="A1352">
        <v>20221028</v>
      </c>
      <c r="B1352" t="s">
        <v>770</v>
      </c>
      <c r="C1352" t="s">
        <v>264</v>
      </c>
      <c r="D1352" t="s">
        <v>279</v>
      </c>
      <c r="E1352" s="35">
        <v>0.999</v>
      </c>
      <c r="F1352" s="35">
        <v>1.498</v>
      </c>
      <c r="G1352" s="35">
        <v>3500</v>
      </c>
    </row>
    <row r="1353" spans="1:7" x14ac:dyDescent="0.25">
      <c r="A1353">
        <v>20221028</v>
      </c>
      <c r="B1353" t="s">
        <v>770</v>
      </c>
      <c r="C1353" t="s">
        <v>264</v>
      </c>
      <c r="D1353" t="s">
        <v>285</v>
      </c>
      <c r="E1353" s="35">
        <v>0.999</v>
      </c>
      <c r="F1353" s="35">
        <v>1.498</v>
      </c>
      <c r="G1353" s="35">
        <v>2000</v>
      </c>
    </row>
    <row r="1354" spans="1:7" x14ac:dyDescent="0.25">
      <c r="A1354">
        <v>20221028</v>
      </c>
      <c r="B1354" t="s">
        <v>770</v>
      </c>
      <c r="C1354" t="s">
        <v>264</v>
      </c>
      <c r="D1354" t="s">
        <v>289</v>
      </c>
      <c r="E1354" s="35">
        <v>0.999</v>
      </c>
      <c r="F1354" s="35">
        <v>1.498</v>
      </c>
      <c r="G1354" s="35">
        <v>1200</v>
      </c>
    </row>
    <row r="1355" spans="1:7" x14ac:dyDescent="0.25">
      <c r="A1355">
        <v>20221028</v>
      </c>
      <c r="B1355" t="s">
        <v>770</v>
      </c>
      <c r="C1355" t="s">
        <v>272</v>
      </c>
      <c r="D1355" t="s">
        <v>187</v>
      </c>
      <c r="E1355" s="35">
        <v>0.999</v>
      </c>
      <c r="F1355" s="35">
        <v>1.498</v>
      </c>
      <c r="G1355" s="35">
        <v>6000</v>
      </c>
    </row>
    <row r="1356" spans="1:7" x14ac:dyDescent="0.25">
      <c r="A1356">
        <v>20221028</v>
      </c>
      <c r="B1356" t="s">
        <v>770</v>
      </c>
      <c r="C1356" t="s">
        <v>272</v>
      </c>
      <c r="D1356" t="s">
        <v>214</v>
      </c>
      <c r="E1356" s="35">
        <v>0.999</v>
      </c>
      <c r="F1356" s="35">
        <v>1.498</v>
      </c>
      <c r="G1356" s="35">
        <v>5600</v>
      </c>
    </row>
    <row r="1357" spans="1:7" x14ac:dyDescent="0.25">
      <c r="A1357">
        <v>20221028</v>
      </c>
      <c r="B1357" t="s">
        <v>770</v>
      </c>
      <c r="C1357" t="s">
        <v>272</v>
      </c>
      <c r="D1357" t="s">
        <v>233</v>
      </c>
      <c r="E1357" s="35">
        <v>0.999</v>
      </c>
      <c r="F1357" s="35">
        <v>1.498</v>
      </c>
      <c r="G1357" s="35">
        <v>5300</v>
      </c>
    </row>
    <row r="1358" spans="1:7" x14ac:dyDescent="0.25">
      <c r="A1358">
        <v>20221028</v>
      </c>
      <c r="B1358" t="s">
        <v>770</v>
      </c>
      <c r="C1358" t="s">
        <v>272</v>
      </c>
      <c r="D1358" t="s">
        <v>242</v>
      </c>
      <c r="E1358" s="35">
        <v>0.999</v>
      </c>
      <c r="F1358" s="35">
        <v>1.498</v>
      </c>
      <c r="G1358" s="35">
        <v>5000</v>
      </c>
    </row>
    <row r="1359" spans="1:7" x14ac:dyDescent="0.25">
      <c r="A1359">
        <v>20221028</v>
      </c>
      <c r="B1359" t="s">
        <v>770</v>
      </c>
      <c r="C1359" t="s">
        <v>272</v>
      </c>
      <c r="D1359" t="s">
        <v>250</v>
      </c>
      <c r="E1359" s="35">
        <v>0.999</v>
      </c>
      <c r="F1359" s="35">
        <v>1.498</v>
      </c>
      <c r="G1359" s="35">
        <v>4700</v>
      </c>
    </row>
    <row r="1360" spans="1:7" x14ac:dyDescent="0.25">
      <c r="A1360">
        <v>20221028</v>
      </c>
      <c r="B1360" t="s">
        <v>770</v>
      </c>
      <c r="C1360" t="s">
        <v>272</v>
      </c>
      <c r="D1360" t="s">
        <v>258</v>
      </c>
      <c r="E1360" s="35">
        <v>0.999</v>
      </c>
      <c r="F1360" s="35">
        <v>1.498</v>
      </c>
      <c r="G1360" s="35">
        <v>4300</v>
      </c>
    </row>
    <row r="1361" spans="1:7" x14ac:dyDescent="0.25">
      <c r="A1361">
        <v>20221028</v>
      </c>
      <c r="B1361" t="s">
        <v>770</v>
      </c>
      <c r="C1361" t="s">
        <v>272</v>
      </c>
      <c r="D1361" t="s">
        <v>265</v>
      </c>
      <c r="E1361" s="35">
        <v>0.999</v>
      </c>
      <c r="F1361" s="35">
        <v>1.498</v>
      </c>
      <c r="G1361" s="35">
        <v>3900</v>
      </c>
    </row>
    <row r="1362" spans="1:7" x14ac:dyDescent="0.25">
      <c r="A1362">
        <v>20221028</v>
      </c>
      <c r="B1362" t="s">
        <v>770</v>
      </c>
      <c r="C1362" t="s">
        <v>272</v>
      </c>
      <c r="D1362" t="s">
        <v>273</v>
      </c>
      <c r="E1362" s="35">
        <v>0.999</v>
      </c>
      <c r="F1362" s="35">
        <v>1.498</v>
      </c>
      <c r="G1362" s="35">
        <v>3600</v>
      </c>
    </row>
    <row r="1363" spans="1:7" x14ac:dyDescent="0.25">
      <c r="A1363">
        <v>20221028</v>
      </c>
      <c r="B1363" t="s">
        <v>770</v>
      </c>
      <c r="C1363" t="s">
        <v>272</v>
      </c>
      <c r="D1363" t="s">
        <v>279</v>
      </c>
      <c r="E1363" s="35">
        <v>0.999</v>
      </c>
      <c r="F1363" s="35">
        <v>1.498</v>
      </c>
      <c r="G1363" s="35">
        <v>3300</v>
      </c>
    </row>
    <row r="1364" spans="1:7" x14ac:dyDescent="0.25">
      <c r="A1364">
        <v>20221028</v>
      </c>
      <c r="B1364" t="s">
        <v>770</v>
      </c>
      <c r="C1364" t="s">
        <v>272</v>
      </c>
      <c r="D1364" t="s">
        <v>285</v>
      </c>
      <c r="E1364" s="35">
        <v>0.999</v>
      </c>
      <c r="F1364" s="35">
        <v>1.498</v>
      </c>
      <c r="G1364" s="35">
        <v>1800</v>
      </c>
    </row>
    <row r="1365" spans="1:7" x14ac:dyDescent="0.25">
      <c r="A1365">
        <v>20221028</v>
      </c>
      <c r="B1365" t="s">
        <v>770</v>
      </c>
      <c r="C1365" t="s">
        <v>272</v>
      </c>
      <c r="D1365" t="s">
        <v>289</v>
      </c>
      <c r="E1365" s="35">
        <v>0.999</v>
      </c>
      <c r="F1365" s="35">
        <v>1.498</v>
      </c>
      <c r="G1365" s="35">
        <v>1100</v>
      </c>
    </row>
    <row r="1366" spans="1:7" x14ac:dyDescent="0.25">
      <c r="A1366">
        <v>20221028</v>
      </c>
      <c r="B1366" t="s">
        <v>770</v>
      </c>
      <c r="C1366" t="s">
        <v>278</v>
      </c>
      <c r="D1366" t="s">
        <v>187</v>
      </c>
      <c r="E1366" s="35">
        <v>0.999</v>
      </c>
      <c r="F1366" s="35">
        <v>1.498</v>
      </c>
      <c r="G1366" s="35">
        <v>5000</v>
      </c>
    </row>
    <row r="1367" spans="1:7" x14ac:dyDescent="0.25">
      <c r="A1367">
        <v>20221028</v>
      </c>
      <c r="B1367" t="s">
        <v>770</v>
      </c>
      <c r="C1367" t="s">
        <v>278</v>
      </c>
      <c r="D1367" t="s">
        <v>214</v>
      </c>
      <c r="E1367" s="35">
        <v>0.999</v>
      </c>
      <c r="F1367" s="35">
        <v>1.498</v>
      </c>
      <c r="G1367" s="35">
        <v>4700</v>
      </c>
    </row>
    <row r="1368" spans="1:7" x14ac:dyDescent="0.25">
      <c r="A1368">
        <v>20221028</v>
      </c>
      <c r="B1368" t="s">
        <v>770</v>
      </c>
      <c r="C1368" t="s">
        <v>278</v>
      </c>
      <c r="D1368" t="s">
        <v>233</v>
      </c>
      <c r="E1368" s="35">
        <v>0.999</v>
      </c>
      <c r="F1368" s="35">
        <v>1.498</v>
      </c>
      <c r="G1368" s="35">
        <v>4500</v>
      </c>
    </row>
    <row r="1369" spans="1:7" x14ac:dyDescent="0.25">
      <c r="A1369">
        <v>20221028</v>
      </c>
      <c r="B1369" t="s">
        <v>770</v>
      </c>
      <c r="C1369" t="s">
        <v>278</v>
      </c>
      <c r="D1369" t="s">
        <v>242</v>
      </c>
      <c r="E1369" s="35">
        <v>0.999</v>
      </c>
      <c r="F1369" s="35">
        <v>1.498</v>
      </c>
      <c r="G1369" s="35">
        <v>4300</v>
      </c>
    </row>
    <row r="1370" spans="1:7" x14ac:dyDescent="0.25">
      <c r="A1370">
        <v>20221028</v>
      </c>
      <c r="B1370" t="s">
        <v>770</v>
      </c>
      <c r="C1370" t="s">
        <v>278</v>
      </c>
      <c r="D1370" t="s">
        <v>250</v>
      </c>
      <c r="E1370" s="35">
        <v>0.999</v>
      </c>
      <c r="F1370" s="35">
        <v>1.498</v>
      </c>
      <c r="G1370" s="35">
        <v>4000</v>
      </c>
    </row>
    <row r="1371" spans="1:7" x14ac:dyDescent="0.25">
      <c r="A1371">
        <v>20221028</v>
      </c>
      <c r="B1371" t="s">
        <v>770</v>
      </c>
      <c r="C1371" t="s">
        <v>278</v>
      </c>
      <c r="D1371" t="s">
        <v>258</v>
      </c>
      <c r="E1371" s="35">
        <v>0.999</v>
      </c>
      <c r="F1371" s="35">
        <v>1.498</v>
      </c>
      <c r="G1371" s="35">
        <v>3600</v>
      </c>
    </row>
    <row r="1372" spans="1:7" x14ac:dyDescent="0.25">
      <c r="A1372">
        <v>20221028</v>
      </c>
      <c r="B1372" t="s">
        <v>770</v>
      </c>
      <c r="C1372" t="s">
        <v>278</v>
      </c>
      <c r="D1372" t="s">
        <v>265</v>
      </c>
      <c r="E1372" s="35">
        <v>0.999</v>
      </c>
      <c r="F1372" s="35">
        <v>1.498</v>
      </c>
      <c r="G1372" s="35">
        <v>3300</v>
      </c>
    </row>
    <row r="1373" spans="1:7" x14ac:dyDescent="0.25">
      <c r="A1373">
        <v>20221028</v>
      </c>
      <c r="B1373" t="s">
        <v>770</v>
      </c>
      <c r="C1373" t="s">
        <v>278</v>
      </c>
      <c r="D1373" t="s">
        <v>273</v>
      </c>
      <c r="E1373" s="35">
        <v>0.999</v>
      </c>
      <c r="F1373" s="35">
        <v>1.498</v>
      </c>
      <c r="G1373" s="35">
        <v>3100</v>
      </c>
    </row>
    <row r="1374" spans="1:7" x14ac:dyDescent="0.25">
      <c r="A1374">
        <v>20221028</v>
      </c>
      <c r="B1374" t="s">
        <v>770</v>
      </c>
      <c r="C1374" t="s">
        <v>278</v>
      </c>
      <c r="D1374" t="s">
        <v>279</v>
      </c>
      <c r="E1374" s="35">
        <v>0.999</v>
      </c>
      <c r="F1374" s="35">
        <v>1.498</v>
      </c>
      <c r="G1374" s="35">
        <v>2900</v>
      </c>
    </row>
    <row r="1375" spans="1:7" x14ac:dyDescent="0.25">
      <c r="A1375">
        <v>20221028</v>
      </c>
      <c r="B1375" t="s">
        <v>770</v>
      </c>
      <c r="C1375" t="s">
        <v>278</v>
      </c>
      <c r="D1375" t="s">
        <v>285</v>
      </c>
      <c r="E1375" s="35">
        <v>0.999</v>
      </c>
      <c r="F1375" s="35">
        <v>1.498</v>
      </c>
      <c r="G1375" s="35">
        <v>1700</v>
      </c>
    </row>
    <row r="1376" spans="1:7" x14ac:dyDescent="0.25">
      <c r="A1376">
        <v>20221028</v>
      </c>
      <c r="B1376" t="s">
        <v>770</v>
      </c>
      <c r="C1376" t="s">
        <v>278</v>
      </c>
      <c r="D1376" t="s">
        <v>289</v>
      </c>
      <c r="E1376" s="35">
        <v>0.999</v>
      </c>
      <c r="F1376" s="35">
        <v>1.498</v>
      </c>
      <c r="G1376" s="35">
        <v>1000</v>
      </c>
    </row>
    <row r="1377" spans="1:7" x14ac:dyDescent="0.25">
      <c r="A1377">
        <v>20221028</v>
      </c>
      <c r="B1377" t="s">
        <v>770</v>
      </c>
      <c r="C1377" t="s">
        <v>284</v>
      </c>
      <c r="D1377" t="s">
        <v>187</v>
      </c>
      <c r="E1377" s="35">
        <v>0.999</v>
      </c>
      <c r="F1377" s="35">
        <v>1.498</v>
      </c>
      <c r="G1377" s="35">
        <v>4400</v>
      </c>
    </row>
    <row r="1378" spans="1:7" x14ac:dyDescent="0.25">
      <c r="A1378">
        <v>20221028</v>
      </c>
      <c r="B1378" t="s">
        <v>770</v>
      </c>
      <c r="C1378" t="s">
        <v>284</v>
      </c>
      <c r="D1378" t="s">
        <v>214</v>
      </c>
      <c r="E1378" s="35">
        <v>0.999</v>
      </c>
      <c r="F1378" s="35">
        <v>1.498</v>
      </c>
      <c r="G1378" s="35">
        <v>4200</v>
      </c>
    </row>
    <row r="1379" spans="1:7" x14ac:dyDescent="0.25">
      <c r="A1379">
        <v>20221028</v>
      </c>
      <c r="B1379" t="s">
        <v>770</v>
      </c>
      <c r="C1379" t="s">
        <v>284</v>
      </c>
      <c r="D1379" t="s">
        <v>233</v>
      </c>
      <c r="E1379" s="35">
        <v>0.999</v>
      </c>
      <c r="F1379" s="35">
        <v>1.498</v>
      </c>
      <c r="G1379" s="35">
        <v>4000</v>
      </c>
    </row>
    <row r="1380" spans="1:7" x14ac:dyDescent="0.25">
      <c r="A1380">
        <v>20221028</v>
      </c>
      <c r="B1380" t="s">
        <v>770</v>
      </c>
      <c r="C1380" t="s">
        <v>284</v>
      </c>
      <c r="D1380" t="s">
        <v>242</v>
      </c>
      <c r="E1380" s="35">
        <v>0.999</v>
      </c>
      <c r="F1380" s="35">
        <v>1.498</v>
      </c>
      <c r="G1380" s="35">
        <v>3800</v>
      </c>
    </row>
    <row r="1381" spans="1:7" x14ac:dyDescent="0.25">
      <c r="A1381">
        <v>20221028</v>
      </c>
      <c r="B1381" t="s">
        <v>770</v>
      </c>
      <c r="C1381" t="s">
        <v>284</v>
      </c>
      <c r="D1381" t="s">
        <v>250</v>
      </c>
      <c r="E1381" s="35">
        <v>0.999</v>
      </c>
      <c r="F1381" s="35">
        <v>1.498</v>
      </c>
      <c r="G1381" s="35">
        <v>3500</v>
      </c>
    </row>
    <row r="1382" spans="1:7" x14ac:dyDescent="0.25">
      <c r="A1382">
        <v>20221028</v>
      </c>
      <c r="B1382" t="s">
        <v>770</v>
      </c>
      <c r="C1382" t="s">
        <v>284</v>
      </c>
      <c r="D1382" t="s">
        <v>258</v>
      </c>
      <c r="E1382" s="35">
        <v>0.999</v>
      </c>
      <c r="F1382" s="35">
        <v>1.498</v>
      </c>
      <c r="G1382" s="35">
        <v>3300</v>
      </c>
    </row>
    <row r="1383" spans="1:7" x14ac:dyDescent="0.25">
      <c r="A1383">
        <v>20221028</v>
      </c>
      <c r="B1383" t="s">
        <v>770</v>
      </c>
      <c r="C1383" t="s">
        <v>284</v>
      </c>
      <c r="D1383" t="s">
        <v>265</v>
      </c>
      <c r="E1383" s="35">
        <v>0.999</v>
      </c>
      <c r="F1383" s="35">
        <v>1.498</v>
      </c>
      <c r="G1383" s="35">
        <v>2900</v>
      </c>
    </row>
    <row r="1384" spans="1:7" x14ac:dyDescent="0.25">
      <c r="A1384">
        <v>20221028</v>
      </c>
      <c r="B1384" t="s">
        <v>770</v>
      </c>
      <c r="C1384" t="s">
        <v>284</v>
      </c>
      <c r="D1384" t="s">
        <v>273</v>
      </c>
      <c r="E1384" s="35">
        <v>0.999</v>
      </c>
      <c r="F1384" s="35">
        <v>1.498</v>
      </c>
      <c r="G1384" s="35">
        <v>2700</v>
      </c>
    </row>
    <row r="1385" spans="1:7" x14ac:dyDescent="0.25">
      <c r="A1385">
        <v>20221028</v>
      </c>
      <c r="B1385" t="s">
        <v>770</v>
      </c>
      <c r="C1385" t="s">
        <v>284</v>
      </c>
      <c r="D1385" t="s">
        <v>279</v>
      </c>
      <c r="E1385" s="35">
        <v>0.999</v>
      </c>
      <c r="F1385" s="35">
        <v>1.498</v>
      </c>
      <c r="G1385" s="35">
        <v>2600</v>
      </c>
    </row>
    <row r="1386" spans="1:7" x14ac:dyDescent="0.25">
      <c r="A1386">
        <v>20221028</v>
      </c>
      <c r="B1386" t="s">
        <v>770</v>
      </c>
      <c r="C1386" t="s">
        <v>284</v>
      </c>
      <c r="D1386" t="s">
        <v>285</v>
      </c>
      <c r="E1386" s="35">
        <v>0.999</v>
      </c>
      <c r="F1386" s="35">
        <v>1.498</v>
      </c>
      <c r="G1386" s="35">
        <v>1600</v>
      </c>
    </row>
    <row r="1387" spans="1:7" x14ac:dyDescent="0.25">
      <c r="A1387">
        <v>20221028</v>
      </c>
      <c r="B1387" t="s">
        <v>770</v>
      </c>
      <c r="C1387" t="s">
        <v>284</v>
      </c>
      <c r="D1387" t="s">
        <v>289</v>
      </c>
      <c r="E1387" s="35">
        <v>0.999</v>
      </c>
      <c r="F1387" s="35">
        <v>1.498</v>
      </c>
      <c r="G1387" s="35">
        <v>1000</v>
      </c>
    </row>
    <row r="1388" spans="1:7" x14ac:dyDescent="0.25">
      <c r="A1388">
        <v>20221028</v>
      </c>
      <c r="B1388" t="s">
        <v>770</v>
      </c>
      <c r="C1388" t="s">
        <v>186</v>
      </c>
      <c r="D1388" t="s">
        <v>187</v>
      </c>
      <c r="E1388" s="35">
        <v>1.4990000000000001</v>
      </c>
      <c r="F1388" s="35">
        <v>1.998</v>
      </c>
      <c r="G1388" s="35">
        <v>28400</v>
      </c>
    </row>
    <row r="1389" spans="1:7" x14ac:dyDescent="0.25">
      <c r="A1389">
        <v>20221028</v>
      </c>
      <c r="B1389" t="s">
        <v>770</v>
      </c>
      <c r="C1389" t="s">
        <v>186</v>
      </c>
      <c r="D1389" t="s">
        <v>214</v>
      </c>
      <c r="E1389" s="35">
        <v>1.4990000000000001</v>
      </c>
      <c r="F1389" s="35">
        <v>1.998</v>
      </c>
      <c r="G1389" s="35">
        <v>23800</v>
      </c>
    </row>
    <row r="1390" spans="1:7" x14ac:dyDescent="0.25">
      <c r="A1390">
        <v>20221028</v>
      </c>
      <c r="B1390" t="s">
        <v>770</v>
      </c>
      <c r="C1390" t="s">
        <v>186</v>
      </c>
      <c r="D1390" t="s">
        <v>233</v>
      </c>
      <c r="E1390" s="35">
        <v>1.4990000000000001</v>
      </c>
      <c r="F1390" s="35">
        <v>1.998</v>
      </c>
      <c r="G1390" s="35">
        <v>20700</v>
      </c>
    </row>
    <row r="1391" spans="1:7" x14ac:dyDescent="0.25">
      <c r="A1391">
        <v>20221028</v>
      </c>
      <c r="B1391" t="s">
        <v>770</v>
      </c>
      <c r="C1391" t="s">
        <v>186</v>
      </c>
      <c r="D1391" t="s">
        <v>242</v>
      </c>
      <c r="E1391" s="35">
        <v>1.4990000000000001</v>
      </c>
      <c r="F1391" s="35">
        <v>1.998</v>
      </c>
      <c r="G1391" s="35">
        <v>18500</v>
      </c>
    </row>
    <row r="1392" spans="1:7" x14ac:dyDescent="0.25">
      <c r="A1392">
        <v>20221028</v>
      </c>
      <c r="B1392" t="s">
        <v>770</v>
      </c>
      <c r="C1392" t="s">
        <v>186</v>
      </c>
      <c r="D1392" t="s">
        <v>250</v>
      </c>
      <c r="E1392" s="35">
        <v>1.4990000000000001</v>
      </c>
      <c r="F1392" s="35">
        <v>1.998</v>
      </c>
      <c r="G1392" s="35">
        <v>16100</v>
      </c>
    </row>
    <row r="1393" spans="1:7" x14ac:dyDescent="0.25">
      <c r="A1393">
        <v>20221028</v>
      </c>
      <c r="B1393" t="s">
        <v>770</v>
      </c>
      <c r="C1393" t="s">
        <v>186</v>
      </c>
      <c r="D1393" t="s">
        <v>258</v>
      </c>
      <c r="E1393" s="35">
        <v>1.4990000000000001</v>
      </c>
      <c r="F1393" s="35">
        <v>1.998</v>
      </c>
      <c r="G1393" s="35">
        <v>13100</v>
      </c>
    </row>
    <row r="1394" spans="1:7" x14ac:dyDescent="0.25">
      <c r="A1394">
        <v>20221028</v>
      </c>
      <c r="B1394" t="s">
        <v>770</v>
      </c>
      <c r="C1394" t="s">
        <v>186</v>
      </c>
      <c r="D1394" t="s">
        <v>265</v>
      </c>
      <c r="E1394" s="35">
        <v>1.4990000000000001</v>
      </c>
      <c r="F1394" s="35">
        <v>1.998</v>
      </c>
      <c r="G1394" s="35">
        <v>11000</v>
      </c>
    </row>
    <row r="1395" spans="1:7" x14ac:dyDescent="0.25">
      <c r="A1395">
        <v>20221028</v>
      </c>
      <c r="B1395" t="s">
        <v>770</v>
      </c>
      <c r="C1395" t="s">
        <v>186</v>
      </c>
      <c r="D1395" t="s">
        <v>273</v>
      </c>
      <c r="E1395" s="35">
        <v>1.4990000000000001</v>
      </c>
      <c r="F1395" s="35">
        <v>1.998</v>
      </c>
      <c r="G1395" s="35">
        <v>9000</v>
      </c>
    </row>
    <row r="1396" spans="1:7" x14ac:dyDescent="0.25">
      <c r="A1396">
        <v>20221028</v>
      </c>
      <c r="B1396" t="s">
        <v>770</v>
      </c>
      <c r="C1396" t="s">
        <v>186</v>
      </c>
      <c r="D1396" t="s">
        <v>279</v>
      </c>
      <c r="E1396" s="35">
        <v>1.4990000000000001</v>
      </c>
      <c r="F1396" s="35">
        <v>1.998</v>
      </c>
      <c r="G1396" s="35">
        <v>7500</v>
      </c>
    </row>
    <row r="1397" spans="1:7" x14ac:dyDescent="0.25">
      <c r="A1397">
        <v>20221028</v>
      </c>
      <c r="B1397" t="s">
        <v>770</v>
      </c>
      <c r="C1397" t="s">
        <v>186</v>
      </c>
      <c r="D1397" t="s">
        <v>285</v>
      </c>
      <c r="E1397" s="35">
        <v>1.4990000000000001</v>
      </c>
      <c r="F1397" s="35">
        <v>1.998</v>
      </c>
      <c r="G1397" s="35">
        <v>3600</v>
      </c>
    </row>
    <row r="1398" spans="1:7" x14ac:dyDescent="0.25">
      <c r="A1398">
        <v>20221028</v>
      </c>
      <c r="B1398" t="s">
        <v>770</v>
      </c>
      <c r="C1398" t="s">
        <v>186</v>
      </c>
      <c r="D1398" t="s">
        <v>289</v>
      </c>
      <c r="E1398" s="35">
        <v>1.4990000000000001</v>
      </c>
      <c r="F1398" s="35">
        <v>1.998</v>
      </c>
      <c r="G1398" s="35">
        <v>1800</v>
      </c>
    </row>
    <row r="1399" spans="1:7" x14ac:dyDescent="0.25">
      <c r="A1399">
        <v>20221028</v>
      </c>
      <c r="B1399" t="s">
        <v>770</v>
      </c>
      <c r="C1399" t="s">
        <v>213</v>
      </c>
      <c r="D1399" t="s">
        <v>187</v>
      </c>
      <c r="E1399" s="35">
        <v>1.4990000000000001</v>
      </c>
      <c r="F1399" s="35">
        <v>1.998</v>
      </c>
      <c r="G1399" s="35">
        <v>24900</v>
      </c>
    </row>
    <row r="1400" spans="1:7" x14ac:dyDescent="0.25">
      <c r="A1400">
        <v>20221028</v>
      </c>
      <c r="B1400" t="s">
        <v>770</v>
      </c>
      <c r="C1400" t="s">
        <v>213</v>
      </c>
      <c r="D1400" t="s">
        <v>214</v>
      </c>
      <c r="E1400" s="35">
        <v>1.4990000000000001</v>
      </c>
      <c r="F1400" s="35">
        <v>1.998</v>
      </c>
      <c r="G1400" s="35">
        <v>21800</v>
      </c>
    </row>
    <row r="1401" spans="1:7" x14ac:dyDescent="0.25">
      <c r="A1401">
        <v>20221028</v>
      </c>
      <c r="B1401" t="s">
        <v>770</v>
      </c>
      <c r="C1401" t="s">
        <v>213</v>
      </c>
      <c r="D1401" t="s">
        <v>233</v>
      </c>
      <c r="E1401" s="35">
        <v>1.4990000000000001</v>
      </c>
      <c r="F1401" s="35">
        <v>1.998</v>
      </c>
      <c r="G1401" s="35">
        <v>19300</v>
      </c>
    </row>
    <row r="1402" spans="1:7" x14ac:dyDescent="0.25">
      <c r="A1402">
        <v>20221028</v>
      </c>
      <c r="B1402" t="s">
        <v>770</v>
      </c>
      <c r="C1402" t="s">
        <v>213</v>
      </c>
      <c r="D1402" t="s">
        <v>242</v>
      </c>
      <c r="E1402" s="35">
        <v>1.4990000000000001</v>
      </c>
      <c r="F1402" s="35">
        <v>1.998</v>
      </c>
      <c r="G1402" s="35">
        <v>17200</v>
      </c>
    </row>
    <row r="1403" spans="1:7" x14ac:dyDescent="0.25">
      <c r="A1403">
        <v>20221028</v>
      </c>
      <c r="B1403" t="s">
        <v>770</v>
      </c>
      <c r="C1403" t="s">
        <v>213</v>
      </c>
      <c r="D1403" t="s">
        <v>250</v>
      </c>
      <c r="E1403" s="35">
        <v>1.4990000000000001</v>
      </c>
      <c r="F1403" s="35">
        <v>1.998</v>
      </c>
      <c r="G1403" s="35">
        <v>15000</v>
      </c>
    </row>
    <row r="1404" spans="1:7" x14ac:dyDescent="0.25">
      <c r="A1404">
        <v>20221028</v>
      </c>
      <c r="B1404" t="s">
        <v>770</v>
      </c>
      <c r="C1404" t="s">
        <v>213</v>
      </c>
      <c r="D1404" t="s">
        <v>258</v>
      </c>
      <c r="E1404" s="35">
        <v>1.4990000000000001</v>
      </c>
      <c r="F1404" s="35">
        <v>1.998</v>
      </c>
      <c r="G1404" s="35">
        <v>12300</v>
      </c>
    </row>
    <row r="1405" spans="1:7" x14ac:dyDescent="0.25">
      <c r="A1405">
        <v>20221028</v>
      </c>
      <c r="B1405" t="s">
        <v>770</v>
      </c>
      <c r="C1405" t="s">
        <v>213</v>
      </c>
      <c r="D1405" t="s">
        <v>265</v>
      </c>
      <c r="E1405" s="35">
        <v>1.4990000000000001</v>
      </c>
      <c r="F1405" s="35">
        <v>1.998</v>
      </c>
      <c r="G1405" s="35">
        <v>10300</v>
      </c>
    </row>
    <row r="1406" spans="1:7" x14ac:dyDescent="0.25">
      <c r="A1406">
        <v>20221028</v>
      </c>
      <c r="B1406" t="s">
        <v>770</v>
      </c>
      <c r="C1406" t="s">
        <v>213</v>
      </c>
      <c r="D1406" t="s">
        <v>273</v>
      </c>
      <c r="E1406" s="35">
        <v>1.4990000000000001</v>
      </c>
      <c r="F1406" s="35">
        <v>1.998</v>
      </c>
      <c r="G1406" s="35">
        <v>8400</v>
      </c>
    </row>
    <row r="1407" spans="1:7" x14ac:dyDescent="0.25">
      <c r="A1407">
        <v>20221028</v>
      </c>
      <c r="B1407" t="s">
        <v>770</v>
      </c>
      <c r="C1407" t="s">
        <v>213</v>
      </c>
      <c r="D1407" t="s">
        <v>279</v>
      </c>
      <c r="E1407" s="35">
        <v>1.4990000000000001</v>
      </c>
      <c r="F1407" s="35">
        <v>1.998</v>
      </c>
      <c r="G1407" s="35">
        <v>7000</v>
      </c>
    </row>
    <row r="1408" spans="1:7" x14ac:dyDescent="0.25">
      <c r="A1408">
        <v>20221028</v>
      </c>
      <c r="B1408" t="s">
        <v>770</v>
      </c>
      <c r="C1408" t="s">
        <v>213</v>
      </c>
      <c r="D1408" t="s">
        <v>285</v>
      </c>
      <c r="E1408" s="35">
        <v>1.4990000000000001</v>
      </c>
      <c r="F1408" s="35">
        <v>1.998</v>
      </c>
      <c r="G1408" s="35">
        <v>3400</v>
      </c>
    </row>
    <row r="1409" spans="1:7" x14ac:dyDescent="0.25">
      <c r="A1409">
        <v>20221028</v>
      </c>
      <c r="B1409" t="s">
        <v>770</v>
      </c>
      <c r="C1409" t="s">
        <v>213</v>
      </c>
      <c r="D1409" t="s">
        <v>289</v>
      </c>
      <c r="E1409" s="35">
        <v>1.4990000000000001</v>
      </c>
      <c r="F1409" s="35">
        <v>1.998</v>
      </c>
      <c r="G1409" s="35">
        <v>1700</v>
      </c>
    </row>
    <row r="1410" spans="1:7" x14ac:dyDescent="0.25">
      <c r="A1410">
        <v>20221028</v>
      </c>
      <c r="B1410" t="s">
        <v>770</v>
      </c>
      <c r="C1410" t="s">
        <v>232</v>
      </c>
      <c r="D1410" t="s">
        <v>187</v>
      </c>
      <c r="E1410" s="35">
        <v>1.4990000000000001</v>
      </c>
      <c r="F1410" s="35">
        <v>1.998</v>
      </c>
      <c r="G1410" s="35">
        <v>22000</v>
      </c>
    </row>
    <row r="1411" spans="1:7" x14ac:dyDescent="0.25">
      <c r="A1411">
        <v>20221028</v>
      </c>
      <c r="B1411" t="s">
        <v>770</v>
      </c>
      <c r="C1411" t="s">
        <v>232</v>
      </c>
      <c r="D1411" t="s">
        <v>214</v>
      </c>
      <c r="E1411" s="35">
        <v>1.4990000000000001</v>
      </c>
      <c r="F1411" s="35">
        <v>1.998</v>
      </c>
      <c r="G1411" s="35">
        <v>19400</v>
      </c>
    </row>
    <row r="1412" spans="1:7" x14ac:dyDescent="0.25">
      <c r="A1412">
        <v>20221028</v>
      </c>
      <c r="B1412" t="s">
        <v>770</v>
      </c>
      <c r="C1412" t="s">
        <v>232</v>
      </c>
      <c r="D1412" t="s">
        <v>233</v>
      </c>
      <c r="E1412" s="35">
        <v>1.4990000000000001</v>
      </c>
      <c r="F1412" s="35">
        <v>1.998</v>
      </c>
      <c r="G1412" s="35">
        <v>17300</v>
      </c>
    </row>
    <row r="1413" spans="1:7" x14ac:dyDescent="0.25">
      <c r="A1413">
        <v>20221028</v>
      </c>
      <c r="B1413" t="s">
        <v>770</v>
      </c>
      <c r="C1413" t="s">
        <v>232</v>
      </c>
      <c r="D1413" t="s">
        <v>242</v>
      </c>
      <c r="E1413" s="35">
        <v>1.4990000000000001</v>
      </c>
      <c r="F1413" s="35">
        <v>1.998</v>
      </c>
      <c r="G1413" s="35">
        <v>15700</v>
      </c>
    </row>
    <row r="1414" spans="1:7" x14ac:dyDescent="0.25">
      <c r="A1414">
        <v>20221028</v>
      </c>
      <c r="B1414" t="s">
        <v>770</v>
      </c>
      <c r="C1414" t="s">
        <v>232</v>
      </c>
      <c r="D1414" t="s">
        <v>250</v>
      </c>
      <c r="E1414" s="35">
        <v>1.4990000000000001</v>
      </c>
      <c r="F1414" s="35">
        <v>1.998</v>
      </c>
      <c r="G1414" s="35">
        <v>14100</v>
      </c>
    </row>
    <row r="1415" spans="1:7" x14ac:dyDescent="0.25">
      <c r="A1415">
        <v>20221028</v>
      </c>
      <c r="B1415" t="s">
        <v>770</v>
      </c>
      <c r="C1415" t="s">
        <v>232</v>
      </c>
      <c r="D1415" t="s">
        <v>258</v>
      </c>
      <c r="E1415" s="35">
        <v>1.4990000000000001</v>
      </c>
      <c r="F1415" s="35">
        <v>1.998</v>
      </c>
      <c r="G1415" s="35">
        <v>11600</v>
      </c>
    </row>
    <row r="1416" spans="1:7" x14ac:dyDescent="0.25">
      <c r="A1416">
        <v>20221028</v>
      </c>
      <c r="B1416" t="s">
        <v>770</v>
      </c>
      <c r="C1416" t="s">
        <v>232</v>
      </c>
      <c r="D1416" t="s">
        <v>265</v>
      </c>
      <c r="E1416" s="35">
        <v>1.4990000000000001</v>
      </c>
      <c r="F1416" s="35">
        <v>1.998</v>
      </c>
      <c r="G1416" s="35">
        <v>9600</v>
      </c>
    </row>
    <row r="1417" spans="1:7" x14ac:dyDescent="0.25">
      <c r="A1417">
        <v>20221028</v>
      </c>
      <c r="B1417" t="s">
        <v>770</v>
      </c>
      <c r="C1417" t="s">
        <v>232</v>
      </c>
      <c r="D1417" t="s">
        <v>273</v>
      </c>
      <c r="E1417" s="35">
        <v>1.4990000000000001</v>
      </c>
      <c r="F1417" s="35">
        <v>1.998</v>
      </c>
      <c r="G1417" s="35">
        <v>8000</v>
      </c>
    </row>
    <row r="1418" spans="1:7" x14ac:dyDescent="0.25">
      <c r="A1418">
        <v>20221028</v>
      </c>
      <c r="B1418" t="s">
        <v>770</v>
      </c>
      <c r="C1418" t="s">
        <v>232</v>
      </c>
      <c r="D1418" t="s">
        <v>279</v>
      </c>
      <c r="E1418" s="35">
        <v>1.4990000000000001</v>
      </c>
      <c r="F1418" s="35">
        <v>1.998</v>
      </c>
      <c r="G1418" s="35">
        <v>6700</v>
      </c>
    </row>
    <row r="1419" spans="1:7" x14ac:dyDescent="0.25">
      <c r="A1419">
        <v>20221028</v>
      </c>
      <c r="B1419" t="s">
        <v>770</v>
      </c>
      <c r="C1419" t="s">
        <v>232</v>
      </c>
      <c r="D1419" t="s">
        <v>285</v>
      </c>
      <c r="E1419" s="35">
        <v>1.4990000000000001</v>
      </c>
      <c r="F1419" s="35">
        <v>1.998</v>
      </c>
      <c r="G1419" s="35">
        <v>3300</v>
      </c>
    </row>
    <row r="1420" spans="1:7" x14ac:dyDescent="0.25">
      <c r="A1420">
        <v>20221028</v>
      </c>
      <c r="B1420" t="s">
        <v>770</v>
      </c>
      <c r="C1420" t="s">
        <v>232</v>
      </c>
      <c r="D1420" t="s">
        <v>289</v>
      </c>
      <c r="E1420" s="35">
        <v>1.4990000000000001</v>
      </c>
      <c r="F1420" s="35">
        <v>1.998</v>
      </c>
      <c r="G1420" s="35">
        <v>1600</v>
      </c>
    </row>
    <row r="1421" spans="1:7" x14ac:dyDescent="0.25">
      <c r="A1421">
        <v>20221028</v>
      </c>
      <c r="B1421" t="s">
        <v>770</v>
      </c>
      <c r="C1421" t="s">
        <v>215</v>
      </c>
      <c r="D1421" t="s">
        <v>187</v>
      </c>
      <c r="E1421" s="35">
        <v>1.4990000000000001</v>
      </c>
      <c r="F1421" s="35">
        <v>1.998</v>
      </c>
      <c r="G1421" s="35">
        <v>18200</v>
      </c>
    </row>
    <row r="1422" spans="1:7" x14ac:dyDescent="0.25">
      <c r="A1422">
        <v>20221028</v>
      </c>
      <c r="B1422" t="s">
        <v>770</v>
      </c>
      <c r="C1422" t="s">
        <v>215</v>
      </c>
      <c r="D1422" t="s">
        <v>214</v>
      </c>
      <c r="E1422" s="35">
        <v>1.4990000000000001</v>
      </c>
      <c r="F1422" s="35">
        <v>1.998</v>
      </c>
      <c r="G1422" s="35">
        <v>16500</v>
      </c>
    </row>
    <row r="1423" spans="1:7" x14ac:dyDescent="0.25">
      <c r="A1423">
        <v>20221028</v>
      </c>
      <c r="B1423" t="s">
        <v>770</v>
      </c>
      <c r="C1423" t="s">
        <v>215</v>
      </c>
      <c r="D1423" t="s">
        <v>233</v>
      </c>
      <c r="E1423" s="35">
        <v>1.4990000000000001</v>
      </c>
      <c r="F1423" s="35">
        <v>1.998</v>
      </c>
      <c r="G1423" s="35">
        <v>15000</v>
      </c>
    </row>
    <row r="1424" spans="1:7" x14ac:dyDescent="0.25">
      <c r="A1424">
        <v>20221028</v>
      </c>
      <c r="B1424" t="s">
        <v>770</v>
      </c>
      <c r="C1424" t="s">
        <v>215</v>
      </c>
      <c r="D1424" t="s">
        <v>242</v>
      </c>
      <c r="E1424" s="35">
        <v>1.4990000000000001</v>
      </c>
      <c r="F1424" s="35">
        <v>1.998</v>
      </c>
      <c r="G1424" s="35">
        <v>13900</v>
      </c>
    </row>
    <row r="1425" spans="1:7" x14ac:dyDescent="0.25">
      <c r="A1425">
        <v>20221028</v>
      </c>
      <c r="B1425" t="s">
        <v>770</v>
      </c>
      <c r="C1425" t="s">
        <v>215</v>
      </c>
      <c r="D1425" t="s">
        <v>250</v>
      </c>
      <c r="E1425" s="35">
        <v>1.4990000000000001</v>
      </c>
      <c r="F1425" s="35">
        <v>1.998</v>
      </c>
      <c r="G1425" s="35">
        <v>12700</v>
      </c>
    </row>
    <row r="1426" spans="1:7" x14ac:dyDescent="0.25">
      <c r="A1426">
        <v>20221028</v>
      </c>
      <c r="B1426" t="s">
        <v>770</v>
      </c>
      <c r="C1426" t="s">
        <v>215</v>
      </c>
      <c r="D1426" t="s">
        <v>258</v>
      </c>
      <c r="E1426" s="35">
        <v>1.4990000000000001</v>
      </c>
      <c r="F1426" s="35">
        <v>1.998</v>
      </c>
      <c r="G1426" s="35">
        <v>10900</v>
      </c>
    </row>
    <row r="1427" spans="1:7" x14ac:dyDescent="0.25">
      <c r="A1427">
        <v>20221028</v>
      </c>
      <c r="B1427" t="s">
        <v>770</v>
      </c>
      <c r="C1427" t="s">
        <v>215</v>
      </c>
      <c r="D1427" t="s">
        <v>265</v>
      </c>
      <c r="E1427" s="35">
        <v>1.4990000000000001</v>
      </c>
      <c r="F1427" s="35">
        <v>1.998</v>
      </c>
      <c r="G1427" s="35">
        <v>9000</v>
      </c>
    </row>
    <row r="1428" spans="1:7" x14ac:dyDescent="0.25">
      <c r="A1428">
        <v>20221028</v>
      </c>
      <c r="B1428" t="s">
        <v>770</v>
      </c>
      <c r="C1428" t="s">
        <v>215</v>
      </c>
      <c r="D1428" t="s">
        <v>273</v>
      </c>
      <c r="E1428" s="35">
        <v>1.4990000000000001</v>
      </c>
      <c r="F1428" s="35">
        <v>1.998</v>
      </c>
      <c r="G1428" s="35">
        <v>7700</v>
      </c>
    </row>
    <row r="1429" spans="1:7" x14ac:dyDescent="0.25">
      <c r="A1429">
        <v>20221028</v>
      </c>
      <c r="B1429" t="s">
        <v>770</v>
      </c>
      <c r="C1429" t="s">
        <v>215</v>
      </c>
      <c r="D1429" t="s">
        <v>279</v>
      </c>
      <c r="E1429" s="35">
        <v>1.4990000000000001</v>
      </c>
      <c r="F1429" s="35">
        <v>1.998</v>
      </c>
      <c r="G1429" s="35">
        <v>6400</v>
      </c>
    </row>
    <row r="1430" spans="1:7" x14ac:dyDescent="0.25">
      <c r="A1430">
        <v>20221028</v>
      </c>
      <c r="B1430" t="s">
        <v>770</v>
      </c>
      <c r="C1430" t="s">
        <v>215</v>
      </c>
      <c r="D1430" t="s">
        <v>285</v>
      </c>
      <c r="E1430" s="35">
        <v>1.4990000000000001</v>
      </c>
      <c r="F1430" s="35">
        <v>1.998</v>
      </c>
      <c r="G1430" s="35">
        <v>3100</v>
      </c>
    </row>
    <row r="1431" spans="1:7" x14ac:dyDescent="0.25">
      <c r="A1431">
        <v>20221028</v>
      </c>
      <c r="B1431" t="s">
        <v>770</v>
      </c>
      <c r="C1431" t="s">
        <v>215</v>
      </c>
      <c r="D1431" t="s">
        <v>289</v>
      </c>
      <c r="E1431" s="35">
        <v>1.4990000000000001</v>
      </c>
      <c r="F1431" s="35">
        <v>1.998</v>
      </c>
      <c r="G1431" s="35">
        <v>1500</v>
      </c>
    </row>
    <row r="1432" spans="1:7" x14ac:dyDescent="0.25">
      <c r="A1432">
        <v>20221028</v>
      </c>
      <c r="B1432" t="s">
        <v>770</v>
      </c>
      <c r="C1432" t="s">
        <v>249</v>
      </c>
      <c r="D1432" t="s">
        <v>187</v>
      </c>
      <c r="E1432" s="35">
        <v>1.4990000000000001</v>
      </c>
      <c r="F1432" s="35">
        <v>1.998</v>
      </c>
      <c r="G1432" s="35">
        <v>14900</v>
      </c>
    </row>
    <row r="1433" spans="1:7" x14ac:dyDescent="0.25">
      <c r="A1433">
        <v>20221028</v>
      </c>
      <c r="B1433" t="s">
        <v>770</v>
      </c>
      <c r="C1433" t="s">
        <v>249</v>
      </c>
      <c r="D1433" t="s">
        <v>214</v>
      </c>
      <c r="E1433" s="35">
        <v>1.4990000000000001</v>
      </c>
      <c r="F1433" s="35">
        <v>1.998</v>
      </c>
      <c r="G1433" s="35">
        <v>14000</v>
      </c>
    </row>
    <row r="1434" spans="1:7" x14ac:dyDescent="0.25">
      <c r="A1434">
        <v>20221028</v>
      </c>
      <c r="B1434" t="s">
        <v>770</v>
      </c>
      <c r="C1434" t="s">
        <v>249</v>
      </c>
      <c r="D1434" t="s">
        <v>233</v>
      </c>
      <c r="E1434" s="35">
        <v>1.4990000000000001</v>
      </c>
      <c r="F1434" s="35">
        <v>1.998</v>
      </c>
      <c r="G1434" s="35">
        <v>12900</v>
      </c>
    </row>
    <row r="1435" spans="1:7" x14ac:dyDescent="0.25">
      <c r="A1435">
        <v>20221028</v>
      </c>
      <c r="B1435" t="s">
        <v>770</v>
      </c>
      <c r="C1435" t="s">
        <v>249</v>
      </c>
      <c r="D1435" t="s">
        <v>242</v>
      </c>
      <c r="E1435" s="35">
        <v>1.4990000000000001</v>
      </c>
      <c r="F1435" s="35">
        <v>1.998</v>
      </c>
      <c r="G1435" s="35">
        <v>12200</v>
      </c>
    </row>
    <row r="1436" spans="1:7" x14ac:dyDescent="0.25">
      <c r="A1436">
        <v>20221028</v>
      </c>
      <c r="B1436" t="s">
        <v>770</v>
      </c>
      <c r="C1436" t="s">
        <v>249</v>
      </c>
      <c r="D1436" t="s">
        <v>250</v>
      </c>
      <c r="E1436" s="35">
        <v>1.4990000000000001</v>
      </c>
      <c r="F1436" s="35">
        <v>1.998</v>
      </c>
      <c r="G1436" s="35">
        <v>11300</v>
      </c>
    </row>
    <row r="1437" spans="1:7" x14ac:dyDescent="0.25">
      <c r="A1437">
        <v>20221028</v>
      </c>
      <c r="B1437" t="s">
        <v>770</v>
      </c>
      <c r="C1437" t="s">
        <v>249</v>
      </c>
      <c r="D1437" t="s">
        <v>258</v>
      </c>
      <c r="E1437" s="35">
        <v>1.4990000000000001</v>
      </c>
      <c r="F1437" s="35">
        <v>1.998</v>
      </c>
      <c r="G1437" s="35">
        <v>10300</v>
      </c>
    </row>
    <row r="1438" spans="1:7" x14ac:dyDescent="0.25">
      <c r="A1438">
        <v>20221028</v>
      </c>
      <c r="B1438" t="s">
        <v>770</v>
      </c>
      <c r="C1438" t="s">
        <v>249</v>
      </c>
      <c r="D1438" t="s">
        <v>265</v>
      </c>
      <c r="E1438" s="35">
        <v>1.4990000000000001</v>
      </c>
      <c r="F1438" s="35">
        <v>1.998</v>
      </c>
      <c r="G1438" s="35">
        <v>8500</v>
      </c>
    </row>
    <row r="1439" spans="1:7" x14ac:dyDescent="0.25">
      <c r="A1439">
        <v>20221028</v>
      </c>
      <c r="B1439" t="s">
        <v>770</v>
      </c>
      <c r="C1439" t="s">
        <v>249</v>
      </c>
      <c r="D1439" t="s">
        <v>273</v>
      </c>
      <c r="E1439" s="35">
        <v>1.4990000000000001</v>
      </c>
      <c r="F1439" s="35">
        <v>1.998</v>
      </c>
      <c r="G1439" s="35">
        <v>7200</v>
      </c>
    </row>
    <row r="1440" spans="1:7" x14ac:dyDescent="0.25">
      <c r="A1440">
        <v>20221028</v>
      </c>
      <c r="B1440" t="s">
        <v>770</v>
      </c>
      <c r="C1440" t="s">
        <v>249</v>
      </c>
      <c r="D1440" t="s">
        <v>279</v>
      </c>
      <c r="E1440" s="35">
        <v>1.4990000000000001</v>
      </c>
      <c r="F1440" s="35">
        <v>1.998</v>
      </c>
      <c r="G1440" s="35">
        <v>6000</v>
      </c>
    </row>
    <row r="1441" spans="1:7" x14ac:dyDescent="0.25">
      <c r="A1441">
        <v>20221028</v>
      </c>
      <c r="B1441" t="s">
        <v>770</v>
      </c>
      <c r="C1441" t="s">
        <v>249</v>
      </c>
      <c r="D1441" t="s">
        <v>285</v>
      </c>
      <c r="E1441" s="35">
        <v>1.4990000000000001</v>
      </c>
      <c r="F1441" s="35">
        <v>1.998</v>
      </c>
      <c r="G1441" s="35">
        <v>3000</v>
      </c>
    </row>
    <row r="1442" spans="1:7" x14ac:dyDescent="0.25">
      <c r="A1442">
        <v>20221028</v>
      </c>
      <c r="B1442" t="s">
        <v>770</v>
      </c>
      <c r="C1442" t="s">
        <v>249</v>
      </c>
      <c r="D1442" t="s">
        <v>289</v>
      </c>
      <c r="E1442" s="35">
        <v>1.4990000000000001</v>
      </c>
      <c r="F1442" s="35">
        <v>1.998</v>
      </c>
      <c r="G1442" s="35">
        <v>1500</v>
      </c>
    </row>
    <row r="1443" spans="1:7" x14ac:dyDescent="0.25">
      <c r="A1443">
        <v>20221028</v>
      </c>
      <c r="B1443" t="s">
        <v>770</v>
      </c>
      <c r="C1443" t="s">
        <v>257</v>
      </c>
      <c r="D1443" t="s">
        <v>187</v>
      </c>
      <c r="E1443" s="35">
        <v>1.4990000000000001</v>
      </c>
      <c r="F1443" s="35">
        <v>1.998</v>
      </c>
      <c r="G1443" s="35">
        <v>12400</v>
      </c>
    </row>
    <row r="1444" spans="1:7" x14ac:dyDescent="0.25">
      <c r="A1444">
        <v>20221028</v>
      </c>
      <c r="B1444" t="s">
        <v>770</v>
      </c>
      <c r="C1444" t="s">
        <v>257</v>
      </c>
      <c r="D1444" t="s">
        <v>214</v>
      </c>
      <c r="E1444" s="35">
        <v>1.4990000000000001</v>
      </c>
      <c r="F1444" s="35">
        <v>1.998</v>
      </c>
      <c r="G1444" s="35">
        <v>11700</v>
      </c>
    </row>
    <row r="1445" spans="1:7" x14ac:dyDescent="0.25">
      <c r="A1445">
        <v>20221028</v>
      </c>
      <c r="B1445" t="s">
        <v>770</v>
      </c>
      <c r="C1445" t="s">
        <v>257</v>
      </c>
      <c r="D1445" t="s">
        <v>233</v>
      </c>
      <c r="E1445" s="35">
        <v>1.4990000000000001</v>
      </c>
      <c r="F1445" s="35">
        <v>1.998</v>
      </c>
      <c r="G1445" s="35">
        <v>10800</v>
      </c>
    </row>
    <row r="1446" spans="1:7" x14ac:dyDescent="0.25">
      <c r="A1446">
        <v>20221028</v>
      </c>
      <c r="B1446" t="s">
        <v>770</v>
      </c>
      <c r="C1446" t="s">
        <v>257</v>
      </c>
      <c r="D1446" t="s">
        <v>242</v>
      </c>
      <c r="E1446" s="35">
        <v>1.4990000000000001</v>
      </c>
      <c r="F1446" s="35">
        <v>1.998</v>
      </c>
      <c r="G1446" s="35">
        <v>10200</v>
      </c>
    </row>
    <row r="1447" spans="1:7" x14ac:dyDescent="0.25">
      <c r="A1447">
        <v>20221028</v>
      </c>
      <c r="B1447" t="s">
        <v>770</v>
      </c>
      <c r="C1447" t="s">
        <v>257</v>
      </c>
      <c r="D1447" t="s">
        <v>250</v>
      </c>
      <c r="E1447" s="35">
        <v>1.4990000000000001</v>
      </c>
      <c r="F1447" s="35">
        <v>1.998</v>
      </c>
      <c r="G1447" s="35">
        <v>9600</v>
      </c>
    </row>
    <row r="1448" spans="1:7" x14ac:dyDescent="0.25">
      <c r="A1448">
        <v>20221028</v>
      </c>
      <c r="B1448" t="s">
        <v>770</v>
      </c>
      <c r="C1448" t="s">
        <v>257</v>
      </c>
      <c r="D1448" t="s">
        <v>258</v>
      </c>
      <c r="E1448" s="35">
        <v>1.4990000000000001</v>
      </c>
      <c r="F1448" s="35">
        <v>1.998</v>
      </c>
      <c r="G1448" s="35">
        <v>9000</v>
      </c>
    </row>
    <row r="1449" spans="1:7" x14ac:dyDescent="0.25">
      <c r="A1449">
        <v>20221028</v>
      </c>
      <c r="B1449" t="s">
        <v>770</v>
      </c>
      <c r="C1449" t="s">
        <v>257</v>
      </c>
      <c r="D1449" t="s">
        <v>265</v>
      </c>
      <c r="E1449" s="35">
        <v>1.4990000000000001</v>
      </c>
      <c r="F1449" s="35">
        <v>1.998</v>
      </c>
      <c r="G1449" s="35">
        <v>7900</v>
      </c>
    </row>
    <row r="1450" spans="1:7" x14ac:dyDescent="0.25">
      <c r="A1450">
        <v>20221028</v>
      </c>
      <c r="B1450" t="s">
        <v>770</v>
      </c>
      <c r="C1450" t="s">
        <v>257</v>
      </c>
      <c r="D1450" t="s">
        <v>273</v>
      </c>
      <c r="E1450" s="35">
        <v>1.4990000000000001</v>
      </c>
      <c r="F1450" s="35">
        <v>1.998</v>
      </c>
      <c r="G1450" s="35">
        <v>6700</v>
      </c>
    </row>
    <row r="1451" spans="1:7" x14ac:dyDescent="0.25">
      <c r="A1451">
        <v>20221028</v>
      </c>
      <c r="B1451" t="s">
        <v>770</v>
      </c>
      <c r="C1451" t="s">
        <v>257</v>
      </c>
      <c r="D1451" t="s">
        <v>279</v>
      </c>
      <c r="E1451" s="35">
        <v>1.4990000000000001</v>
      </c>
      <c r="F1451" s="35">
        <v>1.998</v>
      </c>
      <c r="G1451" s="35">
        <v>5500</v>
      </c>
    </row>
    <row r="1452" spans="1:7" x14ac:dyDescent="0.25">
      <c r="A1452">
        <v>20221028</v>
      </c>
      <c r="B1452" t="s">
        <v>770</v>
      </c>
      <c r="C1452" t="s">
        <v>257</v>
      </c>
      <c r="D1452" t="s">
        <v>285</v>
      </c>
      <c r="E1452" s="35">
        <v>1.4990000000000001</v>
      </c>
      <c r="F1452" s="35">
        <v>1.998</v>
      </c>
      <c r="G1452" s="35">
        <v>2800</v>
      </c>
    </row>
    <row r="1453" spans="1:7" x14ac:dyDescent="0.25">
      <c r="A1453">
        <v>20221028</v>
      </c>
      <c r="B1453" t="s">
        <v>770</v>
      </c>
      <c r="C1453" t="s">
        <v>257</v>
      </c>
      <c r="D1453" t="s">
        <v>289</v>
      </c>
      <c r="E1453" s="35">
        <v>1.4990000000000001</v>
      </c>
      <c r="F1453" s="35">
        <v>1.998</v>
      </c>
      <c r="G1453" s="35">
        <v>1400</v>
      </c>
    </row>
    <row r="1454" spans="1:7" x14ac:dyDescent="0.25">
      <c r="A1454">
        <v>20221028</v>
      </c>
      <c r="B1454" t="s">
        <v>770</v>
      </c>
      <c r="C1454" t="s">
        <v>264</v>
      </c>
      <c r="D1454" t="s">
        <v>187</v>
      </c>
      <c r="E1454" s="35">
        <v>1.4990000000000001</v>
      </c>
      <c r="F1454" s="35">
        <v>1.998</v>
      </c>
      <c r="G1454" s="35">
        <v>10300</v>
      </c>
    </row>
    <row r="1455" spans="1:7" x14ac:dyDescent="0.25">
      <c r="A1455">
        <v>20221028</v>
      </c>
      <c r="B1455" t="s">
        <v>770</v>
      </c>
      <c r="C1455" t="s">
        <v>264</v>
      </c>
      <c r="D1455" t="s">
        <v>214</v>
      </c>
      <c r="E1455" s="35">
        <v>1.4990000000000001</v>
      </c>
      <c r="F1455" s="35">
        <v>1.998</v>
      </c>
      <c r="G1455" s="35">
        <v>9700</v>
      </c>
    </row>
    <row r="1456" spans="1:7" x14ac:dyDescent="0.25">
      <c r="A1456">
        <v>20221028</v>
      </c>
      <c r="B1456" t="s">
        <v>770</v>
      </c>
      <c r="C1456" t="s">
        <v>264</v>
      </c>
      <c r="D1456" t="s">
        <v>233</v>
      </c>
      <c r="E1456" s="35">
        <v>1.4990000000000001</v>
      </c>
      <c r="F1456" s="35">
        <v>1.998</v>
      </c>
      <c r="G1456" s="35">
        <v>9200</v>
      </c>
    </row>
    <row r="1457" spans="1:7" x14ac:dyDescent="0.25">
      <c r="A1457">
        <v>20221028</v>
      </c>
      <c r="B1457" t="s">
        <v>770</v>
      </c>
      <c r="C1457" t="s">
        <v>264</v>
      </c>
      <c r="D1457" t="s">
        <v>242</v>
      </c>
      <c r="E1457" s="35">
        <v>1.4990000000000001</v>
      </c>
      <c r="F1457" s="35">
        <v>1.998</v>
      </c>
      <c r="G1457" s="35">
        <v>8700</v>
      </c>
    </row>
    <row r="1458" spans="1:7" x14ac:dyDescent="0.25">
      <c r="A1458">
        <v>20221028</v>
      </c>
      <c r="B1458" t="s">
        <v>770</v>
      </c>
      <c r="C1458" t="s">
        <v>264</v>
      </c>
      <c r="D1458" t="s">
        <v>250</v>
      </c>
      <c r="E1458" s="35">
        <v>1.4990000000000001</v>
      </c>
      <c r="F1458" s="35">
        <v>1.998</v>
      </c>
      <c r="G1458" s="35">
        <v>8100</v>
      </c>
    </row>
    <row r="1459" spans="1:7" x14ac:dyDescent="0.25">
      <c r="A1459">
        <v>20221028</v>
      </c>
      <c r="B1459" t="s">
        <v>770</v>
      </c>
      <c r="C1459" t="s">
        <v>264</v>
      </c>
      <c r="D1459" t="s">
        <v>258</v>
      </c>
      <c r="E1459" s="35">
        <v>1.4990000000000001</v>
      </c>
      <c r="F1459" s="35">
        <v>1.998</v>
      </c>
      <c r="G1459" s="35">
        <v>7500</v>
      </c>
    </row>
    <row r="1460" spans="1:7" x14ac:dyDescent="0.25">
      <c r="A1460">
        <v>20221028</v>
      </c>
      <c r="B1460" t="s">
        <v>770</v>
      </c>
      <c r="C1460" t="s">
        <v>264</v>
      </c>
      <c r="D1460" t="s">
        <v>265</v>
      </c>
      <c r="E1460" s="35">
        <v>1.4990000000000001</v>
      </c>
      <c r="F1460" s="35">
        <v>1.998</v>
      </c>
      <c r="G1460" s="35">
        <v>7000</v>
      </c>
    </row>
    <row r="1461" spans="1:7" x14ac:dyDescent="0.25">
      <c r="A1461">
        <v>20221028</v>
      </c>
      <c r="B1461" t="s">
        <v>770</v>
      </c>
      <c r="C1461" t="s">
        <v>264</v>
      </c>
      <c r="D1461" t="s">
        <v>273</v>
      </c>
      <c r="E1461" s="35">
        <v>1.4990000000000001</v>
      </c>
      <c r="F1461" s="35">
        <v>1.998</v>
      </c>
      <c r="G1461" s="35">
        <v>6000</v>
      </c>
    </row>
    <row r="1462" spans="1:7" x14ac:dyDescent="0.25">
      <c r="A1462">
        <v>20221028</v>
      </c>
      <c r="B1462" t="s">
        <v>770</v>
      </c>
      <c r="C1462" t="s">
        <v>264</v>
      </c>
      <c r="D1462" t="s">
        <v>279</v>
      </c>
      <c r="E1462" s="35">
        <v>1.4990000000000001</v>
      </c>
      <c r="F1462" s="35">
        <v>1.998</v>
      </c>
      <c r="G1462" s="35">
        <v>4900</v>
      </c>
    </row>
    <row r="1463" spans="1:7" x14ac:dyDescent="0.25">
      <c r="A1463">
        <v>20221028</v>
      </c>
      <c r="B1463" t="s">
        <v>770</v>
      </c>
      <c r="C1463" t="s">
        <v>264</v>
      </c>
      <c r="D1463" t="s">
        <v>285</v>
      </c>
      <c r="E1463" s="35">
        <v>1.4990000000000001</v>
      </c>
      <c r="F1463" s="35">
        <v>1.998</v>
      </c>
      <c r="G1463" s="35">
        <v>2600</v>
      </c>
    </row>
    <row r="1464" spans="1:7" x14ac:dyDescent="0.25">
      <c r="A1464">
        <v>20221028</v>
      </c>
      <c r="B1464" t="s">
        <v>770</v>
      </c>
      <c r="C1464" t="s">
        <v>264</v>
      </c>
      <c r="D1464" t="s">
        <v>289</v>
      </c>
      <c r="E1464" s="35">
        <v>1.4990000000000001</v>
      </c>
      <c r="F1464" s="35">
        <v>1.998</v>
      </c>
      <c r="G1464" s="35">
        <v>1400</v>
      </c>
    </row>
    <row r="1465" spans="1:7" x14ac:dyDescent="0.25">
      <c r="A1465">
        <v>20221028</v>
      </c>
      <c r="B1465" t="s">
        <v>770</v>
      </c>
      <c r="C1465" t="s">
        <v>272</v>
      </c>
      <c r="D1465" t="s">
        <v>187</v>
      </c>
      <c r="E1465" s="35">
        <v>1.4990000000000001</v>
      </c>
      <c r="F1465" s="35">
        <v>1.998</v>
      </c>
      <c r="G1465" s="35">
        <v>8500</v>
      </c>
    </row>
    <row r="1466" spans="1:7" x14ac:dyDescent="0.25">
      <c r="A1466">
        <v>20221028</v>
      </c>
      <c r="B1466" t="s">
        <v>770</v>
      </c>
      <c r="C1466" t="s">
        <v>272</v>
      </c>
      <c r="D1466" t="s">
        <v>214</v>
      </c>
      <c r="E1466" s="35">
        <v>1.4990000000000001</v>
      </c>
      <c r="F1466" s="35">
        <v>1.998</v>
      </c>
      <c r="G1466" s="35">
        <v>7900</v>
      </c>
    </row>
    <row r="1467" spans="1:7" x14ac:dyDescent="0.25">
      <c r="A1467">
        <v>20221028</v>
      </c>
      <c r="B1467" t="s">
        <v>770</v>
      </c>
      <c r="C1467" t="s">
        <v>272</v>
      </c>
      <c r="D1467" t="s">
        <v>233</v>
      </c>
      <c r="E1467" s="35">
        <v>1.4990000000000001</v>
      </c>
      <c r="F1467" s="35">
        <v>1.998</v>
      </c>
      <c r="G1467" s="35">
        <v>7500</v>
      </c>
    </row>
    <row r="1468" spans="1:7" x14ac:dyDescent="0.25">
      <c r="A1468">
        <v>20221028</v>
      </c>
      <c r="B1468" t="s">
        <v>770</v>
      </c>
      <c r="C1468" t="s">
        <v>272</v>
      </c>
      <c r="D1468" t="s">
        <v>242</v>
      </c>
      <c r="E1468" s="35">
        <v>1.4990000000000001</v>
      </c>
      <c r="F1468" s="35">
        <v>1.998</v>
      </c>
      <c r="G1468" s="35">
        <v>7100</v>
      </c>
    </row>
    <row r="1469" spans="1:7" x14ac:dyDescent="0.25">
      <c r="A1469">
        <v>20221028</v>
      </c>
      <c r="B1469" t="s">
        <v>770</v>
      </c>
      <c r="C1469" t="s">
        <v>272</v>
      </c>
      <c r="D1469" t="s">
        <v>250</v>
      </c>
      <c r="E1469" s="35">
        <v>1.4990000000000001</v>
      </c>
      <c r="F1469" s="35">
        <v>1.998</v>
      </c>
      <c r="G1469" s="35">
        <v>6700</v>
      </c>
    </row>
    <row r="1470" spans="1:7" x14ac:dyDescent="0.25">
      <c r="A1470">
        <v>20221028</v>
      </c>
      <c r="B1470" t="s">
        <v>770</v>
      </c>
      <c r="C1470" t="s">
        <v>272</v>
      </c>
      <c r="D1470" t="s">
        <v>258</v>
      </c>
      <c r="E1470" s="35">
        <v>1.4990000000000001</v>
      </c>
      <c r="F1470" s="35">
        <v>1.998</v>
      </c>
      <c r="G1470" s="35">
        <v>6300</v>
      </c>
    </row>
    <row r="1471" spans="1:7" x14ac:dyDescent="0.25">
      <c r="A1471">
        <v>20221028</v>
      </c>
      <c r="B1471" t="s">
        <v>770</v>
      </c>
      <c r="C1471" t="s">
        <v>272</v>
      </c>
      <c r="D1471" t="s">
        <v>265</v>
      </c>
      <c r="E1471" s="35">
        <v>1.4990000000000001</v>
      </c>
      <c r="F1471" s="35">
        <v>1.998</v>
      </c>
      <c r="G1471" s="35">
        <v>5800</v>
      </c>
    </row>
    <row r="1472" spans="1:7" x14ac:dyDescent="0.25">
      <c r="A1472">
        <v>20221028</v>
      </c>
      <c r="B1472" t="s">
        <v>770</v>
      </c>
      <c r="C1472" t="s">
        <v>272</v>
      </c>
      <c r="D1472" t="s">
        <v>273</v>
      </c>
      <c r="E1472" s="35">
        <v>1.4990000000000001</v>
      </c>
      <c r="F1472" s="35">
        <v>1.998</v>
      </c>
      <c r="G1472" s="35">
        <v>5200</v>
      </c>
    </row>
    <row r="1473" spans="1:7" x14ac:dyDescent="0.25">
      <c r="A1473">
        <v>20221028</v>
      </c>
      <c r="B1473" t="s">
        <v>770</v>
      </c>
      <c r="C1473" t="s">
        <v>272</v>
      </c>
      <c r="D1473" t="s">
        <v>279</v>
      </c>
      <c r="E1473" s="35">
        <v>1.4990000000000001</v>
      </c>
      <c r="F1473" s="35">
        <v>1.998</v>
      </c>
      <c r="G1473" s="35">
        <v>4500</v>
      </c>
    </row>
    <row r="1474" spans="1:7" x14ac:dyDescent="0.25">
      <c r="A1474">
        <v>20221028</v>
      </c>
      <c r="B1474" t="s">
        <v>770</v>
      </c>
      <c r="C1474" t="s">
        <v>272</v>
      </c>
      <c r="D1474" t="s">
        <v>285</v>
      </c>
      <c r="E1474" s="35">
        <v>1.4990000000000001</v>
      </c>
      <c r="F1474" s="35">
        <v>1.998</v>
      </c>
      <c r="G1474" s="35">
        <v>2400</v>
      </c>
    </row>
    <row r="1475" spans="1:7" x14ac:dyDescent="0.25">
      <c r="A1475">
        <v>20221028</v>
      </c>
      <c r="B1475" t="s">
        <v>770</v>
      </c>
      <c r="C1475" t="s">
        <v>272</v>
      </c>
      <c r="D1475" t="s">
        <v>289</v>
      </c>
      <c r="E1475" s="35">
        <v>1.4990000000000001</v>
      </c>
      <c r="F1475" s="35">
        <v>1.998</v>
      </c>
      <c r="G1475" s="35">
        <v>1300</v>
      </c>
    </row>
    <row r="1476" spans="1:7" x14ac:dyDescent="0.25">
      <c r="A1476">
        <v>20221028</v>
      </c>
      <c r="B1476" t="s">
        <v>770</v>
      </c>
      <c r="C1476" t="s">
        <v>278</v>
      </c>
      <c r="D1476" t="s">
        <v>187</v>
      </c>
      <c r="E1476" s="35">
        <v>1.4990000000000001</v>
      </c>
      <c r="F1476" s="35">
        <v>1.998</v>
      </c>
      <c r="G1476" s="35">
        <v>7300</v>
      </c>
    </row>
    <row r="1477" spans="1:7" x14ac:dyDescent="0.25">
      <c r="A1477">
        <v>20221028</v>
      </c>
      <c r="B1477" t="s">
        <v>770</v>
      </c>
      <c r="C1477" t="s">
        <v>278</v>
      </c>
      <c r="D1477" t="s">
        <v>214</v>
      </c>
      <c r="E1477" s="35">
        <v>1.4990000000000001</v>
      </c>
      <c r="F1477" s="35">
        <v>1.998</v>
      </c>
      <c r="G1477" s="35">
        <v>6800</v>
      </c>
    </row>
    <row r="1478" spans="1:7" x14ac:dyDescent="0.25">
      <c r="A1478">
        <v>20221028</v>
      </c>
      <c r="B1478" t="s">
        <v>770</v>
      </c>
      <c r="C1478" t="s">
        <v>278</v>
      </c>
      <c r="D1478" t="s">
        <v>233</v>
      </c>
      <c r="E1478" s="35">
        <v>1.4990000000000001</v>
      </c>
      <c r="F1478" s="35">
        <v>1.998</v>
      </c>
      <c r="G1478" s="35">
        <v>6300</v>
      </c>
    </row>
    <row r="1479" spans="1:7" x14ac:dyDescent="0.25">
      <c r="A1479">
        <v>20221028</v>
      </c>
      <c r="B1479" t="s">
        <v>770</v>
      </c>
      <c r="C1479" t="s">
        <v>278</v>
      </c>
      <c r="D1479" t="s">
        <v>242</v>
      </c>
      <c r="E1479" s="35">
        <v>1.4990000000000001</v>
      </c>
      <c r="F1479" s="35">
        <v>1.998</v>
      </c>
      <c r="G1479" s="35">
        <v>5900</v>
      </c>
    </row>
    <row r="1480" spans="1:7" x14ac:dyDescent="0.25">
      <c r="A1480">
        <v>20221028</v>
      </c>
      <c r="B1480" t="s">
        <v>770</v>
      </c>
      <c r="C1480" t="s">
        <v>278</v>
      </c>
      <c r="D1480" t="s">
        <v>250</v>
      </c>
      <c r="E1480" s="35">
        <v>1.4990000000000001</v>
      </c>
      <c r="F1480" s="35">
        <v>1.998</v>
      </c>
      <c r="G1480" s="35">
        <v>5600</v>
      </c>
    </row>
    <row r="1481" spans="1:7" x14ac:dyDescent="0.25">
      <c r="A1481">
        <v>20221028</v>
      </c>
      <c r="B1481" t="s">
        <v>770</v>
      </c>
      <c r="C1481" t="s">
        <v>278</v>
      </c>
      <c r="D1481" t="s">
        <v>258</v>
      </c>
      <c r="E1481" s="35">
        <v>1.4990000000000001</v>
      </c>
      <c r="F1481" s="35">
        <v>1.998</v>
      </c>
      <c r="G1481" s="35">
        <v>5200</v>
      </c>
    </row>
    <row r="1482" spans="1:7" x14ac:dyDescent="0.25">
      <c r="A1482">
        <v>20221028</v>
      </c>
      <c r="B1482" t="s">
        <v>770</v>
      </c>
      <c r="C1482" t="s">
        <v>278</v>
      </c>
      <c r="D1482" t="s">
        <v>265</v>
      </c>
      <c r="E1482" s="35">
        <v>1.4990000000000001</v>
      </c>
      <c r="F1482" s="35">
        <v>1.998</v>
      </c>
      <c r="G1482" s="35">
        <v>4700</v>
      </c>
    </row>
    <row r="1483" spans="1:7" x14ac:dyDescent="0.25">
      <c r="A1483">
        <v>20221028</v>
      </c>
      <c r="B1483" t="s">
        <v>770</v>
      </c>
      <c r="C1483" t="s">
        <v>278</v>
      </c>
      <c r="D1483" t="s">
        <v>273</v>
      </c>
      <c r="E1483" s="35">
        <v>1.4990000000000001</v>
      </c>
      <c r="F1483" s="35">
        <v>1.998</v>
      </c>
      <c r="G1483" s="35">
        <v>4300</v>
      </c>
    </row>
    <row r="1484" spans="1:7" x14ac:dyDescent="0.25">
      <c r="A1484">
        <v>20221028</v>
      </c>
      <c r="B1484" t="s">
        <v>770</v>
      </c>
      <c r="C1484" t="s">
        <v>278</v>
      </c>
      <c r="D1484" t="s">
        <v>279</v>
      </c>
      <c r="E1484" s="35">
        <v>1.4990000000000001</v>
      </c>
      <c r="F1484" s="35">
        <v>1.998</v>
      </c>
      <c r="G1484" s="35">
        <v>4000</v>
      </c>
    </row>
    <row r="1485" spans="1:7" x14ac:dyDescent="0.25">
      <c r="A1485">
        <v>20221028</v>
      </c>
      <c r="B1485" t="s">
        <v>770</v>
      </c>
      <c r="C1485" t="s">
        <v>278</v>
      </c>
      <c r="D1485" t="s">
        <v>285</v>
      </c>
      <c r="E1485" s="35">
        <v>1.4990000000000001</v>
      </c>
      <c r="F1485" s="35">
        <v>1.998</v>
      </c>
      <c r="G1485" s="35">
        <v>2300</v>
      </c>
    </row>
    <row r="1486" spans="1:7" x14ac:dyDescent="0.25">
      <c r="A1486">
        <v>20221028</v>
      </c>
      <c r="B1486" t="s">
        <v>770</v>
      </c>
      <c r="C1486" t="s">
        <v>278</v>
      </c>
      <c r="D1486" t="s">
        <v>289</v>
      </c>
      <c r="E1486" s="35">
        <v>1.4990000000000001</v>
      </c>
      <c r="F1486" s="35">
        <v>1.998</v>
      </c>
      <c r="G1486" s="35">
        <v>1200</v>
      </c>
    </row>
    <row r="1487" spans="1:7" x14ac:dyDescent="0.25">
      <c r="A1487">
        <v>20221028</v>
      </c>
      <c r="B1487" t="s">
        <v>770</v>
      </c>
      <c r="C1487" t="s">
        <v>284</v>
      </c>
      <c r="D1487" t="s">
        <v>187</v>
      </c>
      <c r="E1487" s="35">
        <v>1.4990000000000001</v>
      </c>
      <c r="F1487" s="35">
        <v>1.998</v>
      </c>
      <c r="G1487" s="35">
        <v>6400</v>
      </c>
    </row>
    <row r="1488" spans="1:7" x14ac:dyDescent="0.25">
      <c r="A1488">
        <v>20221028</v>
      </c>
      <c r="B1488" t="s">
        <v>770</v>
      </c>
      <c r="C1488" t="s">
        <v>284</v>
      </c>
      <c r="D1488" t="s">
        <v>214</v>
      </c>
      <c r="E1488" s="35">
        <v>1.4990000000000001</v>
      </c>
      <c r="F1488" s="35">
        <v>1.998</v>
      </c>
      <c r="G1488" s="35">
        <v>5900</v>
      </c>
    </row>
    <row r="1489" spans="1:7" x14ac:dyDescent="0.25">
      <c r="A1489">
        <v>20221028</v>
      </c>
      <c r="B1489" t="s">
        <v>770</v>
      </c>
      <c r="C1489" t="s">
        <v>284</v>
      </c>
      <c r="D1489" t="s">
        <v>233</v>
      </c>
      <c r="E1489" s="35">
        <v>1.4990000000000001</v>
      </c>
      <c r="F1489" s="35">
        <v>1.998</v>
      </c>
      <c r="G1489" s="35">
        <v>5300</v>
      </c>
    </row>
    <row r="1490" spans="1:7" x14ac:dyDescent="0.25">
      <c r="A1490">
        <v>20221028</v>
      </c>
      <c r="B1490" t="s">
        <v>770</v>
      </c>
      <c r="C1490" t="s">
        <v>284</v>
      </c>
      <c r="D1490" t="s">
        <v>242</v>
      </c>
      <c r="E1490" s="35">
        <v>1.4990000000000001</v>
      </c>
      <c r="F1490" s="35">
        <v>1.998</v>
      </c>
      <c r="G1490" s="35">
        <v>5000</v>
      </c>
    </row>
    <row r="1491" spans="1:7" x14ac:dyDescent="0.25">
      <c r="A1491">
        <v>20221028</v>
      </c>
      <c r="B1491" t="s">
        <v>770</v>
      </c>
      <c r="C1491" t="s">
        <v>284</v>
      </c>
      <c r="D1491" t="s">
        <v>250</v>
      </c>
      <c r="E1491" s="35">
        <v>1.4990000000000001</v>
      </c>
      <c r="F1491" s="35">
        <v>1.998</v>
      </c>
      <c r="G1491" s="35">
        <v>4700</v>
      </c>
    </row>
    <row r="1492" spans="1:7" x14ac:dyDescent="0.25">
      <c r="A1492">
        <v>20221028</v>
      </c>
      <c r="B1492" t="s">
        <v>770</v>
      </c>
      <c r="C1492" t="s">
        <v>284</v>
      </c>
      <c r="D1492" t="s">
        <v>258</v>
      </c>
      <c r="E1492" s="35">
        <v>1.4990000000000001</v>
      </c>
      <c r="F1492" s="35">
        <v>1.998</v>
      </c>
      <c r="G1492" s="35">
        <v>4400</v>
      </c>
    </row>
    <row r="1493" spans="1:7" x14ac:dyDescent="0.25">
      <c r="A1493">
        <v>20221028</v>
      </c>
      <c r="B1493" t="s">
        <v>770</v>
      </c>
      <c r="C1493" t="s">
        <v>284</v>
      </c>
      <c r="D1493" t="s">
        <v>265</v>
      </c>
      <c r="E1493" s="35">
        <v>1.4990000000000001</v>
      </c>
      <c r="F1493" s="35">
        <v>1.998</v>
      </c>
      <c r="G1493" s="35">
        <v>4100</v>
      </c>
    </row>
    <row r="1494" spans="1:7" x14ac:dyDescent="0.25">
      <c r="A1494">
        <v>20221028</v>
      </c>
      <c r="B1494" t="s">
        <v>770</v>
      </c>
      <c r="C1494" t="s">
        <v>284</v>
      </c>
      <c r="D1494" t="s">
        <v>273</v>
      </c>
      <c r="E1494" s="35">
        <v>1.4990000000000001</v>
      </c>
      <c r="F1494" s="35">
        <v>1.998</v>
      </c>
      <c r="G1494" s="35">
        <v>3800</v>
      </c>
    </row>
    <row r="1495" spans="1:7" x14ac:dyDescent="0.25">
      <c r="A1495">
        <v>20221028</v>
      </c>
      <c r="B1495" t="s">
        <v>770</v>
      </c>
      <c r="C1495" t="s">
        <v>284</v>
      </c>
      <c r="D1495" t="s">
        <v>279</v>
      </c>
      <c r="E1495" s="35">
        <v>1.4990000000000001</v>
      </c>
      <c r="F1495" s="35">
        <v>1.998</v>
      </c>
      <c r="G1495" s="35">
        <v>3500</v>
      </c>
    </row>
    <row r="1496" spans="1:7" x14ac:dyDescent="0.25">
      <c r="A1496">
        <v>20221028</v>
      </c>
      <c r="B1496" t="s">
        <v>770</v>
      </c>
      <c r="C1496" t="s">
        <v>284</v>
      </c>
      <c r="D1496" t="s">
        <v>285</v>
      </c>
      <c r="E1496" s="35">
        <v>1.4990000000000001</v>
      </c>
      <c r="F1496" s="35">
        <v>1.998</v>
      </c>
      <c r="G1496" s="35">
        <v>2200</v>
      </c>
    </row>
    <row r="1497" spans="1:7" x14ac:dyDescent="0.25">
      <c r="A1497">
        <v>20221028</v>
      </c>
      <c r="B1497" t="s">
        <v>770</v>
      </c>
      <c r="C1497" t="s">
        <v>284</v>
      </c>
      <c r="D1497" t="s">
        <v>289</v>
      </c>
      <c r="E1497" s="35">
        <v>1.4990000000000001</v>
      </c>
      <c r="F1497" s="35">
        <v>1.998</v>
      </c>
      <c r="G1497" s="35">
        <v>1200</v>
      </c>
    </row>
    <row r="1498" spans="1:7" x14ac:dyDescent="0.25">
      <c r="A1498">
        <v>20221028</v>
      </c>
      <c r="B1498" t="s">
        <v>770</v>
      </c>
      <c r="C1498" t="s">
        <v>186</v>
      </c>
      <c r="D1498" t="s">
        <v>187</v>
      </c>
      <c r="E1498" s="35">
        <v>1.9990000000000001</v>
      </c>
      <c r="F1498" s="35">
        <v>2.9980000000000002</v>
      </c>
      <c r="G1498" s="35">
        <v>46000</v>
      </c>
    </row>
    <row r="1499" spans="1:7" x14ac:dyDescent="0.25">
      <c r="A1499">
        <v>20221028</v>
      </c>
      <c r="B1499" t="s">
        <v>770</v>
      </c>
      <c r="C1499" t="s">
        <v>186</v>
      </c>
      <c r="D1499" t="s">
        <v>214</v>
      </c>
      <c r="E1499" s="35">
        <v>1.9990000000000001</v>
      </c>
      <c r="F1499" s="35">
        <v>2.9980000000000002</v>
      </c>
      <c r="G1499" s="35">
        <v>36000</v>
      </c>
    </row>
    <row r="1500" spans="1:7" x14ac:dyDescent="0.25">
      <c r="A1500">
        <v>20221028</v>
      </c>
      <c r="B1500" t="s">
        <v>770</v>
      </c>
      <c r="C1500" t="s">
        <v>186</v>
      </c>
      <c r="D1500" t="s">
        <v>233</v>
      </c>
      <c r="E1500" s="35">
        <v>1.9990000000000001</v>
      </c>
      <c r="F1500" s="35">
        <v>2.9980000000000002</v>
      </c>
      <c r="G1500" s="35">
        <v>30000</v>
      </c>
    </row>
    <row r="1501" spans="1:7" x14ac:dyDescent="0.25">
      <c r="A1501">
        <v>20221028</v>
      </c>
      <c r="B1501" t="s">
        <v>770</v>
      </c>
      <c r="C1501" t="s">
        <v>186</v>
      </c>
      <c r="D1501" t="s">
        <v>242</v>
      </c>
      <c r="E1501" s="35">
        <v>1.9990000000000001</v>
      </c>
      <c r="F1501" s="35">
        <v>2.9980000000000002</v>
      </c>
      <c r="G1501" s="35">
        <v>25500</v>
      </c>
    </row>
    <row r="1502" spans="1:7" x14ac:dyDescent="0.25">
      <c r="A1502">
        <v>20221028</v>
      </c>
      <c r="B1502" t="s">
        <v>770</v>
      </c>
      <c r="C1502" t="s">
        <v>186</v>
      </c>
      <c r="D1502" t="s">
        <v>250</v>
      </c>
      <c r="E1502" s="35">
        <v>1.9990000000000001</v>
      </c>
      <c r="F1502" s="35">
        <v>2.9980000000000002</v>
      </c>
      <c r="G1502" s="35">
        <v>22000</v>
      </c>
    </row>
    <row r="1503" spans="1:7" x14ac:dyDescent="0.25">
      <c r="A1503">
        <v>20221028</v>
      </c>
      <c r="B1503" t="s">
        <v>770</v>
      </c>
      <c r="C1503" t="s">
        <v>186</v>
      </c>
      <c r="D1503" t="s">
        <v>258</v>
      </c>
      <c r="E1503" s="35">
        <v>1.9990000000000001</v>
      </c>
      <c r="F1503" s="35">
        <v>2.9980000000000002</v>
      </c>
      <c r="G1503" s="35">
        <v>18500</v>
      </c>
    </row>
    <row r="1504" spans="1:7" x14ac:dyDescent="0.25">
      <c r="A1504">
        <v>20221028</v>
      </c>
      <c r="B1504" t="s">
        <v>770</v>
      </c>
      <c r="C1504" t="s">
        <v>186</v>
      </c>
      <c r="D1504" t="s">
        <v>265</v>
      </c>
      <c r="E1504" s="35">
        <v>1.9990000000000001</v>
      </c>
      <c r="F1504" s="35">
        <v>2.9980000000000002</v>
      </c>
      <c r="G1504" s="35">
        <v>15100</v>
      </c>
    </row>
    <row r="1505" spans="1:7" x14ac:dyDescent="0.25">
      <c r="A1505">
        <v>20221028</v>
      </c>
      <c r="B1505" t="s">
        <v>770</v>
      </c>
      <c r="C1505" t="s">
        <v>186</v>
      </c>
      <c r="D1505" t="s">
        <v>273</v>
      </c>
      <c r="E1505" s="35">
        <v>1.9990000000000001</v>
      </c>
      <c r="F1505" s="35">
        <v>2.9980000000000002</v>
      </c>
      <c r="G1505" s="35">
        <v>11400</v>
      </c>
    </row>
    <row r="1506" spans="1:7" x14ac:dyDescent="0.25">
      <c r="A1506">
        <v>20221028</v>
      </c>
      <c r="B1506" t="s">
        <v>770</v>
      </c>
      <c r="C1506" t="s">
        <v>186</v>
      </c>
      <c r="D1506" t="s">
        <v>279</v>
      </c>
      <c r="E1506" s="35">
        <v>1.9990000000000001</v>
      </c>
      <c r="F1506" s="35">
        <v>2.9980000000000002</v>
      </c>
      <c r="G1506" s="35">
        <v>9400</v>
      </c>
    </row>
    <row r="1507" spans="1:7" x14ac:dyDescent="0.25">
      <c r="A1507">
        <v>20221028</v>
      </c>
      <c r="B1507" t="s">
        <v>770</v>
      </c>
      <c r="C1507" t="s">
        <v>186</v>
      </c>
      <c r="D1507" t="s">
        <v>285</v>
      </c>
      <c r="E1507" s="35">
        <v>1.9990000000000001</v>
      </c>
      <c r="F1507" s="35">
        <v>2.9980000000000002</v>
      </c>
      <c r="G1507" s="35">
        <v>4300</v>
      </c>
    </row>
    <row r="1508" spans="1:7" x14ac:dyDescent="0.25">
      <c r="A1508">
        <v>20221028</v>
      </c>
      <c r="B1508" t="s">
        <v>770</v>
      </c>
      <c r="C1508" t="s">
        <v>186</v>
      </c>
      <c r="D1508" t="s">
        <v>289</v>
      </c>
      <c r="E1508" s="35">
        <v>1.9990000000000001</v>
      </c>
      <c r="F1508" s="35">
        <v>2.9980000000000002</v>
      </c>
      <c r="G1508" s="35">
        <v>1900</v>
      </c>
    </row>
    <row r="1509" spans="1:7" x14ac:dyDescent="0.25">
      <c r="A1509">
        <v>20221028</v>
      </c>
      <c r="B1509" t="s">
        <v>770</v>
      </c>
      <c r="C1509" t="s">
        <v>213</v>
      </c>
      <c r="D1509" t="s">
        <v>187</v>
      </c>
      <c r="E1509" s="35">
        <v>1.9990000000000001</v>
      </c>
      <c r="F1509" s="35">
        <v>2.9980000000000002</v>
      </c>
      <c r="G1509" s="35">
        <v>37500</v>
      </c>
    </row>
    <row r="1510" spans="1:7" x14ac:dyDescent="0.25">
      <c r="A1510">
        <v>20221028</v>
      </c>
      <c r="B1510" t="s">
        <v>770</v>
      </c>
      <c r="C1510" t="s">
        <v>213</v>
      </c>
      <c r="D1510" t="s">
        <v>214</v>
      </c>
      <c r="E1510" s="35">
        <v>1.9990000000000001</v>
      </c>
      <c r="F1510" s="35">
        <v>2.9980000000000002</v>
      </c>
      <c r="G1510" s="35">
        <v>32000</v>
      </c>
    </row>
    <row r="1511" spans="1:7" x14ac:dyDescent="0.25">
      <c r="A1511">
        <v>20221028</v>
      </c>
      <c r="B1511" t="s">
        <v>770</v>
      </c>
      <c r="C1511" t="s">
        <v>213</v>
      </c>
      <c r="D1511" t="s">
        <v>233</v>
      </c>
      <c r="E1511" s="35">
        <v>1.9990000000000001</v>
      </c>
      <c r="F1511" s="35">
        <v>2.9980000000000002</v>
      </c>
      <c r="G1511" s="35">
        <v>27500</v>
      </c>
    </row>
    <row r="1512" spans="1:7" x14ac:dyDescent="0.25">
      <c r="A1512">
        <v>20221028</v>
      </c>
      <c r="B1512" t="s">
        <v>770</v>
      </c>
      <c r="C1512" t="s">
        <v>213</v>
      </c>
      <c r="D1512" t="s">
        <v>242</v>
      </c>
      <c r="E1512" s="35">
        <v>1.9990000000000001</v>
      </c>
      <c r="F1512" s="35">
        <v>2.9980000000000002</v>
      </c>
      <c r="G1512" s="35">
        <v>23500</v>
      </c>
    </row>
    <row r="1513" spans="1:7" x14ac:dyDescent="0.25">
      <c r="A1513">
        <v>20221028</v>
      </c>
      <c r="B1513" t="s">
        <v>770</v>
      </c>
      <c r="C1513" t="s">
        <v>213</v>
      </c>
      <c r="D1513" t="s">
        <v>250</v>
      </c>
      <c r="E1513" s="35">
        <v>1.9990000000000001</v>
      </c>
      <c r="F1513" s="35">
        <v>2.9980000000000002</v>
      </c>
      <c r="G1513" s="35">
        <v>20500</v>
      </c>
    </row>
    <row r="1514" spans="1:7" x14ac:dyDescent="0.25">
      <c r="A1514">
        <v>20221028</v>
      </c>
      <c r="B1514" t="s">
        <v>770</v>
      </c>
      <c r="C1514" t="s">
        <v>213</v>
      </c>
      <c r="D1514" t="s">
        <v>258</v>
      </c>
      <c r="E1514" s="35">
        <v>1.9990000000000001</v>
      </c>
      <c r="F1514" s="35">
        <v>2.9980000000000002</v>
      </c>
      <c r="G1514" s="35">
        <v>17500</v>
      </c>
    </row>
    <row r="1515" spans="1:7" x14ac:dyDescent="0.25">
      <c r="A1515">
        <v>20221028</v>
      </c>
      <c r="B1515" t="s">
        <v>770</v>
      </c>
      <c r="C1515" t="s">
        <v>213</v>
      </c>
      <c r="D1515" t="s">
        <v>265</v>
      </c>
      <c r="E1515" s="35">
        <v>1.9990000000000001</v>
      </c>
      <c r="F1515" s="35">
        <v>2.9980000000000002</v>
      </c>
      <c r="G1515" s="35">
        <v>14100</v>
      </c>
    </row>
    <row r="1516" spans="1:7" x14ac:dyDescent="0.25">
      <c r="A1516">
        <v>20221028</v>
      </c>
      <c r="B1516" t="s">
        <v>770</v>
      </c>
      <c r="C1516" t="s">
        <v>213</v>
      </c>
      <c r="D1516" t="s">
        <v>273</v>
      </c>
      <c r="E1516" s="35">
        <v>1.9990000000000001</v>
      </c>
      <c r="F1516" s="35">
        <v>2.9980000000000002</v>
      </c>
      <c r="G1516" s="35">
        <v>10700</v>
      </c>
    </row>
    <row r="1517" spans="1:7" x14ac:dyDescent="0.25">
      <c r="A1517">
        <v>20221028</v>
      </c>
      <c r="B1517" t="s">
        <v>770</v>
      </c>
      <c r="C1517" t="s">
        <v>213</v>
      </c>
      <c r="D1517" t="s">
        <v>279</v>
      </c>
      <c r="E1517" s="35">
        <v>1.9990000000000001</v>
      </c>
      <c r="F1517" s="35">
        <v>2.9980000000000002</v>
      </c>
      <c r="G1517" s="35">
        <v>9000</v>
      </c>
    </row>
    <row r="1518" spans="1:7" x14ac:dyDescent="0.25">
      <c r="A1518">
        <v>20221028</v>
      </c>
      <c r="B1518" t="s">
        <v>770</v>
      </c>
      <c r="C1518" t="s">
        <v>213</v>
      </c>
      <c r="D1518" t="s">
        <v>285</v>
      </c>
      <c r="E1518" s="35">
        <v>1.9990000000000001</v>
      </c>
      <c r="F1518" s="35">
        <v>2.9980000000000002</v>
      </c>
      <c r="G1518" s="35">
        <v>4100</v>
      </c>
    </row>
    <row r="1519" spans="1:7" x14ac:dyDescent="0.25">
      <c r="A1519">
        <v>20221028</v>
      </c>
      <c r="B1519" t="s">
        <v>770</v>
      </c>
      <c r="C1519" t="s">
        <v>213</v>
      </c>
      <c r="D1519" t="s">
        <v>289</v>
      </c>
      <c r="E1519" s="35">
        <v>1.9990000000000001</v>
      </c>
      <c r="F1519" s="35">
        <v>2.9980000000000002</v>
      </c>
      <c r="G1519" s="35">
        <v>1800</v>
      </c>
    </row>
    <row r="1520" spans="1:7" x14ac:dyDescent="0.25">
      <c r="A1520">
        <v>20221028</v>
      </c>
      <c r="B1520" t="s">
        <v>770</v>
      </c>
      <c r="C1520" t="s">
        <v>232</v>
      </c>
      <c r="D1520" t="s">
        <v>187</v>
      </c>
      <c r="E1520" s="35">
        <v>1.9990000000000001</v>
      </c>
      <c r="F1520" s="35">
        <v>2.9980000000000002</v>
      </c>
      <c r="G1520" s="35">
        <v>32000</v>
      </c>
    </row>
    <row r="1521" spans="1:7" x14ac:dyDescent="0.25">
      <c r="A1521">
        <v>20221028</v>
      </c>
      <c r="B1521" t="s">
        <v>770</v>
      </c>
      <c r="C1521" t="s">
        <v>232</v>
      </c>
      <c r="D1521" t="s">
        <v>214</v>
      </c>
      <c r="E1521" s="35">
        <v>1.9990000000000001</v>
      </c>
      <c r="F1521" s="35">
        <v>2.9980000000000002</v>
      </c>
      <c r="G1521" s="35">
        <v>28500</v>
      </c>
    </row>
    <row r="1522" spans="1:7" x14ac:dyDescent="0.25">
      <c r="A1522">
        <v>20221028</v>
      </c>
      <c r="B1522" t="s">
        <v>770</v>
      </c>
      <c r="C1522" t="s">
        <v>232</v>
      </c>
      <c r="D1522" t="s">
        <v>233</v>
      </c>
      <c r="E1522" s="35">
        <v>1.9990000000000001</v>
      </c>
      <c r="F1522" s="35">
        <v>2.9980000000000002</v>
      </c>
      <c r="G1522" s="35">
        <v>25000</v>
      </c>
    </row>
    <row r="1523" spans="1:7" x14ac:dyDescent="0.25">
      <c r="A1523">
        <v>20221028</v>
      </c>
      <c r="B1523" t="s">
        <v>770</v>
      </c>
      <c r="C1523" t="s">
        <v>232</v>
      </c>
      <c r="D1523" t="s">
        <v>242</v>
      </c>
      <c r="E1523" s="35">
        <v>1.9990000000000001</v>
      </c>
      <c r="F1523" s="35">
        <v>2.9980000000000002</v>
      </c>
      <c r="G1523" s="35">
        <v>22000</v>
      </c>
    </row>
    <row r="1524" spans="1:7" x14ac:dyDescent="0.25">
      <c r="A1524">
        <v>20221028</v>
      </c>
      <c r="B1524" t="s">
        <v>770</v>
      </c>
      <c r="C1524" t="s">
        <v>232</v>
      </c>
      <c r="D1524" t="s">
        <v>250</v>
      </c>
      <c r="E1524" s="35">
        <v>1.9990000000000001</v>
      </c>
      <c r="F1524" s="35">
        <v>2.9980000000000002</v>
      </c>
      <c r="G1524" s="35">
        <v>19000</v>
      </c>
    </row>
    <row r="1525" spans="1:7" x14ac:dyDescent="0.25">
      <c r="A1525">
        <v>20221028</v>
      </c>
      <c r="B1525" t="s">
        <v>770</v>
      </c>
      <c r="C1525" t="s">
        <v>232</v>
      </c>
      <c r="D1525" t="s">
        <v>258</v>
      </c>
      <c r="E1525" s="35">
        <v>1.9990000000000001</v>
      </c>
      <c r="F1525" s="35">
        <v>2.9980000000000002</v>
      </c>
      <c r="G1525" s="35">
        <v>16300</v>
      </c>
    </row>
    <row r="1526" spans="1:7" x14ac:dyDescent="0.25">
      <c r="A1526">
        <v>20221028</v>
      </c>
      <c r="B1526" t="s">
        <v>770</v>
      </c>
      <c r="C1526" t="s">
        <v>232</v>
      </c>
      <c r="D1526" t="s">
        <v>265</v>
      </c>
      <c r="E1526" s="35">
        <v>1.9990000000000001</v>
      </c>
      <c r="F1526" s="35">
        <v>2.9980000000000002</v>
      </c>
      <c r="G1526" s="35">
        <v>13200</v>
      </c>
    </row>
    <row r="1527" spans="1:7" x14ac:dyDescent="0.25">
      <c r="A1527">
        <v>20221028</v>
      </c>
      <c r="B1527" t="s">
        <v>770</v>
      </c>
      <c r="C1527" t="s">
        <v>232</v>
      </c>
      <c r="D1527" t="s">
        <v>273</v>
      </c>
      <c r="E1527" s="35">
        <v>1.9990000000000001</v>
      </c>
      <c r="F1527" s="35">
        <v>2.9980000000000002</v>
      </c>
      <c r="G1527" s="35">
        <v>10100</v>
      </c>
    </row>
    <row r="1528" spans="1:7" x14ac:dyDescent="0.25">
      <c r="A1528">
        <v>20221028</v>
      </c>
      <c r="B1528" t="s">
        <v>770</v>
      </c>
      <c r="C1528" t="s">
        <v>232</v>
      </c>
      <c r="D1528" t="s">
        <v>279</v>
      </c>
      <c r="E1528" s="35">
        <v>1.9990000000000001</v>
      </c>
      <c r="F1528" s="35">
        <v>2.9980000000000002</v>
      </c>
      <c r="G1528" s="35">
        <v>8500</v>
      </c>
    </row>
    <row r="1529" spans="1:7" x14ac:dyDescent="0.25">
      <c r="A1529">
        <v>20221028</v>
      </c>
      <c r="B1529" t="s">
        <v>770</v>
      </c>
      <c r="C1529" t="s">
        <v>232</v>
      </c>
      <c r="D1529" t="s">
        <v>285</v>
      </c>
      <c r="E1529" s="35">
        <v>1.9990000000000001</v>
      </c>
      <c r="F1529" s="35">
        <v>2.9980000000000002</v>
      </c>
      <c r="G1529" s="35">
        <v>3900</v>
      </c>
    </row>
    <row r="1530" spans="1:7" x14ac:dyDescent="0.25">
      <c r="A1530">
        <v>20221028</v>
      </c>
      <c r="B1530" t="s">
        <v>770</v>
      </c>
      <c r="C1530" t="s">
        <v>232</v>
      </c>
      <c r="D1530" t="s">
        <v>289</v>
      </c>
      <c r="E1530" s="35">
        <v>1.9990000000000001</v>
      </c>
      <c r="F1530" s="35">
        <v>2.9980000000000002</v>
      </c>
      <c r="G1530" s="35">
        <v>1700</v>
      </c>
    </row>
    <row r="1531" spans="1:7" x14ac:dyDescent="0.25">
      <c r="A1531">
        <v>20221028</v>
      </c>
      <c r="B1531" t="s">
        <v>770</v>
      </c>
      <c r="C1531" t="s">
        <v>215</v>
      </c>
      <c r="D1531" t="s">
        <v>187</v>
      </c>
      <c r="E1531" s="35">
        <v>1.9990000000000001</v>
      </c>
      <c r="F1531" s="35">
        <v>2.9980000000000002</v>
      </c>
      <c r="G1531" s="35">
        <v>26500</v>
      </c>
    </row>
    <row r="1532" spans="1:7" x14ac:dyDescent="0.25">
      <c r="A1532">
        <v>20221028</v>
      </c>
      <c r="B1532" t="s">
        <v>770</v>
      </c>
      <c r="C1532" t="s">
        <v>215</v>
      </c>
      <c r="D1532" t="s">
        <v>214</v>
      </c>
      <c r="E1532" s="35">
        <v>1.9990000000000001</v>
      </c>
      <c r="F1532" s="35">
        <v>2.9980000000000002</v>
      </c>
      <c r="G1532" s="35">
        <v>23500</v>
      </c>
    </row>
    <row r="1533" spans="1:7" x14ac:dyDescent="0.25">
      <c r="A1533">
        <v>20221028</v>
      </c>
      <c r="B1533" t="s">
        <v>770</v>
      </c>
      <c r="C1533" t="s">
        <v>215</v>
      </c>
      <c r="D1533" t="s">
        <v>233</v>
      </c>
      <c r="E1533" s="35">
        <v>1.9990000000000001</v>
      </c>
      <c r="F1533" s="35">
        <v>2.9980000000000002</v>
      </c>
      <c r="G1533" s="35">
        <v>21500</v>
      </c>
    </row>
    <row r="1534" spans="1:7" x14ac:dyDescent="0.25">
      <c r="A1534">
        <v>20221028</v>
      </c>
      <c r="B1534" t="s">
        <v>770</v>
      </c>
      <c r="C1534" t="s">
        <v>215</v>
      </c>
      <c r="D1534" t="s">
        <v>242</v>
      </c>
      <c r="E1534" s="35">
        <v>1.9990000000000001</v>
      </c>
      <c r="F1534" s="35">
        <v>2.9980000000000002</v>
      </c>
      <c r="G1534" s="35">
        <v>19500</v>
      </c>
    </row>
    <row r="1535" spans="1:7" x14ac:dyDescent="0.25">
      <c r="A1535">
        <v>20221028</v>
      </c>
      <c r="B1535" t="s">
        <v>770</v>
      </c>
      <c r="C1535" t="s">
        <v>215</v>
      </c>
      <c r="D1535" t="s">
        <v>250</v>
      </c>
      <c r="E1535" s="35">
        <v>1.9990000000000001</v>
      </c>
      <c r="F1535" s="35">
        <v>2.9980000000000002</v>
      </c>
      <c r="G1535" s="35">
        <v>17500</v>
      </c>
    </row>
    <row r="1536" spans="1:7" x14ac:dyDescent="0.25">
      <c r="A1536">
        <v>20221028</v>
      </c>
      <c r="B1536" t="s">
        <v>770</v>
      </c>
      <c r="C1536" t="s">
        <v>215</v>
      </c>
      <c r="D1536" t="s">
        <v>258</v>
      </c>
      <c r="E1536" s="35">
        <v>1.9990000000000001</v>
      </c>
      <c r="F1536" s="35">
        <v>2.9980000000000002</v>
      </c>
      <c r="G1536" s="35">
        <v>15000</v>
      </c>
    </row>
    <row r="1537" spans="1:7" x14ac:dyDescent="0.25">
      <c r="A1537">
        <v>20221028</v>
      </c>
      <c r="B1537" t="s">
        <v>770</v>
      </c>
      <c r="C1537" t="s">
        <v>215</v>
      </c>
      <c r="D1537" t="s">
        <v>265</v>
      </c>
      <c r="E1537" s="35">
        <v>1.9990000000000001</v>
      </c>
      <c r="F1537" s="35">
        <v>2.9980000000000002</v>
      </c>
      <c r="G1537" s="35">
        <v>12300</v>
      </c>
    </row>
    <row r="1538" spans="1:7" x14ac:dyDescent="0.25">
      <c r="A1538">
        <v>20221028</v>
      </c>
      <c r="B1538" t="s">
        <v>770</v>
      </c>
      <c r="C1538" t="s">
        <v>215</v>
      </c>
      <c r="D1538" t="s">
        <v>273</v>
      </c>
      <c r="E1538" s="35">
        <v>1.9990000000000001</v>
      </c>
      <c r="F1538" s="35">
        <v>2.9980000000000002</v>
      </c>
      <c r="G1538" s="35">
        <v>9400</v>
      </c>
    </row>
    <row r="1539" spans="1:7" x14ac:dyDescent="0.25">
      <c r="A1539">
        <v>20221028</v>
      </c>
      <c r="B1539" t="s">
        <v>770</v>
      </c>
      <c r="C1539" t="s">
        <v>215</v>
      </c>
      <c r="D1539" t="s">
        <v>279</v>
      </c>
      <c r="E1539" s="35">
        <v>1.9990000000000001</v>
      </c>
      <c r="F1539" s="35">
        <v>2.9980000000000002</v>
      </c>
      <c r="G1539" s="35">
        <v>8200</v>
      </c>
    </row>
    <row r="1540" spans="1:7" x14ac:dyDescent="0.25">
      <c r="A1540">
        <v>20221028</v>
      </c>
      <c r="B1540" t="s">
        <v>770</v>
      </c>
      <c r="C1540" t="s">
        <v>215</v>
      </c>
      <c r="D1540" t="s">
        <v>285</v>
      </c>
      <c r="E1540" s="35">
        <v>1.9990000000000001</v>
      </c>
      <c r="F1540" s="35">
        <v>2.9980000000000002</v>
      </c>
      <c r="G1540" s="35">
        <v>3700</v>
      </c>
    </row>
    <row r="1541" spans="1:7" x14ac:dyDescent="0.25">
      <c r="A1541">
        <v>20221028</v>
      </c>
      <c r="B1541" t="s">
        <v>770</v>
      </c>
      <c r="C1541" t="s">
        <v>215</v>
      </c>
      <c r="D1541" t="s">
        <v>289</v>
      </c>
      <c r="E1541" s="35">
        <v>1.9990000000000001</v>
      </c>
      <c r="F1541" s="35">
        <v>2.9980000000000002</v>
      </c>
      <c r="G1541" s="35">
        <v>1600</v>
      </c>
    </row>
    <row r="1542" spans="1:7" x14ac:dyDescent="0.25">
      <c r="A1542">
        <v>20221028</v>
      </c>
      <c r="B1542" t="s">
        <v>770</v>
      </c>
      <c r="C1542" t="s">
        <v>249</v>
      </c>
      <c r="D1542" t="s">
        <v>187</v>
      </c>
      <c r="E1542" s="35">
        <v>1.9990000000000001</v>
      </c>
      <c r="F1542" s="35">
        <v>2.9980000000000002</v>
      </c>
      <c r="G1542" s="35">
        <v>21500</v>
      </c>
    </row>
    <row r="1543" spans="1:7" x14ac:dyDescent="0.25">
      <c r="A1543">
        <v>20221028</v>
      </c>
      <c r="B1543" t="s">
        <v>770</v>
      </c>
      <c r="C1543" t="s">
        <v>249</v>
      </c>
      <c r="D1543" t="s">
        <v>214</v>
      </c>
      <c r="E1543" s="35">
        <v>1.9990000000000001</v>
      </c>
      <c r="F1543" s="35">
        <v>2.9980000000000002</v>
      </c>
      <c r="G1543" s="35">
        <v>20000</v>
      </c>
    </row>
    <row r="1544" spans="1:7" x14ac:dyDescent="0.25">
      <c r="A1544">
        <v>20221028</v>
      </c>
      <c r="B1544" t="s">
        <v>770</v>
      </c>
      <c r="C1544" t="s">
        <v>249</v>
      </c>
      <c r="D1544" t="s">
        <v>233</v>
      </c>
      <c r="E1544" s="35">
        <v>1.9990000000000001</v>
      </c>
      <c r="F1544" s="35">
        <v>2.9980000000000002</v>
      </c>
      <c r="G1544" s="35">
        <v>18500</v>
      </c>
    </row>
    <row r="1545" spans="1:7" x14ac:dyDescent="0.25">
      <c r="A1545">
        <v>20221028</v>
      </c>
      <c r="B1545" t="s">
        <v>770</v>
      </c>
      <c r="C1545" t="s">
        <v>249</v>
      </c>
      <c r="D1545" t="s">
        <v>242</v>
      </c>
      <c r="E1545" s="35">
        <v>1.9990000000000001</v>
      </c>
      <c r="F1545" s="35">
        <v>2.9980000000000002</v>
      </c>
      <c r="G1545" s="35">
        <v>17000</v>
      </c>
    </row>
    <row r="1546" spans="1:7" x14ac:dyDescent="0.25">
      <c r="A1546">
        <v>20221028</v>
      </c>
      <c r="B1546" t="s">
        <v>770</v>
      </c>
      <c r="C1546" t="s">
        <v>249</v>
      </c>
      <c r="D1546" t="s">
        <v>250</v>
      </c>
      <c r="E1546" s="35">
        <v>1.9990000000000001</v>
      </c>
      <c r="F1546" s="35">
        <v>2.9980000000000002</v>
      </c>
      <c r="G1546" s="35">
        <v>15500</v>
      </c>
    </row>
    <row r="1547" spans="1:7" x14ac:dyDescent="0.25">
      <c r="A1547">
        <v>20221028</v>
      </c>
      <c r="B1547" t="s">
        <v>770</v>
      </c>
      <c r="C1547" t="s">
        <v>249</v>
      </c>
      <c r="D1547" t="s">
        <v>258</v>
      </c>
      <c r="E1547" s="35">
        <v>1.9990000000000001</v>
      </c>
      <c r="F1547" s="35">
        <v>2.9980000000000002</v>
      </c>
      <c r="G1547" s="35">
        <v>13900</v>
      </c>
    </row>
    <row r="1548" spans="1:7" x14ac:dyDescent="0.25">
      <c r="A1548">
        <v>20221028</v>
      </c>
      <c r="B1548" t="s">
        <v>770</v>
      </c>
      <c r="C1548" t="s">
        <v>249</v>
      </c>
      <c r="D1548" t="s">
        <v>265</v>
      </c>
      <c r="E1548" s="35">
        <v>1.9990000000000001</v>
      </c>
      <c r="F1548" s="35">
        <v>2.9980000000000002</v>
      </c>
      <c r="G1548" s="35">
        <v>11600</v>
      </c>
    </row>
    <row r="1549" spans="1:7" x14ac:dyDescent="0.25">
      <c r="A1549">
        <v>20221028</v>
      </c>
      <c r="B1549" t="s">
        <v>770</v>
      </c>
      <c r="C1549" t="s">
        <v>249</v>
      </c>
      <c r="D1549" t="s">
        <v>273</v>
      </c>
      <c r="E1549" s="35">
        <v>1.9990000000000001</v>
      </c>
      <c r="F1549" s="35">
        <v>2.9980000000000002</v>
      </c>
      <c r="G1549" s="35">
        <v>8700</v>
      </c>
    </row>
    <row r="1550" spans="1:7" x14ac:dyDescent="0.25">
      <c r="A1550">
        <v>20221028</v>
      </c>
      <c r="B1550" t="s">
        <v>770</v>
      </c>
      <c r="C1550" t="s">
        <v>249</v>
      </c>
      <c r="D1550" t="s">
        <v>279</v>
      </c>
      <c r="E1550" s="35">
        <v>1.9990000000000001</v>
      </c>
      <c r="F1550" s="35">
        <v>2.9980000000000002</v>
      </c>
      <c r="G1550" s="35">
        <v>7800</v>
      </c>
    </row>
    <row r="1551" spans="1:7" x14ac:dyDescent="0.25">
      <c r="A1551">
        <v>20221028</v>
      </c>
      <c r="B1551" t="s">
        <v>770</v>
      </c>
      <c r="C1551" t="s">
        <v>249</v>
      </c>
      <c r="D1551" t="s">
        <v>285</v>
      </c>
      <c r="E1551" s="35">
        <v>1.9990000000000001</v>
      </c>
      <c r="F1551" s="35">
        <v>2.9980000000000002</v>
      </c>
      <c r="G1551" s="35">
        <v>3500</v>
      </c>
    </row>
    <row r="1552" spans="1:7" x14ac:dyDescent="0.25">
      <c r="A1552">
        <v>20221028</v>
      </c>
      <c r="B1552" t="s">
        <v>770</v>
      </c>
      <c r="C1552" t="s">
        <v>249</v>
      </c>
      <c r="D1552" t="s">
        <v>289</v>
      </c>
      <c r="E1552" s="35">
        <v>1.9990000000000001</v>
      </c>
      <c r="F1552" s="35">
        <v>2.9980000000000002</v>
      </c>
      <c r="G1552" s="35">
        <v>1500</v>
      </c>
    </row>
    <row r="1553" spans="1:7" x14ac:dyDescent="0.25">
      <c r="A1553">
        <v>20221028</v>
      </c>
      <c r="B1553" t="s">
        <v>770</v>
      </c>
      <c r="C1553" t="s">
        <v>257</v>
      </c>
      <c r="D1553" t="s">
        <v>187</v>
      </c>
      <c r="E1553" s="35">
        <v>1.9990000000000001</v>
      </c>
      <c r="F1553" s="35">
        <v>2.9980000000000002</v>
      </c>
      <c r="G1553" s="35">
        <v>17500</v>
      </c>
    </row>
    <row r="1554" spans="1:7" x14ac:dyDescent="0.25">
      <c r="A1554">
        <v>20221028</v>
      </c>
      <c r="B1554" t="s">
        <v>770</v>
      </c>
      <c r="C1554" t="s">
        <v>257</v>
      </c>
      <c r="D1554" t="s">
        <v>214</v>
      </c>
      <c r="E1554" s="35">
        <v>1.9990000000000001</v>
      </c>
      <c r="F1554" s="35">
        <v>2.9980000000000002</v>
      </c>
      <c r="G1554" s="35">
        <v>16500</v>
      </c>
    </row>
    <row r="1555" spans="1:7" x14ac:dyDescent="0.25">
      <c r="A1555">
        <v>20221028</v>
      </c>
      <c r="B1555" t="s">
        <v>770</v>
      </c>
      <c r="C1555" t="s">
        <v>257</v>
      </c>
      <c r="D1555" t="s">
        <v>233</v>
      </c>
      <c r="E1555" s="35">
        <v>1.9990000000000001</v>
      </c>
      <c r="F1555" s="35">
        <v>2.9980000000000002</v>
      </c>
      <c r="G1555" s="35">
        <v>15000</v>
      </c>
    </row>
    <row r="1556" spans="1:7" x14ac:dyDescent="0.25">
      <c r="A1556">
        <v>20221028</v>
      </c>
      <c r="B1556" t="s">
        <v>770</v>
      </c>
      <c r="C1556" t="s">
        <v>257</v>
      </c>
      <c r="D1556" t="s">
        <v>242</v>
      </c>
      <c r="E1556" s="35">
        <v>1.9990000000000001</v>
      </c>
      <c r="F1556" s="35">
        <v>2.9980000000000002</v>
      </c>
      <c r="G1556" s="35">
        <v>14000</v>
      </c>
    </row>
    <row r="1557" spans="1:7" x14ac:dyDescent="0.25">
      <c r="A1557">
        <v>20221028</v>
      </c>
      <c r="B1557" t="s">
        <v>770</v>
      </c>
      <c r="C1557" t="s">
        <v>257</v>
      </c>
      <c r="D1557" t="s">
        <v>250</v>
      </c>
      <c r="E1557" s="35">
        <v>1.9990000000000001</v>
      </c>
      <c r="F1557" s="35">
        <v>2.9980000000000002</v>
      </c>
      <c r="G1557" s="35">
        <v>13000</v>
      </c>
    </row>
    <row r="1558" spans="1:7" x14ac:dyDescent="0.25">
      <c r="A1558">
        <v>20221028</v>
      </c>
      <c r="B1558" t="s">
        <v>770</v>
      </c>
      <c r="C1558" t="s">
        <v>257</v>
      </c>
      <c r="D1558" t="s">
        <v>258</v>
      </c>
      <c r="E1558" s="35">
        <v>1.9990000000000001</v>
      </c>
      <c r="F1558" s="35">
        <v>2.9980000000000002</v>
      </c>
      <c r="G1558" s="35">
        <v>12100</v>
      </c>
    </row>
    <row r="1559" spans="1:7" x14ac:dyDescent="0.25">
      <c r="A1559">
        <v>20221028</v>
      </c>
      <c r="B1559" t="s">
        <v>770</v>
      </c>
      <c r="C1559" t="s">
        <v>257</v>
      </c>
      <c r="D1559" t="s">
        <v>265</v>
      </c>
      <c r="E1559" s="35">
        <v>1.9990000000000001</v>
      </c>
      <c r="F1559" s="35">
        <v>2.9980000000000002</v>
      </c>
      <c r="G1559" s="35">
        <v>10900</v>
      </c>
    </row>
    <row r="1560" spans="1:7" x14ac:dyDescent="0.25">
      <c r="A1560">
        <v>20221028</v>
      </c>
      <c r="B1560" t="s">
        <v>770</v>
      </c>
      <c r="C1560" t="s">
        <v>257</v>
      </c>
      <c r="D1560" t="s">
        <v>273</v>
      </c>
      <c r="E1560" s="35">
        <v>1.9990000000000001</v>
      </c>
      <c r="F1560" s="35">
        <v>2.9980000000000002</v>
      </c>
      <c r="G1560" s="35">
        <v>8100</v>
      </c>
    </row>
    <row r="1561" spans="1:7" x14ac:dyDescent="0.25">
      <c r="A1561">
        <v>20221028</v>
      </c>
      <c r="B1561" t="s">
        <v>770</v>
      </c>
      <c r="C1561" t="s">
        <v>257</v>
      </c>
      <c r="D1561" t="s">
        <v>279</v>
      </c>
      <c r="E1561" s="35">
        <v>1.9990000000000001</v>
      </c>
      <c r="F1561" s="35">
        <v>2.9980000000000002</v>
      </c>
      <c r="G1561" s="35">
        <v>7200</v>
      </c>
    </row>
    <row r="1562" spans="1:7" x14ac:dyDescent="0.25">
      <c r="A1562">
        <v>20221028</v>
      </c>
      <c r="B1562" t="s">
        <v>770</v>
      </c>
      <c r="C1562" t="s">
        <v>257</v>
      </c>
      <c r="D1562" t="s">
        <v>285</v>
      </c>
      <c r="E1562" s="35">
        <v>1.9990000000000001</v>
      </c>
      <c r="F1562" s="35">
        <v>2.9980000000000002</v>
      </c>
      <c r="G1562" s="35">
        <v>3300</v>
      </c>
    </row>
    <row r="1563" spans="1:7" x14ac:dyDescent="0.25">
      <c r="A1563">
        <v>20221028</v>
      </c>
      <c r="B1563" t="s">
        <v>770</v>
      </c>
      <c r="C1563" t="s">
        <v>257</v>
      </c>
      <c r="D1563" t="s">
        <v>289</v>
      </c>
      <c r="E1563" s="35">
        <v>1.9990000000000001</v>
      </c>
      <c r="F1563" s="35">
        <v>2.9980000000000002</v>
      </c>
      <c r="G1563" s="35">
        <v>1500</v>
      </c>
    </row>
    <row r="1564" spans="1:7" x14ac:dyDescent="0.25">
      <c r="A1564">
        <v>20221028</v>
      </c>
      <c r="B1564" t="s">
        <v>770</v>
      </c>
      <c r="C1564" t="s">
        <v>264</v>
      </c>
      <c r="D1564" t="s">
        <v>187</v>
      </c>
      <c r="E1564" s="35">
        <v>1.9990000000000001</v>
      </c>
      <c r="F1564" s="35">
        <v>2.9980000000000002</v>
      </c>
      <c r="G1564" s="35">
        <v>14500</v>
      </c>
    </row>
    <row r="1565" spans="1:7" x14ac:dyDescent="0.25">
      <c r="A1565">
        <v>20221028</v>
      </c>
      <c r="B1565" t="s">
        <v>770</v>
      </c>
      <c r="C1565" t="s">
        <v>264</v>
      </c>
      <c r="D1565" t="s">
        <v>214</v>
      </c>
      <c r="E1565" s="35">
        <v>1.9990000000000001</v>
      </c>
      <c r="F1565" s="35">
        <v>2.9980000000000002</v>
      </c>
      <c r="G1565" s="35">
        <v>13600</v>
      </c>
    </row>
    <row r="1566" spans="1:7" x14ac:dyDescent="0.25">
      <c r="A1566">
        <v>20221028</v>
      </c>
      <c r="B1566" t="s">
        <v>770</v>
      </c>
      <c r="C1566" t="s">
        <v>264</v>
      </c>
      <c r="D1566" t="s">
        <v>233</v>
      </c>
      <c r="E1566" s="35">
        <v>1.9990000000000001</v>
      </c>
      <c r="F1566" s="35">
        <v>2.9980000000000002</v>
      </c>
      <c r="G1566" s="35">
        <v>12400</v>
      </c>
    </row>
    <row r="1567" spans="1:7" x14ac:dyDescent="0.25">
      <c r="A1567">
        <v>20221028</v>
      </c>
      <c r="B1567" t="s">
        <v>770</v>
      </c>
      <c r="C1567" t="s">
        <v>264</v>
      </c>
      <c r="D1567" t="s">
        <v>242</v>
      </c>
      <c r="E1567" s="35">
        <v>1.9990000000000001</v>
      </c>
      <c r="F1567" s="35">
        <v>2.9980000000000002</v>
      </c>
      <c r="G1567" s="35">
        <v>11400</v>
      </c>
    </row>
    <row r="1568" spans="1:7" x14ac:dyDescent="0.25">
      <c r="A1568">
        <v>20221028</v>
      </c>
      <c r="B1568" t="s">
        <v>770</v>
      </c>
      <c r="C1568" t="s">
        <v>264</v>
      </c>
      <c r="D1568" t="s">
        <v>250</v>
      </c>
      <c r="E1568" s="35">
        <v>1.9990000000000001</v>
      </c>
      <c r="F1568" s="35">
        <v>2.9980000000000002</v>
      </c>
      <c r="G1568" s="35">
        <v>10800</v>
      </c>
    </row>
    <row r="1569" spans="1:7" x14ac:dyDescent="0.25">
      <c r="A1569">
        <v>20221028</v>
      </c>
      <c r="B1569" t="s">
        <v>770</v>
      </c>
      <c r="C1569" t="s">
        <v>264</v>
      </c>
      <c r="D1569" t="s">
        <v>258</v>
      </c>
      <c r="E1569" s="35">
        <v>1.9990000000000001</v>
      </c>
      <c r="F1569" s="35">
        <v>2.9980000000000002</v>
      </c>
      <c r="G1569" s="35">
        <v>10200</v>
      </c>
    </row>
    <row r="1570" spans="1:7" x14ac:dyDescent="0.25">
      <c r="A1570">
        <v>20221028</v>
      </c>
      <c r="B1570" t="s">
        <v>770</v>
      </c>
      <c r="C1570" t="s">
        <v>264</v>
      </c>
      <c r="D1570" t="s">
        <v>265</v>
      </c>
      <c r="E1570" s="35">
        <v>1.9990000000000001</v>
      </c>
      <c r="F1570" s="35">
        <v>2.9980000000000002</v>
      </c>
      <c r="G1570" s="35">
        <v>9500</v>
      </c>
    </row>
    <row r="1571" spans="1:7" x14ac:dyDescent="0.25">
      <c r="A1571">
        <v>20221028</v>
      </c>
      <c r="B1571" t="s">
        <v>770</v>
      </c>
      <c r="C1571" t="s">
        <v>264</v>
      </c>
      <c r="D1571" t="s">
        <v>273</v>
      </c>
      <c r="E1571" s="35">
        <v>1.9990000000000001</v>
      </c>
      <c r="F1571" s="35">
        <v>2.9980000000000002</v>
      </c>
      <c r="G1571" s="35">
        <v>7600</v>
      </c>
    </row>
    <row r="1572" spans="1:7" x14ac:dyDescent="0.25">
      <c r="A1572">
        <v>20221028</v>
      </c>
      <c r="B1572" t="s">
        <v>770</v>
      </c>
      <c r="C1572" t="s">
        <v>264</v>
      </c>
      <c r="D1572" t="s">
        <v>279</v>
      </c>
      <c r="E1572" s="35">
        <v>1.9990000000000001</v>
      </c>
      <c r="F1572" s="35">
        <v>2.9980000000000002</v>
      </c>
      <c r="G1572" s="35">
        <v>6600</v>
      </c>
    </row>
    <row r="1573" spans="1:7" x14ac:dyDescent="0.25">
      <c r="A1573">
        <v>20221028</v>
      </c>
      <c r="B1573" t="s">
        <v>770</v>
      </c>
      <c r="C1573" t="s">
        <v>264</v>
      </c>
      <c r="D1573" t="s">
        <v>285</v>
      </c>
      <c r="E1573" s="35">
        <v>1.9990000000000001</v>
      </c>
      <c r="F1573" s="35">
        <v>2.9980000000000002</v>
      </c>
      <c r="G1573" s="35">
        <v>3000</v>
      </c>
    </row>
    <row r="1574" spans="1:7" x14ac:dyDescent="0.25">
      <c r="A1574">
        <v>20221028</v>
      </c>
      <c r="B1574" t="s">
        <v>770</v>
      </c>
      <c r="C1574" t="s">
        <v>264</v>
      </c>
      <c r="D1574" t="s">
        <v>289</v>
      </c>
      <c r="E1574" s="35">
        <v>1.9990000000000001</v>
      </c>
      <c r="F1574" s="35">
        <v>2.9980000000000002</v>
      </c>
      <c r="G1574" s="35">
        <v>1400</v>
      </c>
    </row>
    <row r="1575" spans="1:7" x14ac:dyDescent="0.25">
      <c r="A1575">
        <v>20221028</v>
      </c>
      <c r="B1575" t="s">
        <v>770</v>
      </c>
      <c r="C1575" t="s">
        <v>272</v>
      </c>
      <c r="D1575" t="s">
        <v>187</v>
      </c>
      <c r="E1575" s="35">
        <v>1.9990000000000001</v>
      </c>
      <c r="F1575" s="35">
        <v>2.9980000000000002</v>
      </c>
      <c r="G1575" s="35">
        <v>12100</v>
      </c>
    </row>
    <row r="1576" spans="1:7" x14ac:dyDescent="0.25">
      <c r="A1576">
        <v>20221028</v>
      </c>
      <c r="B1576" t="s">
        <v>770</v>
      </c>
      <c r="C1576" t="s">
        <v>272</v>
      </c>
      <c r="D1576" t="s">
        <v>214</v>
      </c>
      <c r="E1576" s="35">
        <v>1.9990000000000001</v>
      </c>
      <c r="F1576" s="35">
        <v>2.9980000000000002</v>
      </c>
      <c r="G1576" s="35">
        <v>11100</v>
      </c>
    </row>
    <row r="1577" spans="1:7" x14ac:dyDescent="0.25">
      <c r="A1577">
        <v>20221028</v>
      </c>
      <c r="B1577" t="s">
        <v>770</v>
      </c>
      <c r="C1577" t="s">
        <v>272</v>
      </c>
      <c r="D1577" t="s">
        <v>233</v>
      </c>
      <c r="E1577" s="35">
        <v>1.9990000000000001</v>
      </c>
      <c r="F1577" s="35">
        <v>2.9980000000000002</v>
      </c>
      <c r="G1577" s="35">
        <v>10200</v>
      </c>
    </row>
    <row r="1578" spans="1:7" x14ac:dyDescent="0.25">
      <c r="A1578">
        <v>20221028</v>
      </c>
      <c r="B1578" t="s">
        <v>770</v>
      </c>
      <c r="C1578" t="s">
        <v>272</v>
      </c>
      <c r="D1578" t="s">
        <v>242</v>
      </c>
      <c r="E1578" s="35">
        <v>1.9990000000000001</v>
      </c>
      <c r="F1578" s="35">
        <v>2.9980000000000002</v>
      </c>
      <c r="G1578" s="35">
        <v>9400</v>
      </c>
    </row>
    <row r="1579" spans="1:7" x14ac:dyDescent="0.25">
      <c r="A1579">
        <v>20221028</v>
      </c>
      <c r="B1579" t="s">
        <v>770</v>
      </c>
      <c r="C1579" t="s">
        <v>272</v>
      </c>
      <c r="D1579" t="s">
        <v>250</v>
      </c>
      <c r="E1579" s="35">
        <v>1.9990000000000001</v>
      </c>
      <c r="F1579" s="35">
        <v>2.9980000000000002</v>
      </c>
      <c r="G1579" s="35">
        <v>8900</v>
      </c>
    </row>
    <row r="1580" spans="1:7" x14ac:dyDescent="0.25">
      <c r="A1580">
        <v>20221028</v>
      </c>
      <c r="B1580" t="s">
        <v>770</v>
      </c>
      <c r="C1580" t="s">
        <v>272</v>
      </c>
      <c r="D1580" t="s">
        <v>258</v>
      </c>
      <c r="E1580" s="35">
        <v>1.9990000000000001</v>
      </c>
      <c r="F1580" s="35">
        <v>2.9980000000000002</v>
      </c>
      <c r="G1580" s="35">
        <v>8300</v>
      </c>
    </row>
    <row r="1581" spans="1:7" x14ac:dyDescent="0.25">
      <c r="A1581">
        <v>20221028</v>
      </c>
      <c r="B1581" t="s">
        <v>770</v>
      </c>
      <c r="C1581" t="s">
        <v>272</v>
      </c>
      <c r="D1581" t="s">
        <v>265</v>
      </c>
      <c r="E1581" s="35">
        <v>1.9990000000000001</v>
      </c>
      <c r="F1581" s="35">
        <v>2.9980000000000002</v>
      </c>
      <c r="G1581" s="35">
        <v>7700</v>
      </c>
    </row>
    <row r="1582" spans="1:7" x14ac:dyDescent="0.25">
      <c r="A1582">
        <v>20221028</v>
      </c>
      <c r="B1582" t="s">
        <v>770</v>
      </c>
      <c r="C1582" t="s">
        <v>272</v>
      </c>
      <c r="D1582" t="s">
        <v>273</v>
      </c>
      <c r="E1582" s="35">
        <v>1.9990000000000001</v>
      </c>
      <c r="F1582" s="35">
        <v>2.9980000000000002</v>
      </c>
      <c r="G1582" s="35">
        <v>6700</v>
      </c>
    </row>
    <row r="1583" spans="1:7" x14ac:dyDescent="0.25">
      <c r="A1583">
        <v>20221028</v>
      </c>
      <c r="B1583" t="s">
        <v>770</v>
      </c>
      <c r="C1583" t="s">
        <v>272</v>
      </c>
      <c r="D1583" t="s">
        <v>279</v>
      </c>
      <c r="E1583" s="35">
        <v>1.9990000000000001</v>
      </c>
      <c r="F1583" s="35">
        <v>2.9980000000000002</v>
      </c>
      <c r="G1583" s="35">
        <v>5800</v>
      </c>
    </row>
    <row r="1584" spans="1:7" x14ac:dyDescent="0.25">
      <c r="A1584">
        <v>20221028</v>
      </c>
      <c r="B1584" t="s">
        <v>770</v>
      </c>
      <c r="C1584" t="s">
        <v>272</v>
      </c>
      <c r="D1584" t="s">
        <v>285</v>
      </c>
      <c r="E1584" s="35">
        <v>1.9990000000000001</v>
      </c>
      <c r="F1584" s="35">
        <v>2.9980000000000002</v>
      </c>
      <c r="G1584" s="35">
        <v>2800</v>
      </c>
    </row>
    <row r="1585" spans="1:7" x14ac:dyDescent="0.25">
      <c r="A1585">
        <v>20221028</v>
      </c>
      <c r="B1585" t="s">
        <v>770</v>
      </c>
      <c r="C1585" t="s">
        <v>272</v>
      </c>
      <c r="D1585" t="s">
        <v>289</v>
      </c>
      <c r="E1585" s="35">
        <v>1.9990000000000001</v>
      </c>
      <c r="F1585" s="35">
        <v>2.9980000000000002</v>
      </c>
      <c r="G1585" s="35">
        <v>1400</v>
      </c>
    </row>
    <row r="1586" spans="1:7" x14ac:dyDescent="0.25">
      <c r="A1586">
        <v>20221028</v>
      </c>
      <c r="B1586" t="s">
        <v>770</v>
      </c>
      <c r="C1586" t="s">
        <v>278</v>
      </c>
      <c r="D1586" t="s">
        <v>187</v>
      </c>
      <c r="E1586" s="35">
        <v>1.9990000000000001</v>
      </c>
      <c r="F1586" s="35">
        <v>2.9980000000000002</v>
      </c>
      <c r="G1586" s="35">
        <v>9900</v>
      </c>
    </row>
    <row r="1587" spans="1:7" x14ac:dyDescent="0.25">
      <c r="A1587">
        <v>20221028</v>
      </c>
      <c r="B1587" t="s">
        <v>770</v>
      </c>
      <c r="C1587" t="s">
        <v>278</v>
      </c>
      <c r="D1587" t="s">
        <v>214</v>
      </c>
      <c r="E1587" s="35">
        <v>1.9990000000000001</v>
      </c>
      <c r="F1587" s="35">
        <v>2.9980000000000002</v>
      </c>
      <c r="G1587" s="35">
        <v>9100</v>
      </c>
    </row>
    <row r="1588" spans="1:7" x14ac:dyDescent="0.25">
      <c r="A1588">
        <v>20221028</v>
      </c>
      <c r="B1588" t="s">
        <v>770</v>
      </c>
      <c r="C1588" t="s">
        <v>278</v>
      </c>
      <c r="D1588" t="s">
        <v>233</v>
      </c>
      <c r="E1588" s="35">
        <v>1.9990000000000001</v>
      </c>
      <c r="F1588" s="35">
        <v>2.9980000000000002</v>
      </c>
      <c r="G1588" s="35">
        <v>8200</v>
      </c>
    </row>
    <row r="1589" spans="1:7" x14ac:dyDescent="0.25">
      <c r="A1589">
        <v>20221028</v>
      </c>
      <c r="B1589" t="s">
        <v>770</v>
      </c>
      <c r="C1589" t="s">
        <v>278</v>
      </c>
      <c r="D1589" t="s">
        <v>242</v>
      </c>
      <c r="E1589" s="35">
        <v>1.9990000000000001</v>
      </c>
      <c r="F1589" s="35">
        <v>2.9980000000000002</v>
      </c>
      <c r="G1589" s="35">
        <v>7600</v>
      </c>
    </row>
    <row r="1590" spans="1:7" x14ac:dyDescent="0.25">
      <c r="A1590">
        <v>20221028</v>
      </c>
      <c r="B1590" t="s">
        <v>770</v>
      </c>
      <c r="C1590" t="s">
        <v>278</v>
      </c>
      <c r="D1590" t="s">
        <v>250</v>
      </c>
      <c r="E1590" s="35">
        <v>1.9990000000000001</v>
      </c>
      <c r="F1590" s="35">
        <v>2.9980000000000002</v>
      </c>
      <c r="G1590" s="35">
        <v>7100</v>
      </c>
    </row>
    <row r="1591" spans="1:7" x14ac:dyDescent="0.25">
      <c r="A1591">
        <v>20221028</v>
      </c>
      <c r="B1591" t="s">
        <v>770</v>
      </c>
      <c r="C1591" t="s">
        <v>278</v>
      </c>
      <c r="D1591" t="s">
        <v>258</v>
      </c>
      <c r="E1591" s="35">
        <v>1.9990000000000001</v>
      </c>
      <c r="F1591" s="35">
        <v>2.9980000000000002</v>
      </c>
      <c r="G1591" s="35">
        <v>6700</v>
      </c>
    </row>
    <row r="1592" spans="1:7" x14ac:dyDescent="0.25">
      <c r="A1592">
        <v>20221028</v>
      </c>
      <c r="B1592" t="s">
        <v>770</v>
      </c>
      <c r="C1592" t="s">
        <v>278</v>
      </c>
      <c r="D1592" t="s">
        <v>265</v>
      </c>
      <c r="E1592" s="35">
        <v>1.9990000000000001</v>
      </c>
      <c r="F1592" s="35">
        <v>2.9980000000000002</v>
      </c>
      <c r="G1592" s="35">
        <v>6300</v>
      </c>
    </row>
    <row r="1593" spans="1:7" x14ac:dyDescent="0.25">
      <c r="A1593">
        <v>20221028</v>
      </c>
      <c r="B1593" t="s">
        <v>770</v>
      </c>
      <c r="C1593" t="s">
        <v>278</v>
      </c>
      <c r="D1593" t="s">
        <v>273</v>
      </c>
      <c r="E1593" s="35">
        <v>1.9990000000000001</v>
      </c>
      <c r="F1593" s="35">
        <v>2.9980000000000002</v>
      </c>
      <c r="G1593" s="35">
        <v>5700</v>
      </c>
    </row>
    <row r="1594" spans="1:7" x14ac:dyDescent="0.25">
      <c r="A1594">
        <v>20221028</v>
      </c>
      <c r="B1594" t="s">
        <v>770</v>
      </c>
      <c r="C1594" t="s">
        <v>278</v>
      </c>
      <c r="D1594" t="s">
        <v>279</v>
      </c>
      <c r="E1594" s="35">
        <v>1.9990000000000001</v>
      </c>
      <c r="F1594" s="35">
        <v>2.9980000000000002</v>
      </c>
      <c r="G1594" s="35">
        <v>5000</v>
      </c>
    </row>
    <row r="1595" spans="1:7" x14ac:dyDescent="0.25">
      <c r="A1595">
        <v>20221028</v>
      </c>
      <c r="B1595" t="s">
        <v>770</v>
      </c>
      <c r="C1595" t="s">
        <v>278</v>
      </c>
      <c r="D1595" t="s">
        <v>285</v>
      </c>
      <c r="E1595" s="35">
        <v>1.9990000000000001</v>
      </c>
      <c r="F1595" s="35">
        <v>2.9980000000000002</v>
      </c>
      <c r="G1595" s="35">
        <v>2700</v>
      </c>
    </row>
    <row r="1596" spans="1:7" x14ac:dyDescent="0.25">
      <c r="A1596">
        <v>20221028</v>
      </c>
      <c r="B1596" t="s">
        <v>770</v>
      </c>
      <c r="C1596" t="s">
        <v>278</v>
      </c>
      <c r="D1596" t="s">
        <v>289</v>
      </c>
      <c r="E1596" s="35">
        <v>1.9990000000000001</v>
      </c>
      <c r="F1596" s="35">
        <v>2.9980000000000002</v>
      </c>
      <c r="G1596" s="35">
        <v>1300</v>
      </c>
    </row>
    <row r="1597" spans="1:7" x14ac:dyDescent="0.25">
      <c r="A1597">
        <v>20221028</v>
      </c>
      <c r="B1597" t="s">
        <v>770</v>
      </c>
      <c r="C1597" t="s">
        <v>284</v>
      </c>
      <c r="D1597" t="s">
        <v>187</v>
      </c>
      <c r="E1597" s="35">
        <v>1.9990000000000001</v>
      </c>
      <c r="F1597" s="35">
        <v>2.9980000000000002</v>
      </c>
      <c r="G1597" s="35">
        <v>8100</v>
      </c>
    </row>
    <row r="1598" spans="1:7" x14ac:dyDescent="0.25">
      <c r="A1598">
        <v>20221028</v>
      </c>
      <c r="B1598" t="s">
        <v>770</v>
      </c>
      <c r="C1598" t="s">
        <v>284</v>
      </c>
      <c r="D1598" t="s">
        <v>214</v>
      </c>
      <c r="E1598" s="35">
        <v>1.9990000000000001</v>
      </c>
      <c r="F1598" s="35">
        <v>2.9980000000000002</v>
      </c>
      <c r="G1598" s="35">
        <v>7500</v>
      </c>
    </row>
    <row r="1599" spans="1:7" x14ac:dyDescent="0.25">
      <c r="A1599">
        <v>20221028</v>
      </c>
      <c r="B1599" t="s">
        <v>770</v>
      </c>
      <c r="C1599" t="s">
        <v>284</v>
      </c>
      <c r="D1599" t="s">
        <v>233</v>
      </c>
      <c r="E1599" s="35">
        <v>1.9990000000000001</v>
      </c>
      <c r="F1599" s="35">
        <v>2.9980000000000002</v>
      </c>
      <c r="G1599" s="35">
        <v>6900</v>
      </c>
    </row>
    <row r="1600" spans="1:7" x14ac:dyDescent="0.25">
      <c r="A1600">
        <v>20221028</v>
      </c>
      <c r="B1600" t="s">
        <v>770</v>
      </c>
      <c r="C1600" t="s">
        <v>284</v>
      </c>
      <c r="D1600" t="s">
        <v>242</v>
      </c>
      <c r="E1600" s="35">
        <v>1.9990000000000001</v>
      </c>
      <c r="F1600" s="35">
        <v>2.9980000000000002</v>
      </c>
      <c r="G1600" s="35">
        <v>6400</v>
      </c>
    </row>
    <row r="1601" spans="1:7" x14ac:dyDescent="0.25">
      <c r="A1601">
        <v>20221028</v>
      </c>
      <c r="B1601" t="s">
        <v>770</v>
      </c>
      <c r="C1601" t="s">
        <v>284</v>
      </c>
      <c r="D1601" t="s">
        <v>250</v>
      </c>
      <c r="E1601" s="35">
        <v>1.9990000000000001</v>
      </c>
      <c r="F1601" s="35">
        <v>2.9980000000000002</v>
      </c>
      <c r="G1601" s="35">
        <v>6000</v>
      </c>
    </row>
    <row r="1602" spans="1:7" x14ac:dyDescent="0.25">
      <c r="A1602">
        <v>20221028</v>
      </c>
      <c r="B1602" t="s">
        <v>770</v>
      </c>
      <c r="C1602" t="s">
        <v>284</v>
      </c>
      <c r="D1602" t="s">
        <v>258</v>
      </c>
      <c r="E1602" s="35">
        <v>1.9990000000000001</v>
      </c>
      <c r="F1602" s="35">
        <v>2.9980000000000002</v>
      </c>
      <c r="G1602" s="35">
        <v>5600</v>
      </c>
    </row>
    <row r="1603" spans="1:7" x14ac:dyDescent="0.25">
      <c r="A1603">
        <v>20221028</v>
      </c>
      <c r="B1603" t="s">
        <v>770</v>
      </c>
      <c r="C1603" t="s">
        <v>284</v>
      </c>
      <c r="D1603" t="s">
        <v>265</v>
      </c>
      <c r="E1603" s="35">
        <v>1.9990000000000001</v>
      </c>
      <c r="F1603" s="35">
        <v>2.9980000000000002</v>
      </c>
      <c r="G1603" s="35">
        <v>5200</v>
      </c>
    </row>
    <row r="1604" spans="1:7" x14ac:dyDescent="0.25">
      <c r="A1604">
        <v>20221028</v>
      </c>
      <c r="B1604" t="s">
        <v>770</v>
      </c>
      <c r="C1604" t="s">
        <v>284</v>
      </c>
      <c r="D1604" t="s">
        <v>273</v>
      </c>
      <c r="E1604" s="35">
        <v>1.9990000000000001</v>
      </c>
      <c r="F1604" s="35">
        <v>2.9980000000000002</v>
      </c>
      <c r="G1604" s="35">
        <v>4700</v>
      </c>
    </row>
    <row r="1605" spans="1:7" x14ac:dyDescent="0.25">
      <c r="A1605">
        <v>20221028</v>
      </c>
      <c r="B1605" t="s">
        <v>770</v>
      </c>
      <c r="C1605" t="s">
        <v>284</v>
      </c>
      <c r="D1605" t="s">
        <v>279</v>
      </c>
      <c r="E1605" s="35">
        <v>1.9990000000000001</v>
      </c>
      <c r="F1605" s="35">
        <v>2.9980000000000002</v>
      </c>
      <c r="G1605" s="35">
        <v>4300</v>
      </c>
    </row>
    <row r="1606" spans="1:7" x14ac:dyDescent="0.25">
      <c r="A1606">
        <v>20221028</v>
      </c>
      <c r="B1606" t="s">
        <v>770</v>
      </c>
      <c r="C1606" t="s">
        <v>284</v>
      </c>
      <c r="D1606" t="s">
        <v>285</v>
      </c>
      <c r="E1606" s="35">
        <v>1.9990000000000001</v>
      </c>
      <c r="F1606" s="35">
        <v>2.9980000000000002</v>
      </c>
      <c r="G1606" s="35">
        <v>2600</v>
      </c>
    </row>
    <row r="1607" spans="1:7" x14ac:dyDescent="0.25">
      <c r="A1607">
        <v>20221028</v>
      </c>
      <c r="B1607" t="s">
        <v>770</v>
      </c>
      <c r="C1607" t="s">
        <v>284</v>
      </c>
      <c r="D1607" t="s">
        <v>289</v>
      </c>
      <c r="E1607" s="35">
        <v>1.9990000000000001</v>
      </c>
      <c r="F1607" s="35">
        <v>2.9980000000000002</v>
      </c>
      <c r="G1607" s="35">
        <v>1300</v>
      </c>
    </row>
    <row r="1608" spans="1:7" x14ac:dyDescent="0.25">
      <c r="A1608">
        <v>20221028</v>
      </c>
      <c r="B1608" t="s">
        <v>770</v>
      </c>
      <c r="C1608" t="s">
        <v>186</v>
      </c>
      <c r="D1608" t="s">
        <v>187</v>
      </c>
      <c r="E1608" s="35">
        <v>2.9990000000000001</v>
      </c>
      <c r="F1608" s="35">
        <v>3.9980000000000002</v>
      </c>
      <c r="G1608" s="35">
        <v>70000</v>
      </c>
    </row>
    <row r="1609" spans="1:7" x14ac:dyDescent="0.25">
      <c r="A1609">
        <v>20221028</v>
      </c>
      <c r="B1609" t="s">
        <v>770</v>
      </c>
      <c r="C1609" t="s">
        <v>186</v>
      </c>
      <c r="D1609" t="s">
        <v>214</v>
      </c>
      <c r="E1609" s="35">
        <v>2.9990000000000001</v>
      </c>
      <c r="F1609" s="35">
        <v>3.9980000000000002</v>
      </c>
      <c r="G1609" s="35">
        <v>56000</v>
      </c>
    </row>
    <row r="1610" spans="1:7" x14ac:dyDescent="0.25">
      <c r="A1610">
        <v>20221028</v>
      </c>
      <c r="B1610" t="s">
        <v>770</v>
      </c>
      <c r="C1610" t="s">
        <v>186</v>
      </c>
      <c r="D1610" t="s">
        <v>233</v>
      </c>
      <c r="E1610" s="35">
        <v>2.9990000000000001</v>
      </c>
      <c r="F1610" s="35">
        <v>3.9980000000000002</v>
      </c>
      <c r="G1610" s="35">
        <v>49000</v>
      </c>
    </row>
    <row r="1611" spans="1:7" x14ac:dyDescent="0.25">
      <c r="A1611">
        <v>20221028</v>
      </c>
      <c r="B1611" t="s">
        <v>770</v>
      </c>
      <c r="C1611" t="s">
        <v>186</v>
      </c>
      <c r="D1611" t="s">
        <v>242</v>
      </c>
      <c r="E1611" s="35">
        <v>2.9990000000000001</v>
      </c>
      <c r="F1611" s="35">
        <v>3.9980000000000002</v>
      </c>
      <c r="G1611" s="35">
        <v>41000</v>
      </c>
    </row>
    <row r="1612" spans="1:7" x14ac:dyDescent="0.25">
      <c r="A1612">
        <v>20221028</v>
      </c>
      <c r="B1612" t="s">
        <v>770</v>
      </c>
      <c r="C1612" t="s">
        <v>186</v>
      </c>
      <c r="D1612" t="s">
        <v>250</v>
      </c>
      <c r="E1612" s="35">
        <v>2.9990000000000001</v>
      </c>
      <c r="F1612" s="35">
        <v>3.9980000000000002</v>
      </c>
      <c r="G1612" s="35">
        <v>35000</v>
      </c>
    </row>
    <row r="1613" spans="1:7" x14ac:dyDescent="0.25">
      <c r="A1613">
        <v>20221028</v>
      </c>
      <c r="B1613" t="s">
        <v>770</v>
      </c>
      <c r="C1613" t="s">
        <v>186</v>
      </c>
      <c r="D1613" t="s">
        <v>258</v>
      </c>
      <c r="E1613" s="35">
        <v>2.9990000000000001</v>
      </c>
      <c r="F1613" s="35">
        <v>3.9980000000000002</v>
      </c>
      <c r="G1613" s="35">
        <v>27500</v>
      </c>
    </row>
    <row r="1614" spans="1:7" x14ac:dyDescent="0.25">
      <c r="A1614">
        <v>20221028</v>
      </c>
      <c r="B1614" t="s">
        <v>770</v>
      </c>
      <c r="C1614" t="s">
        <v>186</v>
      </c>
      <c r="D1614" t="s">
        <v>265</v>
      </c>
      <c r="E1614" s="35">
        <v>2.9990000000000001</v>
      </c>
      <c r="F1614" s="35">
        <v>3.9980000000000002</v>
      </c>
      <c r="G1614" s="35">
        <v>22500</v>
      </c>
    </row>
    <row r="1615" spans="1:7" x14ac:dyDescent="0.25">
      <c r="A1615">
        <v>20221028</v>
      </c>
      <c r="B1615" t="s">
        <v>770</v>
      </c>
      <c r="C1615" t="s">
        <v>186</v>
      </c>
      <c r="D1615" t="s">
        <v>273</v>
      </c>
      <c r="E1615" s="35">
        <v>2.9990000000000001</v>
      </c>
      <c r="F1615" s="35">
        <v>3.9980000000000002</v>
      </c>
      <c r="G1615" s="35">
        <v>14900</v>
      </c>
    </row>
    <row r="1616" spans="1:7" x14ac:dyDescent="0.25">
      <c r="A1616">
        <v>20221028</v>
      </c>
      <c r="B1616" t="s">
        <v>770</v>
      </c>
      <c r="C1616" t="s">
        <v>186</v>
      </c>
      <c r="D1616" t="s">
        <v>279</v>
      </c>
      <c r="E1616" s="35">
        <v>2.9990000000000001</v>
      </c>
      <c r="F1616" s="35">
        <v>3.9980000000000002</v>
      </c>
      <c r="G1616" s="35">
        <v>10700</v>
      </c>
    </row>
    <row r="1617" spans="1:7" x14ac:dyDescent="0.25">
      <c r="A1617">
        <v>20221028</v>
      </c>
      <c r="B1617" t="s">
        <v>770</v>
      </c>
      <c r="C1617" t="s">
        <v>186</v>
      </c>
      <c r="D1617" t="s">
        <v>285</v>
      </c>
      <c r="E1617" s="35">
        <v>2.9990000000000001</v>
      </c>
      <c r="F1617" s="35">
        <v>3.9980000000000002</v>
      </c>
      <c r="G1617" s="35">
        <v>4900</v>
      </c>
    </row>
    <row r="1618" spans="1:7" x14ac:dyDescent="0.25">
      <c r="A1618">
        <v>20221028</v>
      </c>
      <c r="B1618" t="s">
        <v>770</v>
      </c>
      <c r="C1618" t="s">
        <v>186</v>
      </c>
      <c r="D1618" t="s">
        <v>289</v>
      </c>
      <c r="E1618" s="35">
        <v>2.9990000000000001</v>
      </c>
      <c r="F1618" s="35">
        <v>3.9980000000000002</v>
      </c>
      <c r="G1618" s="35">
        <v>2100</v>
      </c>
    </row>
    <row r="1619" spans="1:7" x14ac:dyDescent="0.25">
      <c r="A1619">
        <v>20221028</v>
      </c>
      <c r="B1619" t="s">
        <v>770</v>
      </c>
      <c r="C1619" t="s">
        <v>213</v>
      </c>
      <c r="D1619" t="s">
        <v>187</v>
      </c>
      <c r="E1619" s="35">
        <v>2.9990000000000001</v>
      </c>
      <c r="F1619" s="35">
        <v>3.9980000000000002</v>
      </c>
      <c r="G1619" s="35">
        <v>56500</v>
      </c>
    </row>
    <row r="1620" spans="1:7" x14ac:dyDescent="0.25">
      <c r="A1620">
        <v>20221028</v>
      </c>
      <c r="B1620" t="s">
        <v>770</v>
      </c>
      <c r="C1620" t="s">
        <v>213</v>
      </c>
      <c r="D1620" t="s">
        <v>214</v>
      </c>
      <c r="E1620" s="35">
        <v>2.9990000000000001</v>
      </c>
      <c r="F1620" s="35">
        <v>3.9980000000000002</v>
      </c>
      <c r="G1620" s="35">
        <v>49500</v>
      </c>
    </row>
    <row r="1621" spans="1:7" x14ac:dyDescent="0.25">
      <c r="A1621">
        <v>20221028</v>
      </c>
      <c r="B1621" t="s">
        <v>770</v>
      </c>
      <c r="C1621" t="s">
        <v>213</v>
      </c>
      <c r="D1621" t="s">
        <v>233</v>
      </c>
      <c r="E1621" s="35">
        <v>2.9990000000000001</v>
      </c>
      <c r="F1621" s="35">
        <v>3.9980000000000002</v>
      </c>
      <c r="G1621" s="35">
        <v>44000</v>
      </c>
    </row>
    <row r="1622" spans="1:7" x14ac:dyDescent="0.25">
      <c r="A1622">
        <v>20221028</v>
      </c>
      <c r="B1622" t="s">
        <v>770</v>
      </c>
      <c r="C1622" t="s">
        <v>213</v>
      </c>
      <c r="D1622" t="s">
        <v>242</v>
      </c>
      <c r="E1622" s="35">
        <v>2.9990000000000001</v>
      </c>
      <c r="F1622" s="35">
        <v>3.9980000000000002</v>
      </c>
      <c r="G1622" s="35">
        <v>37500</v>
      </c>
    </row>
    <row r="1623" spans="1:7" x14ac:dyDescent="0.25">
      <c r="A1623">
        <v>20221028</v>
      </c>
      <c r="B1623" t="s">
        <v>770</v>
      </c>
      <c r="C1623" t="s">
        <v>213</v>
      </c>
      <c r="D1623" t="s">
        <v>250</v>
      </c>
      <c r="E1623" s="35">
        <v>2.9990000000000001</v>
      </c>
      <c r="F1623" s="35">
        <v>3.9980000000000002</v>
      </c>
      <c r="G1623" s="35">
        <v>32000</v>
      </c>
    </row>
    <row r="1624" spans="1:7" x14ac:dyDescent="0.25">
      <c r="A1624">
        <v>20221028</v>
      </c>
      <c r="B1624" t="s">
        <v>770</v>
      </c>
      <c r="C1624" t="s">
        <v>213</v>
      </c>
      <c r="D1624" t="s">
        <v>258</v>
      </c>
      <c r="E1624" s="35">
        <v>2.9990000000000001</v>
      </c>
      <c r="F1624" s="35">
        <v>3.9980000000000002</v>
      </c>
      <c r="G1624" s="35">
        <v>25000</v>
      </c>
    </row>
    <row r="1625" spans="1:7" x14ac:dyDescent="0.25">
      <c r="A1625">
        <v>20221028</v>
      </c>
      <c r="B1625" t="s">
        <v>770</v>
      </c>
      <c r="C1625" t="s">
        <v>213</v>
      </c>
      <c r="D1625" t="s">
        <v>265</v>
      </c>
      <c r="E1625" s="35">
        <v>2.9990000000000001</v>
      </c>
      <c r="F1625" s="35">
        <v>3.9980000000000002</v>
      </c>
      <c r="G1625" s="35">
        <v>21000</v>
      </c>
    </row>
    <row r="1626" spans="1:7" x14ac:dyDescent="0.25">
      <c r="A1626">
        <v>20221028</v>
      </c>
      <c r="B1626" t="s">
        <v>770</v>
      </c>
      <c r="C1626" t="s">
        <v>213</v>
      </c>
      <c r="D1626" t="s">
        <v>273</v>
      </c>
      <c r="E1626" s="35">
        <v>2.9990000000000001</v>
      </c>
      <c r="F1626" s="35">
        <v>3.9980000000000002</v>
      </c>
      <c r="G1626" s="35">
        <v>14000</v>
      </c>
    </row>
    <row r="1627" spans="1:7" x14ac:dyDescent="0.25">
      <c r="A1627">
        <v>20221028</v>
      </c>
      <c r="B1627" t="s">
        <v>770</v>
      </c>
      <c r="C1627" t="s">
        <v>213</v>
      </c>
      <c r="D1627" t="s">
        <v>279</v>
      </c>
      <c r="E1627" s="35">
        <v>2.9990000000000001</v>
      </c>
      <c r="F1627" s="35">
        <v>3.9980000000000002</v>
      </c>
      <c r="G1627" s="35">
        <v>10200</v>
      </c>
    </row>
    <row r="1628" spans="1:7" x14ac:dyDescent="0.25">
      <c r="A1628">
        <v>20221028</v>
      </c>
      <c r="B1628" t="s">
        <v>770</v>
      </c>
      <c r="C1628" t="s">
        <v>213</v>
      </c>
      <c r="D1628" t="s">
        <v>285</v>
      </c>
      <c r="E1628" s="35">
        <v>2.9990000000000001</v>
      </c>
      <c r="F1628" s="35">
        <v>3.9980000000000002</v>
      </c>
      <c r="G1628" s="35">
        <v>4700</v>
      </c>
    </row>
    <row r="1629" spans="1:7" x14ac:dyDescent="0.25">
      <c r="A1629">
        <v>20221028</v>
      </c>
      <c r="B1629" t="s">
        <v>770</v>
      </c>
      <c r="C1629" t="s">
        <v>213</v>
      </c>
      <c r="D1629" t="s">
        <v>289</v>
      </c>
      <c r="E1629" s="35">
        <v>2.9990000000000001</v>
      </c>
      <c r="F1629" s="35">
        <v>3.9980000000000002</v>
      </c>
      <c r="G1629" s="35">
        <v>2000</v>
      </c>
    </row>
    <row r="1630" spans="1:7" x14ac:dyDescent="0.25">
      <c r="A1630">
        <v>20221028</v>
      </c>
      <c r="B1630" t="s">
        <v>770</v>
      </c>
      <c r="C1630" t="s">
        <v>232</v>
      </c>
      <c r="D1630" t="s">
        <v>187</v>
      </c>
      <c r="E1630" s="35">
        <v>2.9990000000000001</v>
      </c>
      <c r="F1630" s="35">
        <v>3.9980000000000002</v>
      </c>
      <c r="G1630" s="35">
        <v>47500</v>
      </c>
    </row>
    <row r="1631" spans="1:7" x14ac:dyDescent="0.25">
      <c r="A1631">
        <v>20221028</v>
      </c>
      <c r="B1631" t="s">
        <v>770</v>
      </c>
      <c r="C1631" t="s">
        <v>232</v>
      </c>
      <c r="D1631" t="s">
        <v>214</v>
      </c>
      <c r="E1631" s="35">
        <v>2.9990000000000001</v>
      </c>
      <c r="F1631" s="35">
        <v>3.9980000000000002</v>
      </c>
      <c r="G1631" s="35">
        <v>42500</v>
      </c>
    </row>
    <row r="1632" spans="1:7" x14ac:dyDescent="0.25">
      <c r="A1632">
        <v>20221028</v>
      </c>
      <c r="B1632" t="s">
        <v>770</v>
      </c>
      <c r="C1632" t="s">
        <v>232</v>
      </c>
      <c r="D1632" t="s">
        <v>233</v>
      </c>
      <c r="E1632" s="35">
        <v>2.9990000000000001</v>
      </c>
      <c r="F1632" s="35">
        <v>3.9980000000000002</v>
      </c>
      <c r="G1632" s="35">
        <v>38000</v>
      </c>
    </row>
    <row r="1633" spans="1:7" x14ac:dyDescent="0.25">
      <c r="A1633">
        <v>20221028</v>
      </c>
      <c r="B1633" t="s">
        <v>770</v>
      </c>
      <c r="C1633" t="s">
        <v>232</v>
      </c>
      <c r="D1633" t="s">
        <v>242</v>
      </c>
      <c r="E1633" s="35">
        <v>2.9990000000000001</v>
      </c>
      <c r="F1633" s="35">
        <v>3.9980000000000002</v>
      </c>
      <c r="G1633" s="35">
        <v>33500</v>
      </c>
    </row>
    <row r="1634" spans="1:7" x14ac:dyDescent="0.25">
      <c r="A1634">
        <v>20221028</v>
      </c>
      <c r="B1634" t="s">
        <v>770</v>
      </c>
      <c r="C1634" t="s">
        <v>232</v>
      </c>
      <c r="D1634" t="s">
        <v>250</v>
      </c>
      <c r="E1634" s="35">
        <v>2.9990000000000001</v>
      </c>
      <c r="F1634" s="35">
        <v>3.9980000000000002</v>
      </c>
      <c r="G1634" s="35">
        <v>29500</v>
      </c>
    </row>
    <row r="1635" spans="1:7" x14ac:dyDescent="0.25">
      <c r="A1635">
        <v>20221028</v>
      </c>
      <c r="B1635" t="s">
        <v>770</v>
      </c>
      <c r="C1635" t="s">
        <v>232</v>
      </c>
      <c r="D1635" t="s">
        <v>258</v>
      </c>
      <c r="E1635" s="35">
        <v>2.9990000000000001</v>
      </c>
      <c r="F1635" s="35">
        <v>3.9980000000000002</v>
      </c>
      <c r="G1635" s="35">
        <v>23000</v>
      </c>
    </row>
    <row r="1636" spans="1:7" x14ac:dyDescent="0.25">
      <c r="A1636">
        <v>20221028</v>
      </c>
      <c r="B1636" t="s">
        <v>770</v>
      </c>
      <c r="C1636" t="s">
        <v>232</v>
      </c>
      <c r="D1636" t="s">
        <v>265</v>
      </c>
      <c r="E1636" s="35">
        <v>2.9990000000000001</v>
      </c>
      <c r="F1636" s="35">
        <v>3.9980000000000002</v>
      </c>
      <c r="G1636" s="35">
        <v>19500</v>
      </c>
    </row>
    <row r="1637" spans="1:7" x14ac:dyDescent="0.25">
      <c r="A1637">
        <v>20221028</v>
      </c>
      <c r="B1637" t="s">
        <v>770</v>
      </c>
      <c r="C1637" t="s">
        <v>232</v>
      </c>
      <c r="D1637" t="s">
        <v>273</v>
      </c>
      <c r="E1637" s="35">
        <v>2.9990000000000001</v>
      </c>
      <c r="F1637" s="35">
        <v>3.9980000000000002</v>
      </c>
      <c r="G1637" s="35">
        <v>13300</v>
      </c>
    </row>
    <row r="1638" spans="1:7" x14ac:dyDescent="0.25">
      <c r="A1638">
        <v>20221028</v>
      </c>
      <c r="B1638" t="s">
        <v>770</v>
      </c>
      <c r="C1638" t="s">
        <v>232</v>
      </c>
      <c r="D1638" t="s">
        <v>279</v>
      </c>
      <c r="E1638" s="35">
        <v>2.9990000000000001</v>
      </c>
      <c r="F1638" s="35">
        <v>3.9980000000000002</v>
      </c>
      <c r="G1638" s="35">
        <v>9700</v>
      </c>
    </row>
    <row r="1639" spans="1:7" x14ac:dyDescent="0.25">
      <c r="A1639">
        <v>20221028</v>
      </c>
      <c r="B1639" t="s">
        <v>770</v>
      </c>
      <c r="C1639" t="s">
        <v>232</v>
      </c>
      <c r="D1639" t="s">
        <v>285</v>
      </c>
      <c r="E1639" s="35">
        <v>2.9990000000000001</v>
      </c>
      <c r="F1639" s="35">
        <v>3.9980000000000002</v>
      </c>
      <c r="G1639" s="35">
        <v>4500</v>
      </c>
    </row>
    <row r="1640" spans="1:7" x14ac:dyDescent="0.25">
      <c r="A1640">
        <v>20221028</v>
      </c>
      <c r="B1640" t="s">
        <v>770</v>
      </c>
      <c r="C1640" t="s">
        <v>232</v>
      </c>
      <c r="D1640" t="s">
        <v>289</v>
      </c>
      <c r="E1640" s="35">
        <v>2.9990000000000001</v>
      </c>
      <c r="F1640" s="35">
        <v>3.9980000000000002</v>
      </c>
      <c r="G1640" s="35">
        <v>1900</v>
      </c>
    </row>
    <row r="1641" spans="1:7" x14ac:dyDescent="0.25">
      <c r="A1641">
        <v>20221028</v>
      </c>
      <c r="B1641" t="s">
        <v>770</v>
      </c>
      <c r="C1641" t="s">
        <v>215</v>
      </c>
      <c r="D1641" t="s">
        <v>187</v>
      </c>
      <c r="E1641" s="35">
        <v>2.9990000000000001</v>
      </c>
      <c r="F1641" s="35">
        <v>3.9980000000000002</v>
      </c>
      <c r="G1641" s="35">
        <v>39000</v>
      </c>
    </row>
    <row r="1642" spans="1:7" x14ac:dyDescent="0.25">
      <c r="A1642">
        <v>20221028</v>
      </c>
      <c r="B1642" t="s">
        <v>770</v>
      </c>
      <c r="C1642" t="s">
        <v>215</v>
      </c>
      <c r="D1642" t="s">
        <v>214</v>
      </c>
      <c r="E1642" s="35">
        <v>2.9990000000000001</v>
      </c>
      <c r="F1642" s="35">
        <v>3.9980000000000002</v>
      </c>
      <c r="G1642" s="35">
        <v>35500</v>
      </c>
    </row>
    <row r="1643" spans="1:7" x14ac:dyDescent="0.25">
      <c r="A1643">
        <v>20221028</v>
      </c>
      <c r="B1643" t="s">
        <v>770</v>
      </c>
      <c r="C1643" t="s">
        <v>215</v>
      </c>
      <c r="D1643" t="s">
        <v>233</v>
      </c>
      <c r="E1643" s="35">
        <v>2.9990000000000001</v>
      </c>
      <c r="F1643" s="35">
        <v>3.9980000000000002</v>
      </c>
      <c r="G1643" s="35">
        <v>32500</v>
      </c>
    </row>
    <row r="1644" spans="1:7" x14ac:dyDescent="0.25">
      <c r="A1644">
        <v>20221028</v>
      </c>
      <c r="B1644" t="s">
        <v>770</v>
      </c>
      <c r="C1644" t="s">
        <v>215</v>
      </c>
      <c r="D1644" t="s">
        <v>242</v>
      </c>
      <c r="E1644" s="35">
        <v>2.9990000000000001</v>
      </c>
      <c r="F1644" s="35">
        <v>3.9980000000000002</v>
      </c>
      <c r="G1644" s="35">
        <v>29000</v>
      </c>
    </row>
    <row r="1645" spans="1:7" x14ac:dyDescent="0.25">
      <c r="A1645">
        <v>20221028</v>
      </c>
      <c r="B1645" t="s">
        <v>770</v>
      </c>
      <c r="C1645" t="s">
        <v>215</v>
      </c>
      <c r="D1645" t="s">
        <v>250</v>
      </c>
      <c r="E1645" s="35">
        <v>2.9990000000000001</v>
      </c>
      <c r="F1645" s="35">
        <v>3.9980000000000002</v>
      </c>
      <c r="G1645" s="35">
        <v>25500</v>
      </c>
    </row>
    <row r="1646" spans="1:7" x14ac:dyDescent="0.25">
      <c r="A1646">
        <v>20221028</v>
      </c>
      <c r="B1646" t="s">
        <v>770</v>
      </c>
      <c r="C1646" t="s">
        <v>215</v>
      </c>
      <c r="D1646" t="s">
        <v>258</v>
      </c>
      <c r="E1646" s="35">
        <v>2.9990000000000001</v>
      </c>
      <c r="F1646" s="35">
        <v>3.9980000000000002</v>
      </c>
      <c r="G1646" s="35">
        <v>21000</v>
      </c>
    </row>
    <row r="1647" spans="1:7" x14ac:dyDescent="0.25">
      <c r="A1647">
        <v>20221028</v>
      </c>
      <c r="B1647" t="s">
        <v>770</v>
      </c>
      <c r="C1647" t="s">
        <v>215</v>
      </c>
      <c r="D1647" t="s">
        <v>265</v>
      </c>
      <c r="E1647" s="35">
        <v>2.9990000000000001</v>
      </c>
      <c r="F1647" s="35">
        <v>3.9980000000000002</v>
      </c>
      <c r="G1647" s="35">
        <v>17500</v>
      </c>
    </row>
    <row r="1648" spans="1:7" x14ac:dyDescent="0.25">
      <c r="A1648">
        <v>20221028</v>
      </c>
      <c r="B1648" t="s">
        <v>770</v>
      </c>
      <c r="C1648" t="s">
        <v>215</v>
      </c>
      <c r="D1648" t="s">
        <v>273</v>
      </c>
      <c r="E1648" s="35">
        <v>2.9990000000000001</v>
      </c>
      <c r="F1648" s="35">
        <v>3.9980000000000002</v>
      </c>
      <c r="G1648" s="35">
        <v>12100</v>
      </c>
    </row>
    <row r="1649" spans="1:7" x14ac:dyDescent="0.25">
      <c r="A1649">
        <v>20221028</v>
      </c>
      <c r="B1649" t="s">
        <v>770</v>
      </c>
      <c r="C1649" t="s">
        <v>215</v>
      </c>
      <c r="D1649" t="s">
        <v>279</v>
      </c>
      <c r="E1649" s="35">
        <v>2.9990000000000001</v>
      </c>
      <c r="F1649" s="35">
        <v>3.9980000000000002</v>
      </c>
      <c r="G1649" s="35">
        <v>9100</v>
      </c>
    </row>
    <row r="1650" spans="1:7" x14ac:dyDescent="0.25">
      <c r="A1650">
        <v>20221028</v>
      </c>
      <c r="B1650" t="s">
        <v>770</v>
      </c>
      <c r="C1650" t="s">
        <v>215</v>
      </c>
      <c r="D1650" t="s">
        <v>285</v>
      </c>
      <c r="E1650" s="35">
        <v>2.9990000000000001</v>
      </c>
      <c r="F1650" s="35">
        <v>3.9980000000000002</v>
      </c>
      <c r="G1650" s="35">
        <v>4300</v>
      </c>
    </row>
    <row r="1651" spans="1:7" x14ac:dyDescent="0.25">
      <c r="A1651">
        <v>20221028</v>
      </c>
      <c r="B1651" t="s">
        <v>770</v>
      </c>
      <c r="C1651" t="s">
        <v>215</v>
      </c>
      <c r="D1651" t="s">
        <v>289</v>
      </c>
      <c r="E1651" s="35">
        <v>2.9990000000000001</v>
      </c>
      <c r="F1651" s="35">
        <v>3.9980000000000002</v>
      </c>
      <c r="G1651" s="35">
        <v>1800</v>
      </c>
    </row>
    <row r="1652" spans="1:7" x14ac:dyDescent="0.25">
      <c r="A1652">
        <v>20221028</v>
      </c>
      <c r="B1652" t="s">
        <v>770</v>
      </c>
      <c r="C1652" t="s">
        <v>249</v>
      </c>
      <c r="D1652" t="s">
        <v>187</v>
      </c>
      <c r="E1652" s="35">
        <v>2.9990000000000001</v>
      </c>
      <c r="F1652" s="35">
        <v>3.9980000000000002</v>
      </c>
      <c r="G1652" s="35">
        <v>31000</v>
      </c>
    </row>
    <row r="1653" spans="1:7" x14ac:dyDescent="0.25">
      <c r="A1653">
        <v>20221028</v>
      </c>
      <c r="B1653" t="s">
        <v>770</v>
      </c>
      <c r="C1653" t="s">
        <v>249</v>
      </c>
      <c r="D1653" t="s">
        <v>214</v>
      </c>
      <c r="E1653" s="35">
        <v>2.9990000000000001</v>
      </c>
      <c r="F1653" s="35">
        <v>3.9980000000000002</v>
      </c>
      <c r="G1653" s="35">
        <v>28500</v>
      </c>
    </row>
    <row r="1654" spans="1:7" x14ac:dyDescent="0.25">
      <c r="A1654">
        <v>20221028</v>
      </c>
      <c r="B1654" t="s">
        <v>770</v>
      </c>
      <c r="C1654" t="s">
        <v>249</v>
      </c>
      <c r="D1654" t="s">
        <v>233</v>
      </c>
      <c r="E1654" s="35">
        <v>2.9990000000000001</v>
      </c>
      <c r="F1654" s="35">
        <v>3.9980000000000002</v>
      </c>
      <c r="G1654" s="35">
        <v>26000</v>
      </c>
    </row>
    <row r="1655" spans="1:7" x14ac:dyDescent="0.25">
      <c r="A1655">
        <v>20221028</v>
      </c>
      <c r="B1655" t="s">
        <v>770</v>
      </c>
      <c r="C1655" t="s">
        <v>249</v>
      </c>
      <c r="D1655" t="s">
        <v>242</v>
      </c>
      <c r="E1655" s="35">
        <v>2.9990000000000001</v>
      </c>
      <c r="F1655" s="35">
        <v>3.9980000000000002</v>
      </c>
      <c r="G1655" s="35">
        <v>23500</v>
      </c>
    </row>
    <row r="1656" spans="1:7" x14ac:dyDescent="0.25">
      <c r="A1656">
        <v>20221028</v>
      </c>
      <c r="B1656" t="s">
        <v>770</v>
      </c>
      <c r="C1656" t="s">
        <v>249</v>
      </c>
      <c r="D1656" t="s">
        <v>250</v>
      </c>
      <c r="E1656" s="35">
        <v>2.9990000000000001</v>
      </c>
      <c r="F1656" s="35">
        <v>3.9980000000000002</v>
      </c>
      <c r="G1656" s="35">
        <v>21500</v>
      </c>
    </row>
    <row r="1657" spans="1:7" x14ac:dyDescent="0.25">
      <c r="A1657">
        <v>20221028</v>
      </c>
      <c r="B1657" t="s">
        <v>770</v>
      </c>
      <c r="C1657" t="s">
        <v>249</v>
      </c>
      <c r="D1657" t="s">
        <v>258</v>
      </c>
      <c r="E1657" s="35">
        <v>2.9990000000000001</v>
      </c>
      <c r="F1657" s="35">
        <v>3.9980000000000002</v>
      </c>
      <c r="G1657" s="35">
        <v>19000</v>
      </c>
    </row>
    <row r="1658" spans="1:7" x14ac:dyDescent="0.25">
      <c r="A1658">
        <v>20221028</v>
      </c>
      <c r="B1658" t="s">
        <v>770</v>
      </c>
      <c r="C1658" t="s">
        <v>249</v>
      </c>
      <c r="D1658" t="s">
        <v>265</v>
      </c>
      <c r="E1658" s="35">
        <v>2.9990000000000001</v>
      </c>
      <c r="F1658" s="35">
        <v>3.9980000000000002</v>
      </c>
      <c r="G1658" s="35">
        <v>15700</v>
      </c>
    </row>
    <row r="1659" spans="1:7" x14ac:dyDescent="0.25">
      <c r="A1659">
        <v>20221028</v>
      </c>
      <c r="B1659" t="s">
        <v>770</v>
      </c>
      <c r="C1659" t="s">
        <v>249</v>
      </c>
      <c r="D1659" t="s">
        <v>273</v>
      </c>
      <c r="E1659" s="35">
        <v>2.9990000000000001</v>
      </c>
      <c r="F1659" s="35">
        <v>3.9980000000000002</v>
      </c>
      <c r="G1659" s="35">
        <v>10800</v>
      </c>
    </row>
    <row r="1660" spans="1:7" x14ac:dyDescent="0.25">
      <c r="A1660">
        <v>20221028</v>
      </c>
      <c r="B1660" t="s">
        <v>770</v>
      </c>
      <c r="C1660" t="s">
        <v>249</v>
      </c>
      <c r="D1660" t="s">
        <v>279</v>
      </c>
      <c r="E1660" s="35">
        <v>2.9990000000000001</v>
      </c>
      <c r="F1660" s="35">
        <v>3.9980000000000002</v>
      </c>
      <c r="G1660" s="35">
        <v>8600</v>
      </c>
    </row>
    <row r="1661" spans="1:7" x14ac:dyDescent="0.25">
      <c r="A1661">
        <v>20221028</v>
      </c>
      <c r="B1661" t="s">
        <v>770</v>
      </c>
      <c r="C1661" t="s">
        <v>249</v>
      </c>
      <c r="D1661" t="s">
        <v>285</v>
      </c>
      <c r="E1661" s="35">
        <v>2.9990000000000001</v>
      </c>
      <c r="F1661" s="35">
        <v>3.9980000000000002</v>
      </c>
      <c r="G1661" s="35">
        <v>4100</v>
      </c>
    </row>
    <row r="1662" spans="1:7" x14ac:dyDescent="0.25">
      <c r="A1662">
        <v>20221028</v>
      </c>
      <c r="B1662" t="s">
        <v>770</v>
      </c>
      <c r="C1662" t="s">
        <v>249</v>
      </c>
      <c r="D1662" t="s">
        <v>289</v>
      </c>
      <c r="E1662" s="35">
        <v>2.9990000000000001</v>
      </c>
      <c r="F1662" s="35">
        <v>3.9980000000000002</v>
      </c>
      <c r="G1662" s="35">
        <v>1700</v>
      </c>
    </row>
    <row r="1663" spans="1:7" x14ac:dyDescent="0.25">
      <c r="A1663">
        <v>20221028</v>
      </c>
      <c r="B1663" t="s">
        <v>770</v>
      </c>
      <c r="C1663" t="s">
        <v>257</v>
      </c>
      <c r="D1663" t="s">
        <v>187</v>
      </c>
      <c r="E1663" s="35">
        <v>2.9990000000000001</v>
      </c>
      <c r="F1663" s="35">
        <v>3.9980000000000002</v>
      </c>
      <c r="G1663" s="35">
        <v>25000</v>
      </c>
    </row>
    <row r="1664" spans="1:7" x14ac:dyDescent="0.25">
      <c r="A1664">
        <v>20221028</v>
      </c>
      <c r="B1664" t="s">
        <v>770</v>
      </c>
      <c r="C1664" t="s">
        <v>257</v>
      </c>
      <c r="D1664" t="s">
        <v>214</v>
      </c>
      <c r="E1664" s="35">
        <v>2.9990000000000001</v>
      </c>
      <c r="F1664" s="35">
        <v>3.9980000000000002</v>
      </c>
      <c r="G1664" s="35">
        <v>23000</v>
      </c>
    </row>
    <row r="1665" spans="1:7" x14ac:dyDescent="0.25">
      <c r="A1665">
        <v>20221028</v>
      </c>
      <c r="B1665" t="s">
        <v>770</v>
      </c>
      <c r="C1665" t="s">
        <v>257</v>
      </c>
      <c r="D1665" t="s">
        <v>233</v>
      </c>
      <c r="E1665" s="35">
        <v>2.9990000000000001</v>
      </c>
      <c r="F1665" s="35">
        <v>3.9980000000000002</v>
      </c>
      <c r="G1665" s="35">
        <v>21500</v>
      </c>
    </row>
    <row r="1666" spans="1:7" x14ac:dyDescent="0.25">
      <c r="A1666">
        <v>20221028</v>
      </c>
      <c r="B1666" t="s">
        <v>770</v>
      </c>
      <c r="C1666" t="s">
        <v>257</v>
      </c>
      <c r="D1666" t="s">
        <v>242</v>
      </c>
      <c r="E1666" s="35">
        <v>2.9990000000000001</v>
      </c>
      <c r="F1666" s="35">
        <v>3.9980000000000002</v>
      </c>
      <c r="G1666" s="35">
        <v>19500</v>
      </c>
    </row>
    <row r="1667" spans="1:7" x14ac:dyDescent="0.25">
      <c r="A1667">
        <v>20221028</v>
      </c>
      <c r="B1667" t="s">
        <v>770</v>
      </c>
      <c r="C1667" t="s">
        <v>257</v>
      </c>
      <c r="D1667" t="s">
        <v>250</v>
      </c>
      <c r="E1667" s="35">
        <v>2.9990000000000001</v>
      </c>
      <c r="F1667" s="35">
        <v>3.9980000000000002</v>
      </c>
      <c r="G1667" s="35">
        <v>18500</v>
      </c>
    </row>
    <row r="1668" spans="1:7" x14ac:dyDescent="0.25">
      <c r="A1668">
        <v>20221028</v>
      </c>
      <c r="B1668" t="s">
        <v>770</v>
      </c>
      <c r="C1668" t="s">
        <v>257</v>
      </c>
      <c r="D1668" t="s">
        <v>258</v>
      </c>
      <c r="E1668" s="35">
        <v>2.9990000000000001</v>
      </c>
      <c r="F1668" s="35">
        <v>3.9980000000000002</v>
      </c>
      <c r="G1668" s="35">
        <v>17000</v>
      </c>
    </row>
    <row r="1669" spans="1:7" x14ac:dyDescent="0.25">
      <c r="A1669">
        <v>20221028</v>
      </c>
      <c r="B1669" t="s">
        <v>770</v>
      </c>
      <c r="C1669" t="s">
        <v>257</v>
      </c>
      <c r="D1669" t="s">
        <v>265</v>
      </c>
      <c r="E1669" s="35">
        <v>2.9990000000000001</v>
      </c>
      <c r="F1669" s="35">
        <v>3.9980000000000002</v>
      </c>
      <c r="G1669" s="35">
        <v>14200</v>
      </c>
    </row>
    <row r="1670" spans="1:7" x14ac:dyDescent="0.25">
      <c r="A1670">
        <v>20221028</v>
      </c>
      <c r="B1670" t="s">
        <v>770</v>
      </c>
      <c r="C1670" t="s">
        <v>257</v>
      </c>
      <c r="D1670" t="s">
        <v>273</v>
      </c>
      <c r="E1670" s="35">
        <v>2.9990000000000001</v>
      </c>
      <c r="F1670" s="35">
        <v>3.9980000000000002</v>
      </c>
      <c r="G1670" s="35">
        <v>9900</v>
      </c>
    </row>
    <row r="1671" spans="1:7" x14ac:dyDescent="0.25">
      <c r="A1671">
        <v>20221028</v>
      </c>
      <c r="B1671" t="s">
        <v>770</v>
      </c>
      <c r="C1671" t="s">
        <v>257</v>
      </c>
      <c r="D1671" t="s">
        <v>279</v>
      </c>
      <c r="E1671" s="35">
        <v>2.9990000000000001</v>
      </c>
      <c r="F1671" s="35">
        <v>3.9980000000000002</v>
      </c>
      <c r="G1671" s="35">
        <v>8000</v>
      </c>
    </row>
    <row r="1672" spans="1:7" x14ac:dyDescent="0.25">
      <c r="A1672">
        <v>20221028</v>
      </c>
      <c r="B1672" t="s">
        <v>770</v>
      </c>
      <c r="C1672" t="s">
        <v>257</v>
      </c>
      <c r="D1672" t="s">
        <v>285</v>
      </c>
      <c r="E1672" s="35">
        <v>2.9990000000000001</v>
      </c>
      <c r="F1672" s="35">
        <v>3.9980000000000002</v>
      </c>
      <c r="G1672" s="35">
        <v>3800</v>
      </c>
    </row>
    <row r="1673" spans="1:7" x14ac:dyDescent="0.25">
      <c r="A1673">
        <v>20221028</v>
      </c>
      <c r="B1673" t="s">
        <v>770</v>
      </c>
      <c r="C1673" t="s">
        <v>257</v>
      </c>
      <c r="D1673" t="s">
        <v>289</v>
      </c>
      <c r="E1673" s="35">
        <v>2.9990000000000001</v>
      </c>
      <c r="F1673" s="35">
        <v>3.9980000000000002</v>
      </c>
      <c r="G1673" s="35">
        <v>1600</v>
      </c>
    </row>
    <row r="1674" spans="1:7" x14ac:dyDescent="0.25">
      <c r="A1674">
        <v>20221028</v>
      </c>
      <c r="B1674" t="s">
        <v>770</v>
      </c>
      <c r="C1674" t="s">
        <v>264</v>
      </c>
      <c r="D1674" t="s">
        <v>187</v>
      </c>
      <c r="E1674" s="35">
        <v>2.9990000000000001</v>
      </c>
      <c r="F1674" s="35">
        <v>3.9980000000000002</v>
      </c>
      <c r="G1674" s="35">
        <v>20000</v>
      </c>
    </row>
    <row r="1675" spans="1:7" x14ac:dyDescent="0.25">
      <c r="A1675">
        <v>20221028</v>
      </c>
      <c r="B1675" t="s">
        <v>770</v>
      </c>
      <c r="C1675" t="s">
        <v>264</v>
      </c>
      <c r="D1675" t="s">
        <v>214</v>
      </c>
      <c r="E1675" s="35">
        <v>2.9990000000000001</v>
      </c>
      <c r="F1675" s="35">
        <v>3.9980000000000002</v>
      </c>
      <c r="G1675" s="35">
        <v>18500</v>
      </c>
    </row>
    <row r="1676" spans="1:7" x14ac:dyDescent="0.25">
      <c r="A1676">
        <v>20221028</v>
      </c>
      <c r="B1676" t="s">
        <v>770</v>
      </c>
      <c r="C1676" t="s">
        <v>264</v>
      </c>
      <c r="D1676" t="s">
        <v>233</v>
      </c>
      <c r="E1676" s="35">
        <v>2.9990000000000001</v>
      </c>
      <c r="F1676" s="35">
        <v>3.9980000000000002</v>
      </c>
      <c r="G1676" s="35">
        <v>17500</v>
      </c>
    </row>
    <row r="1677" spans="1:7" x14ac:dyDescent="0.25">
      <c r="A1677">
        <v>20221028</v>
      </c>
      <c r="B1677" t="s">
        <v>770</v>
      </c>
      <c r="C1677" t="s">
        <v>264</v>
      </c>
      <c r="D1677" t="s">
        <v>242</v>
      </c>
      <c r="E1677" s="35">
        <v>2.9990000000000001</v>
      </c>
      <c r="F1677" s="35">
        <v>3.9980000000000002</v>
      </c>
      <c r="G1677" s="35">
        <v>16500</v>
      </c>
    </row>
    <row r="1678" spans="1:7" x14ac:dyDescent="0.25">
      <c r="A1678">
        <v>20221028</v>
      </c>
      <c r="B1678" t="s">
        <v>770</v>
      </c>
      <c r="C1678" t="s">
        <v>264</v>
      </c>
      <c r="D1678" t="s">
        <v>250</v>
      </c>
      <c r="E1678" s="35">
        <v>2.9990000000000001</v>
      </c>
      <c r="F1678" s="35">
        <v>3.9980000000000002</v>
      </c>
      <c r="G1678" s="35">
        <v>15500</v>
      </c>
    </row>
    <row r="1679" spans="1:7" x14ac:dyDescent="0.25">
      <c r="A1679">
        <v>20221028</v>
      </c>
      <c r="B1679" t="s">
        <v>770</v>
      </c>
      <c r="C1679" t="s">
        <v>264</v>
      </c>
      <c r="D1679" t="s">
        <v>258</v>
      </c>
      <c r="E1679" s="35">
        <v>2.9990000000000001</v>
      </c>
      <c r="F1679" s="35">
        <v>3.9980000000000002</v>
      </c>
      <c r="G1679" s="35">
        <v>14000</v>
      </c>
    </row>
    <row r="1680" spans="1:7" x14ac:dyDescent="0.25">
      <c r="A1680">
        <v>20221028</v>
      </c>
      <c r="B1680" t="s">
        <v>770</v>
      </c>
      <c r="C1680" t="s">
        <v>264</v>
      </c>
      <c r="D1680" t="s">
        <v>265</v>
      </c>
      <c r="E1680" s="35">
        <v>2.9990000000000001</v>
      </c>
      <c r="F1680" s="35">
        <v>3.9980000000000002</v>
      </c>
      <c r="G1680" s="35">
        <v>12600</v>
      </c>
    </row>
    <row r="1681" spans="1:7" x14ac:dyDescent="0.25">
      <c r="A1681">
        <v>20221028</v>
      </c>
      <c r="B1681" t="s">
        <v>770</v>
      </c>
      <c r="C1681" t="s">
        <v>264</v>
      </c>
      <c r="D1681" t="s">
        <v>273</v>
      </c>
      <c r="E1681" s="35">
        <v>2.9990000000000001</v>
      </c>
      <c r="F1681" s="35">
        <v>3.9980000000000002</v>
      </c>
      <c r="G1681" s="35">
        <v>9000</v>
      </c>
    </row>
    <row r="1682" spans="1:7" x14ac:dyDescent="0.25">
      <c r="A1682">
        <v>20221028</v>
      </c>
      <c r="B1682" t="s">
        <v>770</v>
      </c>
      <c r="C1682" t="s">
        <v>264</v>
      </c>
      <c r="D1682" t="s">
        <v>279</v>
      </c>
      <c r="E1682" s="35">
        <v>2.9990000000000001</v>
      </c>
      <c r="F1682" s="35">
        <v>3.9980000000000002</v>
      </c>
      <c r="G1682" s="35">
        <v>7100</v>
      </c>
    </row>
    <row r="1683" spans="1:7" x14ac:dyDescent="0.25">
      <c r="A1683">
        <v>20221028</v>
      </c>
      <c r="B1683" t="s">
        <v>770</v>
      </c>
      <c r="C1683" t="s">
        <v>264</v>
      </c>
      <c r="D1683" t="s">
        <v>285</v>
      </c>
      <c r="E1683" s="35">
        <v>2.9990000000000001</v>
      </c>
      <c r="F1683" s="35">
        <v>3.9980000000000002</v>
      </c>
      <c r="G1683" s="35">
        <v>3500</v>
      </c>
    </row>
    <row r="1684" spans="1:7" x14ac:dyDescent="0.25">
      <c r="A1684">
        <v>20221028</v>
      </c>
      <c r="B1684" t="s">
        <v>770</v>
      </c>
      <c r="C1684" t="s">
        <v>264</v>
      </c>
      <c r="D1684" t="s">
        <v>289</v>
      </c>
      <c r="E1684" s="35">
        <v>2.9990000000000001</v>
      </c>
      <c r="F1684" s="35">
        <v>3.9980000000000002</v>
      </c>
      <c r="G1684" s="35">
        <v>1500</v>
      </c>
    </row>
    <row r="1685" spans="1:7" x14ac:dyDescent="0.25">
      <c r="A1685">
        <v>20221028</v>
      </c>
      <c r="B1685" t="s">
        <v>770</v>
      </c>
      <c r="C1685" t="s">
        <v>272</v>
      </c>
      <c r="D1685" t="s">
        <v>187</v>
      </c>
      <c r="E1685" s="35">
        <v>2.9990000000000001</v>
      </c>
      <c r="F1685" s="35">
        <v>3.9980000000000002</v>
      </c>
      <c r="G1685" s="35">
        <v>16000</v>
      </c>
    </row>
    <row r="1686" spans="1:7" x14ac:dyDescent="0.25">
      <c r="A1686">
        <v>20221028</v>
      </c>
      <c r="B1686" t="s">
        <v>770</v>
      </c>
      <c r="C1686" t="s">
        <v>272</v>
      </c>
      <c r="D1686" t="s">
        <v>214</v>
      </c>
      <c r="E1686" s="35">
        <v>2.9990000000000001</v>
      </c>
      <c r="F1686" s="35">
        <v>3.9980000000000002</v>
      </c>
      <c r="G1686" s="35">
        <v>15000</v>
      </c>
    </row>
    <row r="1687" spans="1:7" x14ac:dyDescent="0.25">
      <c r="A1687">
        <v>20221028</v>
      </c>
      <c r="B1687" t="s">
        <v>770</v>
      </c>
      <c r="C1687" t="s">
        <v>272</v>
      </c>
      <c r="D1687" t="s">
        <v>233</v>
      </c>
      <c r="E1687" s="35">
        <v>2.9990000000000001</v>
      </c>
      <c r="F1687" s="35">
        <v>3.9980000000000002</v>
      </c>
      <c r="G1687" s="35">
        <v>14000</v>
      </c>
    </row>
    <row r="1688" spans="1:7" x14ac:dyDescent="0.25">
      <c r="A1688">
        <v>20221028</v>
      </c>
      <c r="B1688" t="s">
        <v>770</v>
      </c>
      <c r="C1688" t="s">
        <v>272</v>
      </c>
      <c r="D1688" t="s">
        <v>242</v>
      </c>
      <c r="E1688" s="35">
        <v>2.9990000000000001</v>
      </c>
      <c r="F1688" s="35">
        <v>3.9980000000000002</v>
      </c>
      <c r="G1688" s="35">
        <v>13500</v>
      </c>
    </row>
    <row r="1689" spans="1:7" x14ac:dyDescent="0.25">
      <c r="A1689">
        <v>20221028</v>
      </c>
      <c r="B1689" t="s">
        <v>770</v>
      </c>
      <c r="C1689" t="s">
        <v>272</v>
      </c>
      <c r="D1689" t="s">
        <v>250</v>
      </c>
      <c r="E1689" s="35">
        <v>2.9990000000000001</v>
      </c>
      <c r="F1689" s="35">
        <v>3.9980000000000002</v>
      </c>
      <c r="G1689" s="35">
        <v>12500</v>
      </c>
    </row>
    <row r="1690" spans="1:7" x14ac:dyDescent="0.25">
      <c r="A1690">
        <v>20221028</v>
      </c>
      <c r="B1690" t="s">
        <v>770</v>
      </c>
      <c r="C1690" t="s">
        <v>272</v>
      </c>
      <c r="D1690" t="s">
        <v>258</v>
      </c>
      <c r="E1690" s="35">
        <v>2.9990000000000001</v>
      </c>
      <c r="F1690" s="35">
        <v>3.9980000000000002</v>
      </c>
      <c r="G1690" s="35">
        <v>11500</v>
      </c>
    </row>
    <row r="1691" spans="1:7" x14ac:dyDescent="0.25">
      <c r="A1691">
        <v>20221028</v>
      </c>
      <c r="B1691" t="s">
        <v>770</v>
      </c>
      <c r="C1691" t="s">
        <v>272</v>
      </c>
      <c r="D1691" t="s">
        <v>265</v>
      </c>
      <c r="E1691" s="35">
        <v>2.9990000000000001</v>
      </c>
      <c r="F1691" s="35">
        <v>3.9980000000000002</v>
      </c>
      <c r="G1691" s="35">
        <v>10300</v>
      </c>
    </row>
    <row r="1692" spans="1:7" x14ac:dyDescent="0.25">
      <c r="A1692">
        <v>20221028</v>
      </c>
      <c r="B1692" t="s">
        <v>770</v>
      </c>
      <c r="C1692" t="s">
        <v>272</v>
      </c>
      <c r="D1692" t="s">
        <v>273</v>
      </c>
      <c r="E1692" s="35">
        <v>2.9990000000000001</v>
      </c>
      <c r="F1692" s="35">
        <v>3.9980000000000002</v>
      </c>
      <c r="G1692" s="35">
        <v>7600</v>
      </c>
    </row>
    <row r="1693" spans="1:7" x14ac:dyDescent="0.25">
      <c r="A1693">
        <v>20221028</v>
      </c>
      <c r="B1693" t="s">
        <v>770</v>
      </c>
      <c r="C1693" t="s">
        <v>272</v>
      </c>
      <c r="D1693" t="s">
        <v>279</v>
      </c>
      <c r="E1693" s="35">
        <v>2.9990000000000001</v>
      </c>
      <c r="F1693" s="35">
        <v>3.9980000000000002</v>
      </c>
      <c r="G1693" s="35">
        <v>6200</v>
      </c>
    </row>
    <row r="1694" spans="1:7" x14ac:dyDescent="0.25">
      <c r="A1694">
        <v>20221028</v>
      </c>
      <c r="B1694" t="s">
        <v>770</v>
      </c>
      <c r="C1694" t="s">
        <v>272</v>
      </c>
      <c r="D1694" t="s">
        <v>285</v>
      </c>
      <c r="E1694" s="35">
        <v>2.9990000000000001</v>
      </c>
      <c r="F1694" s="35">
        <v>3.9980000000000002</v>
      </c>
      <c r="G1694" s="35">
        <v>3300</v>
      </c>
    </row>
    <row r="1695" spans="1:7" x14ac:dyDescent="0.25">
      <c r="A1695">
        <v>20221028</v>
      </c>
      <c r="B1695" t="s">
        <v>770</v>
      </c>
      <c r="C1695" t="s">
        <v>272</v>
      </c>
      <c r="D1695" t="s">
        <v>289</v>
      </c>
      <c r="E1695" s="35">
        <v>2.9990000000000001</v>
      </c>
      <c r="F1695" s="35">
        <v>3.9980000000000002</v>
      </c>
      <c r="G1695" s="35">
        <v>1500</v>
      </c>
    </row>
    <row r="1696" spans="1:7" x14ac:dyDescent="0.25">
      <c r="A1696">
        <v>20221028</v>
      </c>
      <c r="B1696" t="s">
        <v>770</v>
      </c>
      <c r="C1696" t="s">
        <v>278</v>
      </c>
      <c r="D1696" t="s">
        <v>187</v>
      </c>
      <c r="E1696" s="35">
        <v>2.9990000000000001</v>
      </c>
      <c r="F1696" s="35">
        <v>3.9980000000000002</v>
      </c>
      <c r="G1696" s="35">
        <v>12800</v>
      </c>
    </row>
    <row r="1697" spans="1:7" x14ac:dyDescent="0.25">
      <c r="A1697">
        <v>20221028</v>
      </c>
      <c r="B1697" t="s">
        <v>770</v>
      </c>
      <c r="C1697" t="s">
        <v>278</v>
      </c>
      <c r="D1697" t="s">
        <v>214</v>
      </c>
      <c r="E1697" s="35">
        <v>2.9990000000000001</v>
      </c>
      <c r="F1697" s="35">
        <v>3.9980000000000002</v>
      </c>
      <c r="G1697" s="35">
        <v>12100</v>
      </c>
    </row>
    <row r="1698" spans="1:7" x14ac:dyDescent="0.25">
      <c r="A1698">
        <v>20221028</v>
      </c>
      <c r="B1698" t="s">
        <v>770</v>
      </c>
      <c r="C1698" t="s">
        <v>278</v>
      </c>
      <c r="D1698" t="s">
        <v>233</v>
      </c>
      <c r="E1698" s="35">
        <v>2.9990000000000001</v>
      </c>
      <c r="F1698" s="35">
        <v>3.9980000000000002</v>
      </c>
      <c r="G1698" s="35">
        <v>11400</v>
      </c>
    </row>
    <row r="1699" spans="1:7" x14ac:dyDescent="0.25">
      <c r="A1699">
        <v>20221028</v>
      </c>
      <c r="B1699" t="s">
        <v>770</v>
      </c>
      <c r="C1699" t="s">
        <v>278</v>
      </c>
      <c r="D1699" t="s">
        <v>242</v>
      </c>
      <c r="E1699" s="35">
        <v>2.9990000000000001</v>
      </c>
      <c r="F1699" s="35">
        <v>3.9980000000000002</v>
      </c>
      <c r="G1699" s="35">
        <v>10800</v>
      </c>
    </row>
    <row r="1700" spans="1:7" x14ac:dyDescent="0.25">
      <c r="A1700">
        <v>20221028</v>
      </c>
      <c r="B1700" t="s">
        <v>770</v>
      </c>
      <c r="C1700" t="s">
        <v>278</v>
      </c>
      <c r="D1700" t="s">
        <v>250</v>
      </c>
      <c r="E1700" s="35">
        <v>2.9990000000000001</v>
      </c>
      <c r="F1700" s="35">
        <v>3.9980000000000002</v>
      </c>
      <c r="G1700" s="35">
        <v>10000</v>
      </c>
    </row>
    <row r="1701" spans="1:7" x14ac:dyDescent="0.25">
      <c r="A1701">
        <v>20221028</v>
      </c>
      <c r="B1701" t="s">
        <v>770</v>
      </c>
      <c r="C1701" t="s">
        <v>278</v>
      </c>
      <c r="D1701" t="s">
        <v>258</v>
      </c>
      <c r="E1701" s="35">
        <v>2.9990000000000001</v>
      </c>
      <c r="F1701" s="35">
        <v>3.9980000000000002</v>
      </c>
      <c r="G1701" s="35">
        <v>9200</v>
      </c>
    </row>
    <row r="1702" spans="1:7" x14ac:dyDescent="0.25">
      <c r="A1702">
        <v>20221028</v>
      </c>
      <c r="B1702" t="s">
        <v>770</v>
      </c>
      <c r="C1702" t="s">
        <v>278</v>
      </c>
      <c r="D1702" t="s">
        <v>265</v>
      </c>
      <c r="E1702" s="35">
        <v>2.9990000000000001</v>
      </c>
      <c r="F1702" s="35">
        <v>3.9980000000000002</v>
      </c>
      <c r="G1702" s="35">
        <v>8200</v>
      </c>
    </row>
    <row r="1703" spans="1:7" x14ac:dyDescent="0.25">
      <c r="A1703">
        <v>20221028</v>
      </c>
      <c r="B1703" t="s">
        <v>770</v>
      </c>
      <c r="C1703" t="s">
        <v>278</v>
      </c>
      <c r="D1703" t="s">
        <v>273</v>
      </c>
      <c r="E1703" s="35">
        <v>2.9990000000000001</v>
      </c>
      <c r="F1703" s="35">
        <v>3.9980000000000002</v>
      </c>
      <c r="G1703" s="35">
        <v>6500</v>
      </c>
    </row>
    <row r="1704" spans="1:7" x14ac:dyDescent="0.25">
      <c r="A1704">
        <v>20221028</v>
      </c>
      <c r="B1704" t="s">
        <v>770</v>
      </c>
      <c r="C1704" t="s">
        <v>278</v>
      </c>
      <c r="D1704" t="s">
        <v>279</v>
      </c>
      <c r="E1704" s="35">
        <v>2.9990000000000001</v>
      </c>
      <c r="F1704" s="35">
        <v>3.9980000000000002</v>
      </c>
      <c r="G1704" s="35">
        <v>5500</v>
      </c>
    </row>
    <row r="1705" spans="1:7" x14ac:dyDescent="0.25">
      <c r="A1705">
        <v>20221028</v>
      </c>
      <c r="B1705" t="s">
        <v>770</v>
      </c>
      <c r="C1705" t="s">
        <v>278</v>
      </c>
      <c r="D1705" t="s">
        <v>285</v>
      </c>
      <c r="E1705" s="35">
        <v>2.9990000000000001</v>
      </c>
      <c r="F1705" s="35">
        <v>3.9980000000000002</v>
      </c>
      <c r="G1705" s="35">
        <v>3100</v>
      </c>
    </row>
    <row r="1706" spans="1:7" x14ac:dyDescent="0.25">
      <c r="A1706">
        <v>20221028</v>
      </c>
      <c r="B1706" t="s">
        <v>770</v>
      </c>
      <c r="C1706" t="s">
        <v>278</v>
      </c>
      <c r="D1706" t="s">
        <v>289</v>
      </c>
      <c r="E1706" s="35">
        <v>2.9990000000000001</v>
      </c>
      <c r="F1706" s="35">
        <v>3.9980000000000002</v>
      </c>
      <c r="G1706" s="35">
        <v>1400</v>
      </c>
    </row>
    <row r="1707" spans="1:7" x14ac:dyDescent="0.25">
      <c r="A1707">
        <v>20221028</v>
      </c>
      <c r="B1707" t="s">
        <v>770</v>
      </c>
      <c r="C1707" t="s">
        <v>284</v>
      </c>
      <c r="D1707" t="s">
        <v>187</v>
      </c>
      <c r="E1707" s="35">
        <v>2.9990000000000001</v>
      </c>
      <c r="F1707" s="35">
        <v>3.9980000000000002</v>
      </c>
      <c r="G1707" s="35">
        <v>10500</v>
      </c>
    </row>
    <row r="1708" spans="1:7" x14ac:dyDescent="0.25">
      <c r="A1708">
        <v>20221028</v>
      </c>
      <c r="B1708" t="s">
        <v>770</v>
      </c>
      <c r="C1708" t="s">
        <v>284</v>
      </c>
      <c r="D1708" t="s">
        <v>214</v>
      </c>
      <c r="E1708" s="35">
        <v>2.9990000000000001</v>
      </c>
      <c r="F1708" s="35">
        <v>3.9980000000000002</v>
      </c>
      <c r="G1708" s="35">
        <v>9900</v>
      </c>
    </row>
    <row r="1709" spans="1:7" x14ac:dyDescent="0.25">
      <c r="A1709">
        <v>20221028</v>
      </c>
      <c r="B1709" t="s">
        <v>770</v>
      </c>
      <c r="C1709" t="s">
        <v>284</v>
      </c>
      <c r="D1709" t="s">
        <v>233</v>
      </c>
      <c r="E1709" s="35">
        <v>2.9990000000000001</v>
      </c>
      <c r="F1709" s="35">
        <v>3.9980000000000002</v>
      </c>
      <c r="G1709" s="35">
        <v>9300</v>
      </c>
    </row>
    <row r="1710" spans="1:7" x14ac:dyDescent="0.25">
      <c r="A1710">
        <v>20221028</v>
      </c>
      <c r="B1710" t="s">
        <v>770</v>
      </c>
      <c r="C1710" t="s">
        <v>284</v>
      </c>
      <c r="D1710" t="s">
        <v>242</v>
      </c>
      <c r="E1710" s="35">
        <v>2.9990000000000001</v>
      </c>
      <c r="F1710" s="35">
        <v>3.9980000000000002</v>
      </c>
      <c r="G1710" s="35">
        <v>8700</v>
      </c>
    </row>
    <row r="1711" spans="1:7" x14ac:dyDescent="0.25">
      <c r="A1711">
        <v>20221028</v>
      </c>
      <c r="B1711" t="s">
        <v>770</v>
      </c>
      <c r="C1711" t="s">
        <v>284</v>
      </c>
      <c r="D1711" t="s">
        <v>250</v>
      </c>
      <c r="E1711" s="35">
        <v>2.9990000000000001</v>
      </c>
      <c r="F1711" s="35">
        <v>3.9980000000000002</v>
      </c>
      <c r="G1711" s="35">
        <v>8200</v>
      </c>
    </row>
    <row r="1712" spans="1:7" x14ac:dyDescent="0.25">
      <c r="A1712">
        <v>20221028</v>
      </c>
      <c r="B1712" t="s">
        <v>770</v>
      </c>
      <c r="C1712" t="s">
        <v>284</v>
      </c>
      <c r="D1712" t="s">
        <v>258</v>
      </c>
      <c r="E1712" s="35">
        <v>2.9990000000000001</v>
      </c>
      <c r="F1712" s="35">
        <v>3.9980000000000002</v>
      </c>
      <c r="G1712" s="35">
        <v>7700</v>
      </c>
    </row>
    <row r="1713" spans="1:7" x14ac:dyDescent="0.25">
      <c r="A1713">
        <v>20221028</v>
      </c>
      <c r="B1713" t="s">
        <v>770</v>
      </c>
      <c r="C1713" t="s">
        <v>284</v>
      </c>
      <c r="D1713" t="s">
        <v>265</v>
      </c>
      <c r="E1713" s="35">
        <v>2.9990000000000001</v>
      </c>
      <c r="F1713" s="35">
        <v>3.9980000000000002</v>
      </c>
      <c r="G1713" s="35">
        <v>6700</v>
      </c>
    </row>
    <row r="1714" spans="1:7" x14ac:dyDescent="0.25">
      <c r="A1714">
        <v>20221028</v>
      </c>
      <c r="B1714" t="s">
        <v>770</v>
      </c>
      <c r="C1714" t="s">
        <v>284</v>
      </c>
      <c r="D1714" t="s">
        <v>273</v>
      </c>
      <c r="E1714" s="35">
        <v>2.9990000000000001</v>
      </c>
      <c r="F1714" s="35">
        <v>3.9980000000000002</v>
      </c>
      <c r="G1714" s="35">
        <v>5800</v>
      </c>
    </row>
    <row r="1715" spans="1:7" x14ac:dyDescent="0.25">
      <c r="A1715">
        <v>20221028</v>
      </c>
      <c r="B1715" t="s">
        <v>770</v>
      </c>
      <c r="C1715" t="s">
        <v>284</v>
      </c>
      <c r="D1715" t="s">
        <v>279</v>
      </c>
      <c r="E1715" s="35">
        <v>2.9990000000000001</v>
      </c>
      <c r="F1715" s="35">
        <v>3.9980000000000002</v>
      </c>
      <c r="G1715" s="35">
        <v>4700</v>
      </c>
    </row>
    <row r="1716" spans="1:7" x14ac:dyDescent="0.25">
      <c r="A1716">
        <v>20221028</v>
      </c>
      <c r="B1716" t="s">
        <v>770</v>
      </c>
      <c r="C1716" t="s">
        <v>284</v>
      </c>
      <c r="D1716" t="s">
        <v>285</v>
      </c>
      <c r="E1716" s="35">
        <v>2.9990000000000001</v>
      </c>
      <c r="F1716" s="35">
        <v>3.9980000000000002</v>
      </c>
      <c r="G1716" s="35">
        <v>3000</v>
      </c>
    </row>
    <row r="1717" spans="1:7" x14ac:dyDescent="0.25">
      <c r="A1717">
        <v>20221028</v>
      </c>
      <c r="B1717" t="s">
        <v>770</v>
      </c>
      <c r="C1717" t="s">
        <v>284</v>
      </c>
      <c r="D1717" t="s">
        <v>289</v>
      </c>
      <c r="E1717" s="35">
        <v>2.9990000000000001</v>
      </c>
      <c r="F1717" s="35">
        <v>3.9980000000000002</v>
      </c>
      <c r="G1717" s="35">
        <v>1400</v>
      </c>
    </row>
    <row r="1718" spans="1:7" x14ac:dyDescent="0.25">
      <c r="A1718">
        <v>20221028</v>
      </c>
      <c r="B1718" t="s">
        <v>770</v>
      </c>
      <c r="C1718" t="s">
        <v>186</v>
      </c>
      <c r="D1718" t="s">
        <v>187</v>
      </c>
      <c r="E1718" s="35">
        <v>3.9990000000000001</v>
      </c>
      <c r="F1718" s="35">
        <v>4.9980000000000002</v>
      </c>
      <c r="G1718" s="35">
        <v>86000</v>
      </c>
    </row>
    <row r="1719" spans="1:7" x14ac:dyDescent="0.25">
      <c r="A1719">
        <v>20221028</v>
      </c>
      <c r="B1719" t="s">
        <v>770</v>
      </c>
      <c r="C1719" t="s">
        <v>186</v>
      </c>
      <c r="D1719" t="s">
        <v>214</v>
      </c>
      <c r="E1719" s="35">
        <v>3.9990000000000001</v>
      </c>
      <c r="F1719" s="35">
        <v>4.9980000000000002</v>
      </c>
      <c r="G1719" s="35">
        <v>72000</v>
      </c>
    </row>
    <row r="1720" spans="1:7" x14ac:dyDescent="0.25">
      <c r="A1720">
        <v>20221028</v>
      </c>
      <c r="B1720" t="s">
        <v>770</v>
      </c>
      <c r="C1720" t="s">
        <v>186</v>
      </c>
      <c r="D1720" t="s">
        <v>233</v>
      </c>
      <c r="E1720" s="35">
        <v>3.9990000000000001</v>
      </c>
      <c r="F1720" s="35">
        <v>4.9980000000000002</v>
      </c>
      <c r="G1720" s="35">
        <v>63500</v>
      </c>
    </row>
    <row r="1721" spans="1:7" x14ac:dyDescent="0.25">
      <c r="A1721">
        <v>20221028</v>
      </c>
      <c r="B1721" t="s">
        <v>770</v>
      </c>
      <c r="C1721" t="s">
        <v>186</v>
      </c>
      <c r="D1721" t="s">
        <v>242</v>
      </c>
      <c r="E1721" s="35">
        <v>3.9990000000000001</v>
      </c>
      <c r="F1721" s="35">
        <v>4.9980000000000002</v>
      </c>
      <c r="G1721" s="35">
        <v>53500</v>
      </c>
    </row>
    <row r="1722" spans="1:7" x14ac:dyDescent="0.25">
      <c r="A1722">
        <v>20221028</v>
      </c>
      <c r="B1722" t="s">
        <v>770</v>
      </c>
      <c r="C1722" t="s">
        <v>186</v>
      </c>
      <c r="D1722" t="s">
        <v>250</v>
      </c>
      <c r="E1722" s="35">
        <v>3.9990000000000001</v>
      </c>
      <c r="F1722" s="35">
        <v>4.9980000000000002</v>
      </c>
      <c r="G1722" s="35">
        <v>44000</v>
      </c>
    </row>
    <row r="1723" spans="1:7" x14ac:dyDescent="0.25">
      <c r="A1723">
        <v>20221028</v>
      </c>
      <c r="B1723" t="s">
        <v>770</v>
      </c>
      <c r="C1723" t="s">
        <v>186</v>
      </c>
      <c r="D1723" t="s">
        <v>258</v>
      </c>
      <c r="E1723" s="35">
        <v>3.9990000000000001</v>
      </c>
      <c r="F1723" s="35">
        <v>4.9980000000000002</v>
      </c>
      <c r="G1723" s="35">
        <v>31500</v>
      </c>
    </row>
    <row r="1724" spans="1:7" x14ac:dyDescent="0.25">
      <c r="A1724">
        <v>20221028</v>
      </c>
      <c r="B1724" t="s">
        <v>770</v>
      </c>
      <c r="C1724" t="s">
        <v>186</v>
      </c>
      <c r="D1724" t="s">
        <v>265</v>
      </c>
      <c r="E1724" s="35">
        <v>3.9990000000000001</v>
      </c>
      <c r="F1724" s="35">
        <v>4.9980000000000002</v>
      </c>
      <c r="G1724" s="35">
        <v>25500</v>
      </c>
    </row>
    <row r="1725" spans="1:7" x14ac:dyDescent="0.25">
      <c r="A1725">
        <v>20221028</v>
      </c>
      <c r="B1725" t="s">
        <v>770</v>
      </c>
      <c r="C1725" t="s">
        <v>186</v>
      </c>
      <c r="D1725" t="s">
        <v>273</v>
      </c>
      <c r="E1725" s="35">
        <v>3.9990000000000001</v>
      </c>
      <c r="F1725" s="35">
        <v>4.9980000000000002</v>
      </c>
      <c r="G1725" s="35">
        <v>15500</v>
      </c>
    </row>
    <row r="1726" spans="1:7" x14ac:dyDescent="0.25">
      <c r="A1726">
        <v>20221028</v>
      </c>
      <c r="B1726" t="s">
        <v>770</v>
      </c>
      <c r="C1726" t="s">
        <v>186</v>
      </c>
      <c r="D1726" t="s">
        <v>279</v>
      </c>
      <c r="E1726" s="35">
        <v>3.9990000000000001</v>
      </c>
      <c r="F1726" s="35">
        <v>4.9980000000000002</v>
      </c>
      <c r="G1726" s="35">
        <v>11100</v>
      </c>
    </row>
    <row r="1727" spans="1:7" x14ac:dyDescent="0.25">
      <c r="A1727">
        <v>20221028</v>
      </c>
      <c r="B1727" t="s">
        <v>770</v>
      </c>
      <c r="C1727" t="s">
        <v>186</v>
      </c>
      <c r="D1727" t="s">
        <v>285</v>
      </c>
      <c r="E1727" s="35">
        <v>3.9990000000000001</v>
      </c>
      <c r="F1727" s="35">
        <v>4.9980000000000002</v>
      </c>
      <c r="G1727" s="35">
        <v>5400</v>
      </c>
    </row>
    <row r="1728" spans="1:7" x14ac:dyDescent="0.25">
      <c r="A1728">
        <v>20221028</v>
      </c>
      <c r="B1728" t="s">
        <v>770</v>
      </c>
      <c r="C1728" t="s">
        <v>186</v>
      </c>
      <c r="D1728" t="s">
        <v>289</v>
      </c>
      <c r="E1728" s="35">
        <v>3.9990000000000001</v>
      </c>
      <c r="F1728" s="35">
        <v>4.9980000000000002</v>
      </c>
      <c r="G1728" s="35">
        <v>2300</v>
      </c>
    </row>
    <row r="1729" spans="1:7" x14ac:dyDescent="0.25">
      <c r="A1729">
        <v>20221028</v>
      </c>
      <c r="B1729" t="s">
        <v>770</v>
      </c>
      <c r="C1729" t="s">
        <v>213</v>
      </c>
      <c r="D1729" t="s">
        <v>187</v>
      </c>
      <c r="E1729" s="35">
        <v>3.9990000000000001</v>
      </c>
      <c r="F1729" s="35">
        <v>4.9980000000000002</v>
      </c>
      <c r="G1729" s="35">
        <v>68500</v>
      </c>
    </row>
    <row r="1730" spans="1:7" x14ac:dyDescent="0.25">
      <c r="A1730">
        <v>20221028</v>
      </c>
      <c r="B1730" t="s">
        <v>770</v>
      </c>
      <c r="C1730" t="s">
        <v>213</v>
      </c>
      <c r="D1730" t="s">
        <v>214</v>
      </c>
      <c r="E1730" s="35">
        <v>3.9990000000000001</v>
      </c>
      <c r="F1730" s="35">
        <v>4.9980000000000002</v>
      </c>
      <c r="G1730" s="35">
        <v>61500</v>
      </c>
    </row>
    <row r="1731" spans="1:7" x14ac:dyDescent="0.25">
      <c r="A1731">
        <v>20221028</v>
      </c>
      <c r="B1731" t="s">
        <v>770</v>
      </c>
      <c r="C1731" t="s">
        <v>213</v>
      </c>
      <c r="D1731" t="s">
        <v>233</v>
      </c>
      <c r="E1731" s="35">
        <v>3.9990000000000001</v>
      </c>
      <c r="F1731" s="35">
        <v>4.9980000000000002</v>
      </c>
      <c r="G1731" s="35">
        <v>55000</v>
      </c>
    </row>
    <row r="1732" spans="1:7" x14ac:dyDescent="0.25">
      <c r="A1732">
        <v>20221028</v>
      </c>
      <c r="B1732" t="s">
        <v>770</v>
      </c>
      <c r="C1732" t="s">
        <v>213</v>
      </c>
      <c r="D1732" t="s">
        <v>242</v>
      </c>
      <c r="E1732" s="35">
        <v>3.9990000000000001</v>
      </c>
      <c r="F1732" s="35">
        <v>4.9980000000000002</v>
      </c>
      <c r="G1732" s="35">
        <v>49000</v>
      </c>
    </row>
    <row r="1733" spans="1:7" x14ac:dyDescent="0.25">
      <c r="A1733">
        <v>20221028</v>
      </c>
      <c r="B1733" t="s">
        <v>770</v>
      </c>
      <c r="C1733" t="s">
        <v>213</v>
      </c>
      <c r="D1733" t="s">
        <v>250</v>
      </c>
      <c r="E1733" s="35">
        <v>3.9990000000000001</v>
      </c>
      <c r="F1733" s="35">
        <v>4.9980000000000002</v>
      </c>
      <c r="G1733" s="35">
        <v>41000</v>
      </c>
    </row>
    <row r="1734" spans="1:7" x14ac:dyDescent="0.25">
      <c r="A1734">
        <v>20221028</v>
      </c>
      <c r="B1734" t="s">
        <v>770</v>
      </c>
      <c r="C1734" t="s">
        <v>213</v>
      </c>
      <c r="D1734" t="s">
        <v>258</v>
      </c>
      <c r="E1734" s="35">
        <v>3.9990000000000001</v>
      </c>
      <c r="F1734" s="35">
        <v>4.9980000000000002</v>
      </c>
      <c r="G1734" s="35">
        <v>29500</v>
      </c>
    </row>
    <row r="1735" spans="1:7" x14ac:dyDescent="0.25">
      <c r="A1735">
        <v>20221028</v>
      </c>
      <c r="B1735" t="s">
        <v>770</v>
      </c>
      <c r="C1735" t="s">
        <v>213</v>
      </c>
      <c r="D1735" t="s">
        <v>265</v>
      </c>
      <c r="E1735" s="35">
        <v>3.9990000000000001</v>
      </c>
      <c r="F1735" s="35">
        <v>4.9980000000000002</v>
      </c>
      <c r="G1735" s="35">
        <v>24000</v>
      </c>
    </row>
    <row r="1736" spans="1:7" x14ac:dyDescent="0.25">
      <c r="A1736">
        <v>20221028</v>
      </c>
      <c r="B1736" t="s">
        <v>770</v>
      </c>
      <c r="C1736" t="s">
        <v>213</v>
      </c>
      <c r="D1736" t="s">
        <v>273</v>
      </c>
      <c r="E1736" s="35">
        <v>3.9990000000000001</v>
      </c>
      <c r="F1736" s="35">
        <v>4.9980000000000002</v>
      </c>
      <c r="G1736" s="35">
        <v>14500</v>
      </c>
    </row>
    <row r="1737" spans="1:7" x14ac:dyDescent="0.25">
      <c r="A1737">
        <v>20221028</v>
      </c>
      <c r="B1737" t="s">
        <v>770</v>
      </c>
      <c r="C1737" t="s">
        <v>213</v>
      </c>
      <c r="D1737" t="s">
        <v>279</v>
      </c>
      <c r="E1737" s="35">
        <v>3.9990000000000001</v>
      </c>
      <c r="F1737" s="35">
        <v>4.9980000000000002</v>
      </c>
      <c r="G1737" s="35">
        <v>10600</v>
      </c>
    </row>
    <row r="1738" spans="1:7" x14ac:dyDescent="0.25">
      <c r="A1738">
        <v>20221028</v>
      </c>
      <c r="B1738" t="s">
        <v>770</v>
      </c>
      <c r="C1738" t="s">
        <v>213</v>
      </c>
      <c r="D1738" t="s">
        <v>285</v>
      </c>
      <c r="E1738" s="35">
        <v>3.9990000000000001</v>
      </c>
      <c r="F1738" s="35">
        <v>4.9980000000000002</v>
      </c>
      <c r="G1738" s="35">
        <v>5200</v>
      </c>
    </row>
    <row r="1739" spans="1:7" x14ac:dyDescent="0.25">
      <c r="A1739">
        <v>20221028</v>
      </c>
      <c r="B1739" t="s">
        <v>770</v>
      </c>
      <c r="C1739" t="s">
        <v>213</v>
      </c>
      <c r="D1739" t="s">
        <v>289</v>
      </c>
      <c r="E1739" s="35">
        <v>3.9990000000000001</v>
      </c>
      <c r="F1739" s="35">
        <v>4.9980000000000002</v>
      </c>
      <c r="G1739" s="35">
        <v>2200</v>
      </c>
    </row>
    <row r="1740" spans="1:7" x14ac:dyDescent="0.25">
      <c r="A1740">
        <v>20221028</v>
      </c>
      <c r="B1740" t="s">
        <v>770</v>
      </c>
      <c r="C1740" t="s">
        <v>232</v>
      </c>
      <c r="D1740" t="s">
        <v>187</v>
      </c>
      <c r="E1740" s="35">
        <v>3.9990000000000001</v>
      </c>
      <c r="F1740" s="35">
        <v>4.9980000000000002</v>
      </c>
      <c r="G1740" s="35">
        <v>59000</v>
      </c>
    </row>
    <row r="1741" spans="1:7" x14ac:dyDescent="0.25">
      <c r="A1741">
        <v>20221028</v>
      </c>
      <c r="B1741" t="s">
        <v>770</v>
      </c>
      <c r="C1741" t="s">
        <v>232</v>
      </c>
      <c r="D1741" t="s">
        <v>214</v>
      </c>
      <c r="E1741" s="35">
        <v>3.9990000000000001</v>
      </c>
      <c r="F1741" s="35">
        <v>4.9980000000000002</v>
      </c>
      <c r="G1741" s="35">
        <v>53500</v>
      </c>
    </row>
    <row r="1742" spans="1:7" x14ac:dyDescent="0.25">
      <c r="A1742">
        <v>20221028</v>
      </c>
      <c r="B1742" t="s">
        <v>770</v>
      </c>
      <c r="C1742" t="s">
        <v>232</v>
      </c>
      <c r="D1742" t="s">
        <v>233</v>
      </c>
      <c r="E1742" s="35">
        <v>3.9990000000000001</v>
      </c>
      <c r="F1742" s="35">
        <v>4.9980000000000002</v>
      </c>
      <c r="G1742" s="35">
        <v>49000</v>
      </c>
    </row>
    <row r="1743" spans="1:7" x14ac:dyDescent="0.25">
      <c r="A1743">
        <v>20221028</v>
      </c>
      <c r="B1743" t="s">
        <v>770</v>
      </c>
      <c r="C1743" t="s">
        <v>232</v>
      </c>
      <c r="D1743" t="s">
        <v>242</v>
      </c>
      <c r="E1743" s="35">
        <v>3.9990000000000001</v>
      </c>
      <c r="F1743" s="35">
        <v>4.9980000000000002</v>
      </c>
      <c r="G1743" s="35">
        <v>42500</v>
      </c>
    </row>
    <row r="1744" spans="1:7" x14ac:dyDescent="0.25">
      <c r="A1744">
        <v>20221028</v>
      </c>
      <c r="B1744" t="s">
        <v>770</v>
      </c>
      <c r="C1744" t="s">
        <v>232</v>
      </c>
      <c r="D1744" t="s">
        <v>250</v>
      </c>
      <c r="E1744" s="35">
        <v>3.9990000000000001</v>
      </c>
      <c r="F1744" s="35">
        <v>4.9980000000000002</v>
      </c>
      <c r="G1744" s="35">
        <v>36500</v>
      </c>
    </row>
    <row r="1745" spans="1:7" x14ac:dyDescent="0.25">
      <c r="A1745">
        <v>20221028</v>
      </c>
      <c r="B1745" t="s">
        <v>770</v>
      </c>
      <c r="C1745" t="s">
        <v>232</v>
      </c>
      <c r="D1745" t="s">
        <v>258</v>
      </c>
      <c r="E1745" s="35">
        <v>3.9990000000000001</v>
      </c>
      <c r="F1745" s="35">
        <v>4.9980000000000002</v>
      </c>
      <c r="G1745" s="35">
        <v>27500</v>
      </c>
    </row>
    <row r="1746" spans="1:7" x14ac:dyDescent="0.25">
      <c r="A1746">
        <v>20221028</v>
      </c>
      <c r="B1746" t="s">
        <v>770</v>
      </c>
      <c r="C1746" t="s">
        <v>232</v>
      </c>
      <c r="D1746" t="s">
        <v>265</v>
      </c>
      <c r="E1746" s="35">
        <v>3.9990000000000001</v>
      </c>
      <c r="F1746" s="35">
        <v>4.9980000000000002</v>
      </c>
      <c r="G1746" s="35">
        <v>22500</v>
      </c>
    </row>
    <row r="1747" spans="1:7" x14ac:dyDescent="0.25">
      <c r="A1747">
        <v>20221028</v>
      </c>
      <c r="B1747" t="s">
        <v>770</v>
      </c>
      <c r="C1747" t="s">
        <v>232</v>
      </c>
      <c r="D1747" t="s">
        <v>273</v>
      </c>
      <c r="E1747" s="35">
        <v>3.9990000000000001</v>
      </c>
      <c r="F1747" s="35">
        <v>4.9980000000000002</v>
      </c>
      <c r="G1747" s="35">
        <v>13800</v>
      </c>
    </row>
    <row r="1748" spans="1:7" x14ac:dyDescent="0.25">
      <c r="A1748">
        <v>20221028</v>
      </c>
      <c r="B1748" t="s">
        <v>770</v>
      </c>
      <c r="C1748" t="s">
        <v>232</v>
      </c>
      <c r="D1748" t="s">
        <v>279</v>
      </c>
      <c r="E1748" s="35">
        <v>3.9990000000000001</v>
      </c>
      <c r="F1748" s="35">
        <v>4.9980000000000002</v>
      </c>
      <c r="G1748" s="35">
        <v>10100</v>
      </c>
    </row>
    <row r="1749" spans="1:7" x14ac:dyDescent="0.25">
      <c r="A1749">
        <v>20221028</v>
      </c>
      <c r="B1749" t="s">
        <v>770</v>
      </c>
      <c r="C1749" t="s">
        <v>232</v>
      </c>
      <c r="D1749" t="s">
        <v>285</v>
      </c>
      <c r="E1749" s="35">
        <v>3.9990000000000001</v>
      </c>
      <c r="F1749" s="35">
        <v>4.9980000000000002</v>
      </c>
      <c r="G1749" s="35">
        <v>5000</v>
      </c>
    </row>
    <row r="1750" spans="1:7" x14ac:dyDescent="0.25">
      <c r="A1750">
        <v>20221028</v>
      </c>
      <c r="B1750" t="s">
        <v>770</v>
      </c>
      <c r="C1750" t="s">
        <v>232</v>
      </c>
      <c r="D1750" t="s">
        <v>289</v>
      </c>
      <c r="E1750" s="35">
        <v>3.9990000000000001</v>
      </c>
      <c r="F1750" s="35">
        <v>4.9980000000000002</v>
      </c>
      <c r="G1750" s="35">
        <v>2100</v>
      </c>
    </row>
    <row r="1751" spans="1:7" x14ac:dyDescent="0.25">
      <c r="A1751">
        <v>20221028</v>
      </c>
      <c r="B1751" t="s">
        <v>770</v>
      </c>
      <c r="C1751" t="s">
        <v>215</v>
      </c>
      <c r="D1751" t="s">
        <v>187</v>
      </c>
      <c r="E1751" s="35">
        <v>3.9990000000000001</v>
      </c>
      <c r="F1751" s="35">
        <v>4.9980000000000002</v>
      </c>
      <c r="G1751" s="35">
        <v>48000</v>
      </c>
    </row>
    <row r="1752" spans="1:7" x14ac:dyDescent="0.25">
      <c r="A1752">
        <v>20221028</v>
      </c>
      <c r="B1752" t="s">
        <v>770</v>
      </c>
      <c r="C1752" t="s">
        <v>215</v>
      </c>
      <c r="D1752" t="s">
        <v>214</v>
      </c>
      <c r="E1752" s="35">
        <v>3.9990000000000001</v>
      </c>
      <c r="F1752" s="35">
        <v>4.9980000000000002</v>
      </c>
      <c r="G1752" s="35">
        <v>44500</v>
      </c>
    </row>
    <row r="1753" spans="1:7" x14ac:dyDescent="0.25">
      <c r="A1753">
        <v>20221028</v>
      </c>
      <c r="B1753" t="s">
        <v>770</v>
      </c>
      <c r="C1753" t="s">
        <v>215</v>
      </c>
      <c r="D1753" t="s">
        <v>233</v>
      </c>
      <c r="E1753" s="35">
        <v>3.9990000000000001</v>
      </c>
      <c r="F1753" s="35">
        <v>4.9980000000000002</v>
      </c>
      <c r="G1753" s="35">
        <v>40500</v>
      </c>
    </row>
    <row r="1754" spans="1:7" x14ac:dyDescent="0.25">
      <c r="A1754">
        <v>20221028</v>
      </c>
      <c r="B1754" t="s">
        <v>770</v>
      </c>
      <c r="C1754" t="s">
        <v>215</v>
      </c>
      <c r="D1754" t="s">
        <v>242</v>
      </c>
      <c r="E1754" s="35">
        <v>3.9990000000000001</v>
      </c>
      <c r="F1754" s="35">
        <v>4.9980000000000002</v>
      </c>
      <c r="G1754" s="35">
        <v>37000</v>
      </c>
    </row>
    <row r="1755" spans="1:7" x14ac:dyDescent="0.25">
      <c r="A1755">
        <v>20221028</v>
      </c>
      <c r="B1755" t="s">
        <v>770</v>
      </c>
      <c r="C1755" t="s">
        <v>215</v>
      </c>
      <c r="D1755" t="s">
        <v>250</v>
      </c>
      <c r="E1755" s="35">
        <v>3.9990000000000001</v>
      </c>
      <c r="F1755" s="35">
        <v>4.9980000000000002</v>
      </c>
      <c r="G1755" s="35">
        <v>32500</v>
      </c>
    </row>
    <row r="1756" spans="1:7" x14ac:dyDescent="0.25">
      <c r="A1756">
        <v>20221028</v>
      </c>
      <c r="B1756" t="s">
        <v>770</v>
      </c>
      <c r="C1756" t="s">
        <v>215</v>
      </c>
      <c r="D1756" t="s">
        <v>258</v>
      </c>
      <c r="E1756" s="35">
        <v>3.9990000000000001</v>
      </c>
      <c r="F1756" s="35">
        <v>4.9980000000000002</v>
      </c>
      <c r="G1756" s="35">
        <v>24500</v>
      </c>
    </row>
    <row r="1757" spans="1:7" x14ac:dyDescent="0.25">
      <c r="A1757">
        <v>20221028</v>
      </c>
      <c r="B1757" t="s">
        <v>770</v>
      </c>
      <c r="C1757" t="s">
        <v>215</v>
      </c>
      <c r="D1757" t="s">
        <v>265</v>
      </c>
      <c r="E1757" s="35">
        <v>3.9990000000000001</v>
      </c>
      <c r="F1757" s="35">
        <v>4.9980000000000002</v>
      </c>
      <c r="G1757" s="35">
        <v>20000</v>
      </c>
    </row>
    <row r="1758" spans="1:7" x14ac:dyDescent="0.25">
      <c r="A1758">
        <v>20221028</v>
      </c>
      <c r="B1758" t="s">
        <v>770</v>
      </c>
      <c r="C1758" t="s">
        <v>215</v>
      </c>
      <c r="D1758" t="s">
        <v>273</v>
      </c>
      <c r="E1758" s="35">
        <v>3.9990000000000001</v>
      </c>
      <c r="F1758" s="35">
        <v>4.9980000000000002</v>
      </c>
      <c r="G1758" s="35">
        <v>12700</v>
      </c>
    </row>
    <row r="1759" spans="1:7" x14ac:dyDescent="0.25">
      <c r="A1759">
        <v>20221028</v>
      </c>
      <c r="B1759" t="s">
        <v>770</v>
      </c>
      <c r="C1759" t="s">
        <v>215</v>
      </c>
      <c r="D1759" t="s">
        <v>279</v>
      </c>
      <c r="E1759" s="35">
        <v>3.9990000000000001</v>
      </c>
      <c r="F1759" s="35">
        <v>4.9980000000000002</v>
      </c>
      <c r="G1759" s="35">
        <v>9500</v>
      </c>
    </row>
    <row r="1760" spans="1:7" x14ac:dyDescent="0.25">
      <c r="A1760">
        <v>20221028</v>
      </c>
      <c r="B1760" t="s">
        <v>770</v>
      </c>
      <c r="C1760" t="s">
        <v>215</v>
      </c>
      <c r="D1760" t="s">
        <v>285</v>
      </c>
      <c r="E1760" s="35">
        <v>3.9990000000000001</v>
      </c>
      <c r="F1760" s="35">
        <v>4.9980000000000002</v>
      </c>
      <c r="G1760" s="35">
        <v>4700</v>
      </c>
    </row>
    <row r="1761" spans="1:7" x14ac:dyDescent="0.25">
      <c r="A1761">
        <v>20221028</v>
      </c>
      <c r="B1761" t="s">
        <v>770</v>
      </c>
      <c r="C1761" t="s">
        <v>215</v>
      </c>
      <c r="D1761" t="s">
        <v>289</v>
      </c>
      <c r="E1761" s="35">
        <v>3.9990000000000001</v>
      </c>
      <c r="F1761" s="35">
        <v>4.9980000000000002</v>
      </c>
      <c r="G1761" s="35">
        <v>2000</v>
      </c>
    </row>
    <row r="1762" spans="1:7" x14ac:dyDescent="0.25">
      <c r="A1762">
        <v>20221028</v>
      </c>
      <c r="B1762" t="s">
        <v>770</v>
      </c>
      <c r="C1762" t="s">
        <v>249</v>
      </c>
      <c r="D1762" t="s">
        <v>187</v>
      </c>
      <c r="E1762" s="35">
        <v>3.9990000000000001</v>
      </c>
      <c r="F1762" s="35">
        <v>4.9980000000000002</v>
      </c>
      <c r="G1762" s="35">
        <v>37000</v>
      </c>
    </row>
    <row r="1763" spans="1:7" x14ac:dyDescent="0.25">
      <c r="A1763">
        <v>20221028</v>
      </c>
      <c r="B1763" t="s">
        <v>770</v>
      </c>
      <c r="C1763" t="s">
        <v>249</v>
      </c>
      <c r="D1763" t="s">
        <v>214</v>
      </c>
      <c r="E1763" s="35">
        <v>3.9990000000000001</v>
      </c>
      <c r="F1763" s="35">
        <v>4.9980000000000002</v>
      </c>
      <c r="G1763" s="35">
        <v>34500</v>
      </c>
    </row>
    <row r="1764" spans="1:7" x14ac:dyDescent="0.25">
      <c r="A1764">
        <v>20221028</v>
      </c>
      <c r="B1764" t="s">
        <v>770</v>
      </c>
      <c r="C1764" t="s">
        <v>249</v>
      </c>
      <c r="D1764" t="s">
        <v>233</v>
      </c>
      <c r="E1764" s="35">
        <v>3.9990000000000001</v>
      </c>
      <c r="F1764" s="35">
        <v>4.9980000000000002</v>
      </c>
      <c r="G1764" s="35">
        <v>32500</v>
      </c>
    </row>
    <row r="1765" spans="1:7" x14ac:dyDescent="0.25">
      <c r="A1765">
        <v>20221028</v>
      </c>
      <c r="B1765" t="s">
        <v>770</v>
      </c>
      <c r="C1765" t="s">
        <v>249</v>
      </c>
      <c r="D1765" t="s">
        <v>242</v>
      </c>
      <c r="E1765" s="35">
        <v>3.9990000000000001</v>
      </c>
      <c r="F1765" s="35">
        <v>4.9980000000000002</v>
      </c>
      <c r="G1765" s="35">
        <v>30500</v>
      </c>
    </row>
    <row r="1766" spans="1:7" x14ac:dyDescent="0.25">
      <c r="A1766">
        <v>20221028</v>
      </c>
      <c r="B1766" t="s">
        <v>770</v>
      </c>
      <c r="C1766" t="s">
        <v>249</v>
      </c>
      <c r="D1766" t="s">
        <v>250</v>
      </c>
      <c r="E1766" s="35">
        <v>3.9990000000000001</v>
      </c>
      <c r="F1766" s="35">
        <v>4.9980000000000002</v>
      </c>
      <c r="G1766" s="35">
        <v>27000</v>
      </c>
    </row>
    <row r="1767" spans="1:7" x14ac:dyDescent="0.25">
      <c r="A1767">
        <v>20221028</v>
      </c>
      <c r="B1767" t="s">
        <v>770</v>
      </c>
      <c r="C1767" t="s">
        <v>249</v>
      </c>
      <c r="D1767" t="s">
        <v>258</v>
      </c>
      <c r="E1767" s="35">
        <v>3.9990000000000001</v>
      </c>
      <c r="F1767" s="35">
        <v>4.9980000000000002</v>
      </c>
      <c r="G1767" s="35">
        <v>21500</v>
      </c>
    </row>
    <row r="1768" spans="1:7" x14ac:dyDescent="0.25">
      <c r="A1768">
        <v>20221028</v>
      </c>
      <c r="B1768" t="s">
        <v>770</v>
      </c>
      <c r="C1768" t="s">
        <v>249</v>
      </c>
      <c r="D1768" t="s">
        <v>265</v>
      </c>
      <c r="E1768" s="35">
        <v>3.9990000000000001</v>
      </c>
      <c r="F1768" s="35">
        <v>4.9980000000000002</v>
      </c>
      <c r="G1768" s="35">
        <v>18000</v>
      </c>
    </row>
    <row r="1769" spans="1:7" x14ac:dyDescent="0.25">
      <c r="A1769">
        <v>20221028</v>
      </c>
      <c r="B1769" t="s">
        <v>770</v>
      </c>
      <c r="C1769" t="s">
        <v>249</v>
      </c>
      <c r="D1769" t="s">
        <v>273</v>
      </c>
      <c r="E1769" s="35">
        <v>3.9990000000000001</v>
      </c>
      <c r="F1769" s="35">
        <v>4.9980000000000002</v>
      </c>
      <c r="G1769" s="35">
        <v>11400</v>
      </c>
    </row>
    <row r="1770" spans="1:7" x14ac:dyDescent="0.25">
      <c r="A1770">
        <v>20221028</v>
      </c>
      <c r="B1770" t="s">
        <v>770</v>
      </c>
      <c r="C1770" t="s">
        <v>249</v>
      </c>
      <c r="D1770" t="s">
        <v>279</v>
      </c>
      <c r="E1770" s="35">
        <v>3.9990000000000001</v>
      </c>
      <c r="F1770" s="35">
        <v>4.9980000000000002</v>
      </c>
      <c r="G1770" s="35">
        <v>9000</v>
      </c>
    </row>
    <row r="1771" spans="1:7" x14ac:dyDescent="0.25">
      <c r="A1771">
        <v>20221028</v>
      </c>
      <c r="B1771" t="s">
        <v>770</v>
      </c>
      <c r="C1771" t="s">
        <v>249</v>
      </c>
      <c r="D1771" t="s">
        <v>285</v>
      </c>
      <c r="E1771" s="35">
        <v>3.9990000000000001</v>
      </c>
      <c r="F1771" s="35">
        <v>4.9980000000000002</v>
      </c>
      <c r="G1771" s="35">
        <v>4400</v>
      </c>
    </row>
    <row r="1772" spans="1:7" x14ac:dyDescent="0.25">
      <c r="A1772">
        <v>20221028</v>
      </c>
      <c r="B1772" t="s">
        <v>770</v>
      </c>
      <c r="C1772" t="s">
        <v>249</v>
      </c>
      <c r="D1772" t="s">
        <v>289</v>
      </c>
      <c r="E1772" s="35">
        <v>3.9990000000000001</v>
      </c>
      <c r="F1772" s="35">
        <v>4.9980000000000002</v>
      </c>
      <c r="G1772" s="35">
        <v>1900</v>
      </c>
    </row>
    <row r="1773" spans="1:7" x14ac:dyDescent="0.25">
      <c r="A1773">
        <v>20221028</v>
      </c>
      <c r="B1773" t="s">
        <v>770</v>
      </c>
      <c r="C1773" t="s">
        <v>257</v>
      </c>
      <c r="D1773" t="s">
        <v>187</v>
      </c>
      <c r="E1773" s="35">
        <v>3.9990000000000001</v>
      </c>
      <c r="F1773" s="35">
        <v>4.9980000000000002</v>
      </c>
      <c r="G1773" s="35">
        <v>29000</v>
      </c>
    </row>
    <row r="1774" spans="1:7" x14ac:dyDescent="0.25">
      <c r="A1774">
        <v>20221028</v>
      </c>
      <c r="B1774" t="s">
        <v>770</v>
      </c>
      <c r="C1774" t="s">
        <v>257</v>
      </c>
      <c r="D1774" t="s">
        <v>214</v>
      </c>
      <c r="E1774" s="35">
        <v>3.9990000000000001</v>
      </c>
      <c r="F1774" s="35">
        <v>4.9980000000000002</v>
      </c>
      <c r="G1774" s="35">
        <v>27000</v>
      </c>
    </row>
    <row r="1775" spans="1:7" x14ac:dyDescent="0.25">
      <c r="A1775">
        <v>20221028</v>
      </c>
      <c r="B1775" t="s">
        <v>770</v>
      </c>
      <c r="C1775" t="s">
        <v>257</v>
      </c>
      <c r="D1775" t="s">
        <v>233</v>
      </c>
      <c r="E1775" s="35">
        <v>3.9990000000000001</v>
      </c>
      <c r="F1775" s="35">
        <v>4.9980000000000002</v>
      </c>
      <c r="G1775" s="35">
        <v>25500</v>
      </c>
    </row>
    <row r="1776" spans="1:7" x14ac:dyDescent="0.25">
      <c r="A1776">
        <v>20221028</v>
      </c>
      <c r="B1776" t="s">
        <v>770</v>
      </c>
      <c r="C1776" t="s">
        <v>257</v>
      </c>
      <c r="D1776" t="s">
        <v>242</v>
      </c>
      <c r="E1776" s="35">
        <v>3.9990000000000001</v>
      </c>
      <c r="F1776" s="35">
        <v>4.9980000000000002</v>
      </c>
      <c r="G1776" s="35">
        <v>24000</v>
      </c>
    </row>
    <row r="1777" spans="1:7" x14ac:dyDescent="0.25">
      <c r="A1777">
        <v>20221028</v>
      </c>
      <c r="B1777" t="s">
        <v>770</v>
      </c>
      <c r="C1777" t="s">
        <v>257</v>
      </c>
      <c r="D1777" t="s">
        <v>250</v>
      </c>
      <c r="E1777" s="35">
        <v>3.9990000000000001</v>
      </c>
      <c r="F1777" s="35">
        <v>4.9980000000000002</v>
      </c>
      <c r="G1777" s="35">
        <v>21500</v>
      </c>
    </row>
    <row r="1778" spans="1:7" x14ac:dyDescent="0.25">
      <c r="A1778">
        <v>20221028</v>
      </c>
      <c r="B1778" t="s">
        <v>770</v>
      </c>
      <c r="C1778" t="s">
        <v>257</v>
      </c>
      <c r="D1778" t="s">
        <v>258</v>
      </c>
      <c r="E1778" s="35">
        <v>3.9990000000000001</v>
      </c>
      <c r="F1778" s="35">
        <v>4.9980000000000002</v>
      </c>
      <c r="G1778" s="35">
        <v>19000</v>
      </c>
    </row>
    <row r="1779" spans="1:7" x14ac:dyDescent="0.25">
      <c r="A1779">
        <v>20221028</v>
      </c>
      <c r="B1779" t="s">
        <v>770</v>
      </c>
      <c r="C1779" t="s">
        <v>257</v>
      </c>
      <c r="D1779" t="s">
        <v>265</v>
      </c>
      <c r="E1779" s="35">
        <v>3.9990000000000001</v>
      </c>
      <c r="F1779" s="35">
        <v>4.9980000000000002</v>
      </c>
      <c r="G1779" s="35">
        <v>16000</v>
      </c>
    </row>
    <row r="1780" spans="1:7" x14ac:dyDescent="0.25">
      <c r="A1780">
        <v>20221028</v>
      </c>
      <c r="B1780" t="s">
        <v>770</v>
      </c>
      <c r="C1780" t="s">
        <v>257</v>
      </c>
      <c r="D1780" t="s">
        <v>273</v>
      </c>
      <c r="E1780" s="35">
        <v>3.9990000000000001</v>
      </c>
      <c r="F1780" s="35">
        <v>4.9980000000000002</v>
      </c>
      <c r="G1780" s="35">
        <v>10500</v>
      </c>
    </row>
    <row r="1781" spans="1:7" x14ac:dyDescent="0.25">
      <c r="A1781">
        <v>20221028</v>
      </c>
      <c r="B1781" t="s">
        <v>770</v>
      </c>
      <c r="C1781" t="s">
        <v>257</v>
      </c>
      <c r="D1781" t="s">
        <v>279</v>
      </c>
      <c r="E1781" s="35">
        <v>3.9990000000000001</v>
      </c>
      <c r="F1781" s="35">
        <v>4.9980000000000002</v>
      </c>
      <c r="G1781" s="35">
        <v>8600</v>
      </c>
    </row>
    <row r="1782" spans="1:7" x14ac:dyDescent="0.25">
      <c r="A1782">
        <v>20221028</v>
      </c>
      <c r="B1782" t="s">
        <v>770</v>
      </c>
      <c r="C1782" t="s">
        <v>257</v>
      </c>
      <c r="D1782" t="s">
        <v>285</v>
      </c>
      <c r="E1782" s="35">
        <v>3.9990000000000001</v>
      </c>
      <c r="F1782" s="35">
        <v>4.9980000000000002</v>
      </c>
      <c r="G1782" s="35">
        <v>4100</v>
      </c>
    </row>
    <row r="1783" spans="1:7" x14ac:dyDescent="0.25">
      <c r="A1783">
        <v>20221028</v>
      </c>
      <c r="B1783" t="s">
        <v>770</v>
      </c>
      <c r="C1783" t="s">
        <v>257</v>
      </c>
      <c r="D1783" t="s">
        <v>289</v>
      </c>
      <c r="E1783" s="35">
        <v>3.9990000000000001</v>
      </c>
      <c r="F1783" s="35">
        <v>4.9980000000000002</v>
      </c>
      <c r="G1783" s="35">
        <v>1800</v>
      </c>
    </row>
    <row r="1784" spans="1:7" x14ac:dyDescent="0.25">
      <c r="A1784">
        <v>20221028</v>
      </c>
      <c r="B1784" t="s">
        <v>770</v>
      </c>
      <c r="C1784" t="s">
        <v>264</v>
      </c>
      <c r="D1784" t="s">
        <v>187</v>
      </c>
      <c r="E1784" s="35">
        <v>3.9990000000000001</v>
      </c>
      <c r="F1784" s="35">
        <v>4.9980000000000002</v>
      </c>
      <c r="G1784" s="35">
        <v>23000</v>
      </c>
    </row>
    <row r="1785" spans="1:7" x14ac:dyDescent="0.25">
      <c r="A1785">
        <v>20221028</v>
      </c>
      <c r="B1785" t="s">
        <v>770</v>
      </c>
      <c r="C1785" t="s">
        <v>264</v>
      </c>
      <c r="D1785" t="s">
        <v>214</v>
      </c>
      <c r="E1785" s="35">
        <v>3.9990000000000001</v>
      </c>
      <c r="F1785" s="35">
        <v>4.9980000000000002</v>
      </c>
      <c r="G1785" s="35">
        <v>21500</v>
      </c>
    </row>
    <row r="1786" spans="1:7" x14ac:dyDescent="0.25">
      <c r="A1786">
        <v>20221028</v>
      </c>
      <c r="B1786" t="s">
        <v>770</v>
      </c>
      <c r="C1786" t="s">
        <v>264</v>
      </c>
      <c r="D1786" t="s">
        <v>233</v>
      </c>
      <c r="E1786" s="35">
        <v>3.9990000000000001</v>
      </c>
      <c r="F1786" s="35">
        <v>4.9980000000000002</v>
      </c>
      <c r="G1786" s="35">
        <v>20000</v>
      </c>
    </row>
    <row r="1787" spans="1:7" x14ac:dyDescent="0.25">
      <c r="A1787">
        <v>20221028</v>
      </c>
      <c r="B1787" t="s">
        <v>770</v>
      </c>
      <c r="C1787" t="s">
        <v>264</v>
      </c>
      <c r="D1787" t="s">
        <v>242</v>
      </c>
      <c r="E1787" s="35">
        <v>3.9990000000000001</v>
      </c>
      <c r="F1787" s="35">
        <v>4.9980000000000002</v>
      </c>
      <c r="G1787" s="35">
        <v>19000</v>
      </c>
    </row>
    <row r="1788" spans="1:7" x14ac:dyDescent="0.25">
      <c r="A1788">
        <v>20221028</v>
      </c>
      <c r="B1788" t="s">
        <v>770</v>
      </c>
      <c r="C1788" t="s">
        <v>264</v>
      </c>
      <c r="D1788" t="s">
        <v>250</v>
      </c>
      <c r="E1788" s="35">
        <v>3.9990000000000001</v>
      </c>
      <c r="F1788" s="35">
        <v>4.9980000000000002</v>
      </c>
      <c r="G1788" s="35">
        <v>17500</v>
      </c>
    </row>
    <row r="1789" spans="1:7" x14ac:dyDescent="0.25">
      <c r="A1789">
        <v>20221028</v>
      </c>
      <c r="B1789" t="s">
        <v>770</v>
      </c>
      <c r="C1789" t="s">
        <v>264</v>
      </c>
      <c r="D1789" t="s">
        <v>258</v>
      </c>
      <c r="E1789" s="35">
        <v>3.9990000000000001</v>
      </c>
      <c r="F1789" s="35">
        <v>4.9980000000000002</v>
      </c>
      <c r="G1789" s="35">
        <v>15500</v>
      </c>
    </row>
    <row r="1790" spans="1:7" x14ac:dyDescent="0.25">
      <c r="A1790">
        <v>20221028</v>
      </c>
      <c r="B1790" t="s">
        <v>770</v>
      </c>
      <c r="C1790" t="s">
        <v>264</v>
      </c>
      <c r="D1790" t="s">
        <v>265</v>
      </c>
      <c r="E1790" s="35">
        <v>3.9990000000000001</v>
      </c>
      <c r="F1790" s="35">
        <v>4.9980000000000002</v>
      </c>
      <c r="G1790" s="35">
        <v>14000</v>
      </c>
    </row>
    <row r="1791" spans="1:7" x14ac:dyDescent="0.25">
      <c r="A1791">
        <v>20221028</v>
      </c>
      <c r="B1791" t="s">
        <v>770</v>
      </c>
      <c r="C1791" t="s">
        <v>264</v>
      </c>
      <c r="D1791" t="s">
        <v>273</v>
      </c>
      <c r="E1791" s="35">
        <v>3.9990000000000001</v>
      </c>
      <c r="F1791" s="35">
        <v>4.9980000000000002</v>
      </c>
      <c r="G1791" s="35">
        <v>9500</v>
      </c>
    </row>
    <row r="1792" spans="1:7" x14ac:dyDescent="0.25">
      <c r="A1792">
        <v>20221028</v>
      </c>
      <c r="B1792" t="s">
        <v>770</v>
      </c>
      <c r="C1792" t="s">
        <v>264</v>
      </c>
      <c r="D1792" t="s">
        <v>279</v>
      </c>
      <c r="E1792" s="35">
        <v>3.9990000000000001</v>
      </c>
      <c r="F1792" s="35">
        <v>4.9980000000000002</v>
      </c>
      <c r="G1792" s="35">
        <v>7500</v>
      </c>
    </row>
    <row r="1793" spans="1:7" x14ac:dyDescent="0.25">
      <c r="A1793">
        <v>20221028</v>
      </c>
      <c r="B1793" t="s">
        <v>770</v>
      </c>
      <c r="C1793" t="s">
        <v>264</v>
      </c>
      <c r="D1793" t="s">
        <v>285</v>
      </c>
      <c r="E1793" s="35">
        <v>3.9990000000000001</v>
      </c>
      <c r="F1793" s="35">
        <v>4.9980000000000002</v>
      </c>
      <c r="G1793" s="35">
        <v>3900</v>
      </c>
    </row>
    <row r="1794" spans="1:7" x14ac:dyDescent="0.25">
      <c r="A1794">
        <v>20221028</v>
      </c>
      <c r="B1794" t="s">
        <v>770</v>
      </c>
      <c r="C1794" t="s">
        <v>264</v>
      </c>
      <c r="D1794" t="s">
        <v>289</v>
      </c>
      <c r="E1794" s="35">
        <v>3.9990000000000001</v>
      </c>
      <c r="F1794" s="35">
        <v>4.9980000000000002</v>
      </c>
      <c r="G1794" s="35">
        <v>1700</v>
      </c>
    </row>
    <row r="1795" spans="1:7" x14ac:dyDescent="0.25">
      <c r="A1795">
        <v>20221028</v>
      </c>
      <c r="B1795" t="s">
        <v>770</v>
      </c>
      <c r="C1795" t="s">
        <v>272</v>
      </c>
      <c r="D1795" t="s">
        <v>187</v>
      </c>
      <c r="E1795" s="35">
        <v>3.9990000000000001</v>
      </c>
      <c r="F1795" s="35">
        <v>4.9980000000000002</v>
      </c>
      <c r="G1795" s="35">
        <v>19000</v>
      </c>
    </row>
    <row r="1796" spans="1:7" x14ac:dyDescent="0.25">
      <c r="A1796">
        <v>20221028</v>
      </c>
      <c r="B1796" t="s">
        <v>770</v>
      </c>
      <c r="C1796" t="s">
        <v>272</v>
      </c>
      <c r="D1796" t="s">
        <v>214</v>
      </c>
      <c r="E1796" s="35">
        <v>3.9990000000000001</v>
      </c>
      <c r="F1796" s="35">
        <v>4.9980000000000002</v>
      </c>
      <c r="G1796" s="35">
        <v>18000</v>
      </c>
    </row>
    <row r="1797" spans="1:7" x14ac:dyDescent="0.25">
      <c r="A1797">
        <v>20221028</v>
      </c>
      <c r="B1797" t="s">
        <v>770</v>
      </c>
      <c r="C1797" t="s">
        <v>272</v>
      </c>
      <c r="D1797" t="s">
        <v>233</v>
      </c>
      <c r="E1797" s="35">
        <v>3.9990000000000001</v>
      </c>
      <c r="F1797" s="35">
        <v>4.9980000000000002</v>
      </c>
      <c r="G1797" s="35">
        <v>16500</v>
      </c>
    </row>
    <row r="1798" spans="1:7" x14ac:dyDescent="0.25">
      <c r="A1798">
        <v>20221028</v>
      </c>
      <c r="B1798" t="s">
        <v>770</v>
      </c>
      <c r="C1798" t="s">
        <v>272</v>
      </c>
      <c r="D1798" t="s">
        <v>242</v>
      </c>
      <c r="E1798" s="35">
        <v>3.9990000000000001</v>
      </c>
      <c r="F1798" s="35">
        <v>4.9980000000000002</v>
      </c>
      <c r="G1798" s="35">
        <v>15500</v>
      </c>
    </row>
    <row r="1799" spans="1:7" x14ac:dyDescent="0.25">
      <c r="A1799">
        <v>20221028</v>
      </c>
      <c r="B1799" t="s">
        <v>770</v>
      </c>
      <c r="C1799" t="s">
        <v>272</v>
      </c>
      <c r="D1799" t="s">
        <v>250</v>
      </c>
      <c r="E1799" s="35">
        <v>3.9990000000000001</v>
      </c>
      <c r="F1799" s="35">
        <v>4.9980000000000002</v>
      </c>
      <c r="G1799" s="35">
        <v>14500</v>
      </c>
    </row>
    <row r="1800" spans="1:7" x14ac:dyDescent="0.25">
      <c r="A1800">
        <v>20221028</v>
      </c>
      <c r="B1800" t="s">
        <v>770</v>
      </c>
      <c r="C1800" t="s">
        <v>272</v>
      </c>
      <c r="D1800" t="s">
        <v>258</v>
      </c>
      <c r="E1800" s="35">
        <v>3.9990000000000001</v>
      </c>
      <c r="F1800" s="35">
        <v>4.9980000000000002</v>
      </c>
      <c r="G1800" s="35">
        <v>13000</v>
      </c>
    </row>
    <row r="1801" spans="1:7" x14ac:dyDescent="0.25">
      <c r="A1801">
        <v>20221028</v>
      </c>
      <c r="B1801" t="s">
        <v>770</v>
      </c>
      <c r="C1801" t="s">
        <v>272</v>
      </c>
      <c r="D1801" t="s">
        <v>265</v>
      </c>
      <c r="E1801" s="35">
        <v>3.9990000000000001</v>
      </c>
      <c r="F1801" s="35">
        <v>4.9980000000000002</v>
      </c>
      <c r="G1801" s="35">
        <v>12000</v>
      </c>
    </row>
    <row r="1802" spans="1:7" x14ac:dyDescent="0.25">
      <c r="A1802">
        <v>20221028</v>
      </c>
      <c r="B1802" t="s">
        <v>770</v>
      </c>
      <c r="C1802" t="s">
        <v>272</v>
      </c>
      <c r="D1802" t="s">
        <v>273</v>
      </c>
      <c r="E1802" s="35">
        <v>3.9990000000000001</v>
      </c>
      <c r="F1802" s="35">
        <v>4.9980000000000002</v>
      </c>
      <c r="G1802" s="35">
        <v>8300</v>
      </c>
    </row>
    <row r="1803" spans="1:7" x14ac:dyDescent="0.25">
      <c r="A1803">
        <v>20221028</v>
      </c>
      <c r="B1803" t="s">
        <v>770</v>
      </c>
      <c r="C1803" t="s">
        <v>272</v>
      </c>
      <c r="D1803" t="s">
        <v>279</v>
      </c>
      <c r="E1803" s="35">
        <v>3.9990000000000001</v>
      </c>
      <c r="F1803" s="35">
        <v>4.9980000000000002</v>
      </c>
      <c r="G1803" s="35">
        <v>6600</v>
      </c>
    </row>
    <row r="1804" spans="1:7" x14ac:dyDescent="0.25">
      <c r="A1804">
        <v>20221028</v>
      </c>
      <c r="B1804" t="s">
        <v>770</v>
      </c>
      <c r="C1804" t="s">
        <v>272</v>
      </c>
      <c r="D1804" t="s">
        <v>285</v>
      </c>
      <c r="E1804" s="35">
        <v>3.9990000000000001</v>
      </c>
      <c r="F1804" s="35">
        <v>4.9980000000000002</v>
      </c>
      <c r="G1804" s="35">
        <v>3600</v>
      </c>
    </row>
    <row r="1805" spans="1:7" x14ac:dyDescent="0.25">
      <c r="A1805">
        <v>20221028</v>
      </c>
      <c r="B1805" t="s">
        <v>770</v>
      </c>
      <c r="C1805" t="s">
        <v>272</v>
      </c>
      <c r="D1805" t="s">
        <v>289</v>
      </c>
      <c r="E1805" s="35">
        <v>3.9990000000000001</v>
      </c>
      <c r="F1805" s="35">
        <v>4.9980000000000002</v>
      </c>
      <c r="G1805" s="35">
        <v>1700</v>
      </c>
    </row>
    <row r="1806" spans="1:7" x14ac:dyDescent="0.25">
      <c r="A1806">
        <v>20221028</v>
      </c>
      <c r="B1806" t="s">
        <v>770</v>
      </c>
      <c r="C1806" t="s">
        <v>278</v>
      </c>
      <c r="D1806" t="s">
        <v>187</v>
      </c>
      <c r="E1806" s="35">
        <v>3.9990000000000001</v>
      </c>
      <c r="F1806" s="35">
        <v>4.9980000000000002</v>
      </c>
      <c r="G1806" s="35">
        <v>15500</v>
      </c>
    </row>
    <row r="1807" spans="1:7" x14ac:dyDescent="0.25">
      <c r="A1807">
        <v>20221028</v>
      </c>
      <c r="B1807" t="s">
        <v>770</v>
      </c>
      <c r="C1807" t="s">
        <v>278</v>
      </c>
      <c r="D1807" t="s">
        <v>214</v>
      </c>
      <c r="E1807" s="35">
        <v>3.9990000000000001</v>
      </c>
      <c r="F1807" s="35">
        <v>4.9980000000000002</v>
      </c>
      <c r="G1807" s="35">
        <v>14500</v>
      </c>
    </row>
    <row r="1808" spans="1:7" x14ac:dyDescent="0.25">
      <c r="A1808">
        <v>20221028</v>
      </c>
      <c r="B1808" t="s">
        <v>770</v>
      </c>
      <c r="C1808" t="s">
        <v>278</v>
      </c>
      <c r="D1808" t="s">
        <v>233</v>
      </c>
      <c r="E1808" s="35">
        <v>3.9990000000000001</v>
      </c>
      <c r="F1808" s="35">
        <v>4.9980000000000002</v>
      </c>
      <c r="G1808" s="35">
        <v>13500</v>
      </c>
    </row>
    <row r="1809" spans="1:7" x14ac:dyDescent="0.25">
      <c r="A1809">
        <v>20221028</v>
      </c>
      <c r="B1809" t="s">
        <v>770</v>
      </c>
      <c r="C1809" t="s">
        <v>278</v>
      </c>
      <c r="D1809" t="s">
        <v>242</v>
      </c>
      <c r="E1809" s="35">
        <v>3.9990000000000001</v>
      </c>
      <c r="F1809" s="35">
        <v>4.9980000000000002</v>
      </c>
      <c r="G1809" s="35">
        <v>12500</v>
      </c>
    </row>
    <row r="1810" spans="1:7" x14ac:dyDescent="0.25">
      <c r="A1810">
        <v>20221028</v>
      </c>
      <c r="B1810" t="s">
        <v>770</v>
      </c>
      <c r="C1810" t="s">
        <v>278</v>
      </c>
      <c r="D1810" t="s">
        <v>250</v>
      </c>
      <c r="E1810" s="35">
        <v>3.9990000000000001</v>
      </c>
      <c r="F1810" s="35">
        <v>4.9980000000000002</v>
      </c>
      <c r="G1810" s="35">
        <v>11500</v>
      </c>
    </row>
    <row r="1811" spans="1:7" x14ac:dyDescent="0.25">
      <c r="A1811">
        <v>20221028</v>
      </c>
      <c r="B1811" t="s">
        <v>770</v>
      </c>
      <c r="C1811" t="s">
        <v>278</v>
      </c>
      <c r="D1811" t="s">
        <v>258</v>
      </c>
      <c r="E1811" s="35">
        <v>3.9990000000000001</v>
      </c>
      <c r="F1811" s="35">
        <v>4.9980000000000002</v>
      </c>
      <c r="G1811" s="35">
        <v>10500</v>
      </c>
    </row>
    <row r="1812" spans="1:7" x14ac:dyDescent="0.25">
      <c r="A1812">
        <v>20221028</v>
      </c>
      <c r="B1812" t="s">
        <v>770</v>
      </c>
      <c r="C1812" t="s">
        <v>278</v>
      </c>
      <c r="D1812" t="s">
        <v>265</v>
      </c>
      <c r="E1812" s="35">
        <v>3.9990000000000001</v>
      </c>
      <c r="F1812" s="35">
        <v>4.9980000000000002</v>
      </c>
      <c r="G1812" s="35">
        <v>10000</v>
      </c>
    </row>
    <row r="1813" spans="1:7" x14ac:dyDescent="0.25">
      <c r="A1813">
        <v>20221028</v>
      </c>
      <c r="B1813" t="s">
        <v>770</v>
      </c>
      <c r="C1813" t="s">
        <v>278</v>
      </c>
      <c r="D1813" t="s">
        <v>273</v>
      </c>
      <c r="E1813" s="35">
        <v>3.9990000000000001</v>
      </c>
      <c r="F1813" s="35">
        <v>4.9980000000000002</v>
      </c>
      <c r="G1813" s="35">
        <v>7300</v>
      </c>
    </row>
    <row r="1814" spans="1:7" x14ac:dyDescent="0.25">
      <c r="A1814">
        <v>20221028</v>
      </c>
      <c r="B1814" t="s">
        <v>770</v>
      </c>
      <c r="C1814" t="s">
        <v>278</v>
      </c>
      <c r="D1814" t="s">
        <v>279</v>
      </c>
      <c r="E1814" s="35">
        <v>3.9990000000000001</v>
      </c>
      <c r="F1814" s="35">
        <v>4.9980000000000002</v>
      </c>
      <c r="G1814" s="35">
        <v>5900</v>
      </c>
    </row>
    <row r="1815" spans="1:7" x14ac:dyDescent="0.25">
      <c r="A1815">
        <v>20221028</v>
      </c>
      <c r="B1815" t="s">
        <v>770</v>
      </c>
      <c r="C1815" t="s">
        <v>278</v>
      </c>
      <c r="D1815" t="s">
        <v>285</v>
      </c>
      <c r="E1815" s="35">
        <v>3.9990000000000001</v>
      </c>
      <c r="F1815" s="35">
        <v>4.9980000000000002</v>
      </c>
      <c r="G1815" s="35">
        <v>3400</v>
      </c>
    </row>
    <row r="1816" spans="1:7" x14ac:dyDescent="0.25">
      <c r="A1816">
        <v>20221028</v>
      </c>
      <c r="B1816" t="s">
        <v>770</v>
      </c>
      <c r="C1816" t="s">
        <v>278</v>
      </c>
      <c r="D1816" t="s">
        <v>289</v>
      </c>
      <c r="E1816" s="35">
        <v>3.9990000000000001</v>
      </c>
      <c r="F1816" s="35">
        <v>4.9980000000000002</v>
      </c>
      <c r="G1816" s="35">
        <v>1600</v>
      </c>
    </row>
    <row r="1817" spans="1:7" x14ac:dyDescent="0.25">
      <c r="A1817">
        <v>20221028</v>
      </c>
      <c r="B1817" t="s">
        <v>770</v>
      </c>
      <c r="C1817" t="s">
        <v>284</v>
      </c>
      <c r="D1817" t="s">
        <v>187</v>
      </c>
      <c r="E1817" s="35">
        <v>3.9990000000000001</v>
      </c>
      <c r="F1817" s="35">
        <v>4.9980000000000002</v>
      </c>
      <c r="G1817" s="35">
        <v>12500</v>
      </c>
    </row>
    <row r="1818" spans="1:7" x14ac:dyDescent="0.25">
      <c r="A1818">
        <v>20221028</v>
      </c>
      <c r="B1818" t="s">
        <v>770</v>
      </c>
      <c r="C1818" t="s">
        <v>284</v>
      </c>
      <c r="D1818" t="s">
        <v>214</v>
      </c>
      <c r="E1818" s="35">
        <v>3.9990000000000001</v>
      </c>
      <c r="F1818" s="35">
        <v>4.9980000000000002</v>
      </c>
      <c r="G1818" s="35">
        <v>11500</v>
      </c>
    </row>
    <row r="1819" spans="1:7" x14ac:dyDescent="0.25">
      <c r="A1819">
        <v>20221028</v>
      </c>
      <c r="B1819" t="s">
        <v>770</v>
      </c>
      <c r="C1819" t="s">
        <v>284</v>
      </c>
      <c r="D1819" t="s">
        <v>233</v>
      </c>
      <c r="E1819" s="35">
        <v>3.9990000000000001</v>
      </c>
      <c r="F1819" s="35">
        <v>4.9980000000000002</v>
      </c>
      <c r="G1819" s="35">
        <v>10500</v>
      </c>
    </row>
    <row r="1820" spans="1:7" x14ac:dyDescent="0.25">
      <c r="A1820">
        <v>20221028</v>
      </c>
      <c r="B1820" t="s">
        <v>770</v>
      </c>
      <c r="C1820" t="s">
        <v>284</v>
      </c>
      <c r="D1820" t="s">
        <v>242</v>
      </c>
      <c r="E1820" s="35">
        <v>3.9990000000000001</v>
      </c>
      <c r="F1820" s="35">
        <v>4.9980000000000002</v>
      </c>
      <c r="G1820" s="35">
        <v>10000</v>
      </c>
    </row>
    <row r="1821" spans="1:7" x14ac:dyDescent="0.25">
      <c r="A1821">
        <v>20221028</v>
      </c>
      <c r="B1821" t="s">
        <v>770</v>
      </c>
      <c r="C1821" t="s">
        <v>284</v>
      </c>
      <c r="D1821" t="s">
        <v>250</v>
      </c>
      <c r="E1821" s="35">
        <v>3.9990000000000001</v>
      </c>
      <c r="F1821" s="35">
        <v>4.9980000000000002</v>
      </c>
      <c r="G1821" s="35">
        <v>9500</v>
      </c>
    </row>
    <row r="1822" spans="1:7" x14ac:dyDescent="0.25">
      <c r="A1822">
        <v>20221028</v>
      </c>
      <c r="B1822" t="s">
        <v>770</v>
      </c>
      <c r="C1822" t="s">
        <v>284</v>
      </c>
      <c r="D1822" t="s">
        <v>258</v>
      </c>
      <c r="E1822" s="35">
        <v>3.9990000000000001</v>
      </c>
      <c r="F1822" s="35">
        <v>4.9980000000000002</v>
      </c>
      <c r="G1822" s="35">
        <v>9000</v>
      </c>
    </row>
    <row r="1823" spans="1:7" x14ac:dyDescent="0.25">
      <c r="A1823">
        <v>20221028</v>
      </c>
      <c r="B1823" t="s">
        <v>770</v>
      </c>
      <c r="C1823" t="s">
        <v>284</v>
      </c>
      <c r="D1823" t="s">
        <v>265</v>
      </c>
      <c r="E1823" s="35">
        <v>3.9990000000000001</v>
      </c>
      <c r="F1823" s="35">
        <v>4.9980000000000002</v>
      </c>
      <c r="G1823" s="35">
        <v>8000</v>
      </c>
    </row>
    <row r="1824" spans="1:7" x14ac:dyDescent="0.25">
      <c r="A1824">
        <v>20221028</v>
      </c>
      <c r="B1824" t="s">
        <v>770</v>
      </c>
      <c r="C1824" t="s">
        <v>284</v>
      </c>
      <c r="D1824" t="s">
        <v>273</v>
      </c>
      <c r="E1824" s="35">
        <v>3.9990000000000001</v>
      </c>
      <c r="F1824" s="35">
        <v>4.9980000000000002</v>
      </c>
      <c r="G1824" s="35">
        <v>6500</v>
      </c>
    </row>
    <row r="1825" spans="1:7" x14ac:dyDescent="0.25">
      <c r="A1825">
        <v>20221028</v>
      </c>
      <c r="B1825" t="s">
        <v>770</v>
      </c>
      <c r="C1825" t="s">
        <v>284</v>
      </c>
      <c r="D1825" t="s">
        <v>279</v>
      </c>
      <c r="E1825" s="35">
        <v>3.9990000000000001</v>
      </c>
      <c r="F1825" s="35">
        <v>4.9980000000000002</v>
      </c>
      <c r="G1825" s="35">
        <v>5000</v>
      </c>
    </row>
    <row r="1826" spans="1:7" x14ac:dyDescent="0.25">
      <c r="A1826">
        <v>20221028</v>
      </c>
      <c r="B1826" t="s">
        <v>770</v>
      </c>
      <c r="C1826" t="s">
        <v>284</v>
      </c>
      <c r="D1826" t="s">
        <v>285</v>
      </c>
      <c r="E1826" s="35">
        <v>3.9990000000000001</v>
      </c>
      <c r="F1826" s="35">
        <v>4.9980000000000002</v>
      </c>
      <c r="G1826" s="35">
        <v>3200</v>
      </c>
    </row>
    <row r="1827" spans="1:7" x14ac:dyDescent="0.25">
      <c r="A1827">
        <v>20221028</v>
      </c>
      <c r="B1827" t="s">
        <v>770</v>
      </c>
      <c r="C1827" t="s">
        <v>284</v>
      </c>
      <c r="D1827" t="s">
        <v>289</v>
      </c>
      <c r="E1827" s="35">
        <v>3.9990000000000001</v>
      </c>
      <c r="F1827" s="35">
        <v>4.9980000000000002</v>
      </c>
      <c r="G1827" s="35">
        <v>1600</v>
      </c>
    </row>
    <row r="1828" spans="1:7" x14ac:dyDescent="0.25">
      <c r="A1828">
        <v>20221028</v>
      </c>
      <c r="B1828" t="s">
        <v>770</v>
      </c>
      <c r="C1828" t="s">
        <v>186</v>
      </c>
      <c r="D1828" t="s">
        <v>187</v>
      </c>
      <c r="E1828" s="35">
        <v>4.9989999999999997</v>
      </c>
      <c r="F1828" s="35">
        <v>19.998000000000001</v>
      </c>
      <c r="G1828" s="35">
        <v>120000</v>
      </c>
    </row>
    <row r="1829" spans="1:7" x14ac:dyDescent="0.25">
      <c r="A1829">
        <v>20221028</v>
      </c>
      <c r="B1829" t="s">
        <v>770</v>
      </c>
      <c r="C1829" t="s">
        <v>186</v>
      </c>
      <c r="D1829" t="s">
        <v>214</v>
      </c>
      <c r="E1829" s="35">
        <v>4.9989999999999997</v>
      </c>
      <c r="F1829" s="35">
        <v>19.998000000000001</v>
      </c>
      <c r="G1829" s="35">
        <v>97000</v>
      </c>
    </row>
    <row r="1830" spans="1:7" x14ac:dyDescent="0.25">
      <c r="A1830">
        <v>20221028</v>
      </c>
      <c r="B1830" t="s">
        <v>770</v>
      </c>
      <c r="C1830" t="s">
        <v>186</v>
      </c>
      <c r="D1830" t="s">
        <v>233</v>
      </c>
      <c r="E1830" s="35">
        <v>4.9989999999999997</v>
      </c>
      <c r="F1830" s="35">
        <v>19.998000000000001</v>
      </c>
      <c r="G1830" s="35">
        <v>85000</v>
      </c>
    </row>
    <row r="1831" spans="1:7" x14ac:dyDescent="0.25">
      <c r="A1831">
        <v>20221028</v>
      </c>
      <c r="B1831" t="s">
        <v>770</v>
      </c>
      <c r="C1831" t="s">
        <v>186</v>
      </c>
      <c r="D1831" t="s">
        <v>242</v>
      </c>
      <c r="E1831" s="35">
        <v>4.9989999999999997</v>
      </c>
      <c r="F1831" s="35">
        <v>19.998000000000001</v>
      </c>
      <c r="G1831" s="35">
        <v>76500</v>
      </c>
    </row>
    <row r="1832" spans="1:7" x14ac:dyDescent="0.25">
      <c r="A1832">
        <v>20221028</v>
      </c>
      <c r="B1832" t="s">
        <v>770</v>
      </c>
      <c r="C1832" t="s">
        <v>186</v>
      </c>
      <c r="D1832" t="s">
        <v>250</v>
      </c>
      <c r="E1832" s="35">
        <v>4.9989999999999997</v>
      </c>
      <c r="F1832" s="35">
        <v>19.998000000000001</v>
      </c>
      <c r="G1832" s="35">
        <v>63000</v>
      </c>
    </row>
    <row r="1833" spans="1:7" x14ac:dyDescent="0.25">
      <c r="A1833">
        <v>20221028</v>
      </c>
      <c r="B1833" t="s">
        <v>770</v>
      </c>
      <c r="C1833" t="s">
        <v>186</v>
      </c>
      <c r="D1833" t="s">
        <v>258</v>
      </c>
      <c r="E1833" s="35">
        <v>4.9989999999999997</v>
      </c>
      <c r="F1833" s="35">
        <v>19.998000000000001</v>
      </c>
      <c r="G1833" s="35">
        <v>45000</v>
      </c>
    </row>
    <row r="1834" spans="1:7" x14ac:dyDescent="0.25">
      <c r="A1834">
        <v>20221028</v>
      </c>
      <c r="B1834" t="s">
        <v>770</v>
      </c>
      <c r="C1834" t="s">
        <v>186</v>
      </c>
      <c r="D1834" t="s">
        <v>265</v>
      </c>
      <c r="E1834" s="35">
        <v>4.9989999999999997</v>
      </c>
      <c r="F1834" s="35">
        <v>19.998000000000001</v>
      </c>
      <c r="G1834" s="35">
        <v>33500</v>
      </c>
    </row>
    <row r="1835" spans="1:7" x14ac:dyDescent="0.25">
      <c r="A1835">
        <v>20221028</v>
      </c>
      <c r="B1835" t="s">
        <v>770</v>
      </c>
      <c r="C1835" t="s">
        <v>186</v>
      </c>
      <c r="D1835" t="s">
        <v>273</v>
      </c>
      <c r="E1835" s="35">
        <v>4.9989999999999997</v>
      </c>
      <c r="F1835" s="35">
        <v>19.998000000000001</v>
      </c>
      <c r="G1835" s="35">
        <v>17500</v>
      </c>
    </row>
    <row r="1836" spans="1:7" x14ac:dyDescent="0.25">
      <c r="A1836">
        <v>20221028</v>
      </c>
      <c r="B1836" t="s">
        <v>770</v>
      </c>
      <c r="C1836" t="s">
        <v>186</v>
      </c>
      <c r="D1836" t="s">
        <v>279</v>
      </c>
      <c r="E1836" s="35">
        <v>4.9989999999999997</v>
      </c>
      <c r="F1836" s="35">
        <v>19.998000000000001</v>
      </c>
      <c r="G1836" s="35">
        <v>12500</v>
      </c>
    </row>
    <row r="1837" spans="1:7" x14ac:dyDescent="0.25">
      <c r="A1837">
        <v>20221028</v>
      </c>
      <c r="B1837" t="s">
        <v>770</v>
      </c>
      <c r="C1837" t="s">
        <v>186</v>
      </c>
      <c r="D1837" t="s">
        <v>285</v>
      </c>
      <c r="E1837" s="35">
        <v>4.9989999999999997</v>
      </c>
      <c r="F1837" s="35">
        <v>19.998000000000001</v>
      </c>
      <c r="G1837" s="35">
        <v>6000</v>
      </c>
    </row>
    <row r="1838" spans="1:7" x14ac:dyDescent="0.25">
      <c r="A1838">
        <v>20221028</v>
      </c>
      <c r="B1838" t="s">
        <v>770</v>
      </c>
      <c r="C1838" t="s">
        <v>186</v>
      </c>
      <c r="D1838" t="s">
        <v>289</v>
      </c>
      <c r="E1838" s="35">
        <v>4.9989999999999997</v>
      </c>
      <c r="F1838" s="35">
        <v>19.998000000000001</v>
      </c>
      <c r="G1838" s="35">
        <v>2500</v>
      </c>
    </row>
    <row r="1839" spans="1:7" x14ac:dyDescent="0.25">
      <c r="A1839">
        <v>20221028</v>
      </c>
      <c r="B1839" t="s">
        <v>770</v>
      </c>
      <c r="C1839" t="s">
        <v>213</v>
      </c>
      <c r="D1839" t="s">
        <v>187</v>
      </c>
      <c r="E1839" s="35">
        <v>4.9989999999999997</v>
      </c>
      <c r="F1839" s="35">
        <v>19.998000000000001</v>
      </c>
      <c r="G1839" s="35">
        <v>90500</v>
      </c>
    </row>
    <row r="1840" spans="1:7" x14ac:dyDescent="0.25">
      <c r="A1840">
        <v>20221028</v>
      </c>
      <c r="B1840" t="s">
        <v>770</v>
      </c>
      <c r="C1840" t="s">
        <v>213</v>
      </c>
      <c r="D1840" t="s">
        <v>214</v>
      </c>
      <c r="E1840" s="35">
        <v>4.9989999999999997</v>
      </c>
      <c r="F1840" s="35">
        <v>19.998000000000001</v>
      </c>
      <c r="G1840" s="35">
        <v>82500</v>
      </c>
    </row>
    <row r="1841" spans="1:7" x14ac:dyDescent="0.25">
      <c r="A1841">
        <v>20221028</v>
      </c>
      <c r="B1841" t="s">
        <v>770</v>
      </c>
      <c r="C1841" t="s">
        <v>213</v>
      </c>
      <c r="D1841" t="s">
        <v>233</v>
      </c>
      <c r="E1841" s="35">
        <v>4.9989999999999997</v>
      </c>
      <c r="F1841" s="35">
        <v>19.998000000000001</v>
      </c>
      <c r="G1841" s="35">
        <v>74500</v>
      </c>
    </row>
    <row r="1842" spans="1:7" x14ac:dyDescent="0.25">
      <c r="A1842">
        <v>20221028</v>
      </c>
      <c r="B1842" t="s">
        <v>770</v>
      </c>
      <c r="C1842" t="s">
        <v>213</v>
      </c>
      <c r="D1842" t="s">
        <v>242</v>
      </c>
      <c r="E1842" s="35">
        <v>4.9989999999999997</v>
      </c>
      <c r="F1842" s="35">
        <v>19.998000000000001</v>
      </c>
      <c r="G1842" s="35">
        <v>67000</v>
      </c>
    </row>
    <row r="1843" spans="1:7" x14ac:dyDescent="0.25">
      <c r="A1843">
        <v>20221028</v>
      </c>
      <c r="B1843" t="s">
        <v>770</v>
      </c>
      <c r="C1843" t="s">
        <v>213</v>
      </c>
      <c r="D1843" t="s">
        <v>250</v>
      </c>
      <c r="E1843" s="35">
        <v>4.9989999999999997</v>
      </c>
      <c r="F1843" s="35">
        <v>19.998000000000001</v>
      </c>
      <c r="G1843" s="35">
        <v>57000</v>
      </c>
    </row>
    <row r="1844" spans="1:7" x14ac:dyDescent="0.25">
      <c r="A1844">
        <v>20221028</v>
      </c>
      <c r="B1844" t="s">
        <v>770</v>
      </c>
      <c r="C1844" t="s">
        <v>213</v>
      </c>
      <c r="D1844" t="s">
        <v>258</v>
      </c>
      <c r="E1844" s="35">
        <v>4.9989999999999997</v>
      </c>
      <c r="F1844" s="35">
        <v>19.998000000000001</v>
      </c>
      <c r="G1844" s="35">
        <v>41500</v>
      </c>
    </row>
    <row r="1845" spans="1:7" x14ac:dyDescent="0.25">
      <c r="A1845">
        <v>20221028</v>
      </c>
      <c r="B1845" t="s">
        <v>770</v>
      </c>
      <c r="C1845" t="s">
        <v>213</v>
      </c>
      <c r="D1845" t="s">
        <v>265</v>
      </c>
      <c r="E1845" s="35">
        <v>4.9989999999999997</v>
      </c>
      <c r="F1845" s="35">
        <v>19.998000000000001</v>
      </c>
      <c r="G1845" s="35">
        <v>31500</v>
      </c>
    </row>
    <row r="1846" spans="1:7" x14ac:dyDescent="0.25">
      <c r="A1846">
        <v>20221028</v>
      </c>
      <c r="B1846" t="s">
        <v>770</v>
      </c>
      <c r="C1846" t="s">
        <v>213</v>
      </c>
      <c r="D1846" t="s">
        <v>273</v>
      </c>
      <c r="E1846" s="35">
        <v>4.9989999999999997</v>
      </c>
      <c r="F1846" s="35">
        <v>19.998000000000001</v>
      </c>
      <c r="G1846" s="35">
        <v>17000</v>
      </c>
    </row>
    <row r="1847" spans="1:7" x14ac:dyDescent="0.25">
      <c r="A1847">
        <v>20221028</v>
      </c>
      <c r="B1847" t="s">
        <v>770</v>
      </c>
      <c r="C1847" t="s">
        <v>213</v>
      </c>
      <c r="D1847" t="s">
        <v>279</v>
      </c>
      <c r="E1847" s="35">
        <v>4.9989999999999997</v>
      </c>
      <c r="F1847" s="35">
        <v>19.998000000000001</v>
      </c>
      <c r="G1847" s="35">
        <v>12000</v>
      </c>
    </row>
    <row r="1848" spans="1:7" x14ac:dyDescent="0.25">
      <c r="A1848">
        <v>20221028</v>
      </c>
      <c r="B1848" t="s">
        <v>770</v>
      </c>
      <c r="C1848" t="s">
        <v>213</v>
      </c>
      <c r="D1848" t="s">
        <v>285</v>
      </c>
      <c r="E1848" s="35">
        <v>4.9989999999999997</v>
      </c>
      <c r="F1848" s="35">
        <v>19.998000000000001</v>
      </c>
      <c r="G1848" s="35">
        <v>5700</v>
      </c>
    </row>
    <row r="1849" spans="1:7" x14ac:dyDescent="0.25">
      <c r="A1849">
        <v>20221028</v>
      </c>
      <c r="B1849" t="s">
        <v>770</v>
      </c>
      <c r="C1849" t="s">
        <v>213</v>
      </c>
      <c r="D1849" t="s">
        <v>289</v>
      </c>
      <c r="E1849" s="35">
        <v>4.9989999999999997</v>
      </c>
      <c r="F1849" s="35">
        <v>19.998000000000001</v>
      </c>
      <c r="G1849" s="35">
        <v>2300</v>
      </c>
    </row>
    <row r="1850" spans="1:7" x14ac:dyDescent="0.25">
      <c r="A1850">
        <v>20221028</v>
      </c>
      <c r="B1850" t="s">
        <v>770</v>
      </c>
      <c r="C1850" t="s">
        <v>232</v>
      </c>
      <c r="D1850" t="s">
        <v>187</v>
      </c>
      <c r="E1850" s="35">
        <v>4.9989999999999997</v>
      </c>
      <c r="F1850" s="35">
        <v>19.998000000000001</v>
      </c>
      <c r="G1850" s="35">
        <v>77500</v>
      </c>
    </row>
    <row r="1851" spans="1:7" x14ac:dyDescent="0.25">
      <c r="A1851">
        <v>20221028</v>
      </c>
      <c r="B1851" t="s">
        <v>770</v>
      </c>
      <c r="C1851" t="s">
        <v>232</v>
      </c>
      <c r="D1851" t="s">
        <v>214</v>
      </c>
      <c r="E1851" s="35">
        <v>4.9989999999999997</v>
      </c>
      <c r="F1851" s="35">
        <v>19.998000000000001</v>
      </c>
      <c r="G1851" s="35">
        <v>71500</v>
      </c>
    </row>
    <row r="1852" spans="1:7" x14ac:dyDescent="0.25">
      <c r="A1852">
        <v>20221028</v>
      </c>
      <c r="B1852" t="s">
        <v>770</v>
      </c>
      <c r="C1852" t="s">
        <v>232</v>
      </c>
      <c r="D1852" t="s">
        <v>233</v>
      </c>
      <c r="E1852" s="35">
        <v>4.9989999999999997</v>
      </c>
      <c r="F1852" s="35">
        <v>19.998000000000001</v>
      </c>
      <c r="G1852" s="35">
        <v>64500</v>
      </c>
    </row>
    <row r="1853" spans="1:7" x14ac:dyDescent="0.25">
      <c r="A1853">
        <v>20221028</v>
      </c>
      <c r="B1853" t="s">
        <v>770</v>
      </c>
      <c r="C1853" t="s">
        <v>232</v>
      </c>
      <c r="D1853" t="s">
        <v>242</v>
      </c>
      <c r="E1853" s="35">
        <v>4.9989999999999997</v>
      </c>
      <c r="F1853" s="35">
        <v>19.998000000000001</v>
      </c>
      <c r="G1853" s="35">
        <v>58500</v>
      </c>
    </row>
    <row r="1854" spans="1:7" x14ac:dyDescent="0.25">
      <c r="A1854">
        <v>20221028</v>
      </c>
      <c r="B1854" t="s">
        <v>770</v>
      </c>
      <c r="C1854" t="s">
        <v>232</v>
      </c>
      <c r="D1854" t="s">
        <v>250</v>
      </c>
      <c r="E1854" s="35">
        <v>4.9989999999999997</v>
      </c>
      <c r="F1854" s="35">
        <v>19.998000000000001</v>
      </c>
      <c r="G1854" s="35">
        <v>50500</v>
      </c>
    </row>
    <row r="1855" spans="1:7" x14ac:dyDescent="0.25">
      <c r="A1855">
        <v>20221028</v>
      </c>
      <c r="B1855" t="s">
        <v>770</v>
      </c>
      <c r="C1855" t="s">
        <v>232</v>
      </c>
      <c r="D1855" t="s">
        <v>258</v>
      </c>
      <c r="E1855" s="35">
        <v>4.9989999999999997</v>
      </c>
      <c r="F1855" s="35">
        <v>19.998000000000001</v>
      </c>
      <c r="G1855" s="35">
        <v>38000</v>
      </c>
    </row>
    <row r="1856" spans="1:7" x14ac:dyDescent="0.25">
      <c r="A1856">
        <v>20221028</v>
      </c>
      <c r="B1856" t="s">
        <v>770</v>
      </c>
      <c r="C1856" t="s">
        <v>232</v>
      </c>
      <c r="D1856" t="s">
        <v>265</v>
      </c>
      <c r="E1856" s="35">
        <v>4.9989999999999997</v>
      </c>
      <c r="F1856" s="35">
        <v>19.998000000000001</v>
      </c>
      <c r="G1856" s="35">
        <v>30000</v>
      </c>
    </row>
    <row r="1857" spans="1:7" x14ac:dyDescent="0.25">
      <c r="A1857">
        <v>20221028</v>
      </c>
      <c r="B1857" t="s">
        <v>770</v>
      </c>
      <c r="C1857" t="s">
        <v>232</v>
      </c>
      <c r="D1857" t="s">
        <v>273</v>
      </c>
      <c r="E1857" s="35">
        <v>4.9989999999999997</v>
      </c>
      <c r="F1857" s="35">
        <v>19.998000000000001</v>
      </c>
      <c r="G1857" s="35">
        <v>16000</v>
      </c>
    </row>
    <row r="1858" spans="1:7" x14ac:dyDescent="0.25">
      <c r="A1858">
        <v>20221028</v>
      </c>
      <c r="B1858" t="s">
        <v>770</v>
      </c>
      <c r="C1858" t="s">
        <v>232</v>
      </c>
      <c r="D1858" t="s">
        <v>279</v>
      </c>
      <c r="E1858" s="35">
        <v>4.9989999999999997</v>
      </c>
      <c r="F1858" s="35">
        <v>19.998000000000001</v>
      </c>
      <c r="G1858" s="35">
        <v>11500</v>
      </c>
    </row>
    <row r="1859" spans="1:7" x14ac:dyDescent="0.25">
      <c r="A1859">
        <v>20221028</v>
      </c>
      <c r="B1859" t="s">
        <v>770</v>
      </c>
      <c r="C1859" t="s">
        <v>232</v>
      </c>
      <c r="D1859" t="s">
        <v>285</v>
      </c>
      <c r="E1859" s="35">
        <v>4.9989999999999997</v>
      </c>
      <c r="F1859" s="35">
        <v>19.998000000000001</v>
      </c>
      <c r="G1859" s="35">
        <v>5400</v>
      </c>
    </row>
    <row r="1860" spans="1:7" x14ac:dyDescent="0.25">
      <c r="A1860">
        <v>20221028</v>
      </c>
      <c r="B1860" t="s">
        <v>770</v>
      </c>
      <c r="C1860" t="s">
        <v>232</v>
      </c>
      <c r="D1860" t="s">
        <v>289</v>
      </c>
      <c r="E1860" s="35">
        <v>4.9989999999999997</v>
      </c>
      <c r="F1860" s="35">
        <v>19.998000000000001</v>
      </c>
      <c r="G1860" s="35">
        <v>2200</v>
      </c>
    </row>
    <row r="1861" spans="1:7" x14ac:dyDescent="0.25">
      <c r="A1861">
        <v>20221028</v>
      </c>
      <c r="B1861" t="s">
        <v>770</v>
      </c>
      <c r="C1861" t="s">
        <v>215</v>
      </c>
      <c r="D1861" t="s">
        <v>187</v>
      </c>
      <c r="E1861" s="35">
        <v>4.9989999999999997</v>
      </c>
      <c r="F1861" s="35">
        <v>19.998000000000001</v>
      </c>
      <c r="G1861" s="35">
        <v>64500</v>
      </c>
    </row>
    <row r="1862" spans="1:7" x14ac:dyDescent="0.25">
      <c r="A1862">
        <v>20221028</v>
      </c>
      <c r="B1862" t="s">
        <v>770</v>
      </c>
      <c r="C1862" t="s">
        <v>215</v>
      </c>
      <c r="D1862" t="s">
        <v>214</v>
      </c>
      <c r="E1862" s="35">
        <v>4.9989999999999997</v>
      </c>
      <c r="F1862" s="35">
        <v>19.998000000000001</v>
      </c>
      <c r="G1862" s="35">
        <v>59500</v>
      </c>
    </row>
    <row r="1863" spans="1:7" x14ac:dyDescent="0.25">
      <c r="A1863">
        <v>20221028</v>
      </c>
      <c r="B1863" t="s">
        <v>770</v>
      </c>
      <c r="C1863" t="s">
        <v>215</v>
      </c>
      <c r="D1863" t="s">
        <v>233</v>
      </c>
      <c r="E1863" s="35">
        <v>4.9989999999999997</v>
      </c>
      <c r="F1863" s="35">
        <v>19.998000000000001</v>
      </c>
      <c r="G1863" s="35">
        <v>55000</v>
      </c>
    </row>
    <row r="1864" spans="1:7" x14ac:dyDescent="0.25">
      <c r="A1864">
        <v>20221028</v>
      </c>
      <c r="B1864" t="s">
        <v>770</v>
      </c>
      <c r="C1864" t="s">
        <v>215</v>
      </c>
      <c r="D1864" t="s">
        <v>242</v>
      </c>
      <c r="E1864" s="35">
        <v>4.9989999999999997</v>
      </c>
      <c r="F1864" s="35">
        <v>19.998000000000001</v>
      </c>
      <c r="G1864" s="35">
        <v>50500</v>
      </c>
    </row>
    <row r="1865" spans="1:7" x14ac:dyDescent="0.25">
      <c r="A1865">
        <v>20221028</v>
      </c>
      <c r="B1865" t="s">
        <v>770</v>
      </c>
      <c r="C1865" t="s">
        <v>215</v>
      </c>
      <c r="D1865" t="s">
        <v>250</v>
      </c>
      <c r="E1865" s="35">
        <v>4.9989999999999997</v>
      </c>
      <c r="F1865" s="35">
        <v>19.998000000000001</v>
      </c>
      <c r="G1865" s="35">
        <v>43500</v>
      </c>
    </row>
    <row r="1866" spans="1:7" x14ac:dyDescent="0.25">
      <c r="A1866">
        <v>20221028</v>
      </c>
      <c r="B1866" t="s">
        <v>770</v>
      </c>
      <c r="C1866" t="s">
        <v>215</v>
      </c>
      <c r="D1866" t="s">
        <v>258</v>
      </c>
      <c r="E1866" s="35">
        <v>4.9989999999999997</v>
      </c>
      <c r="F1866" s="35">
        <v>19.998000000000001</v>
      </c>
      <c r="G1866" s="35">
        <v>34000</v>
      </c>
    </row>
    <row r="1867" spans="1:7" x14ac:dyDescent="0.25">
      <c r="A1867">
        <v>20221028</v>
      </c>
      <c r="B1867" t="s">
        <v>770</v>
      </c>
      <c r="C1867" t="s">
        <v>215</v>
      </c>
      <c r="D1867" t="s">
        <v>265</v>
      </c>
      <c r="E1867" s="35">
        <v>4.9989999999999997</v>
      </c>
      <c r="F1867" s="35">
        <v>19.998000000000001</v>
      </c>
      <c r="G1867" s="35">
        <v>28000</v>
      </c>
    </row>
    <row r="1868" spans="1:7" x14ac:dyDescent="0.25">
      <c r="A1868">
        <v>20221028</v>
      </c>
      <c r="B1868" t="s">
        <v>770</v>
      </c>
      <c r="C1868" t="s">
        <v>215</v>
      </c>
      <c r="D1868" t="s">
        <v>273</v>
      </c>
      <c r="E1868" s="35">
        <v>4.9989999999999997</v>
      </c>
      <c r="F1868" s="35">
        <v>19.998000000000001</v>
      </c>
      <c r="G1868" s="35">
        <v>15000</v>
      </c>
    </row>
    <row r="1869" spans="1:7" x14ac:dyDescent="0.25">
      <c r="A1869">
        <v>20221028</v>
      </c>
      <c r="B1869" t="s">
        <v>770</v>
      </c>
      <c r="C1869" t="s">
        <v>215</v>
      </c>
      <c r="D1869" t="s">
        <v>279</v>
      </c>
      <c r="E1869" s="35">
        <v>4.9989999999999997</v>
      </c>
      <c r="F1869" s="35">
        <v>19.998000000000001</v>
      </c>
      <c r="G1869" s="35">
        <v>11000</v>
      </c>
    </row>
    <row r="1870" spans="1:7" x14ac:dyDescent="0.25">
      <c r="A1870">
        <v>20221028</v>
      </c>
      <c r="B1870" t="s">
        <v>770</v>
      </c>
      <c r="C1870" t="s">
        <v>215</v>
      </c>
      <c r="D1870" t="s">
        <v>285</v>
      </c>
      <c r="E1870" s="35">
        <v>4.9989999999999997</v>
      </c>
      <c r="F1870" s="35">
        <v>19.998000000000001</v>
      </c>
      <c r="G1870" s="35">
        <v>5100</v>
      </c>
    </row>
    <row r="1871" spans="1:7" x14ac:dyDescent="0.25">
      <c r="A1871">
        <v>20221028</v>
      </c>
      <c r="B1871" t="s">
        <v>770</v>
      </c>
      <c r="C1871" t="s">
        <v>215</v>
      </c>
      <c r="D1871" t="s">
        <v>289</v>
      </c>
      <c r="E1871" s="35">
        <v>4.9989999999999997</v>
      </c>
      <c r="F1871" s="35">
        <v>19.998000000000001</v>
      </c>
      <c r="G1871" s="35">
        <v>2100</v>
      </c>
    </row>
    <row r="1872" spans="1:7" x14ac:dyDescent="0.25">
      <c r="A1872">
        <v>20221028</v>
      </c>
      <c r="B1872" t="s">
        <v>770</v>
      </c>
      <c r="C1872" t="s">
        <v>249</v>
      </c>
      <c r="D1872" t="s">
        <v>187</v>
      </c>
      <c r="E1872" s="35">
        <v>4.9989999999999997</v>
      </c>
      <c r="F1872" s="35">
        <v>19.998000000000001</v>
      </c>
      <c r="G1872" s="35">
        <v>50500</v>
      </c>
    </row>
    <row r="1873" spans="1:7" x14ac:dyDescent="0.25">
      <c r="A1873">
        <v>20221028</v>
      </c>
      <c r="B1873" t="s">
        <v>770</v>
      </c>
      <c r="C1873" t="s">
        <v>249</v>
      </c>
      <c r="D1873" t="s">
        <v>214</v>
      </c>
      <c r="E1873" s="35">
        <v>4.9989999999999997</v>
      </c>
      <c r="F1873" s="35">
        <v>19.998000000000001</v>
      </c>
      <c r="G1873" s="35">
        <v>47500</v>
      </c>
    </row>
    <row r="1874" spans="1:7" x14ac:dyDescent="0.25">
      <c r="A1874">
        <v>20221028</v>
      </c>
      <c r="B1874" t="s">
        <v>770</v>
      </c>
      <c r="C1874" t="s">
        <v>249</v>
      </c>
      <c r="D1874" t="s">
        <v>233</v>
      </c>
      <c r="E1874" s="35">
        <v>4.9989999999999997</v>
      </c>
      <c r="F1874" s="35">
        <v>19.998000000000001</v>
      </c>
      <c r="G1874" s="35">
        <v>43500</v>
      </c>
    </row>
    <row r="1875" spans="1:7" x14ac:dyDescent="0.25">
      <c r="A1875">
        <v>20221028</v>
      </c>
      <c r="B1875" t="s">
        <v>770</v>
      </c>
      <c r="C1875" t="s">
        <v>249</v>
      </c>
      <c r="D1875" t="s">
        <v>242</v>
      </c>
      <c r="E1875" s="35">
        <v>4.9989999999999997</v>
      </c>
      <c r="F1875" s="35">
        <v>19.998000000000001</v>
      </c>
      <c r="G1875" s="35">
        <v>39500</v>
      </c>
    </row>
    <row r="1876" spans="1:7" x14ac:dyDescent="0.25">
      <c r="A1876">
        <v>20221028</v>
      </c>
      <c r="B1876" t="s">
        <v>770</v>
      </c>
      <c r="C1876" t="s">
        <v>249</v>
      </c>
      <c r="D1876" t="s">
        <v>250</v>
      </c>
      <c r="E1876" s="35">
        <v>4.9989999999999997</v>
      </c>
      <c r="F1876" s="35">
        <v>19.998000000000001</v>
      </c>
      <c r="G1876" s="35">
        <v>35000</v>
      </c>
    </row>
    <row r="1877" spans="1:7" x14ac:dyDescent="0.25">
      <c r="A1877">
        <v>20221028</v>
      </c>
      <c r="B1877" t="s">
        <v>770</v>
      </c>
      <c r="C1877" t="s">
        <v>249</v>
      </c>
      <c r="D1877" t="s">
        <v>258</v>
      </c>
      <c r="E1877" s="35">
        <v>4.9989999999999997</v>
      </c>
      <c r="F1877" s="35">
        <v>19.998000000000001</v>
      </c>
      <c r="G1877" s="35">
        <v>28500</v>
      </c>
    </row>
    <row r="1878" spans="1:7" x14ac:dyDescent="0.25">
      <c r="A1878">
        <v>20221028</v>
      </c>
      <c r="B1878" t="s">
        <v>770</v>
      </c>
      <c r="C1878" t="s">
        <v>249</v>
      </c>
      <c r="D1878" t="s">
        <v>265</v>
      </c>
      <c r="E1878" s="35">
        <v>4.9989999999999997</v>
      </c>
      <c r="F1878" s="35">
        <v>19.998000000000001</v>
      </c>
      <c r="G1878" s="35">
        <v>24000</v>
      </c>
    </row>
    <row r="1879" spans="1:7" x14ac:dyDescent="0.25">
      <c r="A1879">
        <v>20221028</v>
      </c>
      <c r="B1879" t="s">
        <v>770</v>
      </c>
      <c r="C1879" t="s">
        <v>249</v>
      </c>
      <c r="D1879" t="s">
        <v>273</v>
      </c>
      <c r="E1879" s="35">
        <v>4.9989999999999997</v>
      </c>
      <c r="F1879" s="35">
        <v>19.998000000000001</v>
      </c>
      <c r="G1879" s="35">
        <v>14000</v>
      </c>
    </row>
    <row r="1880" spans="1:7" x14ac:dyDescent="0.25">
      <c r="A1880">
        <v>20221028</v>
      </c>
      <c r="B1880" t="s">
        <v>770</v>
      </c>
      <c r="C1880" t="s">
        <v>249</v>
      </c>
      <c r="D1880" t="s">
        <v>279</v>
      </c>
      <c r="E1880" s="35">
        <v>4.9989999999999997</v>
      </c>
      <c r="F1880" s="35">
        <v>19.998000000000001</v>
      </c>
      <c r="G1880" s="35">
        <v>10000</v>
      </c>
    </row>
    <row r="1881" spans="1:7" x14ac:dyDescent="0.25">
      <c r="A1881">
        <v>20221028</v>
      </c>
      <c r="B1881" t="s">
        <v>770</v>
      </c>
      <c r="C1881" t="s">
        <v>249</v>
      </c>
      <c r="D1881" t="s">
        <v>285</v>
      </c>
      <c r="E1881" s="35">
        <v>4.9989999999999997</v>
      </c>
      <c r="F1881" s="35">
        <v>19.998000000000001</v>
      </c>
      <c r="G1881" s="35">
        <v>4800</v>
      </c>
    </row>
    <row r="1882" spans="1:7" x14ac:dyDescent="0.25">
      <c r="A1882">
        <v>20221028</v>
      </c>
      <c r="B1882" t="s">
        <v>770</v>
      </c>
      <c r="C1882" t="s">
        <v>249</v>
      </c>
      <c r="D1882" t="s">
        <v>289</v>
      </c>
      <c r="E1882" s="35">
        <v>4.9989999999999997</v>
      </c>
      <c r="F1882" s="35">
        <v>19.998000000000001</v>
      </c>
      <c r="G1882" s="35">
        <v>2100</v>
      </c>
    </row>
    <row r="1883" spans="1:7" x14ac:dyDescent="0.25">
      <c r="A1883">
        <v>20221028</v>
      </c>
      <c r="B1883" t="s">
        <v>770</v>
      </c>
      <c r="C1883" t="s">
        <v>257</v>
      </c>
      <c r="D1883" t="s">
        <v>187</v>
      </c>
      <c r="E1883" s="35">
        <v>4.9989999999999997</v>
      </c>
      <c r="F1883" s="35">
        <v>19.998000000000001</v>
      </c>
      <c r="G1883" s="35">
        <v>38500</v>
      </c>
    </row>
    <row r="1884" spans="1:7" x14ac:dyDescent="0.25">
      <c r="A1884">
        <v>20221028</v>
      </c>
      <c r="B1884" t="s">
        <v>770</v>
      </c>
      <c r="C1884" t="s">
        <v>257</v>
      </c>
      <c r="D1884" t="s">
        <v>214</v>
      </c>
      <c r="E1884" s="35">
        <v>4.9989999999999997</v>
      </c>
      <c r="F1884" s="35">
        <v>19.998000000000001</v>
      </c>
      <c r="G1884" s="35">
        <v>36000</v>
      </c>
    </row>
    <row r="1885" spans="1:7" x14ac:dyDescent="0.25">
      <c r="A1885">
        <v>20221028</v>
      </c>
      <c r="B1885" t="s">
        <v>770</v>
      </c>
      <c r="C1885" t="s">
        <v>257</v>
      </c>
      <c r="D1885" t="s">
        <v>233</v>
      </c>
      <c r="E1885" s="35">
        <v>4.9989999999999997</v>
      </c>
      <c r="F1885" s="35">
        <v>19.998000000000001</v>
      </c>
      <c r="G1885" s="35">
        <v>33500</v>
      </c>
    </row>
    <row r="1886" spans="1:7" x14ac:dyDescent="0.25">
      <c r="A1886">
        <v>20221028</v>
      </c>
      <c r="B1886" t="s">
        <v>770</v>
      </c>
      <c r="C1886" t="s">
        <v>257</v>
      </c>
      <c r="D1886" t="s">
        <v>242</v>
      </c>
      <c r="E1886" s="35">
        <v>4.9989999999999997</v>
      </c>
      <c r="F1886" s="35">
        <v>19.998000000000001</v>
      </c>
      <c r="G1886" s="35">
        <v>31000</v>
      </c>
    </row>
    <row r="1887" spans="1:7" x14ac:dyDescent="0.25">
      <c r="A1887">
        <v>20221028</v>
      </c>
      <c r="B1887" t="s">
        <v>770</v>
      </c>
      <c r="C1887" t="s">
        <v>257</v>
      </c>
      <c r="D1887" t="s">
        <v>250</v>
      </c>
      <c r="E1887" s="35">
        <v>4.9989999999999997</v>
      </c>
      <c r="F1887" s="35">
        <v>19.998000000000001</v>
      </c>
      <c r="G1887" s="35">
        <v>27500</v>
      </c>
    </row>
    <row r="1888" spans="1:7" x14ac:dyDescent="0.25">
      <c r="A1888">
        <v>20221028</v>
      </c>
      <c r="B1888" t="s">
        <v>770</v>
      </c>
      <c r="C1888" t="s">
        <v>257</v>
      </c>
      <c r="D1888" t="s">
        <v>258</v>
      </c>
      <c r="E1888" s="35">
        <v>4.9989999999999997</v>
      </c>
      <c r="F1888" s="35">
        <v>19.998000000000001</v>
      </c>
      <c r="G1888" s="35">
        <v>24000</v>
      </c>
    </row>
    <row r="1889" spans="1:7" x14ac:dyDescent="0.25">
      <c r="A1889">
        <v>20221028</v>
      </c>
      <c r="B1889" t="s">
        <v>770</v>
      </c>
      <c r="C1889" t="s">
        <v>257</v>
      </c>
      <c r="D1889" t="s">
        <v>265</v>
      </c>
      <c r="E1889" s="35">
        <v>4.9989999999999997</v>
      </c>
      <c r="F1889" s="35">
        <v>19.998000000000001</v>
      </c>
      <c r="G1889" s="35">
        <v>20500</v>
      </c>
    </row>
    <row r="1890" spans="1:7" x14ac:dyDescent="0.25">
      <c r="A1890">
        <v>20221028</v>
      </c>
      <c r="B1890" t="s">
        <v>770</v>
      </c>
      <c r="C1890" t="s">
        <v>257</v>
      </c>
      <c r="D1890" t="s">
        <v>273</v>
      </c>
      <c r="E1890" s="35">
        <v>4.9989999999999997</v>
      </c>
      <c r="F1890" s="35">
        <v>19.998000000000001</v>
      </c>
      <c r="G1890" s="35">
        <v>13000</v>
      </c>
    </row>
    <row r="1891" spans="1:7" x14ac:dyDescent="0.25">
      <c r="A1891">
        <v>20221028</v>
      </c>
      <c r="B1891" t="s">
        <v>770</v>
      </c>
      <c r="C1891" t="s">
        <v>257</v>
      </c>
      <c r="D1891" t="s">
        <v>279</v>
      </c>
      <c r="E1891" s="35">
        <v>4.9989999999999997</v>
      </c>
      <c r="F1891" s="35">
        <v>19.998000000000001</v>
      </c>
      <c r="G1891" s="35">
        <v>9500</v>
      </c>
    </row>
    <row r="1892" spans="1:7" x14ac:dyDescent="0.25">
      <c r="A1892">
        <v>20221028</v>
      </c>
      <c r="B1892" t="s">
        <v>770</v>
      </c>
      <c r="C1892" t="s">
        <v>257</v>
      </c>
      <c r="D1892" t="s">
        <v>285</v>
      </c>
      <c r="E1892" s="35">
        <v>4.9989999999999997</v>
      </c>
      <c r="F1892" s="35">
        <v>19.998000000000001</v>
      </c>
      <c r="G1892" s="35">
        <v>4600</v>
      </c>
    </row>
    <row r="1893" spans="1:7" x14ac:dyDescent="0.25">
      <c r="A1893">
        <v>20221028</v>
      </c>
      <c r="B1893" t="s">
        <v>770</v>
      </c>
      <c r="C1893" t="s">
        <v>257</v>
      </c>
      <c r="D1893" t="s">
        <v>289</v>
      </c>
      <c r="E1893" s="35">
        <v>4.9989999999999997</v>
      </c>
      <c r="F1893" s="35">
        <v>19.998000000000001</v>
      </c>
      <c r="G1893" s="35">
        <v>2000</v>
      </c>
    </row>
    <row r="1894" spans="1:7" x14ac:dyDescent="0.25">
      <c r="A1894">
        <v>20221028</v>
      </c>
      <c r="B1894" t="s">
        <v>770</v>
      </c>
      <c r="C1894" t="s">
        <v>264</v>
      </c>
      <c r="D1894" t="s">
        <v>187</v>
      </c>
      <c r="E1894" s="35">
        <v>4.9989999999999997</v>
      </c>
      <c r="F1894" s="35">
        <v>19.998000000000001</v>
      </c>
      <c r="G1894" s="35">
        <v>30000</v>
      </c>
    </row>
    <row r="1895" spans="1:7" x14ac:dyDescent="0.25">
      <c r="A1895">
        <v>20221028</v>
      </c>
      <c r="B1895" t="s">
        <v>770</v>
      </c>
      <c r="C1895" t="s">
        <v>264</v>
      </c>
      <c r="D1895" t="s">
        <v>214</v>
      </c>
      <c r="E1895" s="35">
        <v>4.9989999999999997</v>
      </c>
      <c r="F1895" s="35">
        <v>19.998000000000001</v>
      </c>
      <c r="G1895" s="35">
        <v>27500</v>
      </c>
    </row>
    <row r="1896" spans="1:7" x14ac:dyDescent="0.25">
      <c r="A1896">
        <v>20221028</v>
      </c>
      <c r="B1896" t="s">
        <v>770</v>
      </c>
      <c r="C1896" t="s">
        <v>264</v>
      </c>
      <c r="D1896" t="s">
        <v>233</v>
      </c>
      <c r="E1896" s="35">
        <v>4.9989999999999997</v>
      </c>
      <c r="F1896" s="35">
        <v>19.998000000000001</v>
      </c>
      <c r="G1896" s="35">
        <v>25500</v>
      </c>
    </row>
    <row r="1897" spans="1:7" x14ac:dyDescent="0.25">
      <c r="A1897">
        <v>20221028</v>
      </c>
      <c r="B1897" t="s">
        <v>770</v>
      </c>
      <c r="C1897" t="s">
        <v>264</v>
      </c>
      <c r="D1897" t="s">
        <v>242</v>
      </c>
      <c r="E1897" s="35">
        <v>4.9989999999999997</v>
      </c>
      <c r="F1897" s="35">
        <v>19.998000000000001</v>
      </c>
      <c r="G1897" s="35">
        <v>24000</v>
      </c>
    </row>
    <row r="1898" spans="1:7" x14ac:dyDescent="0.25">
      <c r="A1898">
        <v>20221028</v>
      </c>
      <c r="B1898" t="s">
        <v>770</v>
      </c>
      <c r="C1898" t="s">
        <v>264</v>
      </c>
      <c r="D1898" t="s">
        <v>250</v>
      </c>
      <c r="E1898" s="35">
        <v>4.9989999999999997</v>
      </c>
      <c r="F1898" s="35">
        <v>19.998000000000001</v>
      </c>
      <c r="G1898" s="35">
        <v>22000</v>
      </c>
    </row>
    <row r="1899" spans="1:7" x14ac:dyDescent="0.25">
      <c r="A1899">
        <v>20221028</v>
      </c>
      <c r="B1899" t="s">
        <v>770</v>
      </c>
      <c r="C1899" t="s">
        <v>264</v>
      </c>
      <c r="D1899" t="s">
        <v>258</v>
      </c>
      <c r="E1899" s="35">
        <v>4.9989999999999997</v>
      </c>
      <c r="F1899" s="35">
        <v>19.998000000000001</v>
      </c>
      <c r="G1899" s="35">
        <v>20500</v>
      </c>
    </row>
    <row r="1900" spans="1:7" x14ac:dyDescent="0.25">
      <c r="A1900">
        <v>20221028</v>
      </c>
      <c r="B1900" t="s">
        <v>770</v>
      </c>
      <c r="C1900" t="s">
        <v>264</v>
      </c>
      <c r="D1900" t="s">
        <v>265</v>
      </c>
      <c r="E1900" s="35">
        <v>4.9989999999999997</v>
      </c>
      <c r="F1900" s="35">
        <v>19.998000000000001</v>
      </c>
      <c r="G1900" s="35">
        <v>18000</v>
      </c>
    </row>
    <row r="1901" spans="1:7" x14ac:dyDescent="0.25">
      <c r="A1901">
        <v>20221028</v>
      </c>
      <c r="B1901" t="s">
        <v>770</v>
      </c>
      <c r="C1901" t="s">
        <v>264</v>
      </c>
      <c r="D1901" t="s">
        <v>273</v>
      </c>
      <c r="E1901" s="35">
        <v>4.9989999999999997</v>
      </c>
      <c r="F1901" s="35">
        <v>19.998000000000001</v>
      </c>
      <c r="G1901" s="35">
        <v>12000</v>
      </c>
    </row>
    <row r="1902" spans="1:7" x14ac:dyDescent="0.25">
      <c r="A1902">
        <v>20221028</v>
      </c>
      <c r="B1902" t="s">
        <v>770</v>
      </c>
      <c r="C1902" t="s">
        <v>264</v>
      </c>
      <c r="D1902" t="s">
        <v>279</v>
      </c>
      <c r="E1902" s="35">
        <v>4.9989999999999997</v>
      </c>
      <c r="F1902" s="35">
        <v>19.998000000000001</v>
      </c>
      <c r="G1902" s="35">
        <v>8800</v>
      </c>
    </row>
    <row r="1903" spans="1:7" x14ac:dyDescent="0.25">
      <c r="A1903">
        <v>20221028</v>
      </c>
      <c r="B1903" t="s">
        <v>770</v>
      </c>
      <c r="C1903" t="s">
        <v>264</v>
      </c>
      <c r="D1903" t="s">
        <v>285</v>
      </c>
      <c r="E1903" s="35">
        <v>4.9989999999999997</v>
      </c>
      <c r="F1903" s="35">
        <v>19.998000000000001</v>
      </c>
      <c r="G1903" s="35">
        <v>4300</v>
      </c>
    </row>
    <row r="1904" spans="1:7" x14ac:dyDescent="0.25">
      <c r="A1904">
        <v>20221028</v>
      </c>
      <c r="B1904" t="s">
        <v>770</v>
      </c>
      <c r="C1904" t="s">
        <v>264</v>
      </c>
      <c r="D1904" t="s">
        <v>289</v>
      </c>
      <c r="E1904" s="35">
        <v>4.9989999999999997</v>
      </c>
      <c r="F1904" s="35">
        <v>19.998000000000001</v>
      </c>
      <c r="G1904" s="35">
        <v>1900</v>
      </c>
    </row>
    <row r="1905" spans="1:7" x14ac:dyDescent="0.25">
      <c r="A1905">
        <v>20221028</v>
      </c>
      <c r="B1905" t="s">
        <v>770</v>
      </c>
      <c r="C1905" t="s">
        <v>272</v>
      </c>
      <c r="D1905" t="s">
        <v>187</v>
      </c>
      <c r="E1905" s="35">
        <v>4.9989999999999997</v>
      </c>
      <c r="F1905" s="35">
        <v>19.998000000000001</v>
      </c>
      <c r="G1905" s="35">
        <v>23500</v>
      </c>
    </row>
    <row r="1906" spans="1:7" x14ac:dyDescent="0.25">
      <c r="A1906">
        <v>20221028</v>
      </c>
      <c r="B1906" t="s">
        <v>770</v>
      </c>
      <c r="C1906" t="s">
        <v>272</v>
      </c>
      <c r="D1906" t="s">
        <v>214</v>
      </c>
      <c r="E1906" s="35">
        <v>4.9989999999999997</v>
      </c>
      <c r="F1906" s="35">
        <v>19.998000000000001</v>
      </c>
      <c r="G1906" s="35">
        <v>22000</v>
      </c>
    </row>
    <row r="1907" spans="1:7" x14ac:dyDescent="0.25">
      <c r="A1907">
        <v>20221028</v>
      </c>
      <c r="B1907" t="s">
        <v>770</v>
      </c>
      <c r="C1907" t="s">
        <v>272</v>
      </c>
      <c r="D1907" t="s">
        <v>233</v>
      </c>
      <c r="E1907" s="35">
        <v>4.9989999999999997</v>
      </c>
      <c r="F1907" s="35">
        <v>19.998000000000001</v>
      </c>
      <c r="G1907" s="35">
        <v>20500</v>
      </c>
    </row>
    <row r="1908" spans="1:7" x14ac:dyDescent="0.25">
      <c r="A1908">
        <v>20221028</v>
      </c>
      <c r="B1908" t="s">
        <v>770</v>
      </c>
      <c r="C1908" t="s">
        <v>272</v>
      </c>
      <c r="D1908" t="s">
        <v>242</v>
      </c>
      <c r="E1908" s="35">
        <v>4.9989999999999997</v>
      </c>
      <c r="F1908" s="35">
        <v>19.998000000000001</v>
      </c>
      <c r="G1908" s="35">
        <v>19000</v>
      </c>
    </row>
    <row r="1909" spans="1:7" x14ac:dyDescent="0.25">
      <c r="A1909">
        <v>20221028</v>
      </c>
      <c r="B1909" t="s">
        <v>770</v>
      </c>
      <c r="C1909" t="s">
        <v>272</v>
      </c>
      <c r="D1909" t="s">
        <v>250</v>
      </c>
      <c r="E1909" s="35">
        <v>4.9989999999999997</v>
      </c>
      <c r="F1909" s="35">
        <v>19.998000000000001</v>
      </c>
      <c r="G1909" s="35">
        <v>18000</v>
      </c>
    </row>
    <row r="1910" spans="1:7" x14ac:dyDescent="0.25">
      <c r="A1910">
        <v>20221028</v>
      </c>
      <c r="B1910" t="s">
        <v>770</v>
      </c>
      <c r="C1910" t="s">
        <v>272</v>
      </c>
      <c r="D1910" t="s">
        <v>258</v>
      </c>
      <c r="E1910" s="35">
        <v>4.9989999999999997</v>
      </c>
      <c r="F1910" s="35">
        <v>19.998000000000001</v>
      </c>
      <c r="G1910" s="35">
        <v>17000</v>
      </c>
    </row>
    <row r="1911" spans="1:7" x14ac:dyDescent="0.25">
      <c r="A1911">
        <v>20221028</v>
      </c>
      <c r="B1911" t="s">
        <v>770</v>
      </c>
      <c r="C1911" t="s">
        <v>272</v>
      </c>
      <c r="D1911" t="s">
        <v>265</v>
      </c>
      <c r="E1911" s="35">
        <v>4.9989999999999997</v>
      </c>
      <c r="F1911" s="35">
        <v>19.998000000000001</v>
      </c>
      <c r="G1911" s="35">
        <v>15500</v>
      </c>
    </row>
    <row r="1912" spans="1:7" x14ac:dyDescent="0.25">
      <c r="A1912">
        <v>20221028</v>
      </c>
      <c r="B1912" t="s">
        <v>770</v>
      </c>
      <c r="C1912" t="s">
        <v>272</v>
      </c>
      <c r="D1912" t="s">
        <v>273</v>
      </c>
      <c r="E1912" s="35">
        <v>4.9989999999999997</v>
      </c>
      <c r="F1912" s="35">
        <v>19.998000000000001</v>
      </c>
      <c r="G1912" s="35">
        <v>11000</v>
      </c>
    </row>
    <row r="1913" spans="1:7" x14ac:dyDescent="0.25">
      <c r="A1913">
        <v>20221028</v>
      </c>
      <c r="B1913" t="s">
        <v>770</v>
      </c>
      <c r="C1913" t="s">
        <v>272</v>
      </c>
      <c r="D1913" t="s">
        <v>279</v>
      </c>
      <c r="E1913" s="35">
        <v>4.9989999999999997</v>
      </c>
      <c r="F1913" s="35">
        <v>19.998000000000001</v>
      </c>
      <c r="G1913" s="35">
        <v>8100</v>
      </c>
    </row>
    <row r="1914" spans="1:7" x14ac:dyDescent="0.25">
      <c r="A1914">
        <v>20221028</v>
      </c>
      <c r="B1914" t="s">
        <v>770</v>
      </c>
      <c r="C1914" t="s">
        <v>272</v>
      </c>
      <c r="D1914" t="s">
        <v>285</v>
      </c>
      <c r="E1914" s="35">
        <v>4.9989999999999997</v>
      </c>
      <c r="F1914" s="35">
        <v>19.998000000000001</v>
      </c>
      <c r="G1914" s="35">
        <v>4100</v>
      </c>
    </row>
    <row r="1915" spans="1:7" x14ac:dyDescent="0.25">
      <c r="A1915">
        <v>20221028</v>
      </c>
      <c r="B1915" t="s">
        <v>770</v>
      </c>
      <c r="C1915" t="s">
        <v>272</v>
      </c>
      <c r="D1915" t="s">
        <v>289</v>
      </c>
      <c r="E1915" s="35">
        <v>4.9989999999999997</v>
      </c>
      <c r="F1915" s="35">
        <v>19.998000000000001</v>
      </c>
      <c r="G1915" s="35">
        <v>1800</v>
      </c>
    </row>
    <row r="1916" spans="1:7" x14ac:dyDescent="0.25">
      <c r="A1916">
        <v>20221028</v>
      </c>
      <c r="B1916" t="s">
        <v>770</v>
      </c>
      <c r="C1916" t="s">
        <v>278</v>
      </c>
      <c r="D1916" t="s">
        <v>187</v>
      </c>
      <c r="E1916" s="35">
        <v>4.9989999999999997</v>
      </c>
      <c r="F1916" s="35">
        <v>19.998000000000001</v>
      </c>
      <c r="G1916" s="35">
        <v>19000</v>
      </c>
    </row>
    <row r="1917" spans="1:7" x14ac:dyDescent="0.25">
      <c r="A1917">
        <v>20221028</v>
      </c>
      <c r="B1917" t="s">
        <v>770</v>
      </c>
      <c r="C1917" t="s">
        <v>278</v>
      </c>
      <c r="D1917" t="s">
        <v>214</v>
      </c>
      <c r="E1917" s="35">
        <v>4.9989999999999997</v>
      </c>
      <c r="F1917" s="35">
        <v>19.998000000000001</v>
      </c>
      <c r="G1917" s="35">
        <v>17500</v>
      </c>
    </row>
    <row r="1918" spans="1:7" x14ac:dyDescent="0.25">
      <c r="A1918">
        <v>20221028</v>
      </c>
      <c r="B1918" t="s">
        <v>770</v>
      </c>
      <c r="C1918" t="s">
        <v>278</v>
      </c>
      <c r="D1918" t="s">
        <v>233</v>
      </c>
      <c r="E1918" s="35">
        <v>4.9989999999999997</v>
      </c>
      <c r="F1918" s="35">
        <v>19.998000000000001</v>
      </c>
      <c r="G1918" s="35">
        <v>16500</v>
      </c>
    </row>
    <row r="1919" spans="1:7" x14ac:dyDescent="0.25">
      <c r="A1919">
        <v>20221028</v>
      </c>
      <c r="B1919" t="s">
        <v>770</v>
      </c>
      <c r="C1919" t="s">
        <v>278</v>
      </c>
      <c r="D1919" t="s">
        <v>242</v>
      </c>
      <c r="E1919" s="35">
        <v>4.9989999999999997</v>
      </c>
      <c r="F1919" s="35">
        <v>19.998000000000001</v>
      </c>
      <c r="G1919" s="35">
        <v>15500</v>
      </c>
    </row>
    <row r="1920" spans="1:7" x14ac:dyDescent="0.25">
      <c r="A1920">
        <v>20221028</v>
      </c>
      <c r="B1920" t="s">
        <v>770</v>
      </c>
      <c r="C1920" t="s">
        <v>278</v>
      </c>
      <c r="D1920" t="s">
        <v>250</v>
      </c>
      <c r="E1920" s="35">
        <v>4.9989999999999997</v>
      </c>
      <c r="F1920" s="35">
        <v>19.998000000000001</v>
      </c>
      <c r="G1920" s="35">
        <v>14500</v>
      </c>
    </row>
    <row r="1921" spans="1:7" x14ac:dyDescent="0.25">
      <c r="A1921">
        <v>20221028</v>
      </c>
      <c r="B1921" t="s">
        <v>770</v>
      </c>
      <c r="C1921" t="s">
        <v>278</v>
      </c>
      <c r="D1921" t="s">
        <v>258</v>
      </c>
      <c r="E1921" s="35">
        <v>4.9989999999999997</v>
      </c>
      <c r="F1921" s="35">
        <v>19.998000000000001</v>
      </c>
      <c r="G1921" s="35">
        <v>13500</v>
      </c>
    </row>
    <row r="1922" spans="1:7" x14ac:dyDescent="0.25">
      <c r="A1922">
        <v>20221028</v>
      </c>
      <c r="B1922" t="s">
        <v>770</v>
      </c>
      <c r="C1922" t="s">
        <v>278</v>
      </c>
      <c r="D1922" t="s">
        <v>265</v>
      </c>
      <c r="E1922" s="35">
        <v>4.9989999999999997</v>
      </c>
      <c r="F1922" s="35">
        <v>19.998000000000001</v>
      </c>
      <c r="G1922" s="35">
        <v>12500</v>
      </c>
    </row>
    <row r="1923" spans="1:7" x14ac:dyDescent="0.25">
      <c r="A1923">
        <v>20221028</v>
      </c>
      <c r="B1923" t="s">
        <v>770</v>
      </c>
      <c r="C1923" t="s">
        <v>278</v>
      </c>
      <c r="D1923" t="s">
        <v>273</v>
      </c>
      <c r="E1923" s="35">
        <v>4.9989999999999997</v>
      </c>
      <c r="F1923" s="35">
        <v>19.998000000000001</v>
      </c>
      <c r="G1923" s="35">
        <v>10000</v>
      </c>
    </row>
    <row r="1924" spans="1:7" x14ac:dyDescent="0.25">
      <c r="A1924">
        <v>20221028</v>
      </c>
      <c r="B1924" t="s">
        <v>770</v>
      </c>
      <c r="C1924" t="s">
        <v>278</v>
      </c>
      <c r="D1924" t="s">
        <v>279</v>
      </c>
      <c r="E1924" s="35">
        <v>4.9989999999999997</v>
      </c>
      <c r="F1924" s="35">
        <v>19.998000000000001</v>
      </c>
      <c r="G1924" s="35">
        <v>6900</v>
      </c>
    </row>
    <row r="1925" spans="1:7" x14ac:dyDescent="0.25">
      <c r="A1925">
        <v>20221028</v>
      </c>
      <c r="B1925" t="s">
        <v>770</v>
      </c>
      <c r="C1925" t="s">
        <v>278</v>
      </c>
      <c r="D1925" t="s">
        <v>285</v>
      </c>
      <c r="E1925" s="35">
        <v>4.9989999999999997</v>
      </c>
      <c r="F1925" s="35">
        <v>19.998000000000001</v>
      </c>
      <c r="G1925" s="35">
        <v>3700</v>
      </c>
    </row>
    <row r="1926" spans="1:7" x14ac:dyDescent="0.25">
      <c r="A1926">
        <v>20221028</v>
      </c>
      <c r="B1926" t="s">
        <v>770</v>
      </c>
      <c r="C1926" t="s">
        <v>278</v>
      </c>
      <c r="D1926" t="s">
        <v>289</v>
      </c>
      <c r="E1926" s="35">
        <v>4.9989999999999997</v>
      </c>
      <c r="F1926" s="35">
        <v>19.998000000000001</v>
      </c>
      <c r="G1926" s="35">
        <v>1700</v>
      </c>
    </row>
    <row r="1927" spans="1:7" x14ac:dyDescent="0.25">
      <c r="A1927">
        <v>20221028</v>
      </c>
      <c r="B1927" t="s">
        <v>770</v>
      </c>
      <c r="C1927" t="s">
        <v>284</v>
      </c>
      <c r="D1927" t="s">
        <v>187</v>
      </c>
      <c r="E1927" s="35">
        <v>4.9989999999999997</v>
      </c>
      <c r="F1927" s="35">
        <v>19.998000000000001</v>
      </c>
      <c r="G1927" s="35">
        <v>15500</v>
      </c>
    </row>
    <row r="1928" spans="1:7" x14ac:dyDescent="0.25">
      <c r="A1928">
        <v>20221028</v>
      </c>
      <c r="B1928" t="s">
        <v>770</v>
      </c>
      <c r="C1928" t="s">
        <v>284</v>
      </c>
      <c r="D1928" t="s">
        <v>214</v>
      </c>
      <c r="E1928" s="35">
        <v>4.9989999999999997</v>
      </c>
      <c r="F1928" s="35">
        <v>19.998000000000001</v>
      </c>
      <c r="G1928" s="35">
        <v>14500</v>
      </c>
    </row>
    <row r="1929" spans="1:7" x14ac:dyDescent="0.25">
      <c r="A1929">
        <v>20221028</v>
      </c>
      <c r="B1929" t="s">
        <v>770</v>
      </c>
      <c r="C1929" t="s">
        <v>284</v>
      </c>
      <c r="D1929" t="s">
        <v>233</v>
      </c>
      <c r="E1929" s="35">
        <v>4.9989999999999997</v>
      </c>
      <c r="F1929" s="35">
        <v>19.998000000000001</v>
      </c>
      <c r="G1929" s="35">
        <v>14000</v>
      </c>
    </row>
    <row r="1930" spans="1:7" x14ac:dyDescent="0.25">
      <c r="A1930">
        <v>20221028</v>
      </c>
      <c r="B1930" t="s">
        <v>770</v>
      </c>
      <c r="C1930" t="s">
        <v>284</v>
      </c>
      <c r="D1930" t="s">
        <v>242</v>
      </c>
      <c r="E1930" s="35">
        <v>4.9989999999999997</v>
      </c>
      <c r="F1930" s="35">
        <v>19.998000000000001</v>
      </c>
      <c r="G1930" s="35">
        <v>13000</v>
      </c>
    </row>
    <row r="1931" spans="1:7" x14ac:dyDescent="0.25">
      <c r="A1931">
        <v>20221028</v>
      </c>
      <c r="B1931" t="s">
        <v>770</v>
      </c>
      <c r="C1931" t="s">
        <v>284</v>
      </c>
      <c r="D1931" t="s">
        <v>250</v>
      </c>
      <c r="E1931" s="35">
        <v>4.9989999999999997</v>
      </c>
      <c r="F1931" s="35">
        <v>19.998000000000001</v>
      </c>
      <c r="G1931" s="35">
        <v>12000</v>
      </c>
    </row>
    <row r="1932" spans="1:7" x14ac:dyDescent="0.25">
      <c r="A1932">
        <v>20221028</v>
      </c>
      <c r="B1932" t="s">
        <v>770</v>
      </c>
      <c r="C1932" t="s">
        <v>284</v>
      </c>
      <c r="D1932" t="s">
        <v>258</v>
      </c>
      <c r="E1932" s="35">
        <v>4.9989999999999997</v>
      </c>
      <c r="F1932" s="35">
        <v>19.998000000000001</v>
      </c>
      <c r="G1932" s="35">
        <v>11000</v>
      </c>
    </row>
    <row r="1933" spans="1:7" x14ac:dyDescent="0.25">
      <c r="A1933">
        <v>20221028</v>
      </c>
      <c r="B1933" t="s">
        <v>770</v>
      </c>
      <c r="C1933" t="s">
        <v>284</v>
      </c>
      <c r="D1933" t="s">
        <v>265</v>
      </c>
      <c r="E1933" s="35">
        <v>4.9989999999999997</v>
      </c>
      <c r="F1933" s="35">
        <v>19.998000000000001</v>
      </c>
      <c r="G1933" s="35">
        <v>10000</v>
      </c>
    </row>
    <row r="1934" spans="1:7" x14ac:dyDescent="0.25">
      <c r="A1934">
        <v>20221028</v>
      </c>
      <c r="B1934" t="s">
        <v>770</v>
      </c>
      <c r="C1934" t="s">
        <v>284</v>
      </c>
      <c r="D1934" t="s">
        <v>273</v>
      </c>
      <c r="E1934" s="35">
        <v>4.9989999999999997</v>
      </c>
      <c r="F1934" s="35">
        <v>19.998000000000001</v>
      </c>
      <c r="G1934" s="35">
        <v>8000</v>
      </c>
    </row>
    <row r="1935" spans="1:7" x14ac:dyDescent="0.25">
      <c r="A1935">
        <v>20221028</v>
      </c>
      <c r="B1935" t="s">
        <v>770</v>
      </c>
      <c r="C1935" t="s">
        <v>284</v>
      </c>
      <c r="D1935" t="s">
        <v>279</v>
      </c>
      <c r="E1935" s="35">
        <v>4.9989999999999997</v>
      </c>
      <c r="F1935" s="35">
        <v>19.998000000000001</v>
      </c>
      <c r="G1935" s="35">
        <v>6000</v>
      </c>
    </row>
    <row r="1936" spans="1:7" x14ac:dyDescent="0.25">
      <c r="A1936">
        <v>20221028</v>
      </c>
      <c r="B1936" t="s">
        <v>770</v>
      </c>
      <c r="C1936" t="s">
        <v>284</v>
      </c>
      <c r="D1936" t="s">
        <v>285</v>
      </c>
      <c r="E1936" s="35">
        <v>4.9989999999999997</v>
      </c>
      <c r="F1936" s="35">
        <v>19.998000000000001</v>
      </c>
      <c r="G1936" s="35">
        <v>3400</v>
      </c>
    </row>
    <row r="1937" spans="1:7" x14ac:dyDescent="0.25">
      <c r="A1937">
        <v>20221028</v>
      </c>
      <c r="B1937" t="s">
        <v>770</v>
      </c>
      <c r="C1937" t="s">
        <v>284</v>
      </c>
      <c r="D1937" t="s">
        <v>289</v>
      </c>
      <c r="E1937" s="35">
        <v>4.9989999999999997</v>
      </c>
      <c r="F1937" s="35">
        <v>19.998000000000001</v>
      </c>
      <c r="G1937" s="35">
        <v>1600</v>
      </c>
    </row>
    <row r="1938" spans="1:7" x14ac:dyDescent="0.25">
      <c r="A1938">
        <v>20221028</v>
      </c>
      <c r="B1938" t="s">
        <v>771</v>
      </c>
      <c r="C1938" t="s">
        <v>186</v>
      </c>
      <c r="D1938" t="s">
        <v>187</v>
      </c>
      <c r="E1938" s="35">
        <v>0.17899999999999999</v>
      </c>
      <c r="F1938" s="35">
        <v>0.22800000000000001</v>
      </c>
      <c r="G1938" s="35">
        <v>1370</v>
      </c>
    </row>
    <row r="1939" spans="1:7" x14ac:dyDescent="0.25">
      <c r="A1939">
        <v>20221028</v>
      </c>
      <c r="B1939" t="s">
        <v>771</v>
      </c>
      <c r="C1939" t="s">
        <v>186</v>
      </c>
      <c r="D1939" t="s">
        <v>214</v>
      </c>
      <c r="E1939" s="35">
        <v>0.17899999999999999</v>
      </c>
      <c r="F1939" s="35">
        <v>0.22800000000000001</v>
      </c>
      <c r="G1939" s="35">
        <v>1370</v>
      </c>
    </row>
    <row r="1940" spans="1:7" x14ac:dyDescent="0.25">
      <c r="A1940">
        <v>20221028</v>
      </c>
      <c r="B1940" t="s">
        <v>771</v>
      </c>
      <c r="C1940" t="s">
        <v>186</v>
      </c>
      <c r="D1940" t="s">
        <v>233</v>
      </c>
      <c r="E1940" s="35">
        <v>0.17899999999999999</v>
      </c>
      <c r="F1940" s="35">
        <v>0.22800000000000001</v>
      </c>
      <c r="G1940" s="35">
        <v>1370</v>
      </c>
    </row>
    <row r="1941" spans="1:7" x14ac:dyDescent="0.25">
      <c r="A1941">
        <v>20221028</v>
      </c>
      <c r="B1941" t="s">
        <v>771</v>
      </c>
      <c r="C1941" t="s">
        <v>186</v>
      </c>
      <c r="D1941" t="s">
        <v>242</v>
      </c>
      <c r="E1941" s="35">
        <v>0.17899999999999999</v>
      </c>
      <c r="F1941" s="35">
        <v>0.22800000000000001</v>
      </c>
      <c r="G1941" s="35">
        <v>1160</v>
      </c>
    </row>
    <row r="1942" spans="1:7" x14ac:dyDescent="0.25">
      <c r="A1942">
        <v>20221028</v>
      </c>
      <c r="B1942" t="s">
        <v>771</v>
      </c>
      <c r="C1942" t="s">
        <v>186</v>
      </c>
      <c r="D1942" t="s">
        <v>250</v>
      </c>
      <c r="E1942" s="35">
        <v>0.17899999999999999</v>
      </c>
      <c r="F1942" s="35">
        <v>0.22800000000000001</v>
      </c>
      <c r="G1942" s="35">
        <v>1160</v>
      </c>
    </row>
    <row r="1943" spans="1:7" x14ac:dyDescent="0.25">
      <c r="A1943">
        <v>20221028</v>
      </c>
      <c r="B1943" t="s">
        <v>771</v>
      </c>
      <c r="C1943" t="s">
        <v>186</v>
      </c>
      <c r="D1943" t="s">
        <v>258</v>
      </c>
      <c r="E1943" s="35">
        <v>0.17899999999999999</v>
      </c>
      <c r="F1943" s="35">
        <v>0.22800000000000001</v>
      </c>
      <c r="G1943" s="35">
        <v>930</v>
      </c>
    </row>
    <row r="1944" spans="1:7" x14ac:dyDescent="0.25">
      <c r="A1944">
        <v>20221028</v>
      </c>
      <c r="B1944" t="s">
        <v>771</v>
      </c>
      <c r="C1944" t="s">
        <v>186</v>
      </c>
      <c r="D1944" t="s">
        <v>265</v>
      </c>
      <c r="E1944" s="35">
        <v>0.17899999999999999</v>
      </c>
      <c r="F1944" s="35">
        <v>0.22800000000000001</v>
      </c>
      <c r="G1944" s="35">
        <v>790</v>
      </c>
    </row>
    <row r="1945" spans="1:7" x14ac:dyDescent="0.25">
      <c r="A1945">
        <v>20221028</v>
      </c>
      <c r="B1945" t="s">
        <v>771</v>
      </c>
      <c r="C1945" t="s">
        <v>186</v>
      </c>
      <c r="D1945" t="s">
        <v>273</v>
      </c>
      <c r="E1945" s="35">
        <v>0.17899999999999999</v>
      </c>
      <c r="F1945" s="35">
        <v>0.22800000000000001</v>
      </c>
      <c r="G1945" s="35">
        <v>680</v>
      </c>
    </row>
    <row r="1946" spans="1:7" x14ac:dyDescent="0.25">
      <c r="A1946">
        <v>20221028</v>
      </c>
      <c r="B1946" t="s">
        <v>771</v>
      </c>
      <c r="C1946" t="s">
        <v>186</v>
      </c>
      <c r="D1946" t="s">
        <v>279</v>
      </c>
      <c r="E1946" s="35">
        <v>0.17899999999999999</v>
      </c>
      <c r="F1946" s="35">
        <v>0.22800000000000001</v>
      </c>
      <c r="G1946" s="35">
        <v>580</v>
      </c>
    </row>
    <row r="1947" spans="1:7" x14ac:dyDescent="0.25">
      <c r="A1947">
        <v>20221028</v>
      </c>
      <c r="B1947" t="s">
        <v>771</v>
      </c>
      <c r="C1947" t="s">
        <v>186</v>
      </c>
      <c r="D1947" t="s">
        <v>285</v>
      </c>
      <c r="E1947" s="35">
        <v>0.17899999999999999</v>
      </c>
      <c r="F1947" s="35">
        <v>0.22800000000000001</v>
      </c>
      <c r="G1947" s="35">
        <v>450</v>
      </c>
    </row>
    <row r="1948" spans="1:7" x14ac:dyDescent="0.25">
      <c r="A1948">
        <v>20221028</v>
      </c>
      <c r="B1948" t="s">
        <v>771</v>
      </c>
      <c r="C1948" t="s">
        <v>186</v>
      </c>
      <c r="D1948" t="s">
        <v>289</v>
      </c>
      <c r="E1948" s="35">
        <v>0.17899999999999999</v>
      </c>
      <c r="F1948" s="35">
        <v>0.22800000000000001</v>
      </c>
      <c r="G1948" s="35">
        <v>360</v>
      </c>
    </row>
    <row r="1949" spans="1:7" x14ac:dyDescent="0.25">
      <c r="A1949">
        <v>20221028</v>
      </c>
      <c r="B1949" t="s">
        <v>771</v>
      </c>
      <c r="C1949" t="s">
        <v>213</v>
      </c>
      <c r="D1949" t="s">
        <v>187</v>
      </c>
      <c r="E1949" s="35">
        <v>0.17899999999999999</v>
      </c>
      <c r="F1949" s="35">
        <v>0.22800000000000001</v>
      </c>
      <c r="G1949" s="35">
        <v>1370</v>
      </c>
    </row>
    <row r="1950" spans="1:7" x14ac:dyDescent="0.25">
      <c r="A1950">
        <v>20221028</v>
      </c>
      <c r="B1950" t="s">
        <v>771</v>
      </c>
      <c r="C1950" t="s">
        <v>213</v>
      </c>
      <c r="D1950" t="s">
        <v>214</v>
      </c>
      <c r="E1950" s="35">
        <v>0.17899999999999999</v>
      </c>
      <c r="F1950" s="35">
        <v>0.22800000000000001</v>
      </c>
      <c r="G1950" s="35">
        <v>1370</v>
      </c>
    </row>
    <row r="1951" spans="1:7" x14ac:dyDescent="0.25">
      <c r="A1951">
        <v>20221028</v>
      </c>
      <c r="B1951" t="s">
        <v>771</v>
      </c>
      <c r="C1951" t="s">
        <v>213</v>
      </c>
      <c r="D1951" t="s">
        <v>233</v>
      </c>
      <c r="E1951" s="35">
        <v>0.17899999999999999</v>
      </c>
      <c r="F1951" s="35">
        <v>0.22800000000000001</v>
      </c>
      <c r="G1951" s="35">
        <v>1370</v>
      </c>
    </row>
    <row r="1952" spans="1:7" x14ac:dyDescent="0.25">
      <c r="A1952">
        <v>20221028</v>
      </c>
      <c r="B1952" t="s">
        <v>771</v>
      </c>
      <c r="C1952" t="s">
        <v>213</v>
      </c>
      <c r="D1952" t="s">
        <v>242</v>
      </c>
      <c r="E1952" s="35">
        <v>0.17899999999999999</v>
      </c>
      <c r="F1952" s="35">
        <v>0.22800000000000001</v>
      </c>
      <c r="G1952" s="35">
        <v>1160</v>
      </c>
    </row>
    <row r="1953" spans="1:7" x14ac:dyDescent="0.25">
      <c r="A1953">
        <v>20221028</v>
      </c>
      <c r="B1953" t="s">
        <v>771</v>
      </c>
      <c r="C1953" t="s">
        <v>213</v>
      </c>
      <c r="D1953" t="s">
        <v>250</v>
      </c>
      <c r="E1953" s="35">
        <v>0.17899999999999999</v>
      </c>
      <c r="F1953" s="35">
        <v>0.22800000000000001</v>
      </c>
      <c r="G1953" s="35">
        <v>1160</v>
      </c>
    </row>
    <row r="1954" spans="1:7" x14ac:dyDescent="0.25">
      <c r="A1954">
        <v>20221028</v>
      </c>
      <c r="B1954" t="s">
        <v>771</v>
      </c>
      <c r="C1954" t="s">
        <v>213</v>
      </c>
      <c r="D1954" t="s">
        <v>258</v>
      </c>
      <c r="E1954" s="35">
        <v>0.17899999999999999</v>
      </c>
      <c r="F1954" s="35">
        <v>0.22800000000000001</v>
      </c>
      <c r="G1954" s="35">
        <v>930</v>
      </c>
    </row>
    <row r="1955" spans="1:7" x14ac:dyDescent="0.25">
      <c r="A1955">
        <v>20221028</v>
      </c>
      <c r="B1955" t="s">
        <v>771</v>
      </c>
      <c r="C1955" t="s">
        <v>213</v>
      </c>
      <c r="D1955" t="s">
        <v>265</v>
      </c>
      <c r="E1955" s="35">
        <v>0.17899999999999999</v>
      </c>
      <c r="F1955" s="35">
        <v>0.22800000000000001</v>
      </c>
      <c r="G1955" s="35">
        <v>790</v>
      </c>
    </row>
    <row r="1956" spans="1:7" x14ac:dyDescent="0.25">
      <c r="A1956">
        <v>20221028</v>
      </c>
      <c r="B1956" t="s">
        <v>771</v>
      </c>
      <c r="C1956" t="s">
        <v>213</v>
      </c>
      <c r="D1956" t="s">
        <v>273</v>
      </c>
      <c r="E1956" s="35">
        <v>0.17899999999999999</v>
      </c>
      <c r="F1956" s="35">
        <v>0.22800000000000001</v>
      </c>
      <c r="G1956" s="35">
        <v>680</v>
      </c>
    </row>
    <row r="1957" spans="1:7" x14ac:dyDescent="0.25">
      <c r="A1957">
        <v>20221028</v>
      </c>
      <c r="B1957" t="s">
        <v>771</v>
      </c>
      <c r="C1957" t="s">
        <v>213</v>
      </c>
      <c r="D1957" t="s">
        <v>279</v>
      </c>
      <c r="E1957" s="35">
        <v>0.17899999999999999</v>
      </c>
      <c r="F1957" s="35">
        <v>0.22800000000000001</v>
      </c>
      <c r="G1957" s="35">
        <v>580</v>
      </c>
    </row>
    <row r="1958" spans="1:7" x14ac:dyDescent="0.25">
      <c r="A1958">
        <v>20221028</v>
      </c>
      <c r="B1958" t="s">
        <v>771</v>
      </c>
      <c r="C1958" t="s">
        <v>213</v>
      </c>
      <c r="D1958" t="s">
        <v>285</v>
      </c>
      <c r="E1958" s="35">
        <v>0.17899999999999999</v>
      </c>
      <c r="F1958" s="35">
        <v>0.22800000000000001</v>
      </c>
      <c r="G1958" s="35">
        <v>450</v>
      </c>
    </row>
    <row r="1959" spans="1:7" x14ac:dyDescent="0.25">
      <c r="A1959">
        <v>20221028</v>
      </c>
      <c r="B1959" t="s">
        <v>771</v>
      </c>
      <c r="C1959" t="s">
        <v>213</v>
      </c>
      <c r="D1959" t="s">
        <v>289</v>
      </c>
      <c r="E1959" s="35">
        <v>0.17899999999999999</v>
      </c>
      <c r="F1959" s="35">
        <v>0.22800000000000001</v>
      </c>
      <c r="G1959" s="35">
        <v>360</v>
      </c>
    </row>
    <row r="1960" spans="1:7" x14ac:dyDescent="0.25">
      <c r="A1960">
        <v>20221028</v>
      </c>
      <c r="B1960" t="s">
        <v>771</v>
      </c>
      <c r="C1960" t="s">
        <v>232</v>
      </c>
      <c r="D1960" t="s">
        <v>187</v>
      </c>
      <c r="E1960" s="35">
        <v>0.17899999999999999</v>
      </c>
      <c r="F1960" s="35">
        <v>0.22800000000000001</v>
      </c>
      <c r="G1960" s="35">
        <v>1370</v>
      </c>
    </row>
    <row r="1961" spans="1:7" x14ac:dyDescent="0.25">
      <c r="A1961">
        <v>20221028</v>
      </c>
      <c r="B1961" t="s">
        <v>771</v>
      </c>
      <c r="C1961" t="s">
        <v>232</v>
      </c>
      <c r="D1961" t="s">
        <v>214</v>
      </c>
      <c r="E1961" s="35">
        <v>0.17899999999999999</v>
      </c>
      <c r="F1961" s="35">
        <v>0.22800000000000001</v>
      </c>
      <c r="G1961" s="35">
        <v>1370</v>
      </c>
    </row>
    <row r="1962" spans="1:7" x14ac:dyDescent="0.25">
      <c r="A1962">
        <v>20221028</v>
      </c>
      <c r="B1962" t="s">
        <v>771</v>
      </c>
      <c r="C1962" t="s">
        <v>232</v>
      </c>
      <c r="D1962" t="s">
        <v>233</v>
      </c>
      <c r="E1962" s="35">
        <v>0.17899999999999999</v>
      </c>
      <c r="F1962" s="35">
        <v>0.22800000000000001</v>
      </c>
      <c r="G1962" s="35">
        <v>1370</v>
      </c>
    </row>
    <row r="1963" spans="1:7" x14ac:dyDescent="0.25">
      <c r="A1963">
        <v>20221028</v>
      </c>
      <c r="B1963" t="s">
        <v>771</v>
      </c>
      <c r="C1963" t="s">
        <v>232</v>
      </c>
      <c r="D1963" t="s">
        <v>242</v>
      </c>
      <c r="E1963" s="35">
        <v>0.17899999999999999</v>
      </c>
      <c r="F1963" s="35">
        <v>0.22800000000000001</v>
      </c>
      <c r="G1963" s="35">
        <v>1160</v>
      </c>
    </row>
    <row r="1964" spans="1:7" x14ac:dyDescent="0.25">
      <c r="A1964">
        <v>20221028</v>
      </c>
      <c r="B1964" t="s">
        <v>771</v>
      </c>
      <c r="C1964" t="s">
        <v>232</v>
      </c>
      <c r="D1964" t="s">
        <v>250</v>
      </c>
      <c r="E1964" s="35">
        <v>0.17899999999999999</v>
      </c>
      <c r="F1964" s="35">
        <v>0.22800000000000001</v>
      </c>
      <c r="G1964" s="35">
        <v>1160</v>
      </c>
    </row>
    <row r="1965" spans="1:7" x14ac:dyDescent="0.25">
      <c r="A1965">
        <v>20221028</v>
      </c>
      <c r="B1965" t="s">
        <v>771</v>
      </c>
      <c r="C1965" t="s">
        <v>232</v>
      </c>
      <c r="D1965" t="s">
        <v>258</v>
      </c>
      <c r="E1965" s="35">
        <v>0.17899999999999999</v>
      </c>
      <c r="F1965" s="35">
        <v>0.22800000000000001</v>
      </c>
      <c r="G1965" s="35">
        <v>930</v>
      </c>
    </row>
    <row r="1966" spans="1:7" x14ac:dyDescent="0.25">
      <c r="A1966">
        <v>20221028</v>
      </c>
      <c r="B1966" t="s">
        <v>771</v>
      </c>
      <c r="C1966" t="s">
        <v>232</v>
      </c>
      <c r="D1966" t="s">
        <v>265</v>
      </c>
      <c r="E1966" s="35">
        <v>0.17899999999999999</v>
      </c>
      <c r="F1966" s="35">
        <v>0.22800000000000001</v>
      </c>
      <c r="G1966" s="35">
        <v>790</v>
      </c>
    </row>
    <row r="1967" spans="1:7" x14ac:dyDescent="0.25">
      <c r="A1967">
        <v>20221028</v>
      </c>
      <c r="B1967" t="s">
        <v>771</v>
      </c>
      <c r="C1967" t="s">
        <v>232</v>
      </c>
      <c r="D1967" t="s">
        <v>273</v>
      </c>
      <c r="E1967" s="35">
        <v>0.17899999999999999</v>
      </c>
      <c r="F1967" s="35">
        <v>0.22800000000000001</v>
      </c>
      <c r="G1967" s="35">
        <v>680</v>
      </c>
    </row>
    <row r="1968" spans="1:7" x14ac:dyDescent="0.25">
      <c r="A1968">
        <v>20221028</v>
      </c>
      <c r="B1968" t="s">
        <v>771</v>
      </c>
      <c r="C1968" t="s">
        <v>232</v>
      </c>
      <c r="D1968" t="s">
        <v>279</v>
      </c>
      <c r="E1968" s="35">
        <v>0.17899999999999999</v>
      </c>
      <c r="F1968" s="35">
        <v>0.22800000000000001</v>
      </c>
      <c r="G1968" s="35">
        <v>580</v>
      </c>
    </row>
    <row r="1969" spans="1:7" x14ac:dyDescent="0.25">
      <c r="A1969">
        <v>20221028</v>
      </c>
      <c r="B1969" t="s">
        <v>771</v>
      </c>
      <c r="C1969" t="s">
        <v>232</v>
      </c>
      <c r="D1969" t="s">
        <v>285</v>
      </c>
      <c r="E1969" s="35">
        <v>0.17899999999999999</v>
      </c>
      <c r="F1969" s="35">
        <v>0.22800000000000001</v>
      </c>
      <c r="G1969" s="35">
        <v>450</v>
      </c>
    </row>
    <row r="1970" spans="1:7" x14ac:dyDescent="0.25">
      <c r="A1970">
        <v>20221028</v>
      </c>
      <c r="B1970" t="s">
        <v>771</v>
      </c>
      <c r="C1970" t="s">
        <v>232</v>
      </c>
      <c r="D1970" t="s">
        <v>289</v>
      </c>
      <c r="E1970" s="35">
        <v>0.17899999999999999</v>
      </c>
      <c r="F1970" s="35">
        <v>0.22800000000000001</v>
      </c>
      <c r="G1970" s="35">
        <v>360</v>
      </c>
    </row>
    <row r="1971" spans="1:7" x14ac:dyDescent="0.25">
      <c r="A1971">
        <v>20221028</v>
      </c>
      <c r="B1971" t="s">
        <v>771</v>
      </c>
      <c r="C1971" t="s">
        <v>215</v>
      </c>
      <c r="D1971" t="s">
        <v>187</v>
      </c>
      <c r="E1971" s="35">
        <v>0.17899999999999999</v>
      </c>
      <c r="F1971" s="35">
        <v>0.22800000000000001</v>
      </c>
      <c r="G1971" s="35">
        <v>1210</v>
      </c>
    </row>
    <row r="1972" spans="1:7" x14ac:dyDescent="0.25">
      <c r="A1972">
        <v>20221028</v>
      </c>
      <c r="B1972" t="s">
        <v>771</v>
      </c>
      <c r="C1972" t="s">
        <v>215</v>
      </c>
      <c r="D1972" t="s">
        <v>214</v>
      </c>
      <c r="E1972" s="35">
        <v>0.17899999999999999</v>
      </c>
      <c r="F1972" s="35">
        <v>0.22800000000000001</v>
      </c>
      <c r="G1972" s="35">
        <v>1210</v>
      </c>
    </row>
    <row r="1973" spans="1:7" x14ac:dyDescent="0.25">
      <c r="A1973">
        <v>20221028</v>
      </c>
      <c r="B1973" t="s">
        <v>771</v>
      </c>
      <c r="C1973" t="s">
        <v>215</v>
      </c>
      <c r="D1973" t="s">
        <v>233</v>
      </c>
      <c r="E1973" s="35">
        <v>0.17899999999999999</v>
      </c>
      <c r="F1973" s="35">
        <v>0.22800000000000001</v>
      </c>
      <c r="G1973" s="35">
        <v>1210</v>
      </c>
    </row>
    <row r="1974" spans="1:7" x14ac:dyDescent="0.25">
      <c r="A1974">
        <v>20221028</v>
      </c>
      <c r="B1974" t="s">
        <v>771</v>
      </c>
      <c r="C1974" t="s">
        <v>215</v>
      </c>
      <c r="D1974" t="s">
        <v>242</v>
      </c>
      <c r="E1974" s="35">
        <v>0.17899999999999999</v>
      </c>
      <c r="F1974" s="35">
        <v>0.22800000000000001</v>
      </c>
      <c r="G1974" s="35">
        <v>1020</v>
      </c>
    </row>
    <row r="1975" spans="1:7" x14ac:dyDescent="0.25">
      <c r="A1975">
        <v>20221028</v>
      </c>
      <c r="B1975" t="s">
        <v>771</v>
      </c>
      <c r="C1975" t="s">
        <v>215</v>
      </c>
      <c r="D1975" t="s">
        <v>250</v>
      </c>
      <c r="E1975" s="35">
        <v>0.17899999999999999</v>
      </c>
      <c r="F1975" s="35">
        <v>0.22800000000000001</v>
      </c>
      <c r="G1975" s="35">
        <v>1020</v>
      </c>
    </row>
    <row r="1976" spans="1:7" x14ac:dyDescent="0.25">
      <c r="A1976">
        <v>20221028</v>
      </c>
      <c r="B1976" t="s">
        <v>771</v>
      </c>
      <c r="C1976" t="s">
        <v>215</v>
      </c>
      <c r="D1976" t="s">
        <v>258</v>
      </c>
      <c r="E1976" s="35">
        <v>0.17899999999999999</v>
      </c>
      <c r="F1976" s="35">
        <v>0.22800000000000001</v>
      </c>
      <c r="G1976" s="35">
        <v>820</v>
      </c>
    </row>
    <row r="1977" spans="1:7" x14ac:dyDescent="0.25">
      <c r="A1977">
        <v>20221028</v>
      </c>
      <c r="B1977" t="s">
        <v>771</v>
      </c>
      <c r="C1977" t="s">
        <v>215</v>
      </c>
      <c r="D1977" t="s">
        <v>265</v>
      </c>
      <c r="E1977" s="35">
        <v>0.17899999999999999</v>
      </c>
      <c r="F1977" s="35">
        <v>0.22800000000000001</v>
      </c>
      <c r="G1977" s="35">
        <v>690</v>
      </c>
    </row>
    <row r="1978" spans="1:7" x14ac:dyDescent="0.25">
      <c r="A1978">
        <v>20221028</v>
      </c>
      <c r="B1978" t="s">
        <v>771</v>
      </c>
      <c r="C1978" t="s">
        <v>215</v>
      </c>
      <c r="D1978" t="s">
        <v>273</v>
      </c>
      <c r="E1978" s="35">
        <v>0.17899999999999999</v>
      </c>
      <c r="F1978" s="35">
        <v>0.22800000000000001</v>
      </c>
      <c r="G1978" s="35">
        <v>600</v>
      </c>
    </row>
    <row r="1979" spans="1:7" x14ac:dyDescent="0.25">
      <c r="A1979">
        <v>20221028</v>
      </c>
      <c r="B1979" t="s">
        <v>771</v>
      </c>
      <c r="C1979" t="s">
        <v>215</v>
      </c>
      <c r="D1979" t="s">
        <v>279</v>
      </c>
      <c r="E1979" s="35">
        <v>0.17899999999999999</v>
      </c>
      <c r="F1979" s="35">
        <v>0.22800000000000001</v>
      </c>
      <c r="G1979" s="35">
        <v>510</v>
      </c>
    </row>
    <row r="1980" spans="1:7" x14ac:dyDescent="0.25">
      <c r="A1980">
        <v>20221028</v>
      </c>
      <c r="B1980" t="s">
        <v>771</v>
      </c>
      <c r="C1980" t="s">
        <v>215</v>
      </c>
      <c r="D1980" t="s">
        <v>285</v>
      </c>
      <c r="E1980" s="35">
        <v>0.17899999999999999</v>
      </c>
      <c r="F1980" s="35">
        <v>0.22800000000000001</v>
      </c>
      <c r="G1980" s="35">
        <v>400</v>
      </c>
    </row>
    <row r="1981" spans="1:7" x14ac:dyDescent="0.25">
      <c r="A1981">
        <v>20221028</v>
      </c>
      <c r="B1981" t="s">
        <v>771</v>
      </c>
      <c r="C1981" t="s">
        <v>215</v>
      </c>
      <c r="D1981" t="s">
        <v>289</v>
      </c>
      <c r="E1981" s="35">
        <v>0.17899999999999999</v>
      </c>
      <c r="F1981" s="35">
        <v>0.22800000000000001</v>
      </c>
      <c r="G1981" s="35">
        <v>320</v>
      </c>
    </row>
    <row r="1982" spans="1:7" x14ac:dyDescent="0.25">
      <c r="A1982">
        <v>20221028</v>
      </c>
      <c r="B1982" t="s">
        <v>771</v>
      </c>
      <c r="C1982" t="s">
        <v>249</v>
      </c>
      <c r="D1982" t="s">
        <v>187</v>
      </c>
      <c r="E1982" s="35">
        <v>0.17899999999999999</v>
      </c>
      <c r="F1982" s="35">
        <v>0.22800000000000001</v>
      </c>
      <c r="G1982" s="35">
        <v>1210</v>
      </c>
    </row>
    <row r="1983" spans="1:7" x14ac:dyDescent="0.25">
      <c r="A1983">
        <v>20221028</v>
      </c>
      <c r="B1983" t="s">
        <v>771</v>
      </c>
      <c r="C1983" t="s">
        <v>249</v>
      </c>
      <c r="D1983" t="s">
        <v>214</v>
      </c>
      <c r="E1983" s="35">
        <v>0.17899999999999999</v>
      </c>
      <c r="F1983" s="35">
        <v>0.22800000000000001</v>
      </c>
      <c r="G1983" s="35">
        <v>1210</v>
      </c>
    </row>
    <row r="1984" spans="1:7" x14ac:dyDescent="0.25">
      <c r="A1984">
        <v>20221028</v>
      </c>
      <c r="B1984" t="s">
        <v>771</v>
      </c>
      <c r="C1984" t="s">
        <v>249</v>
      </c>
      <c r="D1984" t="s">
        <v>233</v>
      </c>
      <c r="E1984" s="35">
        <v>0.17899999999999999</v>
      </c>
      <c r="F1984" s="35">
        <v>0.22800000000000001</v>
      </c>
      <c r="G1984" s="35">
        <v>1210</v>
      </c>
    </row>
    <row r="1985" spans="1:7" x14ac:dyDescent="0.25">
      <c r="A1985">
        <v>20221028</v>
      </c>
      <c r="B1985" t="s">
        <v>771</v>
      </c>
      <c r="C1985" t="s">
        <v>249</v>
      </c>
      <c r="D1985" t="s">
        <v>242</v>
      </c>
      <c r="E1985" s="35">
        <v>0.17899999999999999</v>
      </c>
      <c r="F1985" s="35">
        <v>0.22800000000000001</v>
      </c>
      <c r="G1985" s="35">
        <v>1020</v>
      </c>
    </row>
    <row r="1986" spans="1:7" x14ac:dyDescent="0.25">
      <c r="A1986">
        <v>20221028</v>
      </c>
      <c r="B1986" t="s">
        <v>771</v>
      </c>
      <c r="C1986" t="s">
        <v>249</v>
      </c>
      <c r="D1986" t="s">
        <v>250</v>
      </c>
      <c r="E1986" s="35">
        <v>0.17899999999999999</v>
      </c>
      <c r="F1986" s="35">
        <v>0.22800000000000001</v>
      </c>
      <c r="G1986" s="35">
        <v>1020</v>
      </c>
    </row>
    <row r="1987" spans="1:7" x14ac:dyDescent="0.25">
      <c r="A1987">
        <v>20221028</v>
      </c>
      <c r="B1987" t="s">
        <v>771</v>
      </c>
      <c r="C1987" t="s">
        <v>249</v>
      </c>
      <c r="D1987" t="s">
        <v>258</v>
      </c>
      <c r="E1987" s="35">
        <v>0.17899999999999999</v>
      </c>
      <c r="F1987" s="35">
        <v>0.22800000000000001</v>
      </c>
      <c r="G1987" s="35">
        <v>820</v>
      </c>
    </row>
    <row r="1988" spans="1:7" x14ac:dyDescent="0.25">
      <c r="A1988">
        <v>20221028</v>
      </c>
      <c r="B1988" t="s">
        <v>771</v>
      </c>
      <c r="C1988" t="s">
        <v>249</v>
      </c>
      <c r="D1988" t="s">
        <v>265</v>
      </c>
      <c r="E1988" s="35">
        <v>0.17899999999999999</v>
      </c>
      <c r="F1988" s="35">
        <v>0.22800000000000001</v>
      </c>
      <c r="G1988" s="35">
        <v>690</v>
      </c>
    </row>
    <row r="1989" spans="1:7" x14ac:dyDescent="0.25">
      <c r="A1989">
        <v>20221028</v>
      </c>
      <c r="B1989" t="s">
        <v>771</v>
      </c>
      <c r="C1989" t="s">
        <v>249</v>
      </c>
      <c r="D1989" t="s">
        <v>273</v>
      </c>
      <c r="E1989" s="35">
        <v>0.17899999999999999</v>
      </c>
      <c r="F1989" s="35">
        <v>0.22800000000000001</v>
      </c>
      <c r="G1989" s="35">
        <v>600</v>
      </c>
    </row>
    <row r="1990" spans="1:7" x14ac:dyDescent="0.25">
      <c r="A1990">
        <v>20221028</v>
      </c>
      <c r="B1990" t="s">
        <v>771</v>
      </c>
      <c r="C1990" t="s">
        <v>249</v>
      </c>
      <c r="D1990" t="s">
        <v>279</v>
      </c>
      <c r="E1990" s="35">
        <v>0.17899999999999999</v>
      </c>
      <c r="F1990" s="35">
        <v>0.22800000000000001</v>
      </c>
      <c r="G1990" s="35">
        <v>510</v>
      </c>
    </row>
    <row r="1991" spans="1:7" x14ac:dyDescent="0.25">
      <c r="A1991">
        <v>20221028</v>
      </c>
      <c r="B1991" t="s">
        <v>771</v>
      </c>
      <c r="C1991" t="s">
        <v>249</v>
      </c>
      <c r="D1991" t="s">
        <v>285</v>
      </c>
      <c r="E1991" s="35">
        <v>0.17899999999999999</v>
      </c>
      <c r="F1991" s="35">
        <v>0.22800000000000001</v>
      </c>
      <c r="G1991" s="35">
        <v>400</v>
      </c>
    </row>
    <row r="1992" spans="1:7" x14ac:dyDescent="0.25">
      <c r="A1992">
        <v>20221028</v>
      </c>
      <c r="B1992" t="s">
        <v>771</v>
      </c>
      <c r="C1992" t="s">
        <v>249</v>
      </c>
      <c r="D1992" t="s">
        <v>289</v>
      </c>
      <c r="E1992" s="35">
        <v>0.17899999999999999</v>
      </c>
      <c r="F1992" s="35">
        <v>0.22800000000000001</v>
      </c>
      <c r="G1992" s="35">
        <v>320</v>
      </c>
    </row>
    <row r="1993" spans="1:7" x14ac:dyDescent="0.25">
      <c r="A1993">
        <v>20221028</v>
      </c>
      <c r="B1993" t="s">
        <v>771</v>
      </c>
      <c r="C1993" t="s">
        <v>257</v>
      </c>
      <c r="D1993" t="s">
        <v>187</v>
      </c>
      <c r="E1993" s="35">
        <v>0.17899999999999999</v>
      </c>
      <c r="F1993" s="35">
        <v>0.22800000000000001</v>
      </c>
      <c r="G1993" s="35">
        <v>1000</v>
      </c>
    </row>
    <row r="1994" spans="1:7" x14ac:dyDescent="0.25">
      <c r="A1994">
        <v>20221028</v>
      </c>
      <c r="B1994" t="s">
        <v>771</v>
      </c>
      <c r="C1994" t="s">
        <v>257</v>
      </c>
      <c r="D1994" t="s">
        <v>214</v>
      </c>
      <c r="E1994" s="35">
        <v>0.17899999999999999</v>
      </c>
      <c r="F1994" s="35">
        <v>0.22800000000000001</v>
      </c>
      <c r="G1994" s="35">
        <v>1000</v>
      </c>
    </row>
    <row r="1995" spans="1:7" x14ac:dyDescent="0.25">
      <c r="A1995">
        <v>20221028</v>
      </c>
      <c r="B1995" t="s">
        <v>771</v>
      </c>
      <c r="C1995" t="s">
        <v>257</v>
      </c>
      <c r="D1995" t="s">
        <v>233</v>
      </c>
      <c r="E1995" s="35">
        <v>0.17899999999999999</v>
      </c>
      <c r="F1995" s="35">
        <v>0.22800000000000001</v>
      </c>
      <c r="G1995" s="35">
        <v>1000</v>
      </c>
    </row>
    <row r="1996" spans="1:7" x14ac:dyDescent="0.25">
      <c r="A1996">
        <v>20221028</v>
      </c>
      <c r="B1996" t="s">
        <v>771</v>
      </c>
      <c r="C1996" t="s">
        <v>257</v>
      </c>
      <c r="D1996" t="s">
        <v>242</v>
      </c>
      <c r="E1996" s="35">
        <v>0.17899999999999999</v>
      </c>
      <c r="F1996" s="35">
        <v>0.22800000000000001</v>
      </c>
      <c r="G1996" s="35">
        <v>850</v>
      </c>
    </row>
    <row r="1997" spans="1:7" x14ac:dyDescent="0.25">
      <c r="A1997">
        <v>20221028</v>
      </c>
      <c r="B1997" t="s">
        <v>771</v>
      </c>
      <c r="C1997" t="s">
        <v>257</v>
      </c>
      <c r="D1997" t="s">
        <v>250</v>
      </c>
      <c r="E1997" s="35">
        <v>0.17899999999999999</v>
      </c>
      <c r="F1997" s="35">
        <v>0.22800000000000001</v>
      </c>
      <c r="G1997" s="35">
        <v>850</v>
      </c>
    </row>
    <row r="1998" spans="1:7" x14ac:dyDescent="0.25">
      <c r="A1998">
        <v>20221028</v>
      </c>
      <c r="B1998" t="s">
        <v>771</v>
      </c>
      <c r="C1998" t="s">
        <v>257</v>
      </c>
      <c r="D1998" t="s">
        <v>258</v>
      </c>
      <c r="E1998" s="35">
        <v>0.17899999999999999</v>
      </c>
      <c r="F1998" s="35">
        <v>0.22800000000000001</v>
      </c>
      <c r="G1998" s="35">
        <v>700</v>
      </c>
    </row>
    <row r="1999" spans="1:7" x14ac:dyDescent="0.25">
      <c r="A1999">
        <v>20221028</v>
      </c>
      <c r="B1999" t="s">
        <v>771</v>
      </c>
      <c r="C1999" t="s">
        <v>257</v>
      </c>
      <c r="D1999" t="s">
        <v>265</v>
      </c>
      <c r="E1999" s="35">
        <v>0.17899999999999999</v>
      </c>
      <c r="F1999" s="35">
        <v>0.22800000000000001</v>
      </c>
      <c r="G1999" s="35">
        <v>600</v>
      </c>
    </row>
    <row r="2000" spans="1:7" x14ac:dyDescent="0.25">
      <c r="A2000">
        <v>20221028</v>
      </c>
      <c r="B2000" t="s">
        <v>771</v>
      </c>
      <c r="C2000" t="s">
        <v>257</v>
      </c>
      <c r="D2000" t="s">
        <v>273</v>
      </c>
      <c r="E2000" s="35">
        <v>0.17899999999999999</v>
      </c>
      <c r="F2000" s="35">
        <v>0.22800000000000001</v>
      </c>
      <c r="G2000" s="35">
        <v>520</v>
      </c>
    </row>
    <row r="2001" spans="1:7" x14ac:dyDescent="0.25">
      <c r="A2001">
        <v>20221028</v>
      </c>
      <c r="B2001" t="s">
        <v>771</v>
      </c>
      <c r="C2001" t="s">
        <v>257</v>
      </c>
      <c r="D2001" t="s">
        <v>279</v>
      </c>
      <c r="E2001" s="35">
        <v>0.17899999999999999</v>
      </c>
      <c r="F2001" s="35">
        <v>0.22800000000000001</v>
      </c>
      <c r="G2001" s="35">
        <v>450</v>
      </c>
    </row>
    <row r="2002" spans="1:7" x14ac:dyDescent="0.25">
      <c r="A2002">
        <v>20221028</v>
      </c>
      <c r="B2002" t="s">
        <v>771</v>
      </c>
      <c r="C2002" t="s">
        <v>257</v>
      </c>
      <c r="D2002" t="s">
        <v>285</v>
      </c>
      <c r="E2002" s="35">
        <v>0.17899999999999999</v>
      </c>
      <c r="F2002" s="35">
        <v>0.22800000000000001</v>
      </c>
      <c r="G2002" s="35">
        <v>350</v>
      </c>
    </row>
    <row r="2003" spans="1:7" x14ac:dyDescent="0.25">
      <c r="A2003">
        <v>20221028</v>
      </c>
      <c r="B2003" t="s">
        <v>771</v>
      </c>
      <c r="C2003" t="s">
        <v>257</v>
      </c>
      <c r="D2003" t="s">
        <v>289</v>
      </c>
      <c r="E2003" s="35">
        <v>0.17899999999999999</v>
      </c>
      <c r="F2003" s="35">
        <v>0.22800000000000001</v>
      </c>
      <c r="G2003" s="35">
        <v>270</v>
      </c>
    </row>
    <row r="2004" spans="1:7" x14ac:dyDescent="0.25">
      <c r="A2004">
        <v>20221028</v>
      </c>
      <c r="B2004" t="s">
        <v>771</v>
      </c>
      <c r="C2004" t="s">
        <v>264</v>
      </c>
      <c r="D2004" t="s">
        <v>187</v>
      </c>
      <c r="E2004" s="35">
        <v>0.17899999999999999</v>
      </c>
      <c r="F2004" s="35">
        <v>0.22800000000000001</v>
      </c>
      <c r="G2004" s="35">
        <v>1000</v>
      </c>
    </row>
    <row r="2005" spans="1:7" x14ac:dyDescent="0.25">
      <c r="A2005">
        <v>20221028</v>
      </c>
      <c r="B2005" t="s">
        <v>771</v>
      </c>
      <c r="C2005" t="s">
        <v>264</v>
      </c>
      <c r="D2005" t="s">
        <v>214</v>
      </c>
      <c r="E2005" s="35">
        <v>0.17899999999999999</v>
      </c>
      <c r="F2005" s="35">
        <v>0.22800000000000001</v>
      </c>
      <c r="G2005" s="35">
        <v>1000</v>
      </c>
    </row>
    <row r="2006" spans="1:7" x14ac:dyDescent="0.25">
      <c r="A2006">
        <v>20221028</v>
      </c>
      <c r="B2006" t="s">
        <v>771</v>
      </c>
      <c r="C2006" t="s">
        <v>264</v>
      </c>
      <c r="D2006" t="s">
        <v>233</v>
      </c>
      <c r="E2006" s="35">
        <v>0.17899999999999999</v>
      </c>
      <c r="F2006" s="35">
        <v>0.22800000000000001</v>
      </c>
      <c r="G2006" s="35">
        <v>1000</v>
      </c>
    </row>
    <row r="2007" spans="1:7" x14ac:dyDescent="0.25">
      <c r="A2007">
        <v>20221028</v>
      </c>
      <c r="B2007" t="s">
        <v>771</v>
      </c>
      <c r="C2007" t="s">
        <v>264</v>
      </c>
      <c r="D2007" t="s">
        <v>242</v>
      </c>
      <c r="E2007" s="35">
        <v>0.17899999999999999</v>
      </c>
      <c r="F2007" s="35">
        <v>0.22800000000000001</v>
      </c>
      <c r="G2007" s="35">
        <v>850</v>
      </c>
    </row>
    <row r="2008" spans="1:7" x14ac:dyDescent="0.25">
      <c r="A2008">
        <v>20221028</v>
      </c>
      <c r="B2008" t="s">
        <v>771</v>
      </c>
      <c r="C2008" t="s">
        <v>264</v>
      </c>
      <c r="D2008" t="s">
        <v>250</v>
      </c>
      <c r="E2008" s="35">
        <v>0.17899999999999999</v>
      </c>
      <c r="F2008" s="35">
        <v>0.22800000000000001</v>
      </c>
      <c r="G2008" s="35">
        <v>850</v>
      </c>
    </row>
    <row r="2009" spans="1:7" x14ac:dyDescent="0.25">
      <c r="A2009">
        <v>20221028</v>
      </c>
      <c r="B2009" t="s">
        <v>771</v>
      </c>
      <c r="C2009" t="s">
        <v>264</v>
      </c>
      <c r="D2009" t="s">
        <v>258</v>
      </c>
      <c r="E2009" s="35">
        <v>0.17899999999999999</v>
      </c>
      <c r="F2009" s="35">
        <v>0.22800000000000001</v>
      </c>
      <c r="G2009" s="35">
        <v>700</v>
      </c>
    </row>
    <row r="2010" spans="1:7" x14ac:dyDescent="0.25">
      <c r="A2010">
        <v>20221028</v>
      </c>
      <c r="B2010" t="s">
        <v>771</v>
      </c>
      <c r="C2010" t="s">
        <v>264</v>
      </c>
      <c r="D2010" t="s">
        <v>265</v>
      </c>
      <c r="E2010" s="35">
        <v>0.17899999999999999</v>
      </c>
      <c r="F2010" s="35">
        <v>0.22800000000000001</v>
      </c>
      <c r="G2010" s="35">
        <v>600</v>
      </c>
    </row>
    <row r="2011" spans="1:7" x14ac:dyDescent="0.25">
      <c r="A2011">
        <v>20221028</v>
      </c>
      <c r="B2011" t="s">
        <v>771</v>
      </c>
      <c r="C2011" t="s">
        <v>264</v>
      </c>
      <c r="D2011" t="s">
        <v>273</v>
      </c>
      <c r="E2011" s="35">
        <v>0.17899999999999999</v>
      </c>
      <c r="F2011" s="35">
        <v>0.22800000000000001</v>
      </c>
      <c r="G2011" s="35">
        <v>520</v>
      </c>
    </row>
    <row r="2012" spans="1:7" x14ac:dyDescent="0.25">
      <c r="A2012">
        <v>20221028</v>
      </c>
      <c r="B2012" t="s">
        <v>771</v>
      </c>
      <c r="C2012" t="s">
        <v>264</v>
      </c>
      <c r="D2012" t="s">
        <v>279</v>
      </c>
      <c r="E2012" s="35">
        <v>0.17899999999999999</v>
      </c>
      <c r="F2012" s="35">
        <v>0.22800000000000001</v>
      </c>
      <c r="G2012" s="35">
        <v>450</v>
      </c>
    </row>
    <row r="2013" spans="1:7" x14ac:dyDescent="0.25">
      <c r="A2013">
        <v>20221028</v>
      </c>
      <c r="B2013" t="s">
        <v>771</v>
      </c>
      <c r="C2013" t="s">
        <v>264</v>
      </c>
      <c r="D2013" t="s">
        <v>285</v>
      </c>
      <c r="E2013" s="35">
        <v>0.17899999999999999</v>
      </c>
      <c r="F2013" s="35">
        <v>0.22800000000000001</v>
      </c>
      <c r="G2013" s="35">
        <v>350</v>
      </c>
    </row>
    <row r="2014" spans="1:7" x14ac:dyDescent="0.25">
      <c r="A2014">
        <v>20221028</v>
      </c>
      <c r="B2014" t="s">
        <v>771</v>
      </c>
      <c r="C2014" t="s">
        <v>264</v>
      </c>
      <c r="D2014" t="s">
        <v>289</v>
      </c>
      <c r="E2014" s="35">
        <v>0.17899999999999999</v>
      </c>
      <c r="F2014" s="35">
        <v>0.22800000000000001</v>
      </c>
      <c r="G2014" s="35">
        <v>270</v>
      </c>
    </row>
    <row r="2015" spans="1:7" x14ac:dyDescent="0.25">
      <c r="A2015">
        <v>20221028</v>
      </c>
      <c r="B2015" t="s">
        <v>771</v>
      </c>
      <c r="C2015" t="s">
        <v>272</v>
      </c>
      <c r="D2015" t="s">
        <v>187</v>
      </c>
      <c r="E2015" s="35">
        <v>0.17899999999999999</v>
      </c>
      <c r="F2015" s="35">
        <v>0.22800000000000001</v>
      </c>
      <c r="G2015" s="35">
        <v>770</v>
      </c>
    </row>
    <row r="2016" spans="1:7" x14ac:dyDescent="0.25">
      <c r="A2016">
        <v>20221028</v>
      </c>
      <c r="B2016" t="s">
        <v>771</v>
      </c>
      <c r="C2016" t="s">
        <v>272</v>
      </c>
      <c r="D2016" t="s">
        <v>214</v>
      </c>
      <c r="E2016" s="35">
        <v>0.17899999999999999</v>
      </c>
      <c r="F2016" s="35">
        <v>0.22800000000000001</v>
      </c>
      <c r="G2016" s="35">
        <v>770</v>
      </c>
    </row>
    <row r="2017" spans="1:7" x14ac:dyDescent="0.25">
      <c r="A2017">
        <v>20221028</v>
      </c>
      <c r="B2017" t="s">
        <v>771</v>
      </c>
      <c r="C2017" t="s">
        <v>272</v>
      </c>
      <c r="D2017" t="s">
        <v>233</v>
      </c>
      <c r="E2017" s="35">
        <v>0.17899999999999999</v>
      </c>
      <c r="F2017" s="35">
        <v>0.22800000000000001</v>
      </c>
      <c r="G2017" s="35">
        <v>770</v>
      </c>
    </row>
    <row r="2018" spans="1:7" x14ac:dyDescent="0.25">
      <c r="A2018">
        <v>20221028</v>
      </c>
      <c r="B2018" t="s">
        <v>771</v>
      </c>
      <c r="C2018" t="s">
        <v>272</v>
      </c>
      <c r="D2018" t="s">
        <v>242</v>
      </c>
      <c r="E2018" s="35">
        <v>0.17899999999999999</v>
      </c>
      <c r="F2018" s="35">
        <v>0.22800000000000001</v>
      </c>
      <c r="G2018" s="35">
        <v>650</v>
      </c>
    </row>
    <row r="2019" spans="1:7" x14ac:dyDescent="0.25">
      <c r="A2019">
        <v>20221028</v>
      </c>
      <c r="B2019" t="s">
        <v>771</v>
      </c>
      <c r="C2019" t="s">
        <v>272</v>
      </c>
      <c r="D2019" t="s">
        <v>250</v>
      </c>
      <c r="E2019" s="35">
        <v>0.17899999999999999</v>
      </c>
      <c r="F2019" s="35">
        <v>0.22800000000000001</v>
      </c>
      <c r="G2019" s="35">
        <v>650</v>
      </c>
    </row>
    <row r="2020" spans="1:7" x14ac:dyDescent="0.25">
      <c r="A2020">
        <v>20221028</v>
      </c>
      <c r="B2020" t="s">
        <v>771</v>
      </c>
      <c r="C2020" t="s">
        <v>272</v>
      </c>
      <c r="D2020" t="s">
        <v>258</v>
      </c>
      <c r="E2020" s="35">
        <v>0.17899999999999999</v>
      </c>
      <c r="F2020" s="35">
        <v>0.22800000000000001</v>
      </c>
      <c r="G2020" s="35">
        <v>540</v>
      </c>
    </row>
    <row r="2021" spans="1:7" x14ac:dyDescent="0.25">
      <c r="A2021">
        <v>20221028</v>
      </c>
      <c r="B2021" t="s">
        <v>771</v>
      </c>
      <c r="C2021" t="s">
        <v>272</v>
      </c>
      <c r="D2021" t="s">
        <v>265</v>
      </c>
      <c r="E2021" s="35">
        <v>0.17899999999999999</v>
      </c>
      <c r="F2021" s="35">
        <v>0.22800000000000001</v>
      </c>
      <c r="G2021" s="35">
        <v>470</v>
      </c>
    </row>
    <row r="2022" spans="1:7" x14ac:dyDescent="0.25">
      <c r="A2022">
        <v>20221028</v>
      </c>
      <c r="B2022" t="s">
        <v>771</v>
      </c>
      <c r="C2022" t="s">
        <v>272</v>
      </c>
      <c r="D2022" t="s">
        <v>273</v>
      </c>
      <c r="E2022" s="35">
        <v>0.17899999999999999</v>
      </c>
      <c r="F2022" s="35">
        <v>0.22800000000000001</v>
      </c>
      <c r="G2022" s="35">
        <v>410</v>
      </c>
    </row>
    <row r="2023" spans="1:7" x14ac:dyDescent="0.25">
      <c r="A2023">
        <v>20221028</v>
      </c>
      <c r="B2023" t="s">
        <v>771</v>
      </c>
      <c r="C2023" t="s">
        <v>272</v>
      </c>
      <c r="D2023" t="s">
        <v>279</v>
      </c>
      <c r="E2023" s="35">
        <v>0.17899999999999999</v>
      </c>
      <c r="F2023" s="35">
        <v>0.22800000000000001</v>
      </c>
      <c r="G2023" s="35">
        <v>350</v>
      </c>
    </row>
    <row r="2024" spans="1:7" x14ac:dyDescent="0.25">
      <c r="A2024">
        <v>20221028</v>
      </c>
      <c r="B2024" t="s">
        <v>771</v>
      </c>
      <c r="C2024" t="s">
        <v>272</v>
      </c>
      <c r="D2024" t="s">
        <v>285</v>
      </c>
      <c r="E2024" s="35">
        <v>0.17899999999999999</v>
      </c>
      <c r="F2024" s="35">
        <v>0.22800000000000001</v>
      </c>
      <c r="G2024" s="35">
        <v>270</v>
      </c>
    </row>
    <row r="2025" spans="1:7" x14ac:dyDescent="0.25">
      <c r="A2025">
        <v>20221028</v>
      </c>
      <c r="B2025" t="s">
        <v>771</v>
      </c>
      <c r="C2025" t="s">
        <v>272</v>
      </c>
      <c r="D2025" t="s">
        <v>289</v>
      </c>
      <c r="E2025" s="35">
        <v>0.17899999999999999</v>
      </c>
      <c r="F2025" s="35">
        <v>0.22800000000000001</v>
      </c>
      <c r="G2025" s="35">
        <v>210</v>
      </c>
    </row>
    <row r="2026" spans="1:7" x14ac:dyDescent="0.25">
      <c r="A2026">
        <v>20221028</v>
      </c>
      <c r="B2026" t="s">
        <v>771</v>
      </c>
      <c r="C2026" t="s">
        <v>278</v>
      </c>
      <c r="D2026" t="s">
        <v>187</v>
      </c>
      <c r="E2026" s="35">
        <v>0.17899999999999999</v>
      </c>
      <c r="F2026" s="35">
        <v>0.22800000000000001</v>
      </c>
      <c r="G2026" s="35">
        <v>770</v>
      </c>
    </row>
    <row r="2027" spans="1:7" x14ac:dyDescent="0.25">
      <c r="A2027">
        <v>20221028</v>
      </c>
      <c r="B2027" t="s">
        <v>771</v>
      </c>
      <c r="C2027" t="s">
        <v>278</v>
      </c>
      <c r="D2027" t="s">
        <v>214</v>
      </c>
      <c r="E2027" s="35">
        <v>0.17899999999999999</v>
      </c>
      <c r="F2027" s="35">
        <v>0.22800000000000001</v>
      </c>
      <c r="G2027" s="35">
        <v>770</v>
      </c>
    </row>
    <row r="2028" spans="1:7" x14ac:dyDescent="0.25">
      <c r="A2028">
        <v>20221028</v>
      </c>
      <c r="B2028" t="s">
        <v>771</v>
      </c>
      <c r="C2028" t="s">
        <v>278</v>
      </c>
      <c r="D2028" t="s">
        <v>233</v>
      </c>
      <c r="E2028" s="35">
        <v>0.17899999999999999</v>
      </c>
      <c r="F2028" s="35">
        <v>0.22800000000000001</v>
      </c>
      <c r="G2028" s="35">
        <v>770</v>
      </c>
    </row>
    <row r="2029" spans="1:7" x14ac:dyDescent="0.25">
      <c r="A2029">
        <v>20221028</v>
      </c>
      <c r="B2029" t="s">
        <v>771</v>
      </c>
      <c r="C2029" t="s">
        <v>278</v>
      </c>
      <c r="D2029" t="s">
        <v>242</v>
      </c>
      <c r="E2029" s="35">
        <v>0.17899999999999999</v>
      </c>
      <c r="F2029" s="35">
        <v>0.22800000000000001</v>
      </c>
      <c r="G2029" s="35">
        <v>650</v>
      </c>
    </row>
    <row r="2030" spans="1:7" x14ac:dyDescent="0.25">
      <c r="A2030">
        <v>20221028</v>
      </c>
      <c r="B2030" t="s">
        <v>771</v>
      </c>
      <c r="C2030" t="s">
        <v>278</v>
      </c>
      <c r="D2030" t="s">
        <v>250</v>
      </c>
      <c r="E2030" s="35">
        <v>0.17899999999999999</v>
      </c>
      <c r="F2030" s="35">
        <v>0.22800000000000001</v>
      </c>
      <c r="G2030" s="35">
        <v>650</v>
      </c>
    </row>
    <row r="2031" spans="1:7" x14ac:dyDescent="0.25">
      <c r="A2031">
        <v>20221028</v>
      </c>
      <c r="B2031" t="s">
        <v>771</v>
      </c>
      <c r="C2031" t="s">
        <v>278</v>
      </c>
      <c r="D2031" t="s">
        <v>258</v>
      </c>
      <c r="E2031" s="35">
        <v>0.17899999999999999</v>
      </c>
      <c r="F2031" s="35">
        <v>0.22800000000000001</v>
      </c>
      <c r="G2031" s="35">
        <v>540</v>
      </c>
    </row>
    <row r="2032" spans="1:7" x14ac:dyDescent="0.25">
      <c r="A2032">
        <v>20221028</v>
      </c>
      <c r="B2032" t="s">
        <v>771</v>
      </c>
      <c r="C2032" t="s">
        <v>278</v>
      </c>
      <c r="D2032" t="s">
        <v>265</v>
      </c>
      <c r="E2032" s="35">
        <v>0.17899999999999999</v>
      </c>
      <c r="F2032" s="35">
        <v>0.22800000000000001</v>
      </c>
      <c r="G2032" s="35">
        <v>470</v>
      </c>
    </row>
    <row r="2033" spans="1:7" x14ac:dyDescent="0.25">
      <c r="A2033">
        <v>20221028</v>
      </c>
      <c r="B2033" t="s">
        <v>771</v>
      </c>
      <c r="C2033" t="s">
        <v>278</v>
      </c>
      <c r="D2033" t="s">
        <v>273</v>
      </c>
      <c r="E2033" s="35">
        <v>0.17899999999999999</v>
      </c>
      <c r="F2033" s="35">
        <v>0.22800000000000001</v>
      </c>
      <c r="G2033" s="35">
        <v>410</v>
      </c>
    </row>
    <row r="2034" spans="1:7" x14ac:dyDescent="0.25">
      <c r="A2034">
        <v>20221028</v>
      </c>
      <c r="B2034" t="s">
        <v>771</v>
      </c>
      <c r="C2034" t="s">
        <v>278</v>
      </c>
      <c r="D2034" t="s">
        <v>279</v>
      </c>
      <c r="E2034" s="35">
        <v>0.17899999999999999</v>
      </c>
      <c r="F2034" s="35">
        <v>0.22800000000000001</v>
      </c>
      <c r="G2034" s="35">
        <v>350</v>
      </c>
    </row>
    <row r="2035" spans="1:7" x14ac:dyDescent="0.25">
      <c r="A2035">
        <v>20221028</v>
      </c>
      <c r="B2035" t="s">
        <v>771</v>
      </c>
      <c r="C2035" t="s">
        <v>278</v>
      </c>
      <c r="D2035" t="s">
        <v>285</v>
      </c>
      <c r="E2035" s="35">
        <v>0.17899999999999999</v>
      </c>
      <c r="F2035" s="35">
        <v>0.22800000000000001</v>
      </c>
      <c r="G2035" s="35">
        <v>270</v>
      </c>
    </row>
    <row r="2036" spans="1:7" x14ac:dyDescent="0.25">
      <c r="A2036">
        <v>20221028</v>
      </c>
      <c r="B2036" t="s">
        <v>771</v>
      </c>
      <c r="C2036" t="s">
        <v>278</v>
      </c>
      <c r="D2036" t="s">
        <v>289</v>
      </c>
      <c r="E2036" s="35">
        <v>0.17899999999999999</v>
      </c>
      <c r="F2036" s="35">
        <v>0.22800000000000001</v>
      </c>
      <c r="G2036" s="35">
        <v>210</v>
      </c>
    </row>
    <row r="2037" spans="1:7" x14ac:dyDescent="0.25">
      <c r="A2037">
        <v>20221028</v>
      </c>
      <c r="B2037" t="s">
        <v>771</v>
      </c>
      <c r="C2037" t="s">
        <v>284</v>
      </c>
      <c r="D2037" t="s">
        <v>187</v>
      </c>
      <c r="E2037" s="35">
        <v>0.17899999999999999</v>
      </c>
      <c r="F2037" s="35">
        <v>0.22800000000000001</v>
      </c>
      <c r="G2037" s="35">
        <v>600</v>
      </c>
    </row>
    <row r="2038" spans="1:7" x14ac:dyDescent="0.25">
      <c r="A2038">
        <v>20221028</v>
      </c>
      <c r="B2038" t="s">
        <v>771</v>
      </c>
      <c r="C2038" t="s">
        <v>284</v>
      </c>
      <c r="D2038" t="s">
        <v>214</v>
      </c>
      <c r="E2038" s="35">
        <v>0.17899999999999999</v>
      </c>
      <c r="F2038" s="35">
        <v>0.22800000000000001</v>
      </c>
      <c r="G2038" s="35">
        <v>600</v>
      </c>
    </row>
    <row r="2039" spans="1:7" x14ac:dyDescent="0.25">
      <c r="A2039">
        <v>20221028</v>
      </c>
      <c r="B2039" t="s">
        <v>771</v>
      </c>
      <c r="C2039" t="s">
        <v>284</v>
      </c>
      <c r="D2039" t="s">
        <v>233</v>
      </c>
      <c r="E2039" s="35">
        <v>0.17899999999999999</v>
      </c>
      <c r="F2039" s="35">
        <v>0.22800000000000001</v>
      </c>
      <c r="G2039" s="35">
        <v>600</v>
      </c>
    </row>
    <row r="2040" spans="1:7" x14ac:dyDescent="0.25">
      <c r="A2040">
        <v>20221028</v>
      </c>
      <c r="B2040" t="s">
        <v>771</v>
      </c>
      <c r="C2040" t="s">
        <v>284</v>
      </c>
      <c r="D2040" t="s">
        <v>242</v>
      </c>
      <c r="E2040" s="35">
        <v>0.17899999999999999</v>
      </c>
      <c r="F2040" s="35">
        <v>0.22800000000000001</v>
      </c>
      <c r="G2040" s="35">
        <v>510</v>
      </c>
    </row>
    <row r="2041" spans="1:7" x14ac:dyDescent="0.25">
      <c r="A2041">
        <v>20221028</v>
      </c>
      <c r="B2041" t="s">
        <v>771</v>
      </c>
      <c r="C2041" t="s">
        <v>284</v>
      </c>
      <c r="D2041" t="s">
        <v>250</v>
      </c>
      <c r="E2041" s="35">
        <v>0.17899999999999999</v>
      </c>
      <c r="F2041" s="35">
        <v>0.22800000000000001</v>
      </c>
      <c r="G2041" s="35">
        <v>510</v>
      </c>
    </row>
    <row r="2042" spans="1:7" x14ac:dyDescent="0.25">
      <c r="A2042">
        <v>20221028</v>
      </c>
      <c r="B2042" t="s">
        <v>771</v>
      </c>
      <c r="C2042" t="s">
        <v>284</v>
      </c>
      <c r="D2042" t="s">
        <v>258</v>
      </c>
      <c r="E2042" s="35">
        <v>0.17899999999999999</v>
      </c>
      <c r="F2042" s="35">
        <v>0.22800000000000001</v>
      </c>
      <c r="G2042" s="35">
        <v>430</v>
      </c>
    </row>
    <row r="2043" spans="1:7" x14ac:dyDescent="0.25">
      <c r="A2043">
        <v>20221028</v>
      </c>
      <c r="B2043" t="s">
        <v>771</v>
      </c>
      <c r="C2043" t="s">
        <v>284</v>
      </c>
      <c r="D2043" t="s">
        <v>265</v>
      </c>
      <c r="E2043" s="35">
        <v>0.17899999999999999</v>
      </c>
      <c r="F2043" s="35">
        <v>0.22800000000000001</v>
      </c>
      <c r="G2043" s="35">
        <v>370</v>
      </c>
    </row>
    <row r="2044" spans="1:7" x14ac:dyDescent="0.25">
      <c r="A2044">
        <v>20221028</v>
      </c>
      <c r="B2044" t="s">
        <v>771</v>
      </c>
      <c r="C2044" t="s">
        <v>284</v>
      </c>
      <c r="D2044" t="s">
        <v>273</v>
      </c>
      <c r="E2044" s="35">
        <v>0.17899999999999999</v>
      </c>
      <c r="F2044" s="35">
        <v>0.22800000000000001</v>
      </c>
      <c r="G2044" s="35">
        <v>320</v>
      </c>
    </row>
    <row r="2045" spans="1:7" x14ac:dyDescent="0.25">
      <c r="A2045">
        <v>20221028</v>
      </c>
      <c r="B2045" t="s">
        <v>771</v>
      </c>
      <c r="C2045" t="s">
        <v>284</v>
      </c>
      <c r="D2045" t="s">
        <v>279</v>
      </c>
      <c r="E2045" s="35">
        <v>0.17899999999999999</v>
      </c>
      <c r="F2045" s="35">
        <v>0.22800000000000001</v>
      </c>
      <c r="G2045" s="35">
        <v>260</v>
      </c>
    </row>
    <row r="2046" spans="1:7" x14ac:dyDescent="0.25">
      <c r="A2046">
        <v>20221028</v>
      </c>
      <c r="B2046" t="s">
        <v>771</v>
      </c>
      <c r="C2046" t="s">
        <v>284</v>
      </c>
      <c r="D2046" t="s">
        <v>285</v>
      </c>
      <c r="E2046" s="35">
        <v>0.17899999999999999</v>
      </c>
      <c r="F2046" s="35">
        <v>0.22800000000000001</v>
      </c>
      <c r="G2046" s="35">
        <v>200</v>
      </c>
    </row>
    <row r="2047" spans="1:7" x14ac:dyDescent="0.25">
      <c r="A2047">
        <v>20221028</v>
      </c>
      <c r="B2047" t="s">
        <v>771</v>
      </c>
      <c r="C2047" t="s">
        <v>284</v>
      </c>
      <c r="D2047" t="s">
        <v>289</v>
      </c>
      <c r="E2047" s="35">
        <v>0.17899999999999999</v>
      </c>
      <c r="F2047" s="35">
        <v>0.22800000000000001</v>
      </c>
      <c r="G2047" s="35">
        <v>150</v>
      </c>
    </row>
    <row r="2048" spans="1:7" x14ac:dyDescent="0.25">
      <c r="A2048">
        <v>20221028</v>
      </c>
      <c r="B2048" t="s">
        <v>771</v>
      </c>
      <c r="C2048" t="s">
        <v>748</v>
      </c>
      <c r="D2048" t="s">
        <v>187</v>
      </c>
      <c r="E2048" s="35">
        <v>0.17899999999999999</v>
      </c>
      <c r="F2048" s="35">
        <v>0.22800000000000001</v>
      </c>
      <c r="G2048" s="35">
        <v>600</v>
      </c>
    </row>
    <row r="2049" spans="1:7" x14ac:dyDescent="0.25">
      <c r="A2049">
        <v>20221028</v>
      </c>
      <c r="B2049" t="s">
        <v>771</v>
      </c>
      <c r="C2049" t="s">
        <v>748</v>
      </c>
      <c r="D2049" t="s">
        <v>214</v>
      </c>
      <c r="E2049" s="35">
        <v>0.17899999999999999</v>
      </c>
      <c r="F2049" s="35">
        <v>0.22800000000000001</v>
      </c>
      <c r="G2049" s="35">
        <v>600</v>
      </c>
    </row>
    <row r="2050" spans="1:7" x14ac:dyDescent="0.25">
      <c r="A2050">
        <v>20221028</v>
      </c>
      <c r="B2050" t="s">
        <v>771</v>
      </c>
      <c r="C2050" t="s">
        <v>748</v>
      </c>
      <c r="D2050" t="s">
        <v>233</v>
      </c>
      <c r="E2050" s="35">
        <v>0.17899999999999999</v>
      </c>
      <c r="F2050" s="35">
        <v>0.22800000000000001</v>
      </c>
      <c r="G2050" s="35">
        <v>600</v>
      </c>
    </row>
    <row r="2051" spans="1:7" x14ac:dyDescent="0.25">
      <c r="A2051">
        <v>20221028</v>
      </c>
      <c r="B2051" t="s">
        <v>771</v>
      </c>
      <c r="C2051" t="s">
        <v>748</v>
      </c>
      <c r="D2051" t="s">
        <v>242</v>
      </c>
      <c r="E2051" s="35">
        <v>0.17899999999999999</v>
      </c>
      <c r="F2051" s="35">
        <v>0.22800000000000001</v>
      </c>
      <c r="G2051" s="35">
        <v>510</v>
      </c>
    </row>
    <row r="2052" spans="1:7" x14ac:dyDescent="0.25">
      <c r="A2052">
        <v>20221028</v>
      </c>
      <c r="B2052" t="s">
        <v>771</v>
      </c>
      <c r="C2052" t="s">
        <v>748</v>
      </c>
      <c r="D2052" t="s">
        <v>250</v>
      </c>
      <c r="E2052" s="35">
        <v>0.17899999999999999</v>
      </c>
      <c r="F2052" s="35">
        <v>0.22800000000000001</v>
      </c>
      <c r="G2052" s="35">
        <v>510</v>
      </c>
    </row>
    <row r="2053" spans="1:7" x14ac:dyDescent="0.25">
      <c r="A2053">
        <v>20221028</v>
      </c>
      <c r="B2053" t="s">
        <v>771</v>
      </c>
      <c r="C2053" t="s">
        <v>748</v>
      </c>
      <c r="D2053" t="s">
        <v>258</v>
      </c>
      <c r="E2053" s="35">
        <v>0.17899999999999999</v>
      </c>
      <c r="F2053" s="35">
        <v>0.22800000000000001</v>
      </c>
      <c r="G2053" s="35">
        <v>430</v>
      </c>
    </row>
    <row r="2054" spans="1:7" x14ac:dyDescent="0.25">
      <c r="A2054">
        <v>20221028</v>
      </c>
      <c r="B2054" t="s">
        <v>771</v>
      </c>
      <c r="C2054" t="s">
        <v>748</v>
      </c>
      <c r="D2054" t="s">
        <v>265</v>
      </c>
      <c r="E2054" s="35">
        <v>0.17899999999999999</v>
      </c>
      <c r="F2054" s="35">
        <v>0.22800000000000001</v>
      </c>
      <c r="G2054" s="35">
        <v>370</v>
      </c>
    </row>
    <row r="2055" spans="1:7" x14ac:dyDescent="0.25">
      <c r="A2055">
        <v>20221028</v>
      </c>
      <c r="B2055" t="s">
        <v>771</v>
      </c>
      <c r="C2055" t="s">
        <v>748</v>
      </c>
      <c r="D2055" t="s">
        <v>273</v>
      </c>
      <c r="E2055" s="35">
        <v>0.17899999999999999</v>
      </c>
      <c r="F2055" s="35">
        <v>0.22800000000000001</v>
      </c>
      <c r="G2055" s="35">
        <v>320</v>
      </c>
    </row>
    <row r="2056" spans="1:7" x14ac:dyDescent="0.25">
      <c r="A2056">
        <v>20221028</v>
      </c>
      <c r="B2056" t="s">
        <v>771</v>
      </c>
      <c r="C2056" t="s">
        <v>748</v>
      </c>
      <c r="D2056" t="s">
        <v>279</v>
      </c>
      <c r="E2056" s="35">
        <v>0.17899999999999999</v>
      </c>
      <c r="F2056" s="35">
        <v>0.22800000000000001</v>
      </c>
      <c r="G2056" s="35">
        <v>260</v>
      </c>
    </row>
    <row r="2057" spans="1:7" x14ac:dyDescent="0.25">
      <c r="A2057">
        <v>20221028</v>
      </c>
      <c r="B2057" t="s">
        <v>771</v>
      </c>
      <c r="C2057" t="s">
        <v>748</v>
      </c>
      <c r="D2057" t="s">
        <v>285</v>
      </c>
      <c r="E2057" s="35">
        <v>0.17899999999999999</v>
      </c>
      <c r="F2057" s="35">
        <v>0.22800000000000001</v>
      </c>
      <c r="G2057" s="35">
        <v>200</v>
      </c>
    </row>
    <row r="2058" spans="1:7" x14ac:dyDescent="0.25">
      <c r="A2058">
        <v>20221028</v>
      </c>
      <c r="B2058" t="s">
        <v>771</v>
      </c>
      <c r="C2058" t="s">
        <v>748</v>
      </c>
      <c r="D2058" t="s">
        <v>289</v>
      </c>
      <c r="E2058" s="35">
        <v>0.17899999999999999</v>
      </c>
      <c r="F2058" s="35">
        <v>0.22800000000000001</v>
      </c>
      <c r="G2058" s="35">
        <v>150</v>
      </c>
    </row>
    <row r="2059" spans="1:7" x14ac:dyDescent="0.25">
      <c r="A2059">
        <v>20221028</v>
      </c>
      <c r="B2059" t="s">
        <v>771</v>
      </c>
      <c r="C2059" t="s">
        <v>186</v>
      </c>
      <c r="D2059" t="s">
        <v>187</v>
      </c>
      <c r="E2059" s="35">
        <v>0.22900000000000001</v>
      </c>
      <c r="F2059" s="35">
        <v>0.29799999999999999</v>
      </c>
      <c r="G2059" s="35">
        <v>1610</v>
      </c>
    </row>
    <row r="2060" spans="1:7" x14ac:dyDescent="0.25">
      <c r="A2060">
        <v>20221028</v>
      </c>
      <c r="B2060" t="s">
        <v>771</v>
      </c>
      <c r="C2060" t="s">
        <v>186</v>
      </c>
      <c r="D2060" t="s">
        <v>214</v>
      </c>
      <c r="E2060" s="35">
        <v>0.22900000000000001</v>
      </c>
      <c r="F2060" s="35">
        <v>0.29799999999999999</v>
      </c>
      <c r="G2060" s="35">
        <v>1610</v>
      </c>
    </row>
    <row r="2061" spans="1:7" x14ac:dyDescent="0.25">
      <c r="A2061">
        <v>20221028</v>
      </c>
      <c r="B2061" t="s">
        <v>771</v>
      </c>
      <c r="C2061" t="s">
        <v>186</v>
      </c>
      <c r="D2061" t="s">
        <v>233</v>
      </c>
      <c r="E2061" s="35">
        <v>0.22900000000000001</v>
      </c>
      <c r="F2061" s="35">
        <v>0.29799999999999999</v>
      </c>
      <c r="G2061" s="35">
        <v>1610</v>
      </c>
    </row>
    <row r="2062" spans="1:7" x14ac:dyDescent="0.25">
      <c r="A2062">
        <v>20221028</v>
      </c>
      <c r="B2062" t="s">
        <v>771</v>
      </c>
      <c r="C2062" t="s">
        <v>186</v>
      </c>
      <c r="D2062" t="s">
        <v>242</v>
      </c>
      <c r="E2062" s="35">
        <v>0.22900000000000001</v>
      </c>
      <c r="F2062" s="35">
        <v>0.29799999999999999</v>
      </c>
      <c r="G2062" s="35">
        <v>1400</v>
      </c>
    </row>
    <row r="2063" spans="1:7" x14ac:dyDescent="0.25">
      <c r="A2063">
        <v>20221028</v>
      </c>
      <c r="B2063" t="s">
        <v>771</v>
      </c>
      <c r="C2063" t="s">
        <v>186</v>
      </c>
      <c r="D2063" t="s">
        <v>250</v>
      </c>
      <c r="E2063" s="35">
        <v>0.22900000000000001</v>
      </c>
      <c r="F2063" s="35">
        <v>0.29799999999999999</v>
      </c>
      <c r="G2063" s="35">
        <v>1400</v>
      </c>
    </row>
    <row r="2064" spans="1:7" x14ac:dyDescent="0.25">
      <c r="A2064">
        <v>20221028</v>
      </c>
      <c r="B2064" t="s">
        <v>771</v>
      </c>
      <c r="C2064" t="s">
        <v>186</v>
      </c>
      <c r="D2064" t="s">
        <v>258</v>
      </c>
      <c r="E2064" s="35">
        <v>0.22900000000000001</v>
      </c>
      <c r="F2064" s="35">
        <v>0.29799999999999999</v>
      </c>
      <c r="G2064" s="35">
        <v>1060</v>
      </c>
    </row>
    <row r="2065" spans="1:7" x14ac:dyDescent="0.25">
      <c r="A2065">
        <v>20221028</v>
      </c>
      <c r="B2065" t="s">
        <v>771</v>
      </c>
      <c r="C2065" t="s">
        <v>186</v>
      </c>
      <c r="D2065" t="s">
        <v>265</v>
      </c>
      <c r="E2065" s="35">
        <v>0.22900000000000001</v>
      </c>
      <c r="F2065" s="35">
        <v>0.29799999999999999</v>
      </c>
      <c r="G2065" s="35">
        <v>910</v>
      </c>
    </row>
    <row r="2066" spans="1:7" x14ac:dyDescent="0.25">
      <c r="A2066">
        <v>20221028</v>
      </c>
      <c r="B2066" t="s">
        <v>771</v>
      </c>
      <c r="C2066" t="s">
        <v>186</v>
      </c>
      <c r="D2066" t="s">
        <v>273</v>
      </c>
      <c r="E2066" s="35">
        <v>0.22900000000000001</v>
      </c>
      <c r="F2066" s="35">
        <v>0.29799999999999999</v>
      </c>
      <c r="G2066" s="35">
        <v>770</v>
      </c>
    </row>
    <row r="2067" spans="1:7" x14ac:dyDescent="0.25">
      <c r="A2067">
        <v>20221028</v>
      </c>
      <c r="B2067" t="s">
        <v>771</v>
      </c>
      <c r="C2067" t="s">
        <v>186</v>
      </c>
      <c r="D2067" t="s">
        <v>279</v>
      </c>
      <c r="E2067" s="35">
        <v>0.22900000000000001</v>
      </c>
      <c r="F2067" s="35">
        <v>0.29799999999999999</v>
      </c>
      <c r="G2067" s="35">
        <v>640</v>
      </c>
    </row>
    <row r="2068" spans="1:7" x14ac:dyDescent="0.25">
      <c r="A2068">
        <v>20221028</v>
      </c>
      <c r="B2068" t="s">
        <v>771</v>
      </c>
      <c r="C2068" t="s">
        <v>186</v>
      </c>
      <c r="D2068" t="s">
        <v>285</v>
      </c>
      <c r="E2068" s="35">
        <v>0.22900000000000001</v>
      </c>
      <c r="F2068" s="35">
        <v>0.29799999999999999</v>
      </c>
      <c r="G2068" s="35">
        <v>510</v>
      </c>
    </row>
    <row r="2069" spans="1:7" x14ac:dyDescent="0.25">
      <c r="A2069">
        <v>20221028</v>
      </c>
      <c r="B2069" t="s">
        <v>771</v>
      </c>
      <c r="C2069" t="s">
        <v>186</v>
      </c>
      <c r="D2069" t="s">
        <v>289</v>
      </c>
      <c r="E2069" s="35">
        <v>0.22900000000000001</v>
      </c>
      <c r="F2069" s="35">
        <v>0.29799999999999999</v>
      </c>
      <c r="G2069" s="35">
        <v>400</v>
      </c>
    </row>
    <row r="2070" spans="1:7" x14ac:dyDescent="0.25">
      <c r="A2070">
        <v>20221028</v>
      </c>
      <c r="B2070" t="s">
        <v>771</v>
      </c>
      <c r="C2070" t="s">
        <v>213</v>
      </c>
      <c r="D2070" t="s">
        <v>187</v>
      </c>
      <c r="E2070" s="35">
        <v>0.22900000000000001</v>
      </c>
      <c r="F2070" s="35">
        <v>0.29799999999999999</v>
      </c>
      <c r="G2070" s="35">
        <v>1610</v>
      </c>
    </row>
    <row r="2071" spans="1:7" x14ac:dyDescent="0.25">
      <c r="A2071">
        <v>20221028</v>
      </c>
      <c r="B2071" t="s">
        <v>771</v>
      </c>
      <c r="C2071" t="s">
        <v>213</v>
      </c>
      <c r="D2071" t="s">
        <v>214</v>
      </c>
      <c r="E2071" s="35">
        <v>0.22900000000000001</v>
      </c>
      <c r="F2071" s="35">
        <v>0.29799999999999999</v>
      </c>
      <c r="G2071" s="35">
        <v>1610</v>
      </c>
    </row>
    <row r="2072" spans="1:7" x14ac:dyDescent="0.25">
      <c r="A2072">
        <v>20221028</v>
      </c>
      <c r="B2072" t="s">
        <v>771</v>
      </c>
      <c r="C2072" t="s">
        <v>213</v>
      </c>
      <c r="D2072" t="s">
        <v>233</v>
      </c>
      <c r="E2072" s="35">
        <v>0.22900000000000001</v>
      </c>
      <c r="F2072" s="35">
        <v>0.29799999999999999</v>
      </c>
      <c r="G2072" s="35">
        <v>1610</v>
      </c>
    </row>
    <row r="2073" spans="1:7" x14ac:dyDescent="0.25">
      <c r="A2073">
        <v>20221028</v>
      </c>
      <c r="B2073" t="s">
        <v>771</v>
      </c>
      <c r="C2073" t="s">
        <v>213</v>
      </c>
      <c r="D2073" t="s">
        <v>242</v>
      </c>
      <c r="E2073" s="35">
        <v>0.22900000000000001</v>
      </c>
      <c r="F2073" s="35">
        <v>0.29799999999999999</v>
      </c>
      <c r="G2073" s="35">
        <v>1400</v>
      </c>
    </row>
    <row r="2074" spans="1:7" x14ac:dyDescent="0.25">
      <c r="A2074">
        <v>20221028</v>
      </c>
      <c r="B2074" t="s">
        <v>771</v>
      </c>
      <c r="C2074" t="s">
        <v>213</v>
      </c>
      <c r="D2074" t="s">
        <v>250</v>
      </c>
      <c r="E2074" s="35">
        <v>0.22900000000000001</v>
      </c>
      <c r="F2074" s="35">
        <v>0.29799999999999999</v>
      </c>
      <c r="G2074" s="35">
        <v>1400</v>
      </c>
    </row>
    <row r="2075" spans="1:7" x14ac:dyDescent="0.25">
      <c r="A2075">
        <v>20221028</v>
      </c>
      <c r="B2075" t="s">
        <v>771</v>
      </c>
      <c r="C2075" t="s">
        <v>213</v>
      </c>
      <c r="D2075" t="s">
        <v>258</v>
      </c>
      <c r="E2075" s="35">
        <v>0.22900000000000001</v>
      </c>
      <c r="F2075" s="35">
        <v>0.29799999999999999</v>
      </c>
      <c r="G2075" s="35">
        <v>1060</v>
      </c>
    </row>
    <row r="2076" spans="1:7" x14ac:dyDescent="0.25">
      <c r="A2076">
        <v>20221028</v>
      </c>
      <c r="B2076" t="s">
        <v>771</v>
      </c>
      <c r="C2076" t="s">
        <v>213</v>
      </c>
      <c r="D2076" t="s">
        <v>265</v>
      </c>
      <c r="E2076" s="35">
        <v>0.22900000000000001</v>
      </c>
      <c r="F2076" s="35">
        <v>0.29799999999999999</v>
      </c>
      <c r="G2076" s="35">
        <v>910</v>
      </c>
    </row>
    <row r="2077" spans="1:7" x14ac:dyDescent="0.25">
      <c r="A2077">
        <v>20221028</v>
      </c>
      <c r="B2077" t="s">
        <v>771</v>
      </c>
      <c r="C2077" t="s">
        <v>213</v>
      </c>
      <c r="D2077" t="s">
        <v>273</v>
      </c>
      <c r="E2077" s="35">
        <v>0.22900000000000001</v>
      </c>
      <c r="F2077" s="35">
        <v>0.29799999999999999</v>
      </c>
      <c r="G2077" s="35">
        <v>770</v>
      </c>
    </row>
    <row r="2078" spans="1:7" x14ac:dyDescent="0.25">
      <c r="A2078">
        <v>20221028</v>
      </c>
      <c r="B2078" t="s">
        <v>771</v>
      </c>
      <c r="C2078" t="s">
        <v>213</v>
      </c>
      <c r="D2078" t="s">
        <v>279</v>
      </c>
      <c r="E2078" s="35">
        <v>0.22900000000000001</v>
      </c>
      <c r="F2078" s="35">
        <v>0.29799999999999999</v>
      </c>
      <c r="G2078" s="35">
        <v>640</v>
      </c>
    </row>
    <row r="2079" spans="1:7" x14ac:dyDescent="0.25">
      <c r="A2079">
        <v>20221028</v>
      </c>
      <c r="B2079" t="s">
        <v>771</v>
      </c>
      <c r="C2079" t="s">
        <v>213</v>
      </c>
      <c r="D2079" t="s">
        <v>285</v>
      </c>
      <c r="E2079" s="35">
        <v>0.22900000000000001</v>
      </c>
      <c r="F2079" s="35">
        <v>0.29799999999999999</v>
      </c>
      <c r="G2079" s="35">
        <v>510</v>
      </c>
    </row>
    <row r="2080" spans="1:7" x14ac:dyDescent="0.25">
      <c r="A2080">
        <v>20221028</v>
      </c>
      <c r="B2080" t="s">
        <v>771</v>
      </c>
      <c r="C2080" t="s">
        <v>213</v>
      </c>
      <c r="D2080" t="s">
        <v>289</v>
      </c>
      <c r="E2080" s="35">
        <v>0.22900000000000001</v>
      </c>
      <c r="F2080" s="35">
        <v>0.29799999999999999</v>
      </c>
      <c r="G2080" s="35">
        <v>400</v>
      </c>
    </row>
    <row r="2081" spans="1:7" x14ac:dyDescent="0.25">
      <c r="A2081">
        <v>20221028</v>
      </c>
      <c r="B2081" t="s">
        <v>771</v>
      </c>
      <c r="C2081" t="s">
        <v>232</v>
      </c>
      <c r="D2081" t="s">
        <v>187</v>
      </c>
      <c r="E2081" s="35">
        <v>0.22900000000000001</v>
      </c>
      <c r="F2081" s="35">
        <v>0.29799999999999999</v>
      </c>
      <c r="G2081" s="35">
        <v>1610</v>
      </c>
    </row>
    <row r="2082" spans="1:7" x14ac:dyDescent="0.25">
      <c r="A2082">
        <v>20221028</v>
      </c>
      <c r="B2082" t="s">
        <v>771</v>
      </c>
      <c r="C2082" t="s">
        <v>232</v>
      </c>
      <c r="D2082" t="s">
        <v>214</v>
      </c>
      <c r="E2082" s="35">
        <v>0.22900000000000001</v>
      </c>
      <c r="F2082" s="35">
        <v>0.29799999999999999</v>
      </c>
      <c r="G2082" s="35">
        <v>1610</v>
      </c>
    </row>
    <row r="2083" spans="1:7" x14ac:dyDescent="0.25">
      <c r="A2083">
        <v>20221028</v>
      </c>
      <c r="B2083" t="s">
        <v>771</v>
      </c>
      <c r="C2083" t="s">
        <v>232</v>
      </c>
      <c r="D2083" t="s">
        <v>233</v>
      </c>
      <c r="E2083" s="35">
        <v>0.22900000000000001</v>
      </c>
      <c r="F2083" s="35">
        <v>0.29799999999999999</v>
      </c>
      <c r="G2083" s="35">
        <v>1610</v>
      </c>
    </row>
    <row r="2084" spans="1:7" x14ac:dyDescent="0.25">
      <c r="A2084">
        <v>20221028</v>
      </c>
      <c r="B2084" t="s">
        <v>771</v>
      </c>
      <c r="C2084" t="s">
        <v>232</v>
      </c>
      <c r="D2084" t="s">
        <v>242</v>
      </c>
      <c r="E2084" s="35">
        <v>0.22900000000000001</v>
      </c>
      <c r="F2084" s="35">
        <v>0.29799999999999999</v>
      </c>
      <c r="G2084" s="35">
        <v>1400</v>
      </c>
    </row>
    <row r="2085" spans="1:7" x14ac:dyDescent="0.25">
      <c r="A2085">
        <v>20221028</v>
      </c>
      <c r="B2085" t="s">
        <v>771</v>
      </c>
      <c r="C2085" t="s">
        <v>232</v>
      </c>
      <c r="D2085" t="s">
        <v>250</v>
      </c>
      <c r="E2085" s="35">
        <v>0.22900000000000001</v>
      </c>
      <c r="F2085" s="35">
        <v>0.29799999999999999</v>
      </c>
      <c r="G2085" s="35">
        <v>1400</v>
      </c>
    </row>
    <row r="2086" spans="1:7" x14ac:dyDescent="0.25">
      <c r="A2086">
        <v>20221028</v>
      </c>
      <c r="B2086" t="s">
        <v>771</v>
      </c>
      <c r="C2086" t="s">
        <v>232</v>
      </c>
      <c r="D2086" t="s">
        <v>258</v>
      </c>
      <c r="E2086" s="35">
        <v>0.22900000000000001</v>
      </c>
      <c r="F2086" s="35">
        <v>0.29799999999999999</v>
      </c>
      <c r="G2086" s="35">
        <v>1060</v>
      </c>
    </row>
    <row r="2087" spans="1:7" x14ac:dyDescent="0.25">
      <c r="A2087">
        <v>20221028</v>
      </c>
      <c r="B2087" t="s">
        <v>771</v>
      </c>
      <c r="C2087" t="s">
        <v>232</v>
      </c>
      <c r="D2087" t="s">
        <v>265</v>
      </c>
      <c r="E2087" s="35">
        <v>0.22900000000000001</v>
      </c>
      <c r="F2087" s="35">
        <v>0.29799999999999999</v>
      </c>
      <c r="G2087" s="35">
        <v>910</v>
      </c>
    </row>
    <row r="2088" spans="1:7" x14ac:dyDescent="0.25">
      <c r="A2088">
        <v>20221028</v>
      </c>
      <c r="B2088" t="s">
        <v>771</v>
      </c>
      <c r="C2088" t="s">
        <v>232</v>
      </c>
      <c r="D2088" t="s">
        <v>273</v>
      </c>
      <c r="E2088" s="35">
        <v>0.22900000000000001</v>
      </c>
      <c r="F2088" s="35">
        <v>0.29799999999999999</v>
      </c>
      <c r="G2088" s="35">
        <v>770</v>
      </c>
    </row>
    <row r="2089" spans="1:7" x14ac:dyDescent="0.25">
      <c r="A2089">
        <v>20221028</v>
      </c>
      <c r="B2089" t="s">
        <v>771</v>
      </c>
      <c r="C2089" t="s">
        <v>232</v>
      </c>
      <c r="D2089" t="s">
        <v>279</v>
      </c>
      <c r="E2089" s="35">
        <v>0.22900000000000001</v>
      </c>
      <c r="F2089" s="35">
        <v>0.29799999999999999</v>
      </c>
      <c r="G2089" s="35">
        <v>640</v>
      </c>
    </row>
    <row r="2090" spans="1:7" x14ac:dyDescent="0.25">
      <c r="A2090">
        <v>20221028</v>
      </c>
      <c r="B2090" t="s">
        <v>771</v>
      </c>
      <c r="C2090" t="s">
        <v>232</v>
      </c>
      <c r="D2090" t="s">
        <v>285</v>
      </c>
      <c r="E2090" s="35">
        <v>0.22900000000000001</v>
      </c>
      <c r="F2090" s="35">
        <v>0.29799999999999999</v>
      </c>
      <c r="G2090" s="35">
        <v>510</v>
      </c>
    </row>
    <row r="2091" spans="1:7" x14ac:dyDescent="0.25">
      <c r="A2091">
        <v>20221028</v>
      </c>
      <c r="B2091" t="s">
        <v>771</v>
      </c>
      <c r="C2091" t="s">
        <v>232</v>
      </c>
      <c r="D2091" t="s">
        <v>289</v>
      </c>
      <c r="E2091" s="35">
        <v>0.22900000000000001</v>
      </c>
      <c r="F2091" s="35">
        <v>0.29799999999999999</v>
      </c>
      <c r="G2091" s="35">
        <v>400</v>
      </c>
    </row>
    <row r="2092" spans="1:7" x14ac:dyDescent="0.25">
      <c r="A2092">
        <v>20221028</v>
      </c>
      <c r="B2092" t="s">
        <v>771</v>
      </c>
      <c r="C2092" t="s">
        <v>215</v>
      </c>
      <c r="D2092" t="s">
        <v>187</v>
      </c>
      <c r="E2092" s="35">
        <v>0.22900000000000001</v>
      </c>
      <c r="F2092" s="35">
        <v>0.29799999999999999</v>
      </c>
      <c r="G2092" s="35">
        <v>1410</v>
      </c>
    </row>
    <row r="2093" spans="1:7" x14ac:dyDescent="0.25">
      <c r="A2093">
        <v>20221028</v>
      </c>
      <c r="B2093" t="s">
        <v>771</v>
      </c>
      <c r="C2093" t="s">
        <v>215</v>
      </c>
      <c r="D2093" t="s">
        <v>214</v>
      </c>
      <c r="E2093" s="35">
        <v>0.22900000000000001</v>
      </c>
      <c r="F2093" s="35">
        <v>0.29799999999999999</v>
      </c>
      <c r="G2093" s="35">
        <v>1410</v>
      </c>
    </row>
    <row r="2094" spans="1:7" x14ac:dyDescent="0.25">
      <c r="A2094">
        <v>20221028</v>
      </c>
      <c r="B2094" t="s">
        <v>771</v>
      </c>
      <c r="C2094" t="s">
        <v>215</v>
      </c>
      <c r="D2094" t="s">
        <v>233</v>
      </c>
      <c r="E2094" s="35">
        <v>0.22900000000000001</v>
      </c>
      <c r="F2094" s="35">
        <v>0.29799999999999999</v>
      </c>
      <c r="G2094" s="35">
        <v>1410</v>
      </c>
    </row>
    <row r="2095" spans="1:7" x14ac:dyDescent="0.25">
      <c r="A2095">
        <v>20221028</v>
      </c>
      <c r="B2095" t="s">
        <v>771</v>
      </c>
      <c r="C2095" t="s">
        <v>215</v>
      </c>
      <c r="D2095" t="s">
        <v>242</v>
      </c>
      <c r="E2095" s="35">
        <v>0.22900000000000001</v>
      </c>
      <c r="F2095" s="35">
        <v>0.29799999999999999</v>
      </c>
      <c r="G2095" s="35">
        <v>1210</v>
      </c>
    </row>
    <row r="2096" spans="1:7" x14ac:dyDescent="0.25">
      <c r="A2096">
        <v>20221028</v>
      </c>
      <c r="B2096" t="s">
        <v>771</v>
      </c>
      <c r="C2096" t="s">
        <v>215</v>
      </c>
      <c r="D2096" t="s">
        <v>250</v>
      </c>
      <c r="E2096" s="35">
        <v>0.22900000000000001</v>
      </c>
      <c r="F2096" s="35">
        <v>0.29799999999999999</v>
      </c>
      <c r="G2096" s="35">
        <v>1210</v>
      </c>
    </row>
    <row r="2097" spans="1:7" x14ac:dyDescent="0.25">
      <c r="A2097">
        <v>20221028</v>
      </c>
      <c r="B2097" t="s">
        <v>771</v>
      </c>
      <c r="C2097" t="s">
        <v>215</v>
      </c>
      <c r="D2097" t="s">
        <v>258</v>
      </c>
      <c r="E2097" s="35">
        <v>0.22900000000000001</v>
      </c>
      <c r="F2097" s="35">
        <v>0.29799999999999999</v>
      </c>
      <c r="G2097" s="35">
        <v>930</v>
      </c>
    </row>
    <row r="2098" spans="1:7" x14ac:dyDescent="0.25">
      <c r="A2098">
        <v>20221028</v>
      </c>
      <c r="B2098" t="s">
        <v>771</v>
      </c>
      <c r="C2098" t="s">
        <v>215</v>
      </c>
      <c r="D2098" t="s">
        <v>265</v>
      </c>
      <c r="E2098" s="35">
        <v>0.22900000000000001</v>
      </c>
      <c r="F2098" s="35">
        <v>0.29799999999999999</v>
      </c>
      <c r="G2098" s="35">
        <v>800</v>
      </c>
    </row>
    <row r="2099" spans="1:7" x14ac:dyDescent="0.25">
      <c r="A2099">
        <v>20221028</v>
      </c>
      <c r="B2099" t="s">
        <v>771</v>
      </c>
      <c r="C2099" t="s">
        <v>215</v>
      </c>
      <c r="D2099" t="s">
        <v>273</v>
      </c>
      <c r="E2099" s="35">
        <v>0.22900000000000001</v>
      </c>
      <c r="F2099" s="35">
        <v>0.29799999999999999</v>
      </c>
      <c r="G2099" s="35">
        <v>680</v>
      </c>
    </row>
    <row r="2100" spans="1:7" x14ac:dyDescent="0.25">
      <c r="A2100">
        <v>20221028</v>
      </c>
      <c r="B2100" t="s">
        <v>771</v>
      </c>
      <c r="C2100" t="s">
        <v>215</v>
      </c>
      <c r="D2100" t="s">
        <v>279</v>
      </c>
      <c r="E2100" s="35">
        <v>0.22900000000000001</v>
      </c>
      <c r="F2100" s="35">
        <v>0.29799999999999999</v>
      </c>
      <c r="G2100" s="35">
        <v>560</v>
      </c>
    </row>
    <row r="2101" spans="1:7" x14ac:dyDescent="0.25">
      <c r="A2101">
        <v>20221028</v>
      </c>
      <c r="B2101" t="s">
        <v>771</v>
      </c>
      <c r="C2101" t="s">
        <v>215</v>
      </c>
      <c r="D2101" t="s">
        <v>285</v>
      </c>
      <c r="E2101" s="35">
        <v>0.22900000000000001</v>
      </c>
      <c r="F2101" s="35">
        <v>0.29799999999999999</v>
      </c>
      <c r="G2101" s="35">
        <v>450</v>
      </c>
    </row>
    <row r="2102" spans="1:7" x14ac:dyDescent="0.25">
      <c r="A2102">
        <v>20221028</v>
      </c>
      <c r="B2102" t="s">
        <v>771</v>
      </c>
      <c r="C2102" t="s">
        <v>215</v>
      </c>
      <c r="D2102" t="s">
        <v>289</v>
      </c>
      <c r="E2102" s="35">
        <v>0.22900000000000001</v>
      </c>
      <c r="F2102" s="35">
        <v>0.29799999999999999</v>
      </c>
      <c r="G2102" s="35">
        <v>350</v>
      </c>
    </row>
    <row r="2103" spans="1:7" x14ac:dyDescent="0.25">
      <c r="A2103">
        <v>20221028</v>
      </c>
      <c r="B2103" t="s">
        <v>771</v>
      </c>
      <c r="C2103" t="s">
        <v>249</v>
      </c>
      <c r="D2103" t="s">
        <v>187</v>
      </c>
      <c r="E2103" s="35">
        <v>0.22900000000000001</v>
      </c>
      <c r="F2103" s="35">
        <v>0.29799999999999999</v>
      </c>
      <c r="G2103" s="35">
        <v>1410</v>
      </c>
    </row>
    <row r="2104" spans="1:7" x14ac:dyDescent="0.25">
      <c r="A2104">
        <v>20221028</v>
      </c>
      <c r="B2104" t="s">
        <v>771</v>
      </c>
      <c r="C2104" t="s">
        <v>249</v>
      </c>
      <c r="D2104" t="s">
        <v>214</v>
      </c>
      <c r="E2104" s="35">
        <v>0.22900000000000001</v>
      </c>
      <c r="F2104" s="35">
        <v>0.29799999999999999</v>
      </c>
      <c r="G2104" s="35">
        <v>1410</v>
      </c>
    </row>
    <row r="2105" spans="1:7" x14ac:dyDescent="0.25">
      <c r="A2105">
        <v>20221028</v>
      </c>
      <c r="B2105" t="s">
        <v>771</v>
      </c>
      <c r="C2105" t="s">
        <v>249</v>
      </c>
      <c r="D2105" t="s">
        <v>233</v>
      </c>
      <c r="E2105" s="35">
        <v>0.22900000000000001</v>
      </c>
      <c r="F2105" s="35">
        <v>0.29799999999999999</v>
      </c>
      <c r="G2105" s="35">
        <v>1410</v>
      </c>
    </row>
    <row r="2106" spans="1:7" x14ac:dyDescent="0.25">
      <c r="A2106">
        <v>20221028</v>
      </c>
      <c r="B2106" t="s">
        <v>771</v>
      </c>
      <c r="C2106" t="s">
        <v>249</v>
      </c>
      <c r="D2106" t="s">
        <v>242</v>
      </c>
      <c r="E2106" s="35">
        <v>0.22900000000000001</v>
      </c>
      <c r="F2106" s="35">
        <v>0.29799999999999999</v>
      </c>
      <c r="G2106" s="35">
        <v>1210</v>
      </c>
    </row>
    <row r="2107" spans="1:7" x14ac:dyDescent="0.25">
      <c r="A2107">
        <v>20221028</v>
      </c>
      <c r="B2107" t="s">
        <v>771</v>
      </c>
      <c r="C2107" t="s">
        <v>249</v>
      </c>
      <c r="D2107" t="s">
        <v>250</v>
      </c>
      <c r="E2107" s="35">
        <v>0.22900000000000001</v>
      </c>
      <c r="F2107" s="35">
        <v>0.29799999999999999</v>
      </c>
      <c r="G2107" s="35">
        <v>1210</v>
      </c>
    </row>
    <row r="2108" spans="1:7" x14ac:dyDescent="0.25">
      <c r="A2108">
        <v>20221028</v>
      </c>
      <c r="B2108" t="s">
        <v>771</v>
      </c>
      <c r="C2108" t="s">
        <v>249</v>
      </c>
      <c r="D2108" t="s">
        <v>258</v>
      </c>
      <c r="E2108" s="35">
        <v>0.22900000000000001</v>
      </c>
      <c r="F2108" s="35">
        <v>0.29799999999999999</v>
      </c>
      <c r="G2108" s="35">
        <v>930</v>
      </c>
    </row>
    <row r="2109" spans="1:7" x14ac:dyDescent="0.25">
      <c r="A2109">
        <v>20221028</v>
      </c>
      <c r="B2109" t="s">
        <v>771</v>
      </c>
      <c r="C2109" t="s">
        <v>249</v>
      </c>
      <c r="D2109" t="s">
        <v>265</v>
      </c>
      <c r="E2109" s="35">
        <v>0.22900000000000001</v>
      </c>
      <c r="F2109" s="35">
        <v>0.29799999999999999</v>
      </c>
      <c r="G2109" s="35">
        <v>800</v>
      </c>
    </row>
    <row r="2110" spans="1:7" x14ac:dyDescent="0.25">
      <c r="A2110">
        <v>20221028</v>
      </c>
      <c r="B2110" t="s">
        <v>771</v>
      </c>
      <c r="C2110" t="s">
        <v>249</v>
      </c>
      <c r="D2110" t="s">
        <v>273</v>
      </c>
      <c r="E2110" s="35">
        <v>0.22900000000000001</v>
      </c>
      <c r="F2110" s="35">
        <v>0.29799999999999999</v>
      </c>
      <c r="G2110" s="35">
        <v>680</v>
      </c>
    </row>
    <row r="2111" spans="1:7" x14ac:dyDescent="0.25">
      <c r="A2111">
        <v>20221028</v>
      </c>
      <c r="B2111" t="s">
        <v>771</v>
      </c>
      <c r="C2111" t="s">
        <v>249</v>
      </c>
      <c r="D2111" t="s">
        <v>279</v>
      </c>
      <c r="E2111" s="35">
        <v>0.22900000000000001</v>
      </c>
      <c r="F2111" s="35">
        <v>0.29799999999999999</v>
      </c>
      <c r="G2111" s="35">
        <v>560</v>
      </c>
    </row>
    <row r="2112" spans="1:7" x14ac:dyDescent="0.25">
      <c r="A2112">
        <v>20221028</v>
      </c>
      <c r="B2112" t="s">
        <v>771</v>
      </c>
      <c r="C2112" t="s">
        <v>249</v>
      </c>
      <c r="D2112" t="s">
        <v>285</v>
      </c>
      <c r="E2112" s="35">
        <v>0.22900000000000001</v>
      </c>
      <c r="F2112" s="35">
        <v>0.29799999999999999</v>
      </c>
      <c r="G2112" s="35">
        <v>450</v>
      </c>
    </row>
    <row r="2113" spans="1:7" x14ac:dyDescent="0.25">
      <c r="A2113">
        <v>20221028</v>
      </c>
      <c r="B2113" t="s">
        <v>771</v>
      </c>
      <c r="C2113" t="s">
        <v>249</v>
      </c>
      <c r="D2113" t="s">
        <v>289</v>
      </c>
      <c r="E2113" s="35">
        <v>0.22900000000000001</v>
      </c>
      <c r="F2113" s="35">
        <v>0.29799999999999999</v>
      </c>
      <c r="G2113" s="35">
        <v>350</v>
      </c>
    </row>
    <row r="2114" spans="1:7" x14ac:dyDescent="0.25">
      <c r="A2114">
        <v>20221028</v>
      </c>
      <c r="B2114" t="s">
        <v>771</v>
      </c>
      <c r="C2114" t="s">
        <v>257</v>
      </c>
      <c r="D2114" t="s">
        <v>187</v>
      </c>
      <c r="E2114" s="35">
        <v>0.22900000000000001</v>
      </c>
      <c r="F2114" s="35">
        <v>0.29799999999999999</v>
      </c>
      <c r="G2114" s="35">
        <v>1180</v>
      </c>
    </row>
    <row r="2115" spans="1:7" x14ac:dyDescent="0.25">
      <c r="A2115">
        <v>20221028</v>
      </c>
      <c r="B2115" t="s">
        <v>771</v>
      </c>
      <c r="C2115" t="s">
        <v>257</v>
      </c>
      <c r="D2115" t="s">
        <v>214</v>
      </c>
      <c r="E2115" s="35">
        <v>0.22900000000000001</v>
      </c>
      <c r="F2115" s="35">
        <v>0.29799999999999999</v>
      </c>
      <c r="G2115" s="35">
        <v>1180</v>
      </c>
    </row>
    <row r="2116" spans="1:7" x14ac:dyDescent="0.25">
      <c r="A2116">
        <v>20221028</v>
      </c>
      <c r="B2116" t="s">
        <v>771</v>
      </c>
      <c r="C2116" t="s">
        <v>257</v>
      </c>
      <c r="D2116" t="s">
        <v>233</v>
      </c>
      <c r="E2116" s="35">
        <v>0.22900000000000001</v>
      </c>
      <c r="F2116" s="35">
        <v>0.29799999999999999</v>
      </c>
      <c r="G2116" s="35">
        <v>1180</v>
      </c>
    </row>
    <row r="2117" spans="1:7" x14ac:dyDescent="0.25">
      <c r="A2117">
        <v>20221028</v>
      </c>
      <c r="B2117" t="s">
        <v>771</v>
      </c>
      <c r="C2117" t="s">
        <v>257</v>
      </c>
      <c r="D2117" t="s">
        <v>242</v>
      </c>
      <c r="E2117" s="35">
        <v>0.22900000000000001</v>
      </c>
      <c r="F2117" s="35">
        <v>0.29799999999999999</v>
      </c>
      <c r="G2117" s="35">
        <v>990</v>
      </c>
    </row>
    <row r="2118" spans="1:7" x14ac:dyDescent="0.25">
      <c r="A2118">
        <v>20221028</v>
      </c>
      <c r="B2118" t="s">
        <v>771</v>
      </c>
      <c r="C2118" t="s">
        <v>257</v>
      </c>
      <c r="D2118" t="s">
        <v>250</v>
      </c>
      <c r="E2118" s="35">
        <v>0.22900000000000001</v>
      </c>
      <c r="F2118" s="35">
        <v>0.29799999999999999</v>
      </c>
      <c r="G2118" s="35">
        <v>990</v>
      </c>
    </row>
    <row r="2119" spans="1:7" x14ac:dyDescent="0.25">
      <c r="A2119">
        <v>20221028</v>
      </c>
      <c r="B2119" t="s">
        <v>771</v>
      </c>
      <c r="C2119" t="s">
        <v>257</v>
      </c>
      <c r="D2119" t="s">
        <v>258</v>
      </c>
      <c r="E2119" s="35">
        <v>0.22900000000000001</v>
      </c>
      <c r="F2119" s="35">
        <v>0.29799999999999999</v>
      </c>
      <c r="G2119" s="35">
        <v>780</v>
      </c>
    </row>
    <row r="2120" spans="1:7" x14ac:dyDescent="0.25">
      <c r="A2120">
        <v>20221028</v>
      </c>
      <c r="B2120" t="s">
        <v>771</v>
      </c>
      <c r="C2120" t="s">
        <v>257</v>
      </c>
      <c r="D2120" t="s">
        <v>265</v>
      </c>
      <c r="E2120" s="35">
        <v>0.22900000000000001</v>
      </c>
      <c r="F2120" s="35">
        <v>0.29799999999999999</v>
      </c>
      <c r="G2120" s="35">
        <v>680</v>
      </c>
    </row>
    <row r="2121" spans="1:7" x14ac:dyDescent="0.25">
      <c r="A2121">
        <v>20221028</v>
      </c>
      <c r="B2121" t="s">
        <v>771</v>
      </c>
      <c r="C2121" t="s">
        <v>257</v>
      </c>
      <c r="D2121" t="s">
        <v>273</v>
      </c>
      <c r="E2121" s="35">
        <v>0.22900000000000001</v>
      </c>
      <c r="F2121" s="35">
        <v>0.29799999999999999</v>
      </c>
      <c r="G2121" s="35">
        <v>590</v>
      </c>
    </row>
    <row r="2122" spans="1:7" x14ac:dyDescent="0.25">
      <c r="A2122">
        <v>20221028</v>
      </c>
      <c r="B2122" t="s">
        <v>771</v>
      </c>
      <c r="C2122" t="s">
        <v>257</v>
      </c>
      <c r="D2122" t="s">
        <v>279</v>
      </c>
      <c r="E2122" s="35">
        <v>0.22900000000000001</v>
      </c>
      <c r="F2122" s="35">
        <v>0.29799999999999999</v>
      </c>
      <c r="G2122" s="35">
        <v>490</v>
      </c>
    </row>
    <row r="2123" spans="1:7" x14ac:dyDescent="0.25">
      <c r="A2123">
        <v>20221028</v>
      </c>
      <c r="B2123" t="s">
        <v>771</v>
      </c>
      <c r="C2123" t="s">
        <v>257</v>
      </c>
      <c r="D2123" t="s">
        <v>285</v>
      </c>
      <c r="E2123" s="35">
        <v>0.22900000000000001</v>
      </c>
      <c r="F2123" s="35">
        <v>0.29799999999999999</v>
      </c>
      <c r="G2123" s="35">
        <v>390</v>
      </c>
    </row>
    <row r="2124" spans="1:7" x14ac:dyDescent="0.25">
      <c r="A2124">
        <v>20221028</v>
      </c>
      <c r="B2124" t="s">
        <v>771</v>
      </c>
      <c r="C2124" t="s">
        <v>257</v>
      </c>
      <c r="D2124" t="s">
        <v>289</v>
      </c>
      <c r="E2124" s="35">
        <v>0.22900000000000001</v>
      </c>
      <c r="F2124" s="35">
        <v>0.29799999999999999</v>
      </c>
      <c r="G2124" s="35">
        <v>300</v>
      </c>
    </row>
    <row r="2125" spans="1:7" x14ac:dyDescent="0.25">
      <c r="A2125">
        <v>20221028</v>
      </c>
      <c r="B2125" t="s">
        <v>771</v>
      </c>
      <c r="C2125" t="s">
        <v>264</v>
      </c>
      <c r="D2125" t="s">
        <v>187</v>
      </c>
      <c r="E2125" s="35">
        <v>0.22900000000000001</v>
      </c>
      <c r="F2125" s="35">
        <v>0.29799999999999999</v>
      </c>
      <c r="G2125" s="35">
        <v>1180</v>
      </c>
    </row>
    <row r="2126" spans="1:7" x14ac:dyDescent="0.25">
      <c r="A2126">
        <v>20221028</v>
      </c>
      <c r="B2126" t="s">
        <v>771</v>
      </c>
      <c r="C2126" t="s">
        <v>264</v>
      </c>
      <c r="D2126" t="s">
        <v>214</v>
      </c>
      <c r="E2126" s="35">
        <v>0.22900000000000001</v>
      </c>
      <c r="F2126" s="35">
        <v>0.29799999999999999</v>
      </c>
      <c r="G2126" s="35">
        <v>1180</v>
      </c>
    </row>
    <row r="2127" spans="1:7" x14ac:dyDescent="0.25">
      <c r="A2127">
        <v>20221028</v>
      </c>
      <c r="B2127" t="s">
        <v>771</v>
      </c>
      <c r="C2127" t="s">
        <v>264</v>
      </c>
      <c r="D2127" t="s">
        <v>233</v>
      </c>
      <c r="E2127" s="35">
        <v>0.22900000000000001</v>
      </c>
      <c r="F2127" s="35">
        <v>0.29799999999999999</v>
      </c>
      <c r="G2127" s="35">
        <v>1180</v>
      </c>
    </row>
    <row r="2128" spans="1:7" x14ac:dyDescent="0.25">
      <c r="A2128">
        <v>20221028</v>
      </c>
      <c r="B2128" t="s">
        <v>771</v>
      </c>
      <c r="C2128" t="s">
        <v>264</v>
      </c>
      <c r="D2128" t="s">
        <v>242</v>
      </c>
      <c r="E2128" s="35">
        <v>0.22900000000000001</v>
      </c>
      <c r="F2128" s="35">
        <v>0.29799999999999999</v>
      </c>
      <c r="G2128" s="35">
        <v>990</v>
      </c>
    </row>
    <row r="2129" spans="1:7" x14ac:dyDescent="0.25">
      <c r="A2129">
        <v>20221028</v>
      </c>
      <c r="B2129" t="s">
        <v>771</v>
      </c>
      <c r="C2129" t="s">
        <v>264</v>
      </c>
      <c r="D2129" t="s">
        <v>250</v>
      </c>
      <c r="E2129" s="35">
        <v>0.22900000000000001</v>
      </c>
      <c r="F2129" s="35">
        <v>0.29799999999999999</v>
      </c>
      <c r="G2129" s="35">
        <v>990</v>
      </c>
    </row>
    <row r="2130" spans="1:7" x14ac:dyDescent="0.25">
      <c r="A2130">
        <v>20221028</v>
      </c>
      <c r="B2130" t="s">
        <v>771</v>
      </c>
      <c r="C2130" t="s">
        <v>264</v>
      </c>
      <c r="D2130" t="s">
        <v>258</v>
      </c>
      <c r="E2130" s="35">
        <v>0.22900000000000001</v>
      </c>
      <c r="F2130" s="35">
        <v>0.29799999999999999</v>
      </c>
      <c r="G2130" s="35">
        <v>780</v>
      </c>
    </row>
    <row r="2131" spans="1:7" x14ac:dyDescent="0.25">
      <c r="A2131">
        <v>20221028</v>
      </c>
      <c r="B2131" t="s">
        <v>771</v>
      </c>
      <c r="C2131" t="s">
        <v>264</v>
      </c>
      <c r="D2131" t="s">
        <v>265</v>
      </c>
      <c r="E2131" s="35">
        <v>0.22900000000000001</v>
      </c>
      <c r="F2131" s="35">
        <v>0.29799999999999999</v>
      </c>
      <c r="G2131" s="35">
        <v>680</v>
      </c>
    </row>
    <row r="2132" spans="1:7" x14ac:dyDescent="0.25">
      <c r="A2132">
        <v>20221028</v>
      </c>
      <c r="B2132" t="s">
        <v>771</v>
      </c>
      <c r="C2132" t="s">
        <v>264</v>
      </c>
      <c r="D2132" t="s">
        <v>273</v>
      </c>
      <c r="E2132" s="35">
        <v>0.22900000000000001</v>
      </c>
      <c r="F2132" s="35">
        <v>0.29799999999999999</v>
      </c>
      <c r="G2132" s="35">
        <v>590</v>
      </c>
    </row>
    <row r="2133" spans="1:7" x14ac:dyDescent="0.25">
      <c r="A2133">
        <v>20221028</v>
      </c>
      <c r="B2133" t="s">
        <v>771</v>
      </c>
      <c r="C2133" t="s">
        <v>264</v>
      </c>
      <c r="D2133" t="s">
        <v>279</v>
      </c>
      <c r="E2133" s="35">
        <v>0.22900000000000001</v>
      </c>
      <c r="F2133" s="35">
        <v>0.29799999999999999</v>
      </c>
      <c r="G2133" s="35">
        <v>490</v>
      </c>
    </row>
    <row r="2134" spans="1:7" x14ac:dyDescent="0.25">
      <c r="A2134">
        <v>20221028</v>
      </c>
      <c r="B2134" t="s">
        <v>771</v>
      </c>
      <c r="C2134" t="s">
        <v>264</v>
      </c>
      <c r="D2134" t="s">
        <v>285</v>
      </c>
      <c r="E2134" s="35">
        <v>0.22900000000000001</v>
      </c>
      <c r="F2134" s="35">
        <v>0.29799999999999999</v>
      </c>
      <c r="G2134" s="35">
        <v>390</v>
      </c>
    </row>
    <row r="2135" spans="1:7" x14ac:dyDescent="0.25">
      <c r="A2135">
        <v>20221028</v>
      </c>
      <c r="B2135" t="s">
        <v>771</v>
      </c>
      <c r="C2135" t="s">
        <v>264</v>
      </c>
      <c r="D2135" t="s">
        <v>289</v>
      </c>
      <c r="E2135" s="35">
        <v>0.22900000000000001</v>
      </c>
      <c r="F2135" s="35">
        <v>0.29799999999999999</v>
      </c>
      <c r="G2135" s="35">
        <v>300</v>
      </c>
    </row>
    <row r="2136" spans="1:7" x14ac:dyDescent="0.25">
      <c r="A2136">
        <v>20221028</v>
      </c>
      <c r="B2136" t="s">
        <v>771</v>
      </c>
      <c r="C2136" t="s">
        <v>272</v>
      </c>
      <c r="D2136" t="s">
        <v>187</v>
      </c>
      <c r="E2136" s="35">
        <v>0.22900000000000001</v>
      </c>
      <c r="F2136" s="35">
        <v>0.29799999999999999</v>
      </c>
      <c r="G2136" s="35">
        <v>940</v>
      </c>
    </row>
    <row r="2137" spans="1:7" x14ac:dyDescent="0.25">
      <c r="A2137">
        <v>20221028</v>
      </c>
      <c r="B2137" t="s">
        <v>771</v>
      </c>
      <c r="C2137" t="s">
        <v>272</v>
      </c>
      <c r="D2137" t="s">
        <v>214</v>
      </c>
      <c r="E2137" s="35">
        <v>0.22900000000000001</v>
      </c>
      <c r="F2137" s="35">
        <v>0.29799999999999999</v>
      </c>
      <c r="G2137" s="35">
        <v>940</v>
      </c>
    </row>
    <row r="2138" spans="1:7" x14ac:dyDescent="0.25">
      <c r="A2138">
        <v>20221028</v>
      </c>
      <c r="B2138" t="s">
        <v>771</v>
      </c>
      <c r="C2138" t="s">
        <v>272</v>
      </c>
      <c r="D2138" t="s">
        <v>233</v>
      </c>
      <c r="E2138" s="35">
        <v>0.22900000000000001</v>
      </c>
      <c r="F2138" s="35">
        <v>0.29799999999999999</v>
      </c>
      <c r="G2138" s="35">
        <v>940</v>
      </c>
    </row>
    <row r="2139" spans="1:7" x14ac:dyDescent="0.25">
      <c r="A2139">
        <v>20221028</v>
      </c>
      <c r="B2139" t="s">
        <v>771</v>
      </c>
      <c r="C2139" t="s">
        <v>272</v>
      </c>
      <c r="D2139" t="s">
        <v>242</v>
      </c>
      <c r="E2139" s="35">
        <v>0.22900000000000001</v>
      </c>
      <c r="F2139" s="35">
        <v>0.29799999999999999</v>
      </c>
      <c r="G2139" s="35">
        <v>810</v>
      </c>
    </row>
    <row r="2140" spans="1:7" x14ac:dyDescent="0.25">
      <c r="A2140">
        <v>20221028</v>
      </c>
      <c r="B2140" t="s">
        <v>771</v>
      </c>
      <c r="C2140" t="s">
        <v>272</v>
      </c>
      <c r="D2140" t="s">
        <v>250</v>
      </c>
      <c r="E2140" s="35">
        <v>0.22900000000000001</v>
      </c>
      <c r="F2140" s="35">
        <v>0.29799999999999999</v>
      </c>
      <c r="G2140" s="35">
        <v>810</v>
      </c>
    </row>
    <row r="2141" spans="1:7" x14ac:dyDescent="0.25">
      <c r="A2141">
        <v>20221028</v>
      </c>
      <c r="B2141" t="s">
        <v>771</v>
      </c>
      <c r="C2141" t="s">
        <v>272</v>
      </c>
      <c r="D2141" t="s">
        <v>258</v>
      </c>
      <c r="E2141" s="35">
        <v>0.22900000000000001</v>
      </c>
      <c r="F2141" s="35">
        <v>0.29799999999999999</v>
      </c>
      <c r="G2141" s="35">
        <v>660</v>
      </c>
    </row>
    <row r="2142" spans="1:7" x14ac:dyDescent="0.25">
      <c r="A2142">
        <v>20221028</v>
      </c>
      <c r="B2142" t="s">
        <v>771</v>
      </c>
      <c r="C2142" t="s">
        <v>272</v>
      </c>
      <c r="D2142" t="s">
        <v>265</v>
      </c>
      <c r="E2142" s="35">
        <v>0.22900000000000001</v>
      </c>
      <c r="F2142" s="35">
        <v>0.29799999999999999</v>
      </c>
      <c r="G2142" s="35">
        <v>580</v>
      </c>
    </row>
    <row r="2143" spans="1:7" x14ac:dyDescent="0.25">
      <c r="A2143">
        <v>20221028</v>
      </c>
      <c r="B2143" t="s">
        <v>771</v>
      </c>
      <c r="C2143" t="s">
        <v>272</v>
      </c>
      <c r="D2143" t="s">
        <v>273</v>
      </c>
      <c r="E2143" s="35">
        <v>0.22900000000000001</v>
      </c>
      <c r="F2143" s="35">
        <v>0.29799999999999999</v>
      </c>
      <c r="G2143" s="35">
        <v>510</v>
      </c>
    </row>
    <row r="2144" spans="1:7" x14ac:dyDescent="0.25">
      <c r="A2144">
        <v>20221028</v>
      </c>
      <c r="B2144" t="s">
        <v>771</v>
      </c>
      <c r="C2144" t="s">
        <v>272</v>
      </c>
      <c r="D2144" t="s">
        <v>279</v>
      </c>
      <c r="E2144" s="35">
        <v>0.22900000000000001</v>
      </c>
      <c r="F2144" s="35">
        <v>0.29799999999999999</v>
      </c>
      <c r="G2144" s="35">
        <v>390</v>
      </c>
    </row>
    <row r="2145" spans="1:7" x14ac:dyDescent="0.25">
      <c r="A2145">
        <v>20221028</v>
      </c>
      <c r="B2145" t="s">
        <v>771</v>
      </c>
      <c r="C2145" t="s">
        <v>272</v>
      </c>
      <c r="D2145" t="s">
        <v>285</v>
      </c>
      <c r="E2145" s="35">
        <v>0.22900000000000001</v>
      </c>
      <c r="F2145" s="35">
        <v>0.29799999999999999</v>
      </c>
      <c r="G2145" s="35">
        <v>310</v>
      </c>
    </row>
    <row r="2146" spans="1:7" x14ac:dyDescent="0.25">
      <c r="A2146">
        <v>20221028</v>
      </c>
      <c r="B2146" t="s">
        <v>771</v>
      </c>
      <c r="C2146" t="s">
        <v>272</v>
      </c>
      <c r="D2146" t="s">
        <v>289</v>
      </c>
      <c r="E2146" s="35">
        <v>0.22900000000000001</v>
      </c>
      <c r="F2146" s="35">
        <v>0.29799999999999999</v>
      </c>
      <c r="G2146" s="35">
        <v>230</v>
      </c>
    </row>
    <row r="2147" spans="1:7" x14ac:dyDescent="0.25">
      <c r="A2147">
        <v>20221028</v>
      </c>
      <c r="B2147" t="s">
        <v>771</v>
      </c>
      <c r="C2147" t="s">
        <v>278</v>
      </c>
      <c r="D2147" t="s">
        <v>187</v>
      </c>
      <c r="E2147" s="35">
        <v>0.22900000000000001</v>
      </c>
      <c r="F2147" s="35">
        <v>0.29799999999999999</v>
      </c>
      <c r="G2147" s="35">
        <v>940</v>
      </c>
    </row>
    <row r="2148" spans="1:7" x14ac:dyDescent="0.25">
      <c r="A2148">
        <v>20221028</v>
      </c>
      <c r="B2148" t="s">
        <v>771</v>
      </c>
      <c r="C2148" t="s">
        <v>278</v>
      </c>
      <c r="D2148" t="s">
        <v>214</v>
      </c>
      <c r="E2148" s="35">
        <v>0.22900000000000001</v>
      </c>
      <c r="F2148" s="35">
        <v>0.29799999999999999</v>
      </c>
      <c r="G2148" s="35">
        <v>940</v>
      </c>
    </row>
    <row r="2149" spans="1:7" x14ac:dyDescent="0.25">
      <c r="A2149">
        <v>20221028</v>
      </c>
      <c r="B2149" t="s">
        <v>771</v>
      </c>
      <c r="C2149" t="s">
        <v>278</v>
      </c>
      <c r="D2149" t="s">
        <v>233</v>
      </c>
      <c r="E2149" s="35">
        <v>0.22900000000000001</v>
      </c>
      <c r="F2149" s="35">
        <v>0.29799999999999999</v>
      </c>
      <c r="G2149" s="35">
        <v>940</v>
      </c>
    </row>
    <row r="2150" spans="1:7" x14ac:dyDescent="0.25">
      <c r="A2150">
        <v>20221028</v>
      </c>
      <c r="B2150" t="s">
        <v>771</v>
      </c>
      <c r="C2150" t="s">
        <v>278</v>
      </c>
      <c r="D2150" t="s">
        <v>242</v>
      </c>
      <c r="E2150" s="35">
        <v>0.22900000000000001</v>
      </c>
      <c r="F2150" s="35">
        <v>0.29799999999999999</v>
      </c>
      <c r="G2150" s="35">
        <v>810</v>
      </c>
    </row>
    <row r="2151" spans="1:7" x14ac:dyDescent="0.25">
      <c r="A2151">
        <v>20221028</v>
      </c>
      <c r="B2151" t="s">
        <v>771</v>
      </c>
      <c r="C2151" t="s">
        <v>278</v>
      </c>
      <c r="D2151" t="s">
        <v>250</v>
      </c>
      <c r="E2151" s="35">
        <v>0.22900000000000001</v>
      </c>
      <c r="F2151" s="35">
        <v>0.29799999999999999</v>
      </c>
      <c r="G2151" s="35">
        <v>810</v>
      </c>
    </row>
    <row r="2152" spans="1:7" x14ac:dyDescent="0.25">
      <c r="A2152">
        <v>20221028</v>
      </c>
      <c r="B2152" t="s">
        <v>771</v>
      </c>
      <c r="C2152" t="s">
        <v>278</v>
      </c>
      <c r="D2152" t="s">
        <v>258</v>
      </c>
      <c r="E2152" s="35">
        <v>0.22900000000000001</v>
      </c>
      <c r="F2152" s="35">
        <v>0.29799999999999999</v>
      </c>
      <c r="G2152" s="35">
        <v>660</v>
      </c>
    </row>
    <row r="2153" spans="1:7" x14ac:dyDescent="0.25">
      <c r="A2153">
        <v>20221028</v>
      </c>
      <c r="B2153" t="s">
        <v>771</v>
      </c>
      <c r="C2153" t="s">
        <v>278</v>
      </c>
      <c r="D2153" t="s">
        <v>265</v>
      </c>
      <c r="E2153" s="35">
        <v>0.22900000000000001</v>
      </c>
      <c r="F2153" s="35">
        <v>0.29799999999999999</v>
      </c>
      <c r="G2153" s="35">
        <v>580</v>
      </c>
    </row>
    <row r="2154" spans="1:7" x14ac:dyDescent="0.25">
      <c r="A2154">
        <v>20221028</v>
      </c>
      <c r="B2154" t="s">
        <v>771</v>
      </c>
      <c r="C2154" t="s">
        <v>278</v>
      </c>
      <c r="D2154" t="s">
        <v>273</v>
      </c>
      <c r="E2154" s="35">
        <v>0.22900000000000001</v>
      </c>
      <c r="F2154" s="35">
        <v>0.29799999999999999</v>
      </c>
      <c r="G2154" s="35">
        <v>510</v>
      </c>
    </row>
    <row r="2155" spans="1:7" x14ac:dyDescent="0.25">
      <c r="A2155">
        <v>20221028</v>
      </c>
      <c r="B2155" t="s">
        <v>771</v>
      </c>
      <c r="C2155" t="s">
        <v>278</v>
      </c>
      <c r="D2155" t="s">
        <v>279</v>
      </c>
      <c r="E2155" s="35">
        <v>0.22900000000000001</v>
      </c>
      <c r="F2155" s="35">
        <v>0.29799999999999999</v>
      </c>
      <c r="G2155" s="35">
        <v>390</v>
      </c>
    </row>
    <row r="2156" spans="1:7" x14ac:dyDescent="0.25">
      <c r="A2156">
        <v>20221028</v>
      </c>
      <c r="B2156" t="s">
        <v>771</v>
      </c>
      <c r="C2156" t="s">
        <v>278</v>
      </c>
      <c r="D2156" t="s">
        <v>285</v>
      </c>
      <c r="E2156" s="35">
        <v>0.22900000000000001</v>
      </c>
      <c r="F2156" s="35">
        <v>0.29799999999999999</v>
      </c>
      <c r="G2156" s="35">
        <v>310</v>
      </c>
    </row>
    <row r="2157" spans="1:7" x14ac:dyDescent="0.25">
      <c r="A2157">
        <v>20221028</v>
      </c>
      <c r="B2157" t="s">
        <v>771</v>
      </c>
      <c r="C2157" t="s">
        <v>278</v>
      </c>
      <c r="D2157" t="s">
        <v>289</v>
      </c>
      <c r="E2157" s="35">
        <v>0.22900000000000001</v>
      </c>
      <c r="F2157" s="35">
        <v>0.29799999999999999</v>
      </c>
      <c r="G2157" s="35">
        <v>230</v>
      </c>
    </row>
    <row r="2158" spans="1:7" x14ac:dyDescent="0.25">
      <c r="A2158">
        <v>20221028</v>
      </c>
      <c r="B2158" t="s">
        <v>771</v>
      </c>
      <c r="C2158" t="s">
        <v>284</v>
      </c>
      <c r="D2158" t="s">
        <v>187</v>
      </c>
      <c r="E2158" s="35">
        <v>0.22900000000000001</v>
      </c>
      <c r="F2158" s="35">
        <v>0.29799999999999999</v>
      </c>
      <c r="G2158" s="35">
        <v>780</v>
      </c>
    </row>
    <row r="2159" spans="1:7" x14ac:dyDescent="0.25">
      <c r="A2159">
        <v>20221028</v>
      </c>
      <c r="B2159" t="s">
        <v>771</v>
      </c>
      <c r="C2159" t="s">
        <v>284</v>
      </c>
      <c r="D2159" t="s">
        <v>214</v>
      </c>
      <c r="E2159" s="35">
        <v>0.22900000000000001</v>
      </c>
      <c r="F2159" s="35">
        <v>0.29799999999999999</v>
      </c>
      <c r="G2159" s="35">
        <v>780</v>
      </c>
    </row>
    <row r="2160" spans="1:7" x14ac:dyDescent="0.25">
      <c r="A2160">
        <v>20221028</v>
      </c>
      <c r="B2160" t="s">
        <v>771</v>
      </c>
      <c r="C2160" t="s">
        <v>284</v>
      </c>
      <c r="D2160" t="s">
        <v>233</v>
      </c>
      <c r="E2160" s="35">
        <v>0.22900000000000001</v>
      </c>
      <c r="F2160" s="35">
        <v>0.29799999999999999</v>
      </c>
      <c r="G2160" s="35">
        <v>780</v>
      </c>
    </row>
    <row r="2161" spans="1:7" x14ac:dyDescent="0.25">
      <c r="A2161">
        <v>20221028</v>
      </c>
      <c r="B2161" t="s">
        <v>771</v>
      </c>
      <c r="C2161" t="s">
        <v>284</v>
      </c>
      <c r="D2161" t="s">
        <v>242</v>
      </c>
      <c r="E2161" s="35">
        <v>0.22900000000000001</v>
      </c>
      <c r="F2161" s="35">
        <v>0.29799999999999999</v>
      </c>
      <c r="G2161" s="35">
        <v>660</v>
      </c>
    </row>
    <row r="2162" spans="1:7" x14ac:dyDescent="0.25">
      <c r="A2162">
        <v>20221028</v>
      </c>
      <c r="B2162" t="s">
        <v>771</v>
      </c>
      <c r="C2162" t="s">
        <v>284</v>
      </c>
      <c r="D2162" t="s">
        <v>250</v>
      </c>
      <c r="E2162" s="35">
        <v>0.22900000000000001</v>
      </c>
      <c r="F2162" s="35">
        <v>0.29799999999999999</v>
      </c>
      <c r="G2162" s="35">
        <v>660</v>
      </c>
    </row>
    <row r="2163" spans="1:7" x14ac:dyDescent="0.25">
      <c r="A2163">
        <v>20221028</v>
      </c>
      <c r="B2163" t="s">
        <v>771</v>
      </c>
      <c r="C2163" t="s">
        <v>284</v>
      </c>
      <c r="D2163" t="s">
        <v>258</v>
      </c>
      <c r="E2163" s="35">
        <v>0.22900000000000001</v>
      </c>
      <c r="F2163" s="35">
        <v>0.29799999999999999</v>
      </c>
      <c r="G2163" s="35">
        <v>550</v>
      </c>
    </row>
    <row r="2164" spans="1:7" x14ac:dyDescent="0.25">
      <c r="A2164">
        <v>20221028</v>
      </c>
      <c r="B2164" t="s">
        <v>771</v>
      </c>
      <c r="C2164" t="s">
        <v>284</v>
      </c>
      <c r="D2164" t="s">
        <v>265</v>
      </c>
      <c r="E2164" s="35">
        <v>0.22900000000000001</v>
      </c>
      <c r="F2164" s="35">
        <v>0.29799999999999999</v>
      </c>
      <c r="G2164" s="35">
        <v>480</v>
      </c>
    </row>
    <row r="2165" spans="1:7" x14ac:dyDescent="0.25">
      <c r="A2165">
        <v>20221028</v>
      </c>
      <c r="B2165" t="s">
        <v>771</v>
      </c>
      <c r="C2165" t="s">
        <v>284</v>
      </c>
      <c r="D2165" t="s">
        <v>273</v>
      </c>
      <c r="E2165" s="35">
        <v>0.22900000000000001</v>
      </c>
      <c r="F2165" s="35">
        <v>0.29799999999999999</v>
      </c>
      <c r="G2165" s="35">
        <v>420</v>
      </c>
    </row>
    <row r="2166" spans="1:7" x14ac:dyDescent="0.25">
      <c r="A2166">
        <v>20221028</v>
      </c>
      <c r="B2166" t="s">
        <v>771</v>
      </c>
      <c r="C2166" t="s">
        <v>284</v>
      </c>
      <c r="D2166" t="s">
        <v>279</v>
      </c>
      <c r="E2166" s="35">
        <v>0.22900000000000001</v>
      </c>
      <c r="F2166" s="35">
        <v>0.29799999999999999</v>
      </c>
      <c r="G2166" s="35">
        <v>310</v>
      </c>
    </row>
    <row r="2167" spans="1:7" x14ac:dyDescent="0.25">
      <c r="A2167">
        <v>20221028</v>
      </c>
      <c r="B2167" t="s">
        <v>771</v>
      </c>
      <c r="C2167" t="s">
        <v>284</v>
      </c>
      <c r="D2167" t="s">
        <v>285</v>
      </c>
      <c r="E2167" s="35">
        <v>0.22900000000000001</v>
      </c>
      <c r="F2167" s="35">
        <v>0.29799999999999999</v>
      </c>
      <c r="G2167" s="35">
        <v>240</v>
      </c>
    </row>
    <row r="2168" spans="1:7" x14ac:dyDescent="0.25">
      <c r="A2168">
        <v>20221028</v>
      </c>
      <c r="B2168" t="s">
        <v>771</v>
      </c>
      <c r="C2168" t="s">
        <v>284</v>
      </c>
      <c r="D2168" t="s">
        <v>289</v>
      </c>
      <c r="E2168" s="35">
        <v>0.22900000000000001</v>
      </c>
      <c r="F2168" s="35">
        <v>0.29799999999999999</v>
      </c>
      <c r="G2168" s="35">
        <v>170</v>
      </c>
    </row>
    <row r="2169" spans="1:7" x14ac:dyDescent="0.25">
      <c r="A2169">
        <v>20221028</v>
      </c>
      <c r="B2169" t="s">
        <v>771</v>
      </c>
      <c r="C2169" t="s">
        <v>748</v>
      </c>
      <c r="D2169" t="s">
        <v>187</v>
      </c>
      <c r="E2169" s="35">
        <v>0.22900000000000001</v>
      </c>
      <c r="F2169" s="35">
        <v>0.29799999999999999</v>
      </c>
      <c r="G2169" s="35">
        <v>780</v>
      </c>
    </row>
    <row r="2170" spans="1:7" x14ac:dyDescent="0.25">
      <c r="A2170">
        <v>20221028</v>
      </c>
      <c r="B2170" t="s">
        <v>771</v>
      </c>
      <c r="C2170" t="s">
        <v>748</v>
      </c>
      <c r="D2170" t="s">
        <v>214</v>
      </c>
      <c r="E2170" s="35">
        <v>0.22900000000000001</v>
      </c>
      <c r="F2170" s="35">
        <v>0.29799999999999999</v>
      </c>
      <c r="G2170" s="35">
        <v>780</v>
      </c>
    </row>
    <row r="2171" spans="1:7" x14ac:dyDescent="0.25">
      <c r="A2171">
        <v>20221028</v>
      </c>
      <c r="B2171" t="s">
        <v>771</v>
      </c>
      <c r="C2171" t="s">
        <v>748</v>
      </c>
      <c r="D2171" t="s">
        <v>233</v>
      </c>
      <c r="E2171" s="35">
        <v>0.22900000000000001</v>
      </c>
      <c r="F2171" s="35">
        <v>0.29799999999999999</v>
      </c>
      <c r="G2171" s="35">
        <v>780</v>
      </c>
    </row>
    <row r="2172" spans="1:7" x14ac:dyDescent="0.25">
      <c r="A2172">
        <v>20221028</v>
      </c>
      <c r="B2172" t="s">
        <v>771</v>
      </c>
      <c r="C2172" t="s">
        <v>748</v>
      </c>
      <c r="D2172" t="s">
        <v>242</v>
      </c>
      <c r="E2172" s="35">
        <v>0.22900000000000001</v>
      </c>
      <c r="F2172" s="35">
        <v>0.29799999999999999</v>
      </c>
      <c r="G2172" s="35">
        <v>660</v>
      </c>
    </row>
    <row r="2173" spans="1:7" x14ac:dyDescent="0.25">
      <c r="A2173">
        <v>20221028</v>
      </c>
      <c r="B2173" t="s">
        <v>771</v>
      </c>
      <c r="C2173" t="s">
        <v>748</v>
      </c>
      <c r="D2173" t="s">
        <v>250</v>
      </c>
      <c r="E2173" s="35">
        <v>0.22900000000000001</v>
      </c>
      <c r="F2173" s="35">
        <v>0.29799999999999999</v>
      </c>
      <c r="G2173" s="35">
        <v>660</v>
      </c>
    </row>
    <row r="2174" spans="1:7" x14ac:dyDescent="0.25">
      <c r="A2174">
        <v>20221028</v>
      </c>
      <c r="B2174" t="s">
        <v>771</v>
      </c>
      <c r="C2174" t="s">
        <v>748</v>
      </c>
      <c r="D2174" t="s">
        <v>258</v>
      </c>
      <c r="E2174" s="35">
        <v>0.22900000000000001</v>
      </c>
      <c r="F2174" s="35">
        <v>0.29799999999999999</v>
      </c>
      <c r="G2174" s="35">
        <v>550</v>
      </c>
    </row>
    <row r="2175" spans="1:7" x14ac:dyDescent="0.25">
      <c r="A2175">
        <v>20221028</v>
      </c>
      <c r="B2175" t="s">
        <v>771</v>
      </c>
      <c r="C2175" t="s">
        <v>748</v>
      </c>
      <c r="D2175" t="s">
        <v>265</v>
      </c>
      <c r="E2175" s="35">
        <v>0.22900000000000001</v>
      </c>
      <c r="F2175" s="35">
        <v>0.29799999999999999</v>
      </c>
      <c r="G2175" s="35">
        <v>480</v>
      </c>
    </row>
    <row r="2176" spans="1:7" x14ac:dyDescent="0.25">
      <c r="A2176">
        <v>20221028</v>
      </c>
      <c r="B2176" t="s">
        <v>771</v>
      </c>
      <c r="C2176" t="s">
        <v>748</v>
      </c>
      <c r="D2176" t="s">
        <v>273</v>
      </c>
      <c r="E2176" s="35">
        <v>0.22900000000000001</v>
      </c>
      <c r="F2176" s="35">
        <v>0.29799999999999999</v>
      </c>
      <c r="G2176" s="35">
        <v>420</v>
      </c>
    </row>
    <row r="2177" spans="1:7" x14ac:dyDescent="0.25">
      <c r="A2177">
        <v>20221028</v>
      </c>
      <c r="B2177" t="s">
        <v>771</v>
      </c>
      <c r="C2177" t="s">
        <v>748</v>
      </c>
      <c r="D2177" t="s">
        <v>279</v>
      </c>
      <c r="E2177" s="35">
        <v>0.22900000000000001</v>
      </c>
      <c r="F2177" s="35">
        <v>0.29799999999999999</v>
      </c>
      <c r="G2177" s="35">
        <v>310</v>
      </c>
    </row>
    <row r="2178" spans="1:7" x14ac:dyDescent="0.25">
      <c r="A2178">
        <v>20221028</v>
      </c>
      <c r="B2178" t="s">
        <v>771</v>
      </c>
      <c r="C2178" t="s">
        <v>748</v>
      </c>
      <c r="D2178" t="s">
        <v>285</v>
      </c>
      <c r="E2178" s="35">
        <v>0.22900000000000001</v>
      </c>
      <c r="F2178" s="35">
        <v>0.29799999999999999</v>
      </c>
      <c r="G2178" s="35">
        <v>240</v>
      </c>
    </row>
    <row r="2179" spans="1:7" x14ac:dyDescent="0.25">
      <c r="A2179">
        <v>20221028</v>
      </c>
      <c r="B2179" t="s">
        <v>771</v>
      </c>
      <c r="C2179" t="s">
        <v>748</v>
      </c>
      <c r="D2179" t="s">
        <v>289</v>
      </c>
      <c r="E2179" s="35">
        <v>0.22900000000000001</v>
      </c>
      <c r="F2179" s="35">
        <v>0.29799999999999999</v>
      </c>
      <c r="G2179" s="35">
        <v>170</v>
      </c>
    </row>
    <row r="2180" spans="1:7" x14ac:dyDescent="0.25">
      <c r="A2180">
        <v>20221028</v>
      </c>
      <c r="B2180" t="s">
        <v>771</v>
      </c>
      <c r="C2180" t="s">
        <v>186</v>
      </c>
      <c r="D2180" t="s">
        <v>187</v>
      </c>
      <c r="E2180" s="35">
        <v>0.29899999999999999</v>
      </c>
      <c r="F2180" s="35">
        <v>0.39800000000000002</v>
      </c>
      <c r="G2180" s="35">
        <v>2900</v>
      </c>
    </row>
    <row r="2181" spans="1:7" x14ac:dyDescent="0.25">
      <c r="A2181">
        <v>20221028</v>
      </c>
      <c r="B2181" t="s">
        <v>771</v>
      </c>
      <c r="C2181" t="s">
        <v>186</v>
      </c>
      <c r="D2181" t="s">
        <v>214</v>
      </c>
      <c r="E2181" s="35">
        <v>0.29899999999999999</v>
      </c>
      <c r="F2181" s="35">
        <v>0.39800000000000002</v>
      </c>
      <c r="G2181" s="35">
        <v>2500</v>
      </c>
    </row>
    <row r="2182" spans="1:7" x14ac:dyDescent="0.25">
      <c r="A2182">
        <v>20221028</v>
      </c>
      <c r="B2182" t="s">
        <v>771</v>
      </c>
      <c r="C2182" t="s">
        <v>186</v>
      </c>
      <c r="D2182" t="s">
        <v>233</v>
      </c>
      <c r="E2182" s="35">
        <v>0.29899999999999999</v>
      </c>
      <c r="F2182" s="35">
        <v>0.39800000000000002</v>
      </c>
      <c r="G2182" s="35">
        <v>2300</v>
      </c>
    </row>
    <row r="2183" spans="1:7" x14ac:dyDescent="0.25">
      <c r="A2183">
        <v>20221028</v>
      </c>
      <c r="B2183" t="s">
        <v>771</v>
      </c>
      <c r="C2183" t="s">
        <v>186</v>
      </c>
      <c r="D2183" t="s">
        <v>242</v>
      </c>
      <c r="E2183" s="35">
        <v>0.29899999999999999</v>
      </c>
      <c r="F2183" s="35">
        <v>0.39800000000000002</v>
      </c>
      <c r="G2183" s="35">
        <v>2100</v>
      </c>
    </row>
    <row r="2184" spans="1:7" x14ac:dyDescent="0.25">
      <c r="A2184">
        <v>20221028</v>
      </c>
      <c r="B2184" t="s">
        <v>771</v>
      </c>
      <c r="C2184" t="s">
        <v>186</v>
      </c>
      <c r="D2184" t="s">
        <v>250</v>
      </c>
      <c r="E2184" s="35">
        <v>0.29899999999999999</v>
      </c>
      <c r="F2184" s="35">
        <v>0.39800000000000002</v>
      </c>
      <c r="G2184" s="35">
        <v>1900</v>
      </c>
    </row>
    <row r="2185" spans="1:7" x14ac:dyDescent="0.25">
      <c r="A2185">
        <v>20221028</v>
      </c>
      <c r="B2185" t="s">
        <v>771</v>
      </c>
      <c r="C2185" t="s">
        <v>186</v>
      </c>
      <c r="D2185" t="s">
        <v>258</v>
      </c>
      <c r="E2185" s="35">
        <v>0.29899999999999999</v>
      </c>
      <c r="F2185" s="35">
        <v>0.39800000000000002</v>
      </c>
      <c r="G2185" s="35">
        <v>1700</v>
      </c>
    </row>
    <row r="2186" spans="1:7" x14ac:dyDescent="0.25">
      <c r="A2186">
        <v>20221028</v>
      </c>
      <c r="B2186" t="s">
        <v>771</v>
      </c>
      <c r="C2186" t="s">
        <v>186</v>
      </c>
      <c r="D2186" t="s">
        <v>265</v>
      </c>
      <c r="E2186" s="35">
        <v>0.29899999999999999</v>
      </c>
      <c r="F2186" s="35">
        <v>0.39800000000000002</v>
      </c>
      <c r="G2186" s="35">
        <v>1500</v>
      </c>
    </row>
    <row r="2187" spans="1:7" x14ac:dyDescent="0.25">
      <c r="A2187">
        <v>20221028</v>
      </c>
      <c r="B2187" t="s">
        <v>771</v>
      </c>
      <c r="C2187" t="s">
        <v>186</v>
      </c>
      <c r="D2187" t="s">
        <v>273</v>
      </c>
      <c r="E2187" s="35">
        <v>0.29899999999999999</v>
      </c>
      <c r="F2187" s="35">
        <v>0.39800000000000002</v>
      </c>
      <c r="G2187" s="35">
        <v>1300</v>
      </c>
    </row>
    <row r="2188" spans="1:7" x14ac:dyDescent="0.25">
      <c r="A2188">
        <v>20221028</v>
      </c>
      <c r="B2188" t="s">
        <v>771</v>
      </c>
      <c r="C2188" t="s">
        <v>186</v>
      </c>
      <c r="D2188" t="s">
        <v>279</v>
      </c>
      <c r="E2188" s="35">
        <v>0.29899999999999999</v>
      </c>
      <c r="F2188" s="35">
        <v>0.39800000000000002</v>
      </c>
      <c r="G2188" s="35">
        <v>1000</v>
      </c>
    </row>
    <row r="2189" spans="1:7" x14ac:dyDescent="0.25">
      <c r="A2189">
        <v>20221028</v>
      </c>
      <c r="B2189" t="s">
        <v>771</v>
      </c>
      <c r="C2189" t="s">
        <v>186</v>
      </c>
      <c r="D2189" t="s">
        <v>285</v>
      </c>
      <c r="E2189" s="35">
        <v>0.29899999999999999</v>
      </c>
      <c r="F2189" s="35">
        <v>0.39800000000000002</v>
      </c>
      <c r="G2189" s="35">
        <v>800</v>
      </c>
    </row>
    <row r="2190" spans="1:7" x14ac:dyDescent="0.25">
      <c r="A2190">
        <v>20221028</v>
      </c>
      <c r="B2190" t="s">
        <v>771</v>
      </c>
      <c r="C2190" t="s">
        <v>186</v>
      </c>
      <c r="D2190" t="s">
        <v>289</v>
      </c>
      <c r="E2190" s="35">
        <v>0.29899999999999999</v>
      </c>
      <c r="F2190" s="35">
        <v>0.39800000000000002</v>
      </c>
      <c r="G2190" s="35">
        <v>600</v>
      </c>
    </row>
    <row r="2191" spans="1:7" x14ac:dyDescent="0.25">
      <c r="A2191">
        <v>20221028</v>
      </c>
      <c r="B2191" t="s">
        <v>771</v>
      </c>
      <c r="C2191" t="s">
        <v>213</v>
      </c>
      <c r="D2191" t="s">
        <v>187</v>
      </c>
      <c r="E2191" s="35">
        <v>0.29899999999999999</v>
      </c>
      <c r="F2191" s="35">
        <v>0.39800000000000002</v>
      </c>
      <c r="G2191" s="35">
        <v>2500</v>
      </c>
    </row>
    <row r="2192" spans="1:7" x14ac:dyDescent="0.25">
      <c r="A2192">
        <v>20221028</v>
      </c>
      <c r="B2192" t="s">
        <v>771</v>
      </c>
      <c r="C2192" t="s">
        <v>213</v>
      </c>
      <c r="D2192" t="s">
        <v>214</v>
      </c>
      <c r="E2192" s="35">
        <v>0.29899999999999999</v>
      </c>
      <c r="F2192" s="35">
        <v>0.39800000000000002</v>
      </c>
      <c r="G2192" s="35">
        <v>2300</v>
      </c>
    </row>
    <row r="2193" spans="1:7" x14ac:dyDescent="0.25">
      <c r="A2193">
        <v>20221028</v>
      </c>
      <c r="B2193" t="s">
        <v>771</v>
      </c>
      <c r="C2193" t="s">
        <v>213</v>
      </c>
      <c r="D2193" t="s">
        <v>233</v>
      </c>
      <c r="E2193" s="35">
        <v>0.29899999999999999</v>
      </c>
      <c r="F2193" s="35">
        <v>0.39800000000000002</v>
      </c>
      <c r="G2193" s="35">
        <v>2100</v>
      </c>
    </row>
    <row r="2194" spans="1:7" x14ac:dyDescent="0.25">
      <c r="A2194">
        <v>20221028</v>
      </c>
      <c r="B2194" t="s">
        <v>771</v>
      </c>
      <c r="C2194" t="s">
        <v>213</v>
      </c>
      <c r="D2194" t="s">
        <v>242</v>
      </c>
      <c r="E2194" s="35">
        <v>0.29899999999999999</v>
      </c>
      <c r="F2194" s="35">
        <v>0.39800000000000002</v>
      </c>
      <c r="G2194" s="35">
        <v>2000</v>
      </c>
    </row>
    <row r="2195" spans="1:7" x14ac:dyDescent="0.25">
      <c r="A2195">
        <v>20221028</v>
      </c>
      <c r="B2195" t="s">
        <v>771</v>
      </c>
      <c r="C2195" t="s">
        <v>213</v>
      </c>
      <c r="D2195" t="s">
        <v>250</v>
      </c>
      <c r="E2195" s="35">
        <v>0.29899999999999999</v>
      </c>
      <c r="F2195" s="35">
        <v>0.39800000000000002</v>
      </c>
      <c r="G2195" s="35">
        <v>1800</v>
      </c>
    </row>
    <row r="2196" spans="1:7" x14ac:dyDescent="0.25">
      <c r="A2196">
        <v>20221028</v>
      </c>
      <c r="B2196" t="s">
        <v>771</v>
      </c>
      <c r="C2196" t="s">
        <v>213</v>
      </c>
      <c r="D2196" t="s">
        <v>258</v>
      </c>
      <c r="E2196" s="35">
        <v>0.29899999999999999</v>
      </c>
      <c r="F2196" s="35">
        <v>0.39800000000000002</v>
      </c>
      <c r="G2196" s="35">
        <v>1600</v>
      </c>
    </row>
    <row r="2197" spans="1:7" x14ac:dyDescent="0.25">
      <c r="A2197">
        <v>20221028</v>
      </c>
      <c r="B2197" t="s">
        <v>771</v>
      </c>
      <c r="C2197" t="s">
        <v>213</v>
      </c>
      <c r="D2197" t="s">
        <v>265</v>
      </c>
      <c r="E2197" s="35">
        <v>0.29899999999999999</v>
      </c>
      <c r="F2197" s="35">
        <v>0.39800000000000002</v>
      </c>
      <c r="G2197" s="35">
        <v>1400</v>
      </c>
    </row>
    <row r="2198" spans="1:7" x14ac:dyDescent="0.25">
      <c r="A2198">
        <v>20221028</v>
      </c>
      <c r="B2198" t="s">
        <v>771</v>
      </c>
      <c r="C2198" t="s">
        <v>213</v>
      </c>
      <c r="D2198" t="s">
        <v>273</v>
      </c>
      <c r="E2198" s="35">
        <v>0.29899999999999999</v>
      </c>
      <c r="F2198" s="35">
        <v>0.39800000000000002</v>
      </c>
      <c r="G2198" s="35">
        <v>1200</v>
      </c>
    </row>
    <row r="2199" spans="1:7" x14ac:dyDescent="0.25">
      <c r="A2199">
        <v>20221028</v>
      </c>
      <c r="B2199" t="s">
        <v>771</v>
      </c>
      <c r="C2199" t="s">
        <v>213</v>
      </c>
      <c r="D2199" t="s">
        <v>279</v>
      </c>
      <c r="E2199" s="35">
        <v>0.29899999999999999</v>
      </c>
      <c r="F2199" s="35">
        <v>0.39800000000000002</v>
      </c>
      <c r="G2199" s="35">
        <v>900</v>
      </c>
    </row>
    <row r="2200" spans="1:7" x14ac:dyDescent="0.25">
      <c r="A2200">
        <v>20221028</v>
      </c>
      <c r="B2200" t="s">
        <v>771</v>
      </c>
      <c r="C2200" t="s">
        <v>213</v>
      </c>
      <c r="D2200" t="s">
        <v>285</v>
      </c>
      <c r="E2200" s="35">
        <v>0.29899999999999999</v>
      </c>
      <c r="F2200" s="35">
        <v>0.39800000000000002</v>
      </c>
      <c r="G2200" s="35">
        <v>800</v>
      </c>
    </row>
    <row r="2201" spans="1:7" x14ac:dyDescent="0.25">
      <c r="A2201">
        <v>20221028</v>
      </c>
      <c r="B2201" t="s">
        <v>771</v>
      </c>
      <c r="C2201" t="s">
        <v>213</v>
      </c>
      <c r="D2201" t="s">
        <v>289</v>
      </c>
      <c r="E2201" s="35">
        <v>0.29899999999999999</v>
      </c>
      <c r="F2201" s="35">
        <v>0.39800000000000002</v>
      </c>
      <c r="G2201" s="35">
        <v>500</v>
      </c>
    </row>
    <row r="2202" spans="1:7" x14ac:dyDescent="0.25">
      <c r="A2202">
        <v>20221028</v>
      </c>
      <c r="B2202" t="s">
        <v>771</v>
      </c>
      <c r="C2202" t="s">
        <v>232</v>
      </c>
      <c r="D2202" t="s">
        <v>187</v>
      </c>
      <c r="E2202" s="35">
        <v>0.29899999999999999</v>
      </c>
      <c r="F2202" s="35">
        <v>0.39800000000000002</v>
      </c>
      <c r="G2202" s="35">
        <v>2300</v>
      </c>
    </row>
    <row r="2203" spans="1:7" x14ac:dyDescent="0.25">
      <c r="A2203">
        <v>20221028</v>
      </c>
      <c r="B2203" t="s">
        <v>771</v>
      </c>
      <c r="C2203" t="s">
        <v>232</v>
      </c>
      <c r="D2203" t="s">
        <v>214</v>
      </c>
      <c r="E2203" s="35">
        <v>0.29899999999999999</v>
      </c>
      <c r="F2203" s="35">
        <v>0.39800000000000002</v>
      </c>
      <c r="G2203" s="35">
        <v>2100</v>
      </c>
    </row>
    <row r="2204" spans="1:7" x14ac:dyDescent="0.25">
      <c r="A2204">
        <v>20221028</v>
      </c>
      <c r="B2204" t="s">
        <v>771</v>
      </c>
      <c r="C2204" t="s">
        <v>232</v>
      </c>
      <c r="D2204" t="s">
        <v>233</v>
      </c>
      <c r="E2204" s="35">
        <v>0.29899999999999999</v>
      </c>
      <c r="F2204" s="35">
        <v>0.39800000000000002</v>
      </c>
      <c r="G2204" s="35">
        <v>2000</v>
      </c>
    </row>
    <row r="2205" spans="1:7" x14ac:dyDescent="0.25">
      <c r="A2205">
        <v>20221028</v>
      </c>
      <c r="B2205" t="s">
        <v>771</v>
      </c>
      <c r="C2205" t="s">
        <v>232</v>
      </c>
      <c r="D2205" t="s">
        <v>242</v>
      </c>
      <c r="E2205" s="35">
        <v>0.29899999999999999</v>
      </c>
      <c r="F2205" s="35">
        <v>0.39800000000000002</v>
      </c>
      <c r="G2205" s="35">
        <v>1900</v>
      </c>
    </row>
    <row r="2206" spans="1:7" x14ac:dyDescent="0.25">
      <c r="A2206">
        <v>20221028</v>
      </c>
      <c r="B2206" t="s">
        <v>771</v>
      </c>
      <c r="C2206" t="s">
        <v>232</v>
      </c>
      <c r="D2206" t="s">
        <v>250</v>
      </c>
      <c r="E2206" s="35">
        <v>0.29899999999999999</v>
      </c>
      <c r="F2206" s="35">
        <v>0.39800000000000002</v>
      </c>
      <c r="G2206" s="35">
        <v>1700</v>
      </c>
    </row>
    <row r="2207" spans="1:7" x14ac:dyDescent="0.25">
      <c r="A2207">
        <v>20221028</v>
      </c>
      <c r="B2207" t="s">
        <v>771</v>
      </c>
      <c r="C2207" t="s">
        <v>232</v>
      </c>
      <c r="D2207" t="s">
        <v>258</v>
      </c>
      <c r="E2207" s="35">
        <v>0.29899999999999999</v>
      </c>
      <c r="F2207" s="35">
        <v>0.39800000000000002</v>
      </c>
      <c r="G2207" s="35">
        <v>1500</v>
      </c>
    </row>
    <row r="2208" spans="1:7" x14ac:dyDescent="0.25">
      <c r="A2208">
        <v>20221028</v>
      </c>
      <c r="B2208" t="s">
        <v>771</v>
      </c>
      <c r="C2208" t="s">
        <v>232</v>
      </c>
      <c r="D2208" t="s">
        <v>265</v>
      </c>
      <c r="E2208" s="35">
        <v>0.29899999999999999</v>
      </c>
      <c r="F2208" s="35">
        <v>0.39800000000000002</v>
      </c>
      <c r="G2208" s="35">
        <v>1300</v>
      </c>
    </row>
    <row r="2209" spans="1:7" x14ac:dyDescent="0.25">
      <c r="A2209">
        <v>20221028</v>
      </c>
      <c r="B2209" t="s">
        <v>771</v>
      </c>
      <c r="C2209" t="s">
        <v>232</v>
      </c>
      <c r="D2209" t="s">
        <v>273</v>
      </c>
      <c r="E2209" s="35">
        <v>0.29899999999999999</v>
      </c>
      <c r="F2209" s="35">
        <v>0.39800000000000002</v>
      </c>
      <c r="G2209" s="35">
        <v>1100</v>
      </c>
    </row>
    <row r="2210" spans="1:7" x14ac:dyDescent="0.25">
      <c r="A2210">
        <v>20221028</v>
      </c>
      <c r="B2210" t="s">
        <v>771</v>
      </c>
      <c r="C2210" t="s">
        <v>232</v>
      </c>
      <c r="D2210" t="s">
        <v>279</v>
      </c>
      <c r="E2210" s="35">
        <v>0.29899999999999999</v>
      </c>
      <c r="F2210" s="35">
        <v>0.39800000000000002</v>
      </c>
      <c r="G2210" s="35">
        <v>800</v>
      </c>
    </row>
    <row r="2211" spans="1:7" x14ac:dyDescent="0.25">
      <c r="A2211">
        <v>20221028</v>
      </c>
      <c r="B2211" t="s">
        <v>771</v>
      </c>
      <c r="C2211" t="s">
        <v>232</v>
      </c>
      <c r="D2211" t="s">
        <v>285</v>
      </c>
      <c r="E2211" s="35">
        <v>0.29899999999999999</v>
      </c>
      <c r="F2211" s="35">
        <v>0.39800000000000002</v>
      </c>
      <c r="G2211" s="35">
        <v>700</v>
      </c>
    </row>
    <row r="2212" spans="1:7" x14ac:dyDescent="0.25">
      <c r="A2212">
        <v>20221028</v>
      </c>
      <c r="B2212" t="s">
        <v>771</v>
      </c>
      <c r="C2212" t="s">
        <v>232</v>
      </c>
      <c r="D2212" t="s">
        <v>289</v>
      </c>
      <c r="E2212" s="35">
        <v>0.29899999999999999</v>
      </c>
      <c r="F2212" s="35">
        <v>0.39800000000000002</v>
      </c>
      <c r="G2212" s="35">
        <v>500</v>
      </c>
    </row>
    <row r="2213" spans="1:7" x14ac:dyDescent="0.25">
      <c r="A2213">
        <v>20221028</v>
      </c>
      <c r="B2213" t="s">
        <v>771</v>
      </c>
      <c r="C2213" t="s">
        <v>215</v>
      </c>
      <c r="D2213" t="s">
        <v>187</v>
      </c>
      <c r="E2213" s="35">
        <v>0.29899999999999999</v>
      </c>
      <c r="F2213" s="35">
        <v>0.39800000000000002</v>
      </c>
      <c r="G2213" s="35">
        <v>2100</v>
      </c>
    </row>
    <row r="2214" spans="1:7" x14ac:dyDescent="0.25">
      <c r="A2214">
        <v>20221028</v>
      </c>
      <c r="B2214" t="s">
        <v>771</v>
      </c>
      <c r="C2214" t="s">
        <v>215</v>
      </c>
      <c r="D2214" t="s">
        <v>214</v>
      </c>
      <c r="E2214" s="35">
        <v>0.29899999999999999</v>
      </c>
      <c r="F2214" s="35">
        <v>0.39800000000000002</v>
      </c>
      <c r="G2214" s="35">
        <v>2000</v>
      </c>
    </row>
    <row r="2215" spans="1:7" x14ac:dyDescent="0.25">
      <c r="A2215">
        <v>20221028</v>
      </c>
      <c r="B2215" t="s">
        <v>771</v>
      </c>
      <c r="C2215" t="s">
        <v>215</v>
      </c>
      <c r="D2215" t="s">
        <v>233</v>
      </c>
      <c r="E2215" s="35">
        <v>0.29899999999999999</v>
      </c>
      <c r="F2215" s="35">
        <v>0.39800000000000002</v>
      </c>
      <c r="G2215" s="35">
        <v>1900</v>
      </c>
    </row>
    <row r="2216" spans="1:7" x14ac:dyDescent="0.25">
      <c r="A2216">
        <v>20221028</v>
      </c>
      <c r="B2216" t="s">
        <v>771</v>
      </c>
      <c r="C2216" t="s">
        <v>215</v>
      </c>
      <c r="D2216" t="s">
        <v>242</v>
      </c>
      <c r="E2216" s="35">
        <v>0.29899999999999999</v>
      </c>
      <c r="F2216" s="35">
        <v>0.39800000000000002</v>
      </c>
      <c r="G2216" s="35">
        <v>1800</v>
      </c>
    </row>
    <row r="2217" spans="1:7" x14ac:dyDescent="0.25">
      <c r="A2217">
        <v>20221028</v>
      </c>
      <c r="B2217" t="s">
        <v>771</v>
      </c>
      <c r="C2217" t="s">
        <v>215</v>
      </c>
      <c r="D2217" t="s">
        <v>250</v>
      </c>
      <c r="E2217" s="35">
        <v>0.29899999999999999</v>
      </c>
      <c r="F2217" s="35">
        <v>0.39800000000000002</v>
      </c>
      <c r="G2217" s="35">
        <v>1600</v>
      </c>
    </row>
    <row r="2218" spans="1:7" x14ac:dyDescent="0.25">
      <c r="A2218">
        <v>20221028</v>
      </c>
      <c r="B2218" t="s">
        <v>771</v>
      </c>
      <c r="C2218" t="s">
        <v>215</v>
      </c>
      <c r="D2218" t="s">
        <v>258</v>
      </c>
      <c r="E2218" s="35">
        <v>0.29899999999999999</v>
      </c>
      <c r="F2218" s="35">
        <v>0.39800000000000002</v>
      </c>
      <c r="G2218" s="35">
        <v>1400</v>
      </c>
    </row>
    <row r="2219" spans="1:7" x14ac:dyDescent="0.25">
      <c r="A2219">
        <v>20221028</v>
      </c>
      <c r="B2219" t="s">
        <v>771</v>
      </c>
      <c r="C2219" t="s">
        <v>215</v>
      </c>
      <c r="D2219" t="s">
        <v>265</v>
      </c>
      <c r="E2219" s="35">
        <v>0.29899999999999999</v>
      </c>
      <c r="F2219" s="35">
        <v>0.39800000000000002</v>
      </c>
      <c r="G2219" s="35">
        <v>1200</v>
      </c>
    </row>
    <row r="2220" spans="1:7" x14ac:dyDescent="0.25">
      <c r="A2220">
        <v>20221028</v>
      </c>
      <c r="B2220" t="s">
        <v>771</v>
      </c>
      <c r="C2220" t="s">
        <v>215</v>
      </c>
      <c r="D2220" t="s">
        <v>273</v>
      </c>
      <c r="E2220" s="35">
        <v>0.29899999999999999</v>
      </c>
      <c r="F2220" s="35">
        <v>0.39800000000000002</v>
      </c>
      <c r="G2220" s="35">
        <v>1000</v>
      </c>
    </row>
    <row r="2221" spans="1:7" x14ac:dyDescent="0.25">
      <c r="A2221">
        <v>20221028</v>
      </c>
      <c r="B2221" t="s">
        <v>771</v>
      </c>
      <c r="C2221" t="s">
        <v>215</v>
      </c>
      <c r="D2221" t="s">
        <v>279</v>
      </c>
      <c r="E2221" s="35">
        <v>0.29899999999999999</v>
      </c>
      <c r="F2221" s="35">
        <v>0.39800000000000002</v>
      </c>
      <c r="G2221" s="35">
        <v>800</v>
      </c>
    </row>
    <row r="2222" spans="1:7" x14ac:dyDescent="0.25">
      <c r="A2222">
        <v>20221028</v>
      </c>
      <c r="B2222" t="s">
        <v>771</v>
      </c>
      <c r="C2222" t="s">
        <v>215</v>
      </c>
      <c r="D2222" t="s">
        <v>285</v>
      </c>
      <c r="E2222" s="35">
        <v>0.29899999999999999</v>
      </c>
      <c r="F2222" s="35">
        <v>0.39800000000000002</v>
      </c>
      <c r="G2222" s="35">
        <v>700</v>
      </c>
    </row>
    <row r="2223" spans="1:7" x14ac:dyDescent="0.25">
      <c r="A2223">
        <v>20221028</v>
      </c>
      <c r="B2223" t="s">
        <v>771</v>
      </c>
      <c r="C2223" t="s">
        <v>215</v>
      </c>
      <c r="D2223" t="s">
        <v>289</v>
      </c>
      <c r="E2223" s="35">
        <v>0.29899999999999999</v>
      </c>
      <c r="F2223" s="35">
        <v>0.39800000000000002</v>
      </c>
      <c r="G2223" s="35">
        <v>400</v>
      </c>
    </row>
    <row r="2224" spans="1:7" x14ac:dyDescent="0.25">
      <c r="A2224">
        <v>20221028</v>
      </c>
      <c r="B2224" t="s">
        <v>771</v>
      </c>
      <c r="C2224" t="s">
        <v>249</v>
      </c>
      <c r="D2224" t="s">
        <v>187</v>
      </c>
      <c r="E2224" s="35">
        <v>0.29899999999999999</v>
      </c>
      <c r="F2224" s="35">
        <v>0.39800000000000002</v>
      </c>
      <c r="G2224" s="35">
        <v>1900</v>
      </c>
    </row>
    <row r="2225" spans="1:7" x14ac:dyDescent="0.25">
      <c r="A2225">
        <v>20221028</v>
      </c>
      <c r="B2225" t="s">
        <v>771</v>
      </c>
      <c r="C2225" t="s">
        <v>249</v>
      </c>
      <c r="D2225" t="s">
        <v>214</v>
      </c>
      <c r="E2225" s="35">
        <v>0.29899999999999999</v>
      </c>
      <c r="F2225" s="35">
        <v>0.39800000000000002</v>
      </c>
      <c r="G2225" s="35">
        <v>1800</v>
      </c>
    </row>
    <row r="2226" spans="1:7" x14ac:dyDescent="0.25">
      <c r="A2226">
        <v>20221028</v>
      </c>
      <c r="B2226" t="s">
        <v>771</v>
      </c>
      <c r="C2226" t="s">
        <v>249</v>
      </c>
      <c r="D2226" t="s">
        <v>233</v>
      </c>
      <c r="E2226" s="35">
        <v>0.29899999999999999</v>
      </c>
      <c r="F2226" s="35">
        <v>0.39800000000000002</v>
      </c>
      <c r="G2226" s="35">
        <v>1700</v>
      </c>
    </row>
    <row r="2227" spans="1:7" x14ac:dyDescent="0.25">
      <c r="A2227">
        <v>20221028</v>
      </c>
      <c r="B2227" t="s">
        <v>771</v>
      </c>
      <c r="C2227" t="s">
        <v>249</v>
      </c>
      <c r="D2227" t="s">
        <v>242</v>
      </c>
      <c r="E2227" s="35">
        <v>0.29899999999999999</v>
      </c>
      <c r="F2227" s="35">
        <v>0.39800000000000002</v>
      </c>
      <c r="G2227" s="35">
        <v>1600</v>
      </c>
    </row>
    <row r="2228" spans="1:7" x14ac:dyDescent="0.25">
      <c r="A2228">
        <v>20221028</v>
      </c>
      <c r="B2228" t="s">
        <v>771</v>
      </c>
      <c r="C2228" t="s">
        <v>249</v>
      </c>
      <c r="D2228" t="s">
        <v>250</v>
      </c>
      <c r="E2228" s="35">
        <v>0.29899999999999999</v>
      </c>
      <c r="F2228" s="35">
        <v>0.39800000000000002</v>
      </c>
      <c r="G2228" s="35">
        <v>1400</v>
      </c>
    </row>
    <row r="2229" spans="1:7" x14ac:dyDescent="0.25">
      <c r="A2229">
        <v>20221028</v>
      </c>
      <c r="B2229" t="s">
        <v>771</v>
      </c>
      <c r="C2229" t="s">
        <v>249</v>
      </c>
      <c r="D2229" t="s">
        <v>258</v>
      </c>
      <c r="E2229" s="35">
        <v>0.29899999999999999</v>
      </c>
      <c r="F2229" s="35">
        <v>0.39800000000000002</v>
      </c>
      <c r="G2229" s="35">
        <v>1300</v>
      </c>
    </row>
    <row r="2230" spans="1:7" x14ac:dyDescent="0.25">
      <c r="A2230">
        <v>20221028</v>
      </c>
      <c r="B2230" t="s">
        <v>771</v>
      </c>
      <c r="C2230" t="s">
        <v>249</v>
      </c>
      <c r="D2230" t="s">
        <v>265</v>
      </c>
      <c r="E2230" s="35">
        <v>0.29899999999999999</v>
      </c>
      <c r="F2230" s="35">
        <v>0.39800000000000002</v>
      </c>
      <c r="G2230" s="35">
        <v>1100</v>
      </c>
    </row>
    <row r="2231" spans="1:7" x14ac:dyDescent="0.25">
      <c r="A2231">
        <v>20221028</v>
      </c>
      <c r="B2231" t="s">
        <v>771</v>
      </c>
      <c r="C2231" t="s">
        <v>249</v>
      </c>
      <c r="D2231" t="s">
        <v>273</v>
      </c>
      <c r="E2231" s="35">
        <v>0.29899999999999999</v>
      </c>
      <c r="F2231" s="35">
        <v>0.39800000000000002</v>
      </c>
      <c r="G2231" s="35">
        <v>900</v>
      </c>
    </row>
    <row r="2232" spans="1:7" x14ac:dyDescent="0.25">
      <c r="A2232">
        <v>20221028</v>
      </c>
      <c r="B2232" t="s">
        <v>771</v>
      </c>
      <c r="C2232" t="s">
        <v>249</v>
      </c>
      <c r="D2232" t="s">
        <v>279</v>
      </c>
      <c r="E2232" s="35">
        <v>0.29899999999999999</v>
      </c>
      <c r="F2232" s="35">
        <v>0.39800000000000002</v>
      </c>
      <c r="G2232" s="35">
        <v>700</v>
      </c>
    </row>
    <row r="2233" spans="1:7" x14ac:dyDescent="0.25">
      <c r="A2233">
        <v>20221028</v>
      </c>
      <c r="B2233" t="s">
        <v>771</v>
      </c>
      <c r="C2233" t="s">
        <v>249</v>
      </c>
      <c r="D2233" t="s">
        <v>285</v>
      </c>
      <c r="E2233" s="35">
        <v>0.29899999999999999</v>
      </c>
      <c r="F2233" s="35">
        <v>0.39800000000000002</v>
      </c>
      <c r="G2233" s="35">
        <v>600</v>
      </c>
    </row>
    <row r="2234" spans="1:7" x14ac:dyDescent="0.25">
      <c r="A2234">
        <v>20221028</v>
      </c>
      <c r="B2234" t="s">
        <v>771</v>
      </c>
      <c r="C2234" t="s">
        <v>249</v>
      </c>
      <c r="D2234" t="s">
        <v>289</v>
      </c>
      <c r="E2234" s="35">
        <v>0.29899999999999999</v>
      </c>
      <c r="F2234" s="35">
        <v>0.39800000000000002</v>
      </c>
      <c r="G2234" s="35">
        <v>400</v>
      </c>
    </row>
    <row r="2235" spans="1:7" x14ac:dyDescent="0.25">
      <c r="A2235">
        <v>20221028</v>
      </c>
      <c r="B2235" t="s">
        <v>771</v>
      </c>
      <c r="C2235" t="s">
        <v>257</v>
      </c>
      <c r="D2235" t="s">
        <v>187</v>
      </c>
      <c r="E2235" s="35">
        <v>0.29899999999999999</v>
      </c>
      <c r="F2235" s="35">
        <v>0.39800000000000002</v>
      </c>
      <c r="G2235" s="35">
        <v>1700</v>
      </c>
    </row>
    <row r="2236" spans="1:7" x14ac:dyDescent="0.25">
      <c r="A2236">
        <v>20221028</v>
      </c>
      <c r="B2236" t="s">
        <v>771</v>
      </c>
      <c r="C2236" t="s">
        <v>257</v>
      </c>
      <c r="D2236" t="s">
        <v>214</v>
      </c>
      <c r="E2236" s="35">
        <v>0.29899999999999999</v>
      </c>
      <c r="F2236" s="35">
        <v>0.39800000000000002</v>
      </c>
      <c r="G2236" s="35">
        <v>1600</v>
      </c>
    </row>
    <row r="2237" spans="1:7" x14ac:dyDescent="0.25">
      <c r="A2237">
        <v>20221028</v>
      </c>
      <c r="B2237" t="s">
        <v>771</v>
      </c>
      <c r="C2237" t="s">
        <v>257</v>
      </c>
      <c r="D2237" t="s">
        <v>233</v>
      </c>
      <c r="E2237" s="35">
        <v>0.29899999999999999</v>
      </c>
      <c r="F2237" s="35">
        <v>0.39800000000000002</v>
      </c>
      <c r="G2237" s="35">
        <v>1500</v>
      </c>
    </row>
    <row r="2238" spans="1:7" x14ac:dyDescent="0.25">
      <c r="A2238">
        <v>20221028</v>
      </c>
      <c r="B2238" t="s">
        <v>771</v>
      </c>
      <c r="C2238" t="s">
        <v>257</v>
      </c>
      <c r="D2238" t="s">
        <v>242</v>
      </c>
      <c r="E2238" s="35">
        <v>0.29899999999999999</v>
      </c>
      <c r="F2238" s="35">
        <v>0.39800000000000002</v>
      </c>
      <c r="G2238" s="35">
        <v>1400</v>
      </c>
    </row>
    <row r="2239" spans="1:7" x14ac:dyDescent="0.25">
      <c r="A2239">
        <v>20221028</v>
      </c>
      <c r="B2239" t="s">
        <v>771</v>
      </c>
      <c r="C2239" t="s">
        <v>257</v>
      </c>
      <c r="D2239" t="s">
        <v>250</v>
      </c>
      <c r="E2239" s="35">
        <v>0.29899999999999999</v>
      </c>
      <c r="F2239" s="35">
        <v>0.39800000000000002</v>
      </c>
      <c r="G2239" s="35">
        <v>1200</v>
      </c>
    </row>
    <row r="2240" spans="1:7" x14ac:dyDescent="0.25">
      <c r="A2240">
        <v>20221028</v>
      </c>
      <c r="B2240" t="s">
        <v>771</v>
      </c>
      <c r="C2240" t="s">
        <v>257</v>
      </c>
      <c r="D2240" t="s">
        <v>258</v>
      </c>
      <c r="E2240" s="35">
        <v>0.29899999999999999</v>
      </c>
      <c r="F2240" s="35">
        <v>0.39800000000000002</v>
      </c>
      <c r="G2240" s="35">
        <v>1100</v>
      </c>
    </row>
    <row r="2241" spans="1:7" x14ac:dyDescent="0.25">
      <c r="A2241">
        <v>20221028</v>
      </c>
      <c r="B2241" t="s">
        <v>771</v>
      </c>
      <c r="C2241" t="s">
        <v>257</v>
      </c>
      <c r="D2241" t="s">
        <v>265</v>
      </c>
      <c r="E2241" s="35">
        <v>0.29899999999999999</v>
      </c>
      <c r="F2241" s="35">
        <v>0.39800000000000002</v>
      </c>
      <c r="G2241" s="35">
        <v>1000</v>
      </c>
    </row>
    <row r="2242" spans="1:7" x14ac:dyDescent="0.25">
      <c r="A2242">
        <v>20221028</v>
      </c>
      <c r="B2242" t="s">
        <v>771</v>
      </c>
      <c r="C2242" t="s">
        <v>257</v>
      </c>
      <c r="D2242" t="s">
        <v>273</v>
      </c>
      <c r="E2242" s="35">
        <v>0.29899999999999999</v>
      </c>
      <c r="F2242" s="35">
        <v>0.39800000000000002</v>
      </c>
      <c r="G2242" s="35">
        <v>800</v>
      </c>
    </row>
    <row r="2243" spans="1:7" x14ac:dyDescent="0.25">
      <c r="A2243">
        <v>20221028</v>
      </c>
      <c r="B2243" t="s">
        <v>771</v>
      </c>
      <c r="C2243" t="s">
        <v>257</v>
      </c>
      <c r="D2243" t="s">
        <v>279</v>
      </c>
      <c r="E2243" s="35">
        <v>0.29899999999999999</v>
      </c>
      <c r="F2243" s="35">
        <v>0.39800000000000002</v>
      </c>
      <c r="G2243" s="35">
        <v>700</v>
      </c>
    </row>
    <row r="2244" spans="1:7" x14ac:dyDescent="0.25">
      <c r="A2244">
        <v>20221028</v>
      </c>
      <c r="B2244" t="s">
        <v>771</v>
      </c>
      <c r="C2244" t="s">
        <v>257</v>
      </c>
      <c r="D2244" t="s">
        <v>285</v>
      </c>
      <c r="E2244" s="35">
        <v>0.29899999999999999</v>
      </c>
      <c r="F2244" s="35">
        <v>0.39800000000000002</v>
      </c>
      <c r="G2244" s="35">
        <v>600</v>
      </c>
    </row>
    <row r="2245" spans="1:7" x14ac:dyDescent="0.25">
      <c r="A2245">
        <v>20221028</v>
      </c>
      <c r="B2245" t="s">
        <v>771</v>
      </c>
      <c r="C2245" t="s">
        <v>257</v>
      </c>
      <c r="D2245" t="s">
        <v>289</v>
      </c>
      <c r="E2245" s="35">
        <v>0.29899999999999999</v>
      </c>
      <c r="F2245" s="35">
        <v>0.39800000000000002</v>
      </c>
      <c r="G2245" s="35">
        <v>400</v>
      </c>
    </row>
    <row r="2246" spans="1:7" x14ac:dyDescent="0.25">
      <c r="A2246">
        <v>20221028</v>
      </c>
      <c r="B2246" t="s">
        <v>771</v>
      </c>
      <c r="C2246" t="s">
        <v>264</v>
      </c>
      <c r="D2246" t="s">
        <v>187</v>
      </c>
      <c r="E2246" s="35">
        <v>0.29899999999999999</v>
      </c>
      <c r="F2246" s="35">
        <v>0.39800000000000002</v>
      </c>
      <c r="G2246" s="35">
        <v>1400</v>
      </c>
    </row>
    <row r="2247" spans="1:7" x14ac:dyDescent="0.25">
      <c r="A2247">
        <v>20221028</v>
      </c>
      <c r="B2247" t="s">
        <v>771</v>
      </c>
      <c r="C2247" t="s">
        <v>264</v>
      </c>
      <c r="D2247" t="s">
        <v>214</v>
      </c>
      <c r="E2247" s="35">
        <v>0.29899999999999999</v>
      </c>
      <c r="F2247" s="35">
        <v>0.39800000000000002</v>
      </c>
      <c r="G2247" s="35">
        <v>1300</v>
      </c>
    </row>
    <row r="2248" spans="1:7" x14ac:dyDescent="0.25">
      <c r="A2248">
        <v>20221028</v>
      </c>
      <c r="B2248" t="s">
        <v>771</v>
      </c>
      <c r="C2248" t="s">
        <v>264</v>
      </c>
      <c r="D2248" t="s">
        <v>233</v>
      </c>
      <c r="E2248" s="35">
        <v>0.29899999999999999</v>
      </c>
      <c r="F2248" s="35">
        <v>0.39800000000000002</v>
      </c>
      <c r="G2248" s="35">
        <v>1200</v>
      </c>
    </row>
    <row r="2249" spans="1:7" x14ac:dyDescent="0.25">
      <c r="A2249">
        <v>20221028</v>
      </c>
      <c r="B2249" t="s">
        <v>771</v>
      </c>
      <c r="C2249" t="s">
        <v>264</v>
      </c>
      <c r="D2249" t="s">
        <v>242</v>
      </c>
      <c r="E2249" s="35">
        <v>0.29899999999999999</v>
      </c>
      <c r="F2249" s="35">
        <v>0.39800000000000002</v>
      </c>
      <c r="G2249" s="35">
        <v>1100</v>
      </c>
    </row>
    <row r="2250" spans="1:7" x14ac:dyDescent="0.25">
      <c r="A2250">
        <v>20221028</v>
      </c>
      <c r="B2250" t="s">
        <v>771</v>
      </c>
      <c r="C2250" t="s">
        <v>264</v>
      </c>
      <c r="D2250" t="s">
        <v>250</v>
      </c>
      <c r="E2250" s="35">
        <v>0.29899999999999999</v>
      </c>
      <c r="F2250" s="35">
        <v>0.39800000000000002</v>
      </c>
      <c r="G2250" s="35">
        <v>1000</v>
      </c>
    </row>
    <row r="2251" spans="1:7" x14ac:dyDescent="0.25">
      <c r="A2251">
        <v>20221028</v>
      </c>
      <c r="B2251" t="s">
        <v>771</v>
      </c>
      <c r="C2251" t="s">
        <v>264</v>
      </c>
      <c r="D2251" t="s">
        <v>258</v>
      </c>
      <c r="E2251" s="35">
        <v>0.29899999999999999</v>
      </c>
      <c r="F2251" s="35">
        <v>0.39800000000000002</v>
      </c>
      <c r="G2251" s="35">
        <v>900</v>
      </c>
    </row>
    <row r="2252" spans="1:7" x14ac:dyDescent="0.25">
      <c r="A2252">
        <v>20221028</v>
      </c>
      <c r="B2252" t="s">
        <v>771</v>
      </c>
      <c r="C2252" t="s">
        <v>264</v>
      </c>
      <c r="D2252" t="s">
        <v>265</v>
      </c>
      <c r="E2252" s="35">
        <v>0.29899999999999999</v>
      </c>
      <c r="F2252" s="35">
        <v>0.39800000000000002</v>
      </c>
      <c r="G2252" s="35">
        <v>800</v>
      </c>
    </row>
    <row r="2253" spans="1:7" x14ac:dyDescent="0.25">
      <c r="A2253">
        <v>20221028</v>
      </c>
      <c r="B2253" t="s">
        <v>771</v>
      </c>
      <c r="C2253" t="s">
        <v>264</v>
      </c>
      <c r="D2253" t="s">
        <v>273</v>
      </c>
      <c r="E2253" s="35">
        <v>0.29899999999999999</v>
      </c>
      <c r="F2253" s="35">
        <v>0.39800000000000002</v>
      </c>
      <c r="G2253" s="35">
        <v>700</v>
      </c>
    </row>
    <row r="2254" spans="1:7" x14ac:dyDescent="0.25">
      <c r="A2254">
        <v>20221028</v>
      </c>
      <c r="B2254" t="s">
        <v>771</v>
      </c>
      <c r="C2254" t="s">
        <v>264</v>
      </c>
      <c r="D2254" t="s">
        <v>279</v>
      </c>
      <c r="E2254" s="35">
        <v>0.29899999999999999</v>
      </c>
      <c r="F2254" s="35">
        <v>0.39800000000000002</v>
      </c>
      <c r="G2254" s="35">
        <v>600</v>
      </c>
    </row>
    <row r="2255" spans="1:7" x14ac:dyDescent="0.25">
      <c r="A2255">
        <v>20221028</v>
      </c>
      <c r="B2255" t="s">
        <v>771</v>
      </c>
      <c r="C2255" t="s">
        <v>264</v>
      </c>
      <c r="D2255" t="s">
        <v>285</v>
      </c>
      <c r="E2255" s="35">
        <v>0.29899999999999999</v>
      </c>
      <c r="F2255" s="35">
        <v>0.39800000000000002</v>
      </c>
      <c r="G2255" s="35">
        <v>500</v>
      </c>
    </row>
    <row r="2256" spans="1:7" x14ac:dyDescent="0.25">
      <c r="A2256">
        <v>20221028</v>
      </c>
      <c r="B2256" t="s">
        <v>771</v>
      </c>
      <c r="C2256" t="s">
        <v>264</v>
      </c>
      <c r="D2256" t="s">
        <v>289</v>
      </c>
      <c r="E2256" s="35">
        <v>0.29899999999999999</v>
      </c>
      <c r="F2256" s="35">
        <v>0.39800000000000002</v>
      </c>
      <c r="G2256" s="35">
        <v>300</v>
      </c>
    </row>
    <row r="2257" spans="1:7" x14ac:dyDescent="0.25">
      <c r="A2257">
        <v>20221028</v>
      </c>
      <c r="B2257" t="s">
        <v>771</v>
      </c>
      <c r="C2257" t="s">
        <v>272</v>
      </c>
      <c r="D2257" t="s">
        <v>187</v>
      </c>
      <c r="E2257" s="35">
        <v>0.29899999999999999</v>
      </c>
      <c r="F2257" s="35">
        <v>0.39800000000000002</v>
      </c>
      <c r="G2257" s="35">
        <v>1200</v>
      </c>
    </row>
    <row r="2258" spans="1:7" x14ac:dyDescent="0.25">
      <c r="A2258">
        <v>20221028</v>
      </c>
      <c r="B2258" t="s">
        <v>771</v>
      </c>
      <c r="C2258" t="s">
        <v>272</v>
      </c>
      <c r="D2258" t="s">
        <v>214</v>
      </c>
      <c r="E2258" s="35">
        <v>0.29899999999999999</v>
      </c>
      <c r="F2258" s="35">
        <v>0.39800000000000002</v>
      </c>
      <c r="G2258" s="35">
        <v>1100</v>
      </c>
    </row>
    <row r="2259" spans="1:7" x14ac:dyDescent="0.25">
      <c r="A2259">
        <v>20221028</v>
      </c>
      <c r="B2259" t="s">
        <v>771</v>
      </c>
      <c r="C2259" t="s">
        <v>272</v>
      </c>
      <c r="D2259" t="s">
        <v>233</v>
      </c>
      <c r="E2259" s="35">
        <v>0.29899999999999999</v>
      </c>
      <c r="F2259" s="35">
        <v>0.39800000000000002</v>
      </c>
      <c r="G2259" s="35">
        <v>1000</v>
      </c>
    </row>
    <row r="2260" spans="1:7" x14ac:dyDescent="0.25">
      <c r="A2260">
        <v>20221028</v>
      </c>
      <c r="B2260" t="s">
        <v>771</v>
      </c>
      <c r="C2260" t="s">
        <v>272</v>
      </c>
      <c r="D2260" t="s">
        <v>242</v>
      </c>
      <c r="E2260" s="35">
        <v>0.29899999999999999</v>
      </c>
      <c r="F2260" s="35">
        <v>0.39800000000000002</v>
      </c>
      <c r="G2260" s="35">
        <v>900</v>
      </c>
    </row>
    <row r="2261" spans="1:7" x14ac:dyDescent="0.25">
      <c r="A2261">
        <v>20221028</v>
      </c>
      <c r="B2261" t="s">
        <v>771</v>
      </c>
      <c r="C2261" t="s">
        <v>272</v>
      </c>
      <c r="D2261" t="s">
        <v>250</v>
      </c>
      <c r="E2261" s="35">
        <v>0.29899999999999999</v>
      </c>
      <c r="F2261" s="35">
        <v>0.39800000000000002</v>
      </c>
      <c r="G2261" s="35">
        <v>900</v>
      </c>
    </row>
    <row r="2262" spans="1:7" x14ac:dyDescent="0.25">
      <c r="A2262">
        <v>20221028</v>
      </c>
      <c r="B2262" t="s">
        <v>771</v>
      </c>
      <c r="C2262" t="s">
        <v>272</v>
      </c>
      <c r="D2262" t="s">
        <v>258</v>
      </c>
      <c r="E2262" s="35">
        <v>0.29899999999999999</v>
      </c>
      <c r="F2262" s="35">
        <v>0.39800000000000002</v>
      </c>
      <c r="G2262" s="35">
        <v>800</v>
      </c>
    </row>
    <row r="2263" spans="1:7" x14ac:dyDescent="0.25">
      <c r="A2263">
        <v>20221028</v>
      </c>
      <c r="B2263" t="s">
        <v>771</v>
      </c>
      <c r="C2263" t="s">
        <v>272</v>
      </c>
      <c r="D2263" t="s">
        <v>265</v>
      </c>
      <c r="E2263" s="35">
        <v>0.29899999999999999</v>
      </c>
      <c r="F2263" s="35">
        <v>0.39800000000000002</v>
      </c>
      <c r="G2263" s="35">
        <v>700</v>
      </c>
    </row>
    <row r="2264" spans="1:7" x14ac:dyDescent="0.25">
      <c r="A2264">
        <v>20221028</v>
      </c>
      <c r="B2264" t="s">
        <v>771</v>
      </c>
      <c r="C2264" t="s">
        <v>272</v>
      </c>
      <c r="D2264" t="s">
        <v>273</v>
      </c>
      <c r="E2264" s="35">
        <v>0.29899999999999999</v>
      </c>
      <c r="F2264" s="35">
        <v>0.39800000000000002</v>
      </c>
      <c r="G2264" s="35">
        <v>700</v>
      </c>
    </row>
    <row r="2265" spans="1:7" x14ac:dyDescent="0.25">
      <c r="A2265">
        <v>20221028</v>
      </c>
      <c r="B2265" t="s">
        <v>771</v>
      </c>
      <c r="C2265" t="s">
        <v>272</v>
      </c>
      <c r="D2265" t="s">
        <v>279</v>
      </c>
      <c r="E2265" s="35">
        <v>0.29899999999999999</v>
      </c>
      <c r="F2265" s="35">
        <v>0.39800000000000002</v>
      </c>
      <c r="G2265" s="35">
        <v>600</v>
      </c>
    </row>
    <row r="2266" spans="1:7" x14ac:dyDescent="0.25">
      <c r="A2266">
        <v>20221028</v>
      </c>
      <c r="B2266" t="s">
        <v>771</v>
      </c>
      <c r="C2266" t="s">
        <v>272</v>
      </c>
      <c r="D2266" t="s">
        <v>285</v>
      </c>
      <c r="E2266" s="35">
        <v>0.29899999999999999</v>
      </c>
      <c r="F2266" s="35">
        <v>0.39800000000000002</v>
      </c>
      <c r="G2266" s="35">
        <v>500</v>
      </c>
    </row>
    <row r="2267" spans="1:7" x14ac:dyDescent="0.25">
      <c r="A2267">
        <v>20221028</v>
      </c>
      <c r="B2267" t="s">
        <v>771</v>
      </c>
      <c r="C2267" t="s">
        <v>272</v>
      </c>
      <c r="D2267" t="s">
        <v>289</v>
      </c>
      <c r="E2267" s="35">
        <v>0.29899999999999999</v>
      </c>
      <c r="F2267" s="35">
        <v>0.39800000000000002</v>
      </c>
      <c r="G2267" s="35">
        <v>300</v>
      </c>
    </row>
    <row r="2268" spans="1:7" x14ac:dyDescent="0.25">
      <c r="A2268">
        <v>20221028</v>
      </c>
      <c r="B2268" t="s">
        <v>771</v>
      </c>
      <c r="C2268" t="s">
        <v>278</v>
      </c>
      <c r="D2268" t="s">
        <v>187</v>
      </c>
      <c r="E2268" s="35">
        <v>0.29899999999999999</v>
      </c>
      <c r="F2268" s="35">
        <v>0.39800000000000002</v>
      </c>
      <c r="G2268" s="35">
        <v>1000</v>
      </c>
    </row>
    <row r="2269" spans="1:7" x14ac:dyDescent="0.25">
      <c r="A2269">
        <v>20221028</v>
      </c>
      <c r="B2269" t="s">
        <v>771</v>
      </c>
      <c r="C2269" t="s">
        <v>278</v>
      </c>
      <c r="D2269" t="s">
        <v>214</v>
      </c>
      <c r="E2269" s="35">
        <v>0.29899999999999999</v>
      </c>
      <c r="F2269" s="35">
        <v>0.39800000000000002</v>
      </c>
      <c r="G2269" s="35">
        <v>900</v>
      </c>
    </row>
    <row r="2270" spans="1:7" x14ac:dyDescent="0.25">
      <c r="A2270">
        <v>20221028</v>
      </c>
      <c r="B2270" t="s">
        <v>771</v>
      </c>
      <c r="C2270" t="s">
        <v>278</v>
      </c>
      <c r="D2270" t="s">
        <v>233</v>
      </c>
      <c r="E2270" s="35">
        <v>0.29899999999999999</v>
      </c>
      <c r="F2270" s="35">
        <v>0.39800000000000002</v>
      </c>
      <c r="G2270" s="35">
        <v>900</v>
      </c>
    </row>
    <row r="2271" spans="1:7" x14ac:dyDescent="0.25">
      <c r="A2271">
        <v>20221028</v>
      </c>
      <c r="B2271" t="s">
        <v>771</v>
      </c>
      <c r="C2271" t="s">
        <v>278</v>
      </c>
      <c r="D2271" t="s">
        <v>242</v>
      </c>
      <c r="E2271" s="35">
        <v>0.29899999999999999</v>
      </c>
      <c r="F2271" s="35">
        <v>0.39800000000000002</v>
      </c>
      <c r="G2271" s="35">
        <v>800</v>
      </c>
    </row>
    <row r="2272" spans="1:7" x14ac:dyDescent="0.25">
      <c r="A2272">
        <v>20221028</v>
      </c>
      <c r="B2272" t="s">
        <v>771</v>
      </c>
      <c r="C2272" t="s">
        <v>278</v>
      </c>
      <c r="D2272" t="s">
        <v>250</v>
      </c>
      <c r="E2272" s="35">
        <v>0.29899999999999999</v>
      </c>
      <c r="F2272" s="35">
        <v>0.39800000000000002</v>
      </c>
      <c r="G2272" s="35">
        <v>800</v>
      </c>
    </row>
    <row r="2273" spans="1:7" x14ac:dyDescent="0.25">
      <c r="A2273">
        <v>20221028</v>
      </c>
      <c r="B2273" t="s">
        <v>771</v>
      </c>
      <c r="C2273" t="s">
        <v>278</v>
      </c>
      <c r="D2273" t="s">
        <v>258</v>
      </c>
      <c r="E2273" s="35">
        <v>0.29899999999999999</v>
      </c>
      <c r="F2273" s="35">
        <v>0.39800000000000002</v>
      </c>
      <c r="G2273" s="35">
        <v>800</v>
      </c>
    </row>
    <row r="2274" spans="1:7" x14ac:dyDescent="0.25">
      <c r="A2274">
        <v>20221028</v>
      </c>
      <c r="B2274" t="s">
        <v>771</v>
      </c>
      <c r="C2274" t="s">
        <v>278</v>
      </c>
      <c r="D2274" t="s">
        <v>265</v>
      </c>
      <c r="E2274" s="35">
        <v>0.29899999999999999</v>
      </c>
      <c r="F2274" s="35">
        <v>0.39800000000000002</v>
      </c>
      <c r="G2274" s="35">
        <v>700</v>
      </c>
    </row>
    <row r="2275" spans="1:7" x14ac:dyDescent="0.25">
      <c r="A2275">
        <v>20221028</v>
      </c>
      <c r="B2275" t="s">
        <v>771</v>
      </c>
      <c r="C2275" t="s">
        <v>278</v>
      </c>
      <c r="D2275" t="s">
        <v>273</v>
      </c>
      <c r="E2275" s="35">
        <v>0.29899999999999999</v>
      </c>
      <c r="F2275" s="35">
        <v>0.39800000000000002</v>
      </c>
      <c r="G2275" s="35">
        <v>600</v>
      </c>
    </row>
    <row r="2276" spans="1:7" x14ac:dyDescent="0.25">
      <c r="A2276">
        <v>20221028</v>
      </c>
      <c r="B2276" t="s">
        <v>771</v>
      </c>
      <c r="C2276" t="s">
        <v>278</v>
      </c>
      <c r="D2276" t="s">
        <v>279</v>
      </c>
      <c r="E2276" s="35">
        <v>0.29899999999999999</v>
      </c>
      <c r="F2276" s="35">
        <v>0.39800000000000002</v>
      </c>
      <c r="G2276" s="35">
        <v>500</v>
      </c>
    </row>
    <row r="2277" spans="1:7" x14ac:dyDescent="0.25">
      <c r="A2277">
        <v>20221028</v>
      </c>
      <c r="B2277" t="s">
        <v>771</v>
      </c>
      <c r="C2277" t="s">
        <v>278</v>
      </c>
      <c r="D2277" t="s">
        <v>285</v>
      </c>
      <c r="E2277" s="35">
        <v>0.29899999999999999</v>
      </c>
      <c r="F2277" s="35">
        <v>0.39800000000000002</v>
      </c>
      <c r="G2277" s="35">
        <v>400</v>
      </c>
    </row>
    <row r="2278" spans="1:7" x14ac:dyDescent="0.25">
      <c r="A2278">
        <v>20221028</v>
      </c>
      <c r="B2278" t="s">
        <v>771</v>
      </c>
      <c r="C2278" t="s">
        <v>278</v>
      </c>
      <c r="D2278" t="s">
        <v>289</v>
      </c>
      <c r="E2278" s="35">
        <v>0.29899999999999999</v>
      </c>
      <c r="F2278" s="35">
        <v>0.39800000000000002</v>
      </c>
      <c r="G2278" s="35">
        <v>200</v>
      </c>
    </row>
    <row r="2279" spans="1:7" x14ac:dyDescent="0.25">
      <c r="A2279">
        <v>20221028</v>
      </c>
      <c r="B2279" t="s">
        <v>771</v>
      </c>
      <c r="C2279" t="s">
        <v>284</v>
      </c>
      <c r="D2279" t="s">
        <v>187</v>
      </c>
      <c r="E2279" s="35">
        <v>0.29899999999999999</v>
      </c>
      <c r="F2279" s="35">
        <v>0.39800000000000002</v>
      </c>
      <c r="G2279" s="35">
        <v>900</v>
      </c>
    </row>
    <row r="2280" spans="1:7" x14ac:dyDescent="0.25">
      <c r="A2280">
        <v>20221028</v>
      </c>
      <c r="B2280" t="s">
        <v>771</v>
      </c>
      <c r="C2280" t="s">
        <v>284</v>
      </c>
      <c r="D2280" t="s">
        <v>214</v>
      </c>
      <c r="E2280" s="35">
        <v>0.29899999999999999</v>
      </c>
      <c r="F2280" s="35">
        <v>0.39800000000000002</v>
      </c>
      <c r="G2280" s="35">
        <v>900</v>
      </c>
    </row>
    <row r="2281" spans="1:7" x14ac:dyDescent="0.25">
      <c r="A2281">
        <v>20221028</v>
      </c>
      <c r="B2281" t="s">
        <v>771</v>
      </c>
      <c r="C2281" t="s">
        <v>284</v>
      </c>
      <c r="D2281" t="s">
        <v>233</v>
      </c>
      <c r="E2281" s="35">
        <v>0.29899999999999999</v>
      </c>
      <c r="F2281" s="35">
        <v>0.39800000000000002</v>
      </c>
      <c r="G2281" s="35">
        <v>900</v>
      </c>
    </row>
    <row r="2282" spans="1:7" x14ac:dyDescent="0.25">
      <c r="A2282">
        <v>20221028</v>
      </c>
      <c r="B2282" t="s">
        <v>771</v>
      </c>
      <c r="C2282" t="s">
        <v>284</v>
      </c>
      <c r="D2282" t="s">
        <v>242</v>
      </c>
      <c r="E2282" s="35">
        <v>0.29899999999999999</v>
      </c>
      <c r="F2282" s="35">
        <v>0.39800000000000002</v>
      </c>
      <c r="G2282" s="35">
        <v>800</v>
      </c>
    </row>
    <row r="2283" spans="1:7" x14ac:dyDescent="0.25">
      <c r="A2283">
        <v>20221028</v>
      </c>
      <c r="B2283" t="s">
        <v>771</v>
      </c>
      <c r="C2283" t="s">
        <v>284</v>
      </c>
      <c r="D2283" t="s">
        <v>250</v>
      </c>
      <c r="E2283" s="35">
        <v>0.29899999999999999</v>
      </c>
      <c r="F2283" s="35">
        <v>0.39800000000000002</v>
      </c>
      <c r="G2283" s="35">
        <v>800</v>
      </c>
    </row>
    <row r="2284" spans="1:7" x14ac:dyDescent="0.25">
      <c r="A2284">
        <v>20221028</v>
      </c>
      <c r="B2284" t="s">
        <v>771</v>
      </c>
      <c r="C2284" t="s">
        <v>284</v>
      </c>
      <c r="D2284" t="s">
        <v>258</v>
      </c>
      <c r="E2284" s="35">
        <v>0.29899999999999999</v>
      </c>
      <c r="F2284" s="35">
        <v>0.39800000000000002</v>
      </c>
      <c r="G2284" s="35">
        <v>700</v>
      </c>
    </row>
    <row r="2285" spans="1:7" x14ac:dyDescent="0.25">
      <c r="A2285">
        <v>20221028</v>
      </c>
      <c r="B2285" t="s">
        <v>771</v>
      </c>
      <c r="C2285" t="s">
        <v>284</v>
      </c>
      <c r="D2285" t="s">
        <v>265</v>
      </c>
      <c r="E2285" s="35">
        <v>0.29899999999999999</v>
      </c>
      <c r="F2285" s="35">
        <v>0.39800000000000002</v>
      </c>
      <c r="G2285" s="35">
        <v>600</v>
      </c>
    </row>
    <row r="2286" spans="1:7" x14ac:dyDescent="0.25">
      <c r="A2286">
        <v>20221028</v>
      </c>
      <c r="B2286" t="s">
        <v>771</v>
      </c>
      <c r="C2286" t="s">
        <v>284</v>
      </c>
      <c r="D2286" t="s">
        <v>273</v>
      </c>
      <c r="E2286" s="35">
        <v>0.29899999999999999</v>
      </c>
      <c r="F2286" s="35">
        <v>0.39800000000000002</v>
      </c>
      <c r="G2286" s="35">
        <v>500</v>
      </c>
    </row>
    <row r="2287" spans="1:7" x14ac:dyDescent="0.25">
      <c r="A2287">
        <v>20221028</v>
      </c>
      <c r="B2287" t="s">
        <v>771</v>
      </c>
      <c r="C2287" t="s">
        <v>284</v>
      </c>
      <c r="D2287" t="s">
        <v>279</v>
      </c>
      <c r="E2287" s="35">
        <v>0.29899999999999999</v>
      </c>
      <c r="F2287" s="35">
        <v>0.39800000000000002</v>
      </c>
      <c r="G2287" s="35">
        <v>400</v>
      </c>
    </row>
    <row r="2288" spans="1:7" x14ac:dyDescent="0.25">
      <c r="A2288">
        <v>20221028</v>
      </c>
      <c r="B2288" t="s">
        <v>771</v>
      </c>
      <c r="C2288" t="s">
        <v>284</v>
      </c>
      <c r="D2288" t="s">
        <v>285</v>
      </c>
      <c r="E2288" s="35">
        <v>0.29899999999999999</v>
      </c>
      <c r="F2288" s="35">
        <v>0.39800000000000002</v>
      </c>
      <c r="G2288" s="35">
        <v>300</v>
      </c>
    </row>
    <row r="2289" spans="1:7" x14ac:dyDescent="0.25">
      <c r="A2289">
        <v>20221028</v>
      </c>
      <c r="B2289" t="s">
        <v>771</v>
      </c>
      <c r="C2289" t="s">
        <v>284</v>
      </c>
      <c r="D2289" t="s">
        <v>289</v>
      </c>
      <c r="E2289" s="35">
        <v>0.29899999999999999</v>
      </c>
      <c r="F2289" s="35">
        <v>0.39800000000000002</v>
      </c>
      <c r="G2289" s="35">
        <v>200</v>
      </c>
    </row>
    <row r="2290" spans="1:7" x14ac:dyDescent="0.25">
      <c r="A2290">
        <v>20221028</v>
      </c>
      <c r="B2290" t="s">
        <v>771</v>
      </c>
      <c r="C2290" t="s">
        <v>186</v>
      </c>
      <c r="D2290" t="s">
        <v>187</v>
      </c>
      <c r="E2290" s="35">
        <v>0.39900000000000002</v>
      </c>
      <c r="F2290" s="35">
        <v>0.498</v>
      </c>
      <c r="G2290" s="35">
        <v>3400</v>
      </c>
    </row>
    <row r="2291" spans="1:7" x14ac:dyDescent="0.25">
      <c r="A2291">
        <v>20221028</v>
      </c>
      <c r="B2291" t="s">
        <v>771</v>
      </c>
      <c r="C2291" t="s">
        <v>186</v>
      </c>
      <c r="D2291" t="s">
        <v>214</v>
      </c>
      <c r="E2291" s="35">
        <v>0.39900000000000002</v>
      </c>
      <c r="F2291" s="35">
        <v>0.498</v>
      </c>
      <c r="G2291" s="35">
        <v>3100</v>
      </c>
    </row>
    <row r="2292" spans="1:7" x14ac:dyDescent="0.25">
      <c r="A2292">
        <v>20221028</v>
      </c>
      <c r="B2292" t="s">
        <v>771</v>
      </c>
      <c r="C2292" t="s">
        <v>186</v>
      </c>
      <c r="D2292" t="s">
        <v>233</v>
      </c>
      <c r="E2292" s="35">
        <v>0.39900000000000002</v>
      </c>
      <c r="F2292" s="35">
        <v>0.498</v>
      </c>
      <c r="G2292" s="35">
        <v>2900</v>
      </c>
    </row>
    <row r="2293" spans="1:7" x14ac:dyDescent="0.25">
      <c r="A2293">
        <v>20221028</v>
      </c>
      <c r="B2293" t="s">
        <v>771</v>
      </c>
      <c r="C2293" t="s">
        <v>186</v>
      </c>
      <c r="D2293" t="s">
        <v>242</v>
      </c>
      <c r="E2293" s="35">
        <v>0.39900000000000002</v>
      </c>
      <c r="F2293" s="35">
        <v>0.498</v>
      </c>
      <c r="G2293" s="35">
        <v>2700</v>
      </c>
    </row>
    <row r="2294" spans="1:7" x14ac:dyDescent="0.25">
      <c r="A2294">
        <v>20221028</v>
      </c>
      <c r="B2294" t="s">
        <v>771</v>
      </c>
      <c r="C2294" t="s">
        <v>186</v>
      </c>
      <c r="D2294" t="s">
        <v>250</v>
      </c>
      <c r="E2294" s="35">
        <v>0.39900000000000002</v>
      </c>
      <c r="F2294" s="35">
        <v>0.498</v>
      </c>
      <c r="G2294" s="35">
        <v>2400</v>
      </c>
    </row>
    <row r="2295" spans="1:7" x14ac:dyDescent="0.25">
      <c r="A2295">
        <v>20221028</v>
      </c>
      <c r="B2295" t="s">
        <v>771</v>
      </c>
      <c r="C2295" t="s">
        <v>186</v>
      </c>
      <c r="D2295" t="s">
        <v>258</v>
      </c>
      <c r="E2295" s="35">
        <v>0.39900000000000002</v>
      </c>
      <c r="F2295" s="35">
        <v>0.498</v>
      </c>
      <c r="G2295" s="35">
        <v>2100</v>
      </c>
    </row>
    <row r="2296" spans="1:7" x14ac:dyDescent="0.25">
      <c r="A2296">
        <v>20221028</v>
      </c>
      <c r="B2296" t="s">
        <v>771</v>
      </c>
      <c r="C2296" t="s">
        <v>186</v>
      </c>
      <c r="D2296" t="s">
        <v>265</v>
      </c>
      <c r="E2296" s="35">
        <v>0.39900000000000002</v>
      </c>
      <c r="F2296" s="35">
        <v>0.498</v>
      </c>
      <c r="G2296" s="35">
        <v>1700</v>
      </c>
    </row>
    <row r="2297" spans="1:7" x14ac:dyDescent="0.25">
      <c r="A2297">
        <v>20221028</v>
      </c>
      <c r="B2297" t="s">
        <v>771</v>
      </c>
      <c r="C2297" t="s">
        <v>186</v>
      </c>
      <c r="D2297" t="s">
        <v>273</v>
      </c>
      <c r="E2297" s="35">
        <v>0.39900000000000002</v>
      </c>
      <c r="F2297" s="35">
        <v>0.498</v>
      </c>
      <c r="G2297" s="35">
        <v>1500</v>
      </c>
    </row>
    <row r="2298" spans="1:7" x14ac:dyDescent="0.25">
      <c r="A2298">
        <v>20221028</v>
      </c>
      <c r="B2298" t="s">
        <v>771</v>
      </c>
      <c r="C2298" t="s">
        <v>186</v>
      </c>
      <c r="D2298" t="s">
        <v>279</v>
      </c>
      <c r="E2298" s="35">
        <v>0.39900000000000002</v>
      </c>
      <c r="F2298" s="35">
        <v>0.498</v>
      </c>
      <c r="G2298" s="35">
        <v>1200</v>
      </c>
    </row>
    <row r="2299" spans="1:7" x14ac:dyDescent="0.25">
      <c r="A2299">
        <v>20221028</v>
      </c>
      <c r="B2299" t="s">
        <v>771</v>
      </c>
      <c r="C2299" t="s">
        <v>186</v>
      </c>
      <c r="D2299" t="s">
        <v>285</v>
      </c>
      <c r="E2299" s="35">
        <v>0.39900000000000002</v>
      </c>
      <c r="F2299" s="35">
        <v>0.498</v>
      </c>
      <c r="G2299" s="35">
        <v>900</v>
      </c>
    </row>
    <row r="2300" spans="1:7" x14ac:dyDescent="0.25">
      <c r="A2300">
        <v>20221028</v>
      </c>
      <c r="B2300" t="s">
        <v>771</v>
      </c>
      <c r="C2300" t="s">
        <v>186</v>
      </c>
      <c r="D2300" t="s">
        <v>289</v>
      </c>
      <c r="E2300" s="35">
        <v>0.39900000000000002</v>
      </c>
      <c r="F2300" s="35">
        <v>0.498</v>
      </c>
      <c r="G2300" s="35">
        <v>700</v>
      </c>
    </row>
    <row r="2301" spans="1:7" x14ac:dyDescent="0.25">
      <c r="A2301">
        <v>20221028</v>
      </c>
      <c r="B2301" t="s">
        <v>771</v>
      </c>
      <c r="C2301" t="s">
        <v>213</v>
      </c>
      <c r="D2301" t="s">
        <v>187</v>
      </c>
      <c r="E2301" s="35">
        <v>0.39900000000000002</v>
      </c>
      <c r="F2301" s="35">
        <v>0.498</v>
      </c>
      <c r="G2301" s="35">
        <v>3200</v>
      </c>
    </row>
    <row r="2302" spans="1:7" x14ac:dyDescent="0.25">
      <c r="A2302">
        <v>20221028</v>
      </c>
      <c r="B2302" t="s">
        <v>771</v>
      </c>
      <c r="C2302" t="s">
        <v>213</v>
      </c>
      <c r="D2302" t="s">
        <v>214</v>
      </c>
      <c r="E2302" s="35">
        <v>0.39900000000000002</v>
      </c>
      <c r="F2302" s="35">
        <v>0.498</v>
      </c>
      <c r="G2302" s="35">
        <v>2900</v>
      </c>
    </row>
    <row r="2303" spans="1:7" x14ac:dyDescent="0.25">
      <c r="A2303">
        <v>20221028</v>
      </c>
      <c r="B2303" t="s">
        <v>771</v>
      </c>
      <c r="C2303" t="s">
        <v>213</v>
      </c>
      <c r="D2303" t="s">
        <v>233</v>
      </c>
      <c r="E2303" s="35">
        <v>0.39900000000000002</v>
      </c>
      <c r="F2303" s="35">
        <v>0.498</v>
      </c>
      <c r="G2303" s="35">
        <v>2700</v>
      </c>
    </row>
    <row r="2304" spans="1:7" x14ac:dyDescent="0.25">
      <c r="A2304">
        <v>20221028</v>
      </c>
      <c r="B2304" t="s">
        <v>771</v>
      </c>
      <c r="C2304" t="s">
        <v>213</v>
      </c>
      <c r="D2304" t="s">
        <v>242</v>
      </c>
      <c r="E2304" s="35">
        <v>0.39900000000000002</v>
      </c>
      <c r="F2304" s="35">
        <v>0.498</v>
      </c>
      <c r="G2304" s="35">
        <v>2500</v>
      </c>
    </row>
    <row r="2305" spans="1:7" x14ac:dyDescent="0.25">
      <c r="A2305">
        <v>20221028</v>
      </c>
      <c r="B2305" t="s">
        <v>771</v>
      </c>
      <c r="C2305" t="s">
        <v>213</v>
      </c>
      <c r="D2305" t="s">
        <v>250</v>
      </c>
      <c r="E2305" s="35">
        <v>0.39900000000000002</v>
      </c>
      <c r="F2305" s="35">
        <v>0.498</v>
      </c>
      <c r="G2305" s="35">
        <v>2300</v>
      </c>
    </row>
    <row r="2306" spans="1:7" x14ac:dyDescent="0.25">
      <c r="A2306">
        <v>20221028</v>
      </c>
      <c r="B2306" t="s">
        <v>771</v>
      </c>
      <c r="C2306" t="s">
        <v>213</v>
      </c>
      <c r="D2306" t="s">
        <v>258</v>
      </c>
      <c r="E2306" s="35">
        <v>0.39900000000000002</v>
      </c>
      <c r="F2306" s="35">
        <v>0.498</v>
      </c>
      <c r="G2306" s="35">
        <v>2000</v>
      </c>
    </row>
    <row r="2307" spans="1:7" x14ac:dyDescent="0.25">
      <c r="A2307">
        <v>20221028</v>
      </c>
      <c r="B2307" t="s">
        <v>771</v>
      </c>
      <c r="C2307" t="s">
        <v>213</v>
      </c>
      <c r="D2307" t="s">
        <v>265</v>
      </c>
      <c r="E2307" s="35">
        <v>0.39900000000000002</v>
      </c>
      <c r="F2307" s="35">
        <v>0.498</v>
      </c>
      <c r="G2307" s="35">
        <v>1600</v>
      </c>
    </row>
    <row r="2308" spans="1:7" x14ac:dyDescent="0.25">
      <c r="A2308">
        <v>20221028</v>
      </c>
      <c r="B2308" t="s">
        <v>771</v>
      </c>
      <c r="C2308" t="s">
        <v>213</v>
      </c>
      <c r="D2308" t="s">
        <v>273</v>
      </c>
      <c r="E2308" s="35">
        <v>0.39900000000000002</v>
      </c>
      <c r="F2308" s="35">
        <v>0.498</v>
      </c>
      <c r="G2308" s="35">
        <v>1400</v>
      </c>
    </row>
    <row r="2309" spans="1:7" x14ac:dyDescent="0.25">
      <c r="A2309">
        <v>20221028</v>
      </c>
      <c r="B2309" t="s">
        <v>771</v>
      </c>
      <c r="C2309" t="s">
        <v>213</v>
      </c>
      <c r="D2309" t="s">
        <v>279</v>
      </c>
      <c r="E2309" s="35">
        <v>0.39900000000000002</v>
      </c>
      <c r="F2309" s="35">
        <v>0.498</v>
      </c>
      <c r="G2309" s="35">
        <v>1100</v>
      </c>
    </row>
    <row r="2310" spans="1:7" x14ac:dyDescent="0.25">
      <c r="A2310">
        <v>20221028</v>
      </c>
      <c r="B2310" t="s">
        <v>771</v>
      </c>
      <c r="C2310" t="s">
        <v>213</v>
      </c>
      <c r="D2310" t="s">
        <v>285</v>
      </c>
      <c r="E2310" s="35">
        <v>0.39900000000000002</v>
      </c>
      <c r="F2310" s="35">
        <v>0.498</v>
      </c>
      <c r="G2310" s="35">
        <v>900</v>
      </c>
    </row>
    <row r="2311" spans="1:7" x14ac:dyDescent="0.25">
      <c r="A2311">
        <v>20221028</v>
      </c>
      <c r="B2311" t="s">
        <v>771</v>
      </c>
      <c r="C2311" t="s">
        <v>213</v>
      </c>
      <c r="D2311" t="s">
        <v>289</v>
      </c>
      <c r="E2311" s="35">
        <v>0.39900000000000002</v>
      </c>
      <c r="F2311" s="35">
        <v>0.498</v>
      </c>
      <c r="G2311" s="35">
        <v>600</v>
      </c>
    </row>
    <row r="2312" spans="1:7" x14ac:dyDescent="0.25">
      <c r="A2312">
        <v>20221028</v>
      </c>
      <c r="B2312" t="s">
        <v>771</v>
      </c>
      <c r="C2312" t="s">
        <v>232</v>
      </c>
      <c r="D2312" t="s">
        <v>187</v>
      </c>
      <c r="E2312" s="35">
        <v>0.39900000000000002</v>
      </c>
      <c r="F2312" s="35">
        <v>0.498</v>
      </c>
      <c r="G2312" s="35">
        <v>3000</v>
      </c>
    </row>
    <row r="2313" spans="1:7" x14ac:dyDescent="0.25">
      <c r="A2313">
        <v>20221028</v>
      </c>
      <c r="B2313" t="s">
        <v>771</v>
      </c>
      <c r="C2313" t="s">
        <v>232</v>
      </c>
      <c r="D2313" t="s">
        <v>214</v>
      </c>
      <c r="E2313" s="35">
        <v>0.39900000000000002</v>
      </c>
      <c r="F2313" s="35">
        <v>0.498</v>
      </c>
      <c r="G2313" s="35">
        <v>2800</v>
      </c>
    </row>
    <row r="2314" spans="1:7" x14ac:dyDescent="0.25">
      <c r="A2314">
        <v>20221028</v>
      </c>
      <c r="B2314" t="s">
        <v>771</v>
      </c>
      <c r="C2314" t="s">
        <v>232</v>
      </c>
      <c r="D2314" t="s">
        <v>233</v>
      </c>
      <c r="E2314" s="35">
        <v>0.39900000000000002</v>
      </c>
      <c r="F2314" s="35">
        <v>0.498</v>
      </c>
      <c r="G2314" s="35">
        <v>2600</v>
      </c>
    </row>
    <row r="2315" spans="1:7" x14ac:dyDescent="0.25">
      <c r="A2315">
        <v>20221028</v>
      </c>
      <c r="B2315" t="s">
        <v>771</v>
      </c>
      <c r="C2315" t="s">
        <v>232</v>
      </c>
      <c r="D2315" t="s">
        <v>242</v>
      </c>
      <c r="E2315" s="35">
        <v>0.39900000000000002</v>
      </c>
      <c r="F2315" s="35">
        <v>0.498</v>
      </c>
      <c r="G2315" s="35">
        <v>2400</v>
      </c>
    </row>
    <row r="2316" spans="1:7" x14ac:dyDescent="0.25">
      <c r="A2316">
        <v>20221028</v>
      </c>
      <c r="B2316" t="s">
        <v>771</v>
      </c>
      <c r="C2316" t="s">
        <v>232</v>
      </c>
      <c r="D2316" t="s">
        <v>250</v>
      </c>
      <c r="E2316" s="35">
        <v>0.39900000000000002</v>
      </c>
      <c r="F2316" s="35">
        <v>0.498</v>
      </c>
      <c r="G2316" s="35">
        <v>2200</v>
      </c>
    </row>
    <row r="2317" spans="1:7" x14ac:dyDescent="0.25">
      <c r="A2317">
        <v>20221028</v>
      </c>
      <c r="B2317" t="s">
        <v>771</v>
      </c>
      <c r="C2317" t="s">
        <v>232</v>
      </c>
      <c r="D2317" t="s">
        <v>258</v>
      </c>
      <c r="E2317" s="35">
        <v>0.39900000000000002</v>
      </c>
      <c r="F2317" s="35">
        <v>0.498</v>
      </c>
      <c r="G2317" s="35">
        <v>1900</v>
      </c>
    </row>
    <row r="2318" spans="1:7" x14ac:dyDescent="0.25">
      <c r="A2318">
        <v>20221028</v>
      </c>
      <c r="B2318" t="s">
        <v>771</v>
      </c>
      <c r="C2318" t="s">
        <v>232</v>
      </c>
      <c r="D2318" t="s">
        <v>265</v>
      </c>
      <c r="E2318" s="35">
        <v>0.39900000000000002</v>
      </c>
      <c r="F2318" s="35">
        <v>0.498</v>
      </c>
      <c r="G2318" s="35">
        <v>1500</v>
      </c>
    </row>
    <row r="2319" spans="1:7" x14ac:dyDescent="0.25">
      <c r="A2319">
        <v>20221028</v>
      </c>
      <c r="B2319" t="s">
        <v>771</v>
      </c>
      <c r="C2319" t="s">
        <v>232</v>
      </c>
      <c r="D2319" t="s">
        <v>273</v>
      </c>
      <c r="E2319" s="35">
        <v>0.39900000000000002</v>
      </c>
      <c r="F2319" s="35">
        <v>0.498</v>
      </c>
      <c r="G2319" s="35">
        <v>1300</v>
      </c>
    </row>
    <row r="2320" spans="1:7" x14ac:dyDescent="0.25">
      <c r="A2320">
        <v>20221028</v>
      </c>
      <c r="B2320" t="s">
        <v>771</v>
      </c>
      <c r="C2320" t="s">
        <v>232</v>
      </c>
      <c r="D2320" t="s">
        <v>279</v>
      </c>
      <c r="E2320" s="35">
        <v>0.39900000000000002</v>
      </c>
      <c r="F2320" s="35">
        <v>0.498</v>
      </c>
      <c r="G2320" s="35">
        <v>1000</v>
      </c>
    </row>
    <row r="2321" spans="1:7" x14ac:dyDescent="0.25">
      <c r="A2321">
        <v>20221028</v>
      </c>
      <c r="B2321" t="s">
        <v>771</v>
      </c>
      <c r="C2321" t="s">
        <v>232</v>
      </c>
      <c r="D2321" t="s">
        <v>285</v>
      </c>
      <c r="E2321" s="35">
        <v>0.39900000000000002</v>
      </c>
      <c r="F2321" s="35">
        <v>0.498</v>
      </c>
      <c r="G2321" s="35">
        <v>800</v>
      </c>
    </row>
    <row r="2322" spans="1:7" x14ac:dyDescent="0.25">
      <c r="A2322">
        <v>20221028</v>
      </c>
      <c r="B2322" t="s">
        <v>771</v>
      </c>
      <c r="C2322" t="s">
        <v>232</v>
      </c>
      <c r="D2322" t="s">
        <v>289</v>
      </c>
      <c r="E2322" s="35">
        <v>0.39900000000000002</v>
      </c>
      <c r="F2322" s="35">
        <v>0.498</v>
      </c>
      <c r="G2322" s="35">
        <v>500</v>
      </c>
    </row>
    <row r="2323" spans="1:7" x14ac:dyDescent="0.25">
      <c r="A2323">
        <v>20221028</v>
      </c>
      <c r="B2323" t="s">
        <v>771</v>
      </c>
      <c r="C2323" t="s">
        <v>215</v>
      </c>
      <c r="D2323" t="s">
        <v>187</v>
      </c>
      <c r="E2323" s="35">
        <v>0.39900000000000002</v>
      </c>
      <c r="F2323" s="35">
        <v>0.498</v>
      </c>
      <c r="G2323" s="35">
        <v>2800</v>
      </c>
    </row>
    <row r="2324" spans="1:7" x14ac:dyDescent="0.25">
      <c r="A2324">
        <v>20221028</v>
      </c>
      <c r="B2324" t="s">
        <v>771</v>
      </c>
      <c r="C2324" t="s">
        <v>215</v>
      </c>
      <c r="D2324" t="s">
        <v>214</v>
      </c>
      <c r="E2324" s="35">
        <v>0.39900000000000002</v>
      </c>
      <c r="F2324" s="35">
        <v>0.498</v>
      </c>
      <c r="G2324" s="35">
        <v>2600</v>
      </c>
    </row>
    <row r="2325" spans="1:7" x14ac:dyDescent="0.25">
      <c r="A2325">
        <v>20221028</v>
      </c>
      <c r="B2325" t="s">
        <v>771</v>
      </c>
      <c r="C2325" t="s">
        <v>215</v>
      </c>
      <c r="D2325" t="s">
        <v>233</v>
      </c>
      <c r="E2325" s="35">
        <v>0.39900000000000002</v>
      </c>
      <c r="F2325" s="35">
        <v>0.498</v>
      </c>
      <c r="G2325" s="35">
        <v>2400</v>
      </c>
    </row>
    <row r="2326" spans="1:7" x14ac:dyDescent="0.25">
      <c r="A2326">
        <v>20221028</v>
      </c>
      <c r="B2326" t="s">
        <v>771</v>
      </c>
      <c r="C2326" t="s">
        <v>215</v>
      </c>
      <c r="D2326" t="s">
        <v>242</v>
      </c>
      <c r="E2326" s="35">
        <v>0.39900000000000002</v>
      </c>
      <c r="F2326" s="35">
        <v>0.498</v>
      </c>
      <c r="G2326" s="35">
        <v>2300</v>
      </c>
    </row>
    <row r="2327" spans="1:7" x14ac:dyDescent="0.25">
      <c r="A2327">
        <v>20221028</v>
      </c>
      <c r="B2327" t="s">
        <v>771</v>
      </c>
      <c r="C2327" t="s">
        <v>215</v>
      </c>
      <c r="D2327" t="s">
        <v>250</v>
      </c>
      <c r="E2327" s="35">
        <v>0.39900000000000002</v>
      </c>
      <c r="F2327" s="35">
        <v>0.498</v>
      </c>
      <c r="G2327" s="35">
        <v>2100</v>
      </c>
    </row>
    <row r="2328" spans="1:7" x14ac:dyDescent="0.25">
      <c r="A2328">
        <v>20221028</v>
      </c>
      <c r="B2328" t="s">
        <v>771</v>
      </c>
      <c r="C2328" t="s">
        <v>215</v>
      </c>
      <c r="D2328" t="s">
        <v>258</v>
      </c>
      <c r="E2328" s="35">
        <v>0.39900000000000002</v>
      </c>
      <c r="F2328" s="35">
        <v>0.498</v>
      </c>
      <c r="G2328" s="35">
        <v>1800</v>
      </c>
    </row>
    <row r="2329" spans="1:7" x14ac:dyDescent="0.25">
      <c r="A2329">
        <v>20221028</v>
      </c>
      <c r="B2329" t="s">
        <v>771</v>
      </c>
      <c r="C2329" t="s">
        <v>215</v>
      </c>
      <c r="D2329" t="s">
        <v>265</v>
      </c>
      <c r="E2329" s="35">
        <v>0.39900000000000002</v>
      </c>
      <c r="F2329" s="35">
        <v>0.498</v>
      </c>
      <c r="G2329" s="35">
        <v>1400</v>
      </c>
    </row>
    <row r="2330" spans="1:7" x14ac:dyDescent="0.25">
      <c r="A2330">
        <v>20221028</v>
      </c>
      <c r="B2330" t="s">
        <v>771</v>
      </c>
      <c r="C2330" t="s">
        <v>215</v>
      </c>
      <c r="D2330" t="s">
        <v>273</v>
      </c>
      <c r="E2330" s="35">
        <v>0.39900000000000002</v>
      </c>
      <c r="F2330" s="35">
        <v>0.498</v>
      </c>
      <c r="G2330" s="35">
        <v>1200</v>
      </c>
    </row>
    <row r="2331" spans="1:7" x14ac:dyDescent="0.25">
      <c r="A2331">
        <v>20221028</v>
      </c>
      <c r="B2331" t="s">
        <v>771</v>
      </c>
      <c r="C2331" t="s">
        <v>215</v>
      </c>
      <c r="D2331" t="s">
        <v>279</v>
      </c>
      <c r="E2331" s="35">
        <v>0.39900000000000002</v>
      </c>
      <c r="F2331" s="35">
        <v>0.498</v>
      </c>
      <c r="G2331" s="35">
        <v>1000</v>
      </c>
    </row>
    <row r="2332" spans="1:7" x14ac:dyDescent="0.25">
      <c r="A2332">
        <v>20221028</v>
      </c>
      <c r="B2332" t="s">
        <v>771</v>
      </c>
      <c r="C2332" t="s">
        <v>215</v>
      </c>
      <c r="D2332" t="s">
        <v>285</v>
      </c>
      <c r="E2332" s="35">
        <v>0.39900000000000002</v>
      </c>
      <c r="F2332" s="35">
        <v>0.498</v>
      </c>
      <c r="G2332" s="35">
        <v>800</v>
      </c>
    </row>
    <row r="2333" spans="1:7" x14ac:dyDescent="0.25">
      <c r="A2333">
        <v>20221028</v>
      </c>
      <c r="B2333" t="s">
        <v>771</v>
      </c>
      <c r="C2333" t="s">
        <v>215</v>
      </c>
      <c r="D2333" t="s">
        <v>289</v>
      </c>
      <c r="E2333" s="35">
        <v>0.39900000000000002</v>
      </c>
      <c r="F2333" s="35">
        <v>0.498</v>
      </c>
      <c r="G2333" s="35">
        <v>500</v>
      </c>
    </row>
    <row r="2334" spans="1:7" x14ac:dyDescent="0.25">
      <c r="A2334">
        <v>20221028</v>
      </c>
      <c r="B2334" t="s">
        <v>771</v>
      </c>
      <c r="C2334" t="s">
        <v>249</v>
      </c>
      <c r="D2334" t="s">
        <v>187</v>
      </c>
      <c r="E2334" s="35">
        <v>0.39900000000000002</v>
      </c>
      <c r="F2334" s="35">
        <v>0.498</v>
      </c>
      <c r="G2334" s="35">
        <v>2500</v>
      </c>
    </row>
    <row r="2335" spans="1:7" x14ac:dyDescent="0.25">
      <c r="A2335">
        <v>20221028</v>
      </c>
      <c r="B2335" t="s">
        <v>771</v>
      </c>
      <c r="C2335" t="s">
        <v>249</v>
      </c>
      <c r="D2335" t="s">
        <v>214</v>
      </c>
      <c r="E2335" s="35">
        <v>0.39900000000000002</v>
      </c>
      <c r="F2335" s="35">
        <v>0.498</v>
      </c>
      <c r="G2335" s="35">
        <v>2400</v>
      </c>
    </row>
    <row r="2336" spans="1:7" x14ac:dyDescent="0.25">
      <c r="A2336">
        <v>20221028</v>
      </c>
      <c r="B2336" t="s">
        <v>771</v>
      </c>
      <c r="C2336" t="s">
        <v>249</v>
      </c>
      <c r="D2336" t="s">
        <v>233</v>
      </c>
      <c r="E2336" s="35">
        <v>0.39900000000000002</v>
      </c>
      <c r="F2336" s="35">
        <v>0.498</v>
      </c>
      <c r="G2336" s="35">
        <v>2200</v>
      </c>
    </row>
    <row r="2337" spans="1:7" x14ac:dyDescent="0.25">
      <c r="A2337">
        <v>20221028</v>
      </c>
      <c r="B2337" t="s">
        <v>771</v>
      </c>
      <c r="C2337" t="s">
        <v>249</v>
      </c>
      <c r="D2337" t="s">
        <v>242</v>
      </c>
      <c r="E2337" s="35">
        <v>0.39900000000000002</v>
      </c>
      <c r="F2337" s="35">
        <v>0.498</v>
      </c>
      <c r="G2337" s="35">
        <v>2100</v>
      </c>
    </row>
    <row r="2338" spans="1:7" x14ac:dyDescent="0.25">
      <c r="A2338">
        <v>20221028</v>
      </c>
      <c r="B2338" t="s">
        <v>771</v>
      </c>
      <c r="C2338" t="s">
        <v>249</v>
      </c>
      <c r="D2338" t="s">
        <v>250</v>
      </c>
      <c r="E2338" s="35">
        <v>0.39900000000000002</v>
      </c>
      <c r="F2338" s="35">
        <v>0.498</v>
      </c>
      <c r="G2338" s="35">
        <v>1900</v>
      </c>
    </row>
    <row r="2339" spans="1:7" x14ac:dyDescent="0.25">
      <c r="A2339">
        <v>20221028</v>
      </c>
      <c r="B2339" t="s">
        <v>771</v>
      </c>
      <c r="C2339" t="s">
        <v>249</v>
      </c>
      <c r="D2339" t="s">
        <v>258</v>
      </c>
      <c r="E2339" s="35">
        <v>0.39900000000000002</v>
      </c>
      <c r="F2339" s="35">
        <v>0.498</v>
      </c>
      <c r="G2339" s="35">
        <v>1700</v>
      </c>
    </row>
    <row r="2340" spans="1:7" x14ac:dyDescent="0.25">
      <c r="A2340">
        <v>20221028</v>
      </c>
      <c r="B2340" t="s">
        <v>771</v>
      </c>
      <c r="C2340" t="s">
        <v>249</v>
      </c>
      <c r="D2340" t="s">
        <v>265</v>
      </c>
      <c r="E2340" s="35">
        <v>0.39900000000000002</v>
      </c>
      <c r="F2340" s="35">
        <v>0.498</v>
      </c>
      <c r="G2340" s="35">
        <v>1300</v>
      </c>
    </row>
    <row r="2341" spans="1:7" x14ac:dyDescent="0.25">
      <c r="A2341">
        <v>20221028</v>
      </c>
      <c r="B2341" t="s">
        <v>771</v>
      </c>
      <c r="C2341" t="s">
        <v>249</v>
      </c>
      <c r="D2341" t="s">
        <v>273</v>
      </c>
      <c r="E2341" s="35">
        <v>0.39900000000000002</v>
      </c>
      <c r="F2341" s="35">
        <v>0.498</v>
      </c>
      <c r="G2341" s="35">
        <v>1100</v>
      </c>
    </row>
    <row r="2342" spans="1:7" x14ac:dyDescent="0.25">
      <c r="A2342">
        <v>20221028</v>
      </c>
      <c r="B2342" t="s">
        <v>771</v>
      </c>
      <c r="C2342" t="s">
        <v>249</v>
      </c>
      <c r="D2342" t="s">
        <v>279</v>
      </c>
      <c r="E2342" s="35">
        <v>0.39900000000000002</v>
      </c>
      <c r="F2342" s="35">
        <v>0.498</v>
      </c>
      <c r="G2342" s="35">
        <v>900</v>
      </c>
    </row>
    <row r="2343" spans="1:7" x14ac:dyDescent="0.25">
      <c r="A2343">
        <v>20221028</v>
      </c>
      <c r="B2343" t="s">
        <v>771</v>
      </c>
      <c r="C2343" t="s">
        <v>249</v>
      </c>
      <c r="D2343" t="s">
        <v>285</v>
      </c>
      <c r="E2343" s="35">
        <v>0.39900000000000002</v>
      </c>
      <c r="F2343" s="35">
        <v>0.498</v>
      </c>
      <c r="G2343" s="35">
        <v>700</v>
      </c>
    </row>
    <row r="2344" spans="1:7" x14ac:dyDescent="0.25">
      <c r="A2344">
        <v>20221028</v>
      </c>
      <c r="B2344" t="s">
        <v>771</v>
      </c>
      <c r="C2344" t="s">
        <v>249</v>
      </c>
      <c r="D2344" t="s">
        <v>289</v>
      </c>
      <c r="E2344" s="35">
        <v>0.39900000000000002</v>
      </c>
      <c r="F2344" s="35">
        <v>0.498</v>
      </c>
      <c r="G2344" s="35">
        <v>500</v>
      </c>
    </row>
    <row r="2345" spans="1:7" x14ac:dyDescent="0.25">
      <c r="A2345">
        <v>20221028</v>
      </c>
      <c r="B2345" t="s">
        <v>771</v>
      </c>
      <c r="C2345" t="s">
        <v>257</v>
      </c>
      <c r="D2345" t="s">
        <v>187</v>
      </c>
      <c r="E2345" s="35">
        <v>0.39900000000000002</v>
      </c>
      <c r="F2345" s="35">
        <v>0.498</v>
      </c>
      <c r="G2345" s="35">
        <v>2200</v>
      </c>
    </row>
    <row r="2346" spans="1:7" x14ac:dyDescent="0.25">
      <c r="A2346">
        <v>20221028</v>
      </c>
      <c r="B2346" t="s">
        <v>771</v>
      </c>
      <c r="C2346" t="s">
        <v>257</v>
      </c>
      <c r="D2346" t="s">
        <v>214</v>
      </c>
      <c r="E2346" s="35">
        <v>0.39900000000000002</v>
      </c>
      <c r="F2346" s="35">
        <v>0.498</v>
      </c>
      <c r="G2346" s="35">
        <v>2100</v>
      </c>
    </row>
    <row r="2347" spans="1:7" x14ac:dyDescent="0.25">
      <c r="A2347">
        <v>20221028</v>
      </c>
      <c r="B2347" t="s">
        <v>771</v>
      </c>
      <c r="C2347" t="s">
        <v>257</v>
      </c>
      <c r="D2347" t="s">
        <v>233</v>
      </c>
      <c r="E2347" s="35">
        <v>0.39900000000000002</v>
      </c>
      <c r="F2347" s="35">
        <v>0.498</v>
      </c>
      <c r="G2347" s="35">
        <v>2000</v>
      </c>
    </row>
    <row r="2348" spans="1:7" x14ac:dyDescent="0.25">
      <c r="A2348">
        <v>20221028</v>
      </c>
      <c r="B2348" t="s">
        <v>771</v>
      </c>
      <c r="C2348" t="s">
        <v>257</v>
      </c>
      <c r="D2348" t="s">
        <v>242</v>
      </c>
      <c r="E2348" s="35">
        <v>0.39900000000000002</v>
      </c>
      <c r="F2348" s="35">
        <v>0.498</v>
      </c>
      <c r="G2348" s="35">
        <v>1900</v>
      </c>
    </row>
    <row r="2349" spans="1:7" x14ac:dyDescent="0.25">
      <c r="A2349">
        <v>20221028</v>
      </c>
      <c r="B2349" t="s">
        <v>771</v>
      </c>
      <c r="C2349" t="s">
        <v>257</v>
      </c>
      <c r="D2349" t="s">
        <v>250</v>
      </c>
      <c r="E2349" s="35">
        <v>0.39900000000000002</v>
      </c>
      <c r="F2349" s="35">
        <v>0.498</v>
      </c>
      <c r="G2349" s="35">
        <v>1700</v>
      </c>
    </row>
    <row r="2350" spans="1:7" x14ac:dyDescent="0.25">
      <c r="A2350">
        <v>20221028</v>
      </c>
      <c r="B2350" t="s">
        <v>771</v>
      </c>
      <c r="C2350" t="s">
        <v>257</v>
      </c>
      <c r="D2350" t="s">
        <v>258</v>
      </c>
      <c r="E2350" s="35">
        <v>0.39900000000000002</v>
      </c>
      <c r="F2350" s="35">
        <v>0.498</v>
      </c>
      <c r="G2350" s="35">
        <v>1500</v>
      </c>
    </row>
    <row r="2351" spans="1:7" x14ac:dyDescent="0.25">
      <c r="A2351">
        <v>20221028</v>
      </c>
      <c r="B2351" t="s">
        <v>771</v>
      </c>
      <c r="C2351" t="s">
        <v>257</v>
      </c>
      <c r="D2351" t="s">
        <v>265</v>
      </c>
      <c r="E2351" s="35">
        <v>0.39900000000000002</v>
      </c>
      <c r="F2351" s="35">
        <v>0.498</v>
      </c>
      <c r="G2351" s="35">
        <v>1200</v>
      </c>
    </row>
    <row r="2352" spans="1:7" x14ac:dyDescent="0.25">
      <c r="A2352">
        <v>20221028</v>
      </c>
      <c r="B2352" t="s">
        <v>771</v>
      </c>
      <c r="C2352" t="s">
        <v>257</v>
      </c>
      <c r="D2352" t="s">
        <v>273</v>
      </c>
      <c r="E2352" s="35">
        <v>0.39900000000000002</v>
      </c>
      <c r="F2352" s="35">
        <v>0.498</v>
      </c>
      <c r="G2352" s="35">
        <v>1000</v>
      </c>
    </row>
    <row r="2353" spans="1:7" x14ac:dyDescent="0.25">
      <c r="A2353">
        <v>20221028</v>
      </c>
      <c r="B2353" t="s">
        <v>771</v>
      </c>
      <c r="C2353" t="s">
        <v>257</v>
      </c>
      <c r="D2353" t="s">
        <v>279</v>
      </c>
      <c r="E2353" s="35">
        <v>0.39900000000000002</v>
      </c>
      <c r="F2353" s="35">
        <v>0.498</v>
      </c>
      <c r="G2353" s="35">
        <v>800</v>
      </c>
    </row>
    <row r="2354" spans="1:7" x14ac:dyDescent="0.25">
      <c r="A2354">
        <v>20221028</v>
      </c>
      <c r="B2354" t="s">
        <v>771</v>
      </c>
      <c r="C2354" t="s">
        <v>257</v>
      </c>
      <c r="D2354" t="s">
        <v>285</v>
      </c>
      <c r="E2354" s="35">
        <v>0.39900000000000002</v>
      </c>
      <c r="F2354" s="35">
        <v>0.498</v>
      </c>
      <c r="G2354" s="35">
        <v>700</v>
      </c>
    </row>
    <row r="2355" spans="1:7" x14ac:dyDescent="0.25">
      <c r="A2355">
        <v>20221028</v>
      </c>
      <c r="B2355" t="s">
        <v>771</v>
      </c>
      <c r="C2355" t="s">
        <v>257</v>
      </c>
      <c r="D2355" t="s">
        <v>289</v>
      </c>
      <c r="E2355" s="35">
        <v>0.39900000000000002</v>
      </c>
      <c r="F2355" s="35">
        <v>0.498</v>
      </c>
      <c r="G2355" s="35">
        <v>400</v>
      </c>
    </row>
    <row r="2356" spans="1:7" x14ac:dyDescent="0.25">
      <c r="A2356">
        <v>20221028</v>
      </c>
      <c r="B2356" t="s">
        <v>771</v>
      </c>
      <c r="C2356" t="s">
        <v>264</v>
      </c>
      <c r="D2356" t="s">
        <v>187</v>
      </c>
      <c r="E2356" s="35">
        <v>0.39900000000000002</v>
      </c>
      <c r="F2356" s="35">
        <v>0.498</v>
      </c>
      <c r="G2356" s="35">
        <v>1800</v>
      </c>
    </row>
    <row r="2357" spans="1:7" x14ac:dyDescent="0.25">
      <c r="A2357">
        <v>20221028</v>
      </c>
      <c r="B2357" t="s">
        <v>771</v>
      </c>
      <c r="C2357" t="s">
        <v>264</v>
      </c>
      <c r="D2357" t="s">
        <v>214</v>
      </c>
      <c r="E2357" s="35">
        <v>0.39900000000000002</v>
      </c>
      <c r="F2357" s="35">
        <v>0.498</v>
      </c>
      <c r="G2357" s="35">
        <v>1700</v>
      </c>
    </row>
    <row r="2358" spans="1:7" x14ac:dyDescent="0.25">
      <c r="A2358">
        <v>20221028</v>
      </c>
      <c r="B2358" t="s">
        <v>771</v>
      </c>
      <c r="C2358" t="s">
        <v>264</v>
      </c>
      <c r="D2358" t="s">
        <v>233</v>
      </c>
      <c r="E2358" s="35">
        <v>0.39900000000000002</v>
      </c>
      <c r="F2358" s="35">
        <v>0.498</v>
      </c>
      <c r="G2358" s="35">
        <v>1600</v>
      </c>
    </row>
    <row r="2359" spans="1:7" x14ac:dyDescent="0.25">
      <c r="A2359">
        <v>20221028</v>
      </c>
      <c r="B2359" t="s">
        <v>771</v>
      </c>
      <c r="C2359" t="s">
        <v>264</v>
      </c>
      <c r="D2359" t="s">
        <v>242</v>
      </c>
      <c r="E2359" s="35">
        <v>0.39900000000000002</v>
      </c>
      <c r="F2359" s="35">
        <v>0.498</v>
      </c>
      <c r="G2359" s="35">
        <v>1500</v>
      </c>
    </row>
    <row r="2360" spans="1:7" x14ac:dyDescent="0.25">
      <c r="A2360">
        <v>20221028</v>
      </c>
      <c r="B2360" t="s">
        <v>771</v>
      </c>
      <c r="C2360" t="s">
        <v>264</v>
      </c>
      <c r="D2360" t="s">
        <v>250</v>
      </c>
      <c r="E2360" s="35">
        <v>0.39900000000000002</v>
      </c>
      <c r="F2360" s="35">
        <v>0.498</v>
      </c>
      <c r="G2360" s="35">
        <v>1400</v>
      </c>
    </row>
    <row r="2361" spans="1:7" x14ac:dyDescent="0.25">
      <c r="A2361">
        <v>20221028</v>
      </c>
      <c r="B2361" t="s">
        <v>771</v>
      </c>
      <c r="C2361" t="s">
        <v>264</v>
      </c>
      <c r="D2361" t="s">
        <v>258</v>
      </c>
      <c r="E2361" s="35">
        <v>0.39900000000000002</v>
      </c>
      <c r="F2361" s="35">
        <v>0.498</v>
      </c>
      <c r="G2361" s="35">
        <v>1200</v>
      </c>
    </row>
    <row r="2362" spans="1:7" x14ac:dyDescent="0.25">
      <c r="A2362">
        <v>20221028</v>
      </c>
      <c r="B2362" t="s">
        <v>771</v>
      </c>
      <c r="C2362" t="s">
        <v>264</v>
      </c>
      <c r="D2362" t="s">
        <v>265</v>
      </c>
      <c r="E2362" s="35">
        <v>0.39900000000000002</v>
      </c>
      <c r="F2362" s="35">
        <v>0.498</v>
      </c>
      <c r="G2362" s="35">
        <v>1100</v>
      </c>
    </row>
    <row r="2363" spans="1:7" x14ac:dyDescent="0.25">
      <c r="A2363">
        <v>20221028</v>
      </c>
      <c r="B2363" t="s">
        <v>771</v>
      </c>
      <c r="C2363" t="s">
        <v>264</v>
      </c>
      <c r="D2363" t="s">
        <v>273</v>
      </c>
      <c r="E2363" s="35">
        <v>0.39900000000000002</v>
      </c>
      <c r="F2363" s="35">
        <v>0.498</v>
      </c>
      <c r="G2363" s="35">
        <v>900</v>
      </c>
    </row>
    <row r="2364" spans="1:7" x14ac:dyDescent="0.25">
      <c r="A2364">
        <v>20221028</v>
      </c>
      <c r="B2364" t="s">
        <v>771</v>
      </c>
      <c r="C2364" t="s">
        <v>264</v>
      </c>
      <c r="D2364" t="s">
        <v>279</v>
      </c>
      <c r="E2364" s="35">
        <v>0.39900000000000002</v>
      </c>
      <c r="F2364" s="35">
        <v>0.498</v>
      </c>
      <c r="G2364" s="35">
        <v>700</v>
      </c>
    </row>
    <row r="2365" spans="1:7" x14ac:dyDescent="0.25">
      <c r="A2365">
        <v>20221028</v>
      </c>
      <c r="B2365" t="s">
        <v>771</v>
      </c>
      <c r="C2365" t="s">
        <v>264</v>
      </c>
      <c r="D2365" t="s">
        <v>285</v>
      </c>
      <c r="E2365" s="35">
        <v>0.39900000000000002</v>
      </c>
      <c r="F2365" s="35">
        <v>0.498</v>
      </c>
      <c r="G2365" s="35">
        <v>600</v>
      </c>
    </row>
    <row r="2366" spans="1:7" x14ac:dyDescent="0.25">
      <c r="A2366">
        <v>20221028</v>
      </c>
      <c r="B2366" t="s">
        <v>771</v>
      </c>
      <c r="C2366" t="s">
        <v>264</v>
      </c>
      <c r="D2366" t="s">
        <v>289</v>
      </c>
      <c r="E2366" s="35">
        <v>0.39900000000000002</v>
      </c>
      <c r="F2366" s="35">
        <v>0.498</v>
      </c>
      <c r="G2366" s="35">
        <v>400</v>
      </c>
    </row>
    <row r="2367" spans="1:7" x14ac:dyDescent="0.25">
      <c r="A2367">
        <v>20221028</v>
      </c>
      <c r="B2367" t="s">
        <v>771</v>
      </c>
      <c r="C2367" t="s">
        <v>272</v>
      </c>
      <c r="D2367" t="s">
        <v>187</v>
      </c>
      <c r="E2367" s="35">
        <v>0.39900000000000002</v>
      </c>
      <c r="F2367" s="35">
        <v>0.498</v>
      </c>
      <c r="G2367" s="35">
        <v>1500</v>
      </c>
    </row>
    <row r="2368" spans="1:7" x14ac:dyDescent="0.25">
      <c r="A2368">
        <v>20221028</v>
      </c>
      <c r="B2368" t="s">
        <v>771</v>
      </c>
      <c r="C2368" t="s">
        <v>272</v>
      </c>
      <c r="D2368" t="s">
        <v>214</v>
      </c>
      <c r="E2368" s="35">
        <v>0.39900000000000002</v>
      </c>
      <c r="F2368" s="35">
        <v>0.498</v>
      </c>
      <c r="G2368" s="35">
        <v>1400</v>
      </c>
    </row>
    <row r="2369" spans="1:7" x14ac:dyDescent="0.25">
      <c r="A2369">
        <v>20221028</v>
      </c>
      <c r="B2369" t="s">
        <v>771</v>
      </c>
      <c r="C2369" t="s">
        <v>272</v>
      </c>
      <c r="D2369" t="s">
        <v>233</v>
      </c>
      <c r="E2369" s="35">
        <v>0.39900000000000002</v>
      </c>
      <c r="F2369" s="35">
        <v>0.498</v>
      </c>
      <c r="G2369" s="35">
        <v>1300</v>
      </c>
    </row>
    <row r="2370" spans="1:7" x14ac:dyDescent="0.25">
      <c r="A2370">
        <v>20221028</v>
      </c>
      <c r="B2370" t="s">
        <v>771</v>
      </c>
      <c r="C2370" t="s">
        <v>272</v>
      </c>
      <c r="D2370" t="s">
        <v>242</v>
      </c>
      <c r="E2370" s="35">
        <v>0.39900000000000002</v>
      </c>
      <c r="F2370" s="35">
        <v>0.498</v>
      </c>
      <c r="G2370" s="35">
        <v>1200</v>
      </c>
    </row>
    <row r="2371" spans="1:7" x14ac:dyDescent="0.25">
      <c r="A2371">
        <v>20221028</v>
      </c>
      <c r="B2371" t="s">
        <v>771</v>
      </c>
      <c r="C2371" t="s">
        <v>272</v>
      </c>
      <c r="D2371" t="s">
        <v>250</v>
      </c>
      <c r="E2371" s="35">
        <v>0.39900000000000002</v>
      </c>
      <c r="F2371" s="35">
        <v>0.498</v>
      </c>
      <c r="G2371" s="35">
        <v>1100</v>
      </c>
    </row>
    <row r="2372" spans="1:7" x14ac:dyDescent="0.25">
      <c r="A2372">
        <v>20221028</v>
      </c>
      <c r="B2372" t="s">
        <v>771</v>
      </c>
      <c r="C2372" t="s">
        <v>272</v>
      </c>
      <c r="D2372" t="s">
        <v>258</v>
      </c>
      <c r="E2372" s="35">
        <v>0.39900000000000002</v>
      </c>
      <c r="F2372" s="35">
        <v>0.498</v>
      </c>
      <c r="G2372" s="35">
        <v>1000</v>
      </c>
    </row>
    <row r="2373" spans="1:7" x14ac:dyDescent="0.25">
      <c r="A2373">
        <v>20221028</v>
      </c>
      <c r="B2373" t="s">
        <v>771</v>
      </c>
      <c r="C2373" t="s">
        <v>272</v>
      </c>
      <c r="D2373" t="s">
        <v>265</v>
      </c>
      <c r="E2373" s="35">
        <v>0.39900000000000002</v>
      </c>
      <c r="F2373" s="35">
        <v>0.498</v>
      </c>
      <c r="G2373" s="35">
        <v>900</v>
      </c>
    </row>
    <row r="2374" spans="1:7" x14ac:dyDescent="0.25">
      <c r="A2374">
        <v>20221028</v>
      </c>
      <c r="B2374" t="s">
        <v>771</v>
      </c>
      <c r="C2374" t="s">
        <v>272</v>
      </c>
      <c r="D2374" t="s">
        <v>273</v>
      </c>
      <c r="E2374" s="35">
        <v>0.39900000000000002</v>
      </c>
      <c r="F2374" s="35">
        <v>0.498</v>
      </c>
      <c r="G2374" s="35">
        <v>800</v>
      </c>
    </row>
    <row r="2375" spans="1:7" x14ac:dyDescent="0.25">
      <c r="A2375">
        <v>20221028</v>
      </c>
      <c r="B2375" t="s">
        <v>771</v>
      </c>
      <c r="C2375" t="s">
        <v>272</v>
      </c>
      <c r="D2375" t="s">
        <v>279</v>
      </c>
      <c r="E2375" s="35">
        <v>0.39900000000000002</v>
      </c>
      <c r="F2375" s="35">
        <v>0.498</v>
      </c>
      <c r="G2375" s="35">
        <v>700</v>
      </c>
    </row>
    <row r="2376" spans="1:7" x14ac:dyDescent="0.25">
      <c r="A2376">
        <v>20221028</v>
      </c>
      <c r="B2376" t="s">
        <v>771</v>
      </c>
      <c r="C2376" t="s">
        <v>272</v>
      </c>
      <c r="D2376" t="s">
        <v>285</v>
      </c>
      <c r="E2376" s="35">
        <v>0.39900000000000002</v>
      </c>
      <c r="F2376" s="35">
        <v>0.498</v>
      </c>
      <c r="G2376" s="35">
        <v>600</v>
      </c>
    </row>
    <row r="2377" spans="1:7" x14ac:dyDescent="0.25">
      <c r="A2377">
        <v>20221028</v>
      </c>
      <c r="B2377" t="s">
        <v>771</v>
      </c>
      <c r="C2377" t="s">
        <v>272</v>
      </c>
      <c r="D2377" t="s">
        <v>289</v>
      </c>
      <c r="E2377" s="35">
        <v>0.39900000000000002</v>
      </c>
      <c r="F2377" s="35">
        <v>0.498</v>
      </c>
      <c r="G2377" s="35">
        <v>400</v>
      </c>
    </row>
    <row r="2378" spans="1:7" x14ac:dyDescent="0.25">
      <c r="A2378">
        <v>20221028</v>
      </c>
      <c r="B2378" t="s">
        <v>771</v>
      </c>
      <c r="C2378" t="s">
        <v>278</v>
      </c>
      <c r="D2378" t="s">
        <v>187</v>
      </c>
      <c r="E2378" s="35">
        <v>0.39900000000000002</v>
      </c>
      <c r="F2378" s="35">
        <v>0.498</v>
      </c>
      <c r="G2378" s="35">
        <v>1300</v>
      </c>
    </row>
    <row r="2379" spans="1:7" x14ac:dyDescent="0.25">
      <c r="A2379">
        <v>20221028</v>
      </c>
      <c r="B2379" t="s">
        <v>771</v>
      </c>
      <c r="C2379" t="s">
        <v>278</v>
      </c>
      <c r="D2379" t="s">
        <v>214</v>
      </c>
      <c r="E2379" s="35">
        <v>0.39900000000000002</v>
      </c>
      <c r="F2379" s="35">
        <v>0.498</v>
      </c>
      <c r="G2379" s="35">
        <v>1200</v>
      </c>
    </row>
    <row r="2380" spans="1:7" x14ac:dyDescent="0.25">
      <c r="A2380">
        <v>20221028</v>
      </c>
      <c r="B2380" t="s">
        <v>771</v>
      </c>
      <c r="C2380" t="s">
        <v>278</v>
      </c>
      <c r="D2380" t="s">
        <v>233</v>
      </c>
      <c r="E2380" s="35">
        <v>0.39900000000000002</v>
      </c>
      <c r="F2380" s="35">
        <v>0.498</v>
      </c>
      <c r="G2380" s="35">
        <v>1100</v>
      </c>
    </row>
    <row r="2381" spans="1:7" x14ac:dyDescent="0.25">
      <c r="A2381">
        <v>20221028</v>
      </c>
      <c r="B2381" t="s">
        <v>771</v>
      </c>
      <c r="C2381" t="s">
        <v>278</v>
      </c>
      <c r="D2381" t="s">
        <v>242</v>
      </c>
      <c r="E2381" s="35">
        <v>0.39900000000000002</v>
      </c>
      <c r="F2381" s="35">
        <v>0.498</v>
      </c>
      <c r="G2381" s="35">
        <v>1000</v>
      </c>
    </row>
    <row r="2382" spans="1:7" x14ac:dyDescent="0.25">
      <c r="A2382">
        <v>20221028</v>
      </c>
      <c r="B2382" t="s">
        <v>771</v>
      </c>
      <c r="C2382" t="s">
        <v>278</v>
      </c>
      <c r="D2382" t="s">
        <v>250</v>
      </c>
      <c r="E2382" s="35">
        <v>0.39900000000000002</v>
      </c>
      <c r="F2382" s="35">
        <v>0.498</v>
      </c>
      <c r="G2382" s="35">
        <v>1000</v>
      </c>
    </row>
    <row r="2383" spans="1:7" x14ac:dyDescent="0.25">
      <c r="A2383">
        <v>20221028</v>
      </c>
      <c r="B2383" t="s">
        <v>771</v>
      </c>
      <c r="C2383" t="s">
        <v>278</v>
      </c>
      <c r="D2383" t="s">
        <v>258</v>
      </c>
      <c r="E2383" s="35">
        <v>0.39900000000000002</v>
      </c>
      <c r="F2383" s="35">
        <v>0.498</v>
      </c>
      <c r="G2383" s="35">
        <v>900</v>
      </c>
    </row>
    <row r="2384" spans="1:7" x14ac:dyDescent="0.25">
      <c r="A2384">
        <v>20221028</v>
      </c>
      <c r="B2384" t="s">
        <v>771</v>
      </c>
      <c r="C2384" t="s">
        <v>278</v>
      </c>
      <c r="D2384" t="s">
        <v>265</v>
      </c>
      <c r="E2384" s="35">
        <v>0.39900000000000002</v>
      </c>
      <c r="F2384" s="35">
        <v>0.498</v>
      </c>
      <c r="G2384" s="35">
        <v>800</v>
      </c>
    </row>
    <row r="2385" spans="1:7" x14ac:dyDescent="0.25">
      <c r="A2385">
        <v>20221028</v>
      </c>
      <c r="B2385" t="s">
        <v>771</v>
      </c>
      <c r="C2385" t="s">
        <v>278</v>
      </c>
      <c r="D2385" t="s">
        <v>273</v>
      </c>
      <c r="E2385" s="35">
        <v>0.39900000000000002</v>
      </c>
      <c r="F2385" s="35">
        <v>0.498</v>
      </c>
      <c r="G2385" s="35">
        <v>700</v>
      </c>
    </row>
    <row r="2386" spans="1:7" x14ac:dyDescent="0.25">
      <c r="A2386">
        <v>20221028</v>
      </c>
      <c r="B2386" t="s">
        <v>771</v>
      </c>
      <c r="C2386" t="s">
        <v>278</v>
      </c>
      <c r="D2386" t="s">
        <v>279</v>
      </c>
      <c r="E2386" s="35">
        <v>0.39900000000000002</v>
      </c>
      <c r="F2386" s="35">
        <v>0.498</v>
      </c>
      <c r="G2386" s="35">
        <v>600</v>
      </c>
    </row>
    <row r="2387" spans="1:7" x14ac:dyDescent="0.25">
      <c r="A2387">
        <v>20221028</v>
      </c>
      <c r="B2387" t="s">
        <v>771</v>
      </c>
      <c r="C2387" t="s">
        <v>278</v>
      </c>
      <c r="D2387" t="s">
        <v>285</v>
      </c>
      <c r="E2387" s="35">
        <v>0.39900000000000002</v>
      </c>
      <c r="F2387" s="35">
        <v>0.498</v>
      </c>
      <c r="G2387" s="35">
        <v>500</v>
      </c>
    </row>
    <row r="2388" spans="1:7" x14ac:dyDescent="0.25">
      <c r="A2388">
        <v>20221028</v>
      </c>
      <c r="B2388" t="s">
        <v>771</v>
      </c>
      <c r="C2388" t="s">
        <v>278</v>
      </c>
      <c r="D2388" t="s">
        <v>289</v>
      </c>
      <c r="E2388" s="35">
        <v>0.39900000000000002</v>
      </c>
      <c r="F2388" s="35">
        <v>0.498</v>
      </c>
      <c r="G2388" s="35">
        <v>300</v>
      </c>
    </row>
    <row r="2389" spans="1:7" x14ac:dyDescent="0.25">
      <c r="A2389">
        <v>20221028</v>
      </c>
      <c r="B2389" t="s">
        <v>771</v>
      </c>
      <c r="C2389" t="s">
        <v>284</v>
      </c>
      <c r="D2389" t="s">
        <v>187</v>
      </c>
      <c r="E2389" s="35">
        <v>0.39900000000000002</v>
      </c>
      <c r="F2389" s="35">
        <v>0.498</v>
      </c>
      <c r="G2389" s="35">
        <v>1200</v>
      </c>
    </row>
    <row r="2390" spans="1:7" x14ac:dyDescent="0.25">
      <c r="A2390">
        <v>20221028</v>
      </c>
      <c r="B2390" t="s">
        <v>771</v>
      </c>
      <c r="C2390" t="s">
        <v>284</v>
      </c>
      <c r="D2390" t="s">
        <v>214</v>
      </c>
      <c r="E2390" s="35">
        <v>0.39900000000000002</v>
      </c>
      <c r="F2390" s="35">
        <v>0.498</v>
      </c>
      <c r="G2390" s="35">
        <v>1100</v>
      </c>
    </row>
    <row r="2391" spans="1:7" x14ac:dyDescent="0.25">
      <c r="A2391">
        <v>20221028</v>
      </c>
      <c r="B2391" t="s">
        <v>771</v>
      </c>
      <c r="C2391" t="s">
        <v>284</v>
      </c>
      <c r="D2391" t="s">
        <v>233</v>
      </c>
      <c r="E2391" s="35">
        <v>0.39900000000000002</v>
      </c>
      <c r="F2391" s="35">
        <v>0.498</v>
      </c>
      <c r="G2391" s="35">
        <v>1000</v>
      </c>
    </row>
    <row r="2392" spans="1:7" x14ac:dyDescent="0.25">
      <c r="A2392">
        <v>20221028</v>
      </c>
      <c r="B2392" t="s">
        <v>771</v>
      </c>
      <c r="C2392" t="s">
        <v>284</v>
      </c>
      <c r="D2392" t="s">
        <v>242</v>
      </c>
      <c r="E2392" s="35">
        <v>0.39900000000000002</v>
      </c>
      <c r="F2392" s="35">
        <v>0.498</v>
      </c>
      <c r="G2392" s="35">
        <v>900</v>
      </c>
    </row>
    <row r="2393" spans="1:7" x14ac:dyDescent="0.25">
      <c r="A2393">
        <v>20221028</v>
      </c>
      <c r="B2393" t="s">
        <v>771</v>
      </c>
      <c r="C2393" t="s">
        <v>284</v>
      </c>
      <c r="D2393" t="s">
        <v>250</v>
      </c>
      <c r="E2393" s="35">
        <v>0.39900000000000002</v>
      </c>
      <c r="F2393" s="35">
        <v>0.498</v>
      </c>
      <c r="G2393" s="35">
        <v>900</v>
      </c>
    </row>
    <row r="2394" spans="1:7" x14ac:dyDescent="0.25">
      <c r="A2394">
        <v>20221028</v>
      </c>
      <c r="B2394" t="s">
        <v>771</v>
      </c>
      <c r="C2394" t="s">
        <v>284</v>
      </c>
      <c r="D2394" t="s">
        <v>258</v>
      </c>
      <c r="E2394" s="35">
        <v>0.39900000000000002</v>
      </c>
      <c r="F2394" s="35">
        <v>0.498</v>
      </c>
      <c r="G2394" s="35">
        <v>800</v>
      </c>
    </row>
    <row r="2395" spans="1:7" x14ac:dyDescent="0.25">
      <c r="A2395">
        <v>20221028</v>
      </c>
      <c r="B2395" t="s">
        <v>771</v>
      </c>
      <c r="C2395" t="s">
        <v>284</v>
      </c>
      <c r="D2395" t="s">
        <v>265</v>
      </c>
      <c r="E2395" s="35">
        <v>0.39900000000000002</v>
      </c>
      <c r="F2395" s="35">
        <v>0.498</v>
      </c>
      <c r="G2395" s="35">
        <v>700</v>
      </c>
    </row>
    <row r="2396" spans="1:7" x14ac:dyDescent="0.25">
      <c r="A2396">
        <v>20221028</v>
      </c>
      <c r="B2396" t="s">
        <v>771</v>
      </c>
      <c r="C2396" t="s">
        <v>284</v>
      </c>
      <c r="D2396" t="s">
        <v>273</v>
      </c>
      <c r="E2396" s="35">
        <v>0.39900000000000002</v>
      </c>
      <c r="F2396" s="35">
        <v>0.498</v>
      </c>
      <c r="G2396" s="35">
        <v>600</v>
      </c>
    </row>
    <row r="2397" spans="1:7" x14ac:dyDescent="0.25">
      <c r="A2397">
        <v>20221028</v>
      </c>
      <c r="B2397" t="s">
        <v>771</v>
      </c>
      <c r="C2397" t="s">
        <v>284</v>
      </c>
      <c r="D2397" t="s">
        <v>279</v>
      </c>
      <c r="E2397" s="35">
        <v>0.39900000000000002</v>
      </c>
      <c r="F2397" s="35">
        <v>0.498</v>
      </c>
      <c r="G2397" s="35">
        <v>500</v>
      </c>
    </row>
    <row r="2398" spans="1:7" x14ac:dyDescent="0.25">
      <c r="A2398">
        <v>20221028</v>
      </c>
      <c r="B2398" t="s">
        <v>771</v>
      </c>
      <c r="C2398" t="s">
        <v>284</v>
      </c>
      <c r="D2398" t="s">
        <v>285</v>
      </c>
      <c r="E2398" s="35">
        <v>0.39900000000000002</v>
      </c>
      <c r="F2398" s="35">
        <v>0.498</v>
      </c>
      <c r="G2398" s="35">
        <v>400</v>
      </c>
    </row>
    <row r="2399" spans="1:7" x14ac:dyDescent="0.25">
      <c r="A2399">
        <v>20221028</v>
      </c>
      <c r="B2399" t="s">
        <v>771</v>
      </c>
      <c r="C2399" t="s">
        <v>284</v>
      </c>
      <c r="D2399" t="s">
        <v>289</v>
      </c>
      <c r="E2399" s="35">
        <v>0.39900000000000002</v>
      </c>
      <c r="F2399" s="35">
        <v>0.498</v>
      </c>
      <c r="G2399" s="35">
        <v>300</v>
      </c>
    </row>
    <row r="2400" spans="1:7" x14ac:dyDescent="0.25">
      <c r="A2400">
        <v>20221028</v>
      </c>
      <c r="B2400" t="s">
        <v>771</v>
      </c>
      <c r="C2400" t="s">
        <v>186</v>
      </c>
      <c r="D2400" t="s">
        <v>187</v>
      </c>
      <c r="E2400" s="35">
        <v>0.499</v>
      </c>
      <c r="F2400" s="35">
        <v>0.69799999999999995</v>
      </c>
      <c r="G2400" s="35">
        <v>4200</v>
      </c>
    </row>
    <row r="2401" spans="1:7" x14ac:dyDescent="0.25">
      <c r="A2401">
        <v>20221028</v>
      </c>
      <c r="B2401" t="s">
        <v>771</v>
      </c>
      <c r="C2401" t="s">
        <v>186</v>
      </c>
      <c r="D2401" t="s">
        <v>214</v>
      </c>
      <c r="E2401" s="35">
        <v>0.499</v>
      </c>
      <c r="F2401" s="35">
        <v>0.69799999999999995</v>
      </c>
      <c r="G2401" s="35">
        <v>3700</v>
      </c>
    </row>
    <row r="2402" spans="1:7" x14ac:dyDescent="0.25">
      <c r="A2402">
        <v>20221028</v>
      </c>
      <c r="B2402" t="s">
        <v>771</v>
      </c>
      <c r="C2402" t="s">
        <v>186</v>
      </c>
      <c r="D2402" t="s">
        <v>233</v>
      </c>
      <c r="E2402" s="35">
        <v>0.499</v>
      </c>
      <c r="F2402" s="35">
        <v>0.69799999999999995</v>
      </c>
      <c r="G2402" s="35">
        <v>3500</v>
      </c>
    </row>
    <row r="2403" spans="1:7" x14ac:dyDescent="0.25">
      <c r="A2403">
        <v>20221028</v>
      </c>
      <c r="B2403" t="s">
        <v>771</v>
      </c>
      <c r="C2403" t="s">
        <v>186</v>
      </c>
      <c r="D2403" t="s">
        <v>242</v>
      </c>
      <c r="E2403" s="35">
        <v>0.499</v>
      </c>
      <c r="F2403" s="35">
        <v>0.69799999999999995</v>
      </c>
      <c r="G2403" s="35">
        <v>3300</v>
      </c>
    </row>
    <row r="2404" spans="1:7" x14ac:dyDescent="0.25">
      <c r="A2404">
        <v>20221028</v>
      </c>
      <c r="B2404" t="s">
        <v>771</v>
      </c>
      <c r="C2404" t="s">
        <v>186</v>
      </c>
      <c r="D2404" t="s">
        <v>250</v>
      </c>
      <c r="E2404" s="35">
        <v>0.499</v>
      </c>
      <c r="F2404" s="35">
        <v>0.69799999999999995</v>
      </c>
      <c r="G2404" s="35">
        <v>3100</v>
      </c>
    </row>
    <row r="2405" spans="1:7" x14ac:dyDescent="0.25">
      <c r="A2405">
        <v>20221028</v>
      </c>
      <c r="B2405" t="s">
        <v>771</v>
      </c>
      <c r="C2405" t="s">
        <v>186</v>
      </c>
      <c r="D2405" t="s">
        <v>258</v>
      </c>
      <c r="E2405" s="35">
        <v>0.499</v>
      </c>
      <c r="F2405" s="35">
        <v>0.69799999999999995</v>
      </c>
      <c r="G2405" s="35">
        <v>2600</v>
      </c>
    </row>
    <row r="2406" spans="1:7" x14ac:dyDescent="0.25">
      <c r="A2406">
        <v>20221028</v>
      </c>
      <c r="B2406" t="s">
        <v>771</v>
      </c>
      <c r="C2406" t="s">
        <v>186</v>
      </c>
      <c r="D2406" t="s">
        <v>265</v>
      </c>
      <c r="E2406" s="35">
        <v>0.499</v>
      </c>
      <c r="F2406" s="35">
        <v>0.69799999999999995</v>
      </c>
      <c r="G2406" s="35">
        <v>2200</v>
      </c>
    </row>
    <row r="2407" spans="1:7" x14ac:dyDescent="0.25">
      <c r="A2407">
        <v>20221028</v>
      </c>
      <c r="B2407" t="s">
        <v>771</v>
      </c>
      <c r="C2407" t="s">
        <v>186</v>
      </c>
      <c r="D2407" t="s">
        <v>273</v>
      </c>
      <c r="E2407" s="35">
        <v>0.499</v>
      </c>
      <c r="F2407" s="35">
        <v>0.69799999999999995</v>
      </c>
      <c r="G2407" s="35">
        <v>2000</v>
      </c>
    </row>
    <row r="2408" spans="1:7" x14ac:dyDescent="0.25">
      <c r="A2408">
        <v>20221028</v>
      </c>
      <c r="B2408" t="s">
        <v>771</v>
      </c>
      <c r="C2408" t="s">
        <v>186</v>
      </c>
      <c r="D2408" t="s">
        <v>279</v>
      </c>
      <c r="E2408" s="35">
        <v>0.499</v>
      </c>
      <c r="F2408" s="35">
        <v>0.69799999999999995</v>
      </c>
      <c r="G2408" s="35">
        <v>1700</v>
      </c>
    </row>
    <row r="2409" spans="1:7" x14ac:dyDescent="0.25">
      <c r="A2409">
        <v>20221028</v>
      </c>
      <c r="B2409" t="s">
        <v>771</v>
      </c>
      <c r="C2409" t="s">
        <v>186</v>
      </c>
      <c r="D2409" t="s">
        <v>285</v>
      </c>
      <c r="E2409" s="35">
        <v>0.499</v>
      </c>
      <c r="F2409" s="35">
        <v>0.69799999999999995</v>
      </c>
      <c r="G2409" s="35">
        <v>1300</v>
      </c>
    </row>
    <row r="2410" spans="1:7" x14ac:dyDescent="0.25">
      <c r="A2410">
        <v>20221028</v>
      </c>
      <c r="B2410" t="s">
        <v>771</v>
      </c>
      <c r="C2410" t="s">
        <v>186</v>
      </c>
      <c r="D2410" t="s">
        <v>289</v>
      </c>
      <c r="E2410" s="35">
        <v>0.499</v>
      </c>
      <c r="F2410" s="35">
        <v>0.69799999999999995</v>
      </c>
      <c r="G2410" s="35">
        <v>900</v>
      </c>
    </row>
    <row r="2411" spans="1:7" x14ac:dyDescent="0.25">
      <c r="A2411">
        <v>20221028</v>
      </c>
      <c r="B2411" t="s">
        <v>771</v>
      </c>
      <c r="C2411" t="s">
        <v>213</v>
      </c>
      <c r="D2411" t="s">
        <v>187</v>
      </c>
      <c r="E2411" s="35">
        <v>0.499</v>
      </c>
      <c r="F2411" s="35">
        <v>0.69799999999999995</v>
      </c>
      <c r="G2411" s="35">
        <v>3700</v>
      </c>
    </row>
    <row r="2412" spans="1:7" x14ac:dyDescent="0.25">
      <c r="A2412">
        <v>20221028</v>
      </c>
      <c r="B2412" t="s">
        <v>771</v>
      </c>
      <c r="C2412" t="s">
        <v>213</v>
      </c>
      <c r="D2412" t="s">
        <v>214</v>
      </c>
      <c r="E2412" s="35">
        <v>0.499</v>
      </c>
      <c r="F2412" s="35">
        <v>0.69799999999999995</v>
      </c>
      <c r="G2412" s="35">
        <v>3500</v>
      </c>
    </row>
    <row r="2413" spans="1:7" x14ac:dyDescent="0.25">
      <c r="A2413">
        <v>20221028</v>
      </c>
      <c r="B2413" t="s">
        <v>771</v>
      </c>
      <c r="C2413" t="s">
        <v>213</v>
      </c>
      <c r="D2413" t="s">
        <v>233</v>
      </c>
      <c r="E2413" s="35">
        <v>0.499</v>
      </c>
      <c r="F2413" s="35">
        <v>0.69799999999999995</v>
      </c>
      <c r="G2413" s="35">
        <v>3300</v>
      </c>
    </row>
    <row r="2414" spans="1:7" x14ac:dyDescent="0.25">
      <c r="A2414">
        <v>20221028</v>
      </c>
      <c r="B2414" t="s">
        <v>771</v>
      </c>
      <c r="C2414" t="s">
        <v>213</v>
      </c>
      <c r="D2414" t="s">
        <v>242</v>
      </c>
      <c r="E2414" s="35">
        <v>0.499</v>
      </c>
      <c r="F2414" s="35">
        <v>0.69799999999999995</v>
      </c>
      <c r="G2414" s="35">
        <v>3100</v>
      </c>
    </row>
    <row r="2415" spans="1:7" x14ac:dyDescent="0.25">
      <c r="A2415">
        <v>20221028</v>
      </c>
      <c r="B2415" t="s">
        <v>771</v>
      </c>
      <c r="C2415" t="s">
        <v>213</v>
      </c>
      <c r="D2415" t="s">
        <v>250</v>
      </c>
      <c r="E2415" s="35">
        <v>0.499</v>
      </c>
      <c r="F2415" s="35">
        <v>0.69799999999999995</v>
      </c>
      <c r="G2415" s="35">
        <v>2900</v>
      </c>
    </row>
    <row r="2416" spans="1:7" x14ac:dyDescent="0.25">
      <c r="A2416">
        <v>20221028</v>
      </c>
      <c r="B2416" t="s">
        <v>771</v>
      </c>
      <c r="C2416" t="s">
        <v>213</v>
      </c>
      <c r="D2416" t="s">
        <v>258</v>
      </c>
      <c r="E2416" s="35">
        <v>0.499</v>
      </c>
      <c r="F2416" s="35">
        <v>0.69799999999999995</v>
      </c>
      <c r="G2416" s="35">
        <v>2400</v>
      </c>
    </row>
    <row r="2417" spans="1:7" x14ac:dyDescent="0.25">
      <c r="A2417">
        <v>20221028</v>
      </c>
      <c r="B2417" t="s">
        <v>771</v>
      </c>
      <c r="C2417" t="s">
        <v>213</v>
      </c>
      <c r="D2417" t="s">
        <v>265</v>
      </c>
      <c r="E2417" s="35">
        <v>0.499</v>
      </c>
      <c r="F2417" s="35">
        <v>0.69799999999999995</v>
      </c>
      <c r="G2417" s="35">
        <v>2000</v>
      </c>
    </row>
    <row r="2418" spans="1:7" x14ac:dyDescent="0.25">
      <c r="A2418">
        <v>20221028</v>
      </c>
      <c r="B2418" t="s">
        <v>771</v>
      </c>
      <c r="C2418" t="s">
        <v>213</v>
      </c>
      <c r="D2418" t="s">
        <v>273</v>
      </c>
      <c r="E2418" s="35">
        <v>0.499</v>
      </c>
      <c r="F2418" s="35">
        <v>0.69799999999999995</v>
      </c>
      <c r="G2418" s="35">
        <v>1800</v>
      </c>
    </row>
    <row r="2419" spans="1:7" x14ac:dyDescent="0.25">
      <c r="A2419">
        <v>20221028</v>
      </c>
      <c r="B2419" t="s">
        <v>771</v>
      </c>
      <c r="C2419" t="s">
        <v>213</v>
      </c>
      <c r="D2419" t="s">
        <v>279</v>
      </c>
      <c r="E2419" s="35">
        <v>0.499</v>
      </c>
      <c r="F2419" s="35">
        <v>0.69799999999999995</v>
      </c>
      <c r="G2419" s="35">
        <v>1600</v>
      </c>
    </row>
    <row r="2420" spans="1:7" x14ac:dyDescent="0.25">
      <c r="A2420">
        <v>20221028</v>
      </c>
      <c r="B2420" t="s">
        <v>771</v>
      </c>
      <c r="C2420" t="s">
        <v>213</v>
      </c>
      <c r="D2420" t="s">
        <v>285</v>
      </c>
      <c r="E2420" s="35">
        <v>0.499</v>
      </c>
      <c r="F2420" s="35">
        <v>0.69799999999999995</v>
      </c>
      <c r="G2420" s="35">
        <v>1200</v>
      </c>
    </row>
    <row r="2421" spans="1:7" x14ac:dyDescent="0.25">
      <c r="A2421">
        <v>20221028</v>
      </c>
      <c r="B2421" t="s">
        <v>771</v>
      </c>
      <c r="C2421" t="s">
        <v>213</v>
      </c>
      <c r="D2421" t="s">
        <v>289</v>
      </c>
      <c r="E2421" s="35">
        <v>0.499</v>
      </c>
      <c r="F2421" s="35">
        <v>0.69799999999999995</v>
      </c>
      <c r="G2421" s="35">
        <v>800</v>
      </c>
    </row>
    <row r="2422" spans="1:7" x14ac:dyDescent="0.25">
      <c r="A2422">
        <v>20221028</v>
      </c>
      <c r="B2422" t="s">
        <v>771</v>
      </c>
      <c r="C2422" t="s">
        <v>232</v>
      </c>
      <c r="D2422" t="s">
        <v>187</v>
      </c>
      <c r="E2422" s="35">
        <v>0.499</v>
      </c>
      <c r="F2422" s="35">
        <v>0.69799999999999995</v>
      </c>
      <c r="G2422" s="35">
        <v>3500</v>
      </c>
    </row>
    <row r="2423" spans="1:7" x14ac:dyDescent="0.25">
      <c r="A2423">
        <v>20221028</v>
      </c>
      <c r="B2423" t="s">
        <v>771</v>
      </c>
      <c r="C2423" t="s">
        <v>232</v>
      </c>
      <c r="D2423" t="s">
        <v>214</v>
      </c>
      <c r="E2423" s="35">
        <v>0.499</v>
      </c>
      <c r="F2423" s="35">
        <v>0.69799999999999995</v>
      </c>
      <c r="G2423" s="35">
        <v>3300</v>
      </c>
    </row>
    <row r="2424" spans="1:7" x14ac:dyDescent="0.25">
      <c r="A2424">
        <v>20221028</v>
      </c>
      <c r="B2424" t="s">
        <v>771</v>
      </c>
      <c r="C2424" t="s">
        <v>232</v>
      </c>
      <c r="D2424" t="s">
        <v>233</v>
      </c>
      <c r="E2424" s="35">
        <v>0.499</v>
      </c>
      <c r="F2424" s="35">
        <v>0.69799999999999995</v>
      </c>
      <c r="G2424" s="35">
        <v>3100</v>
      </c>
    </row>
    <row r="2425" spans="1:7" x14ac:dyDescent="0.25">
      <c r="A2425">
        <v>20221028</v>
      </c>
      <c r="B2425" t="s">
        <v>771</v>
      </c>
      <c r="C2425" t="s">
        <v>232</v>
      </c>
      <c r="D2425" t="s">
        <v>242</v>
      </c>
      <c r="E2425" s="35">
        <v>0.499</v>
      </c>
      <c r="F2425" s="35">
        <v>0.69799999999999995</v>
      </c>
      <c r="G2425" s="35">
        <v>3000</v>
      </c>
    </row>
    <row r="2426" spans="1:7" x14ac:dyDescent="0.25">
      <c r="A2426">
        <v>20221028</v>
      </c>
      <c r="B2426" t="s">
        <v>771</v>
      </c>
      <c r="C2426" t="s">
        <v>232</v>
      </c>
      <c r="D2426" t="s">
        <v>250</v>
      </c>
      <c r="E2426" s="35">
        <v>0.499</v>
      </c>
      <c r="F2426" s="35">
        <v>0.69799999999999995</v>
      </c>
      <c r="G2426" s="35">
        <v>2800</v>
      </c>
    </row>
    <row r="2427" spans="1:7" x14ac:dyDescent="0.25">
      <c r="A2427">
        <v>20221028</v>
      </c>
      <c r="B2427" t="s">
        <v>771</v>
      </c>
      <c r="C2427" t="s">
        <v>232</v>
      </c>
      <c r="D2427" t="s">
        <v>258</v>
      </c>
      <c r="E2427" s="35">
        <v>0.499</v>
      </c>
      <c r="F2427" s="35">
        <v>0.69799999999999995</v>
      </c>
      <c r="G2427" s="35">
        <v>2300</v>
      </c>
    </row>
    <row r="2428" spans="1:7" x14ac:dyDescent="0.25">
      <c r="A2428">
        <v>20221028</v>
      </c>
      <c r="B2428" t="s">
        <v>771</v>
      </c>
      <c r="C2428" t="s">
        <v>232</v>
      </c>
      <c r="D2428" t="s">
        <v>265</v>
      </c>
      <c r="E2428" s="35">
        <v>0.499</v>
      </c>
      <c r="F2428" s="35">
        <v>0.69799999999999995</v>
      </c>
      <c r="G2428" s="35">
        <v>1900</v>
      </c>
    </row>
    <row r="2429" spans="1:7" x14ac:dyDescent="0.25">
      <c r="A2429">
        <v>20221028</v>
      </c>
      <c r="B2429" t="s">
        <v>771</v>
      </c>
      <c r="C2429" t="s">
        <v>232</v>
      </c>
      <c r="D2429" t="s">
        <v>273</v>
      </c>
      <c r="E2429" s="35">
        <v>0.499</v>
      </c>
      <c r="F2429" s="35">
        <v>0.69799999999999995</v>
      </c>
      <c r="G2429" s="35">
        <v>1700</v>
      </c>
    </row>
    <row r="2430" spans="1:7" x14ac:dyDescent="0.25">
      <c r="A2430">
        <v>20221028</v>
      </c>
      <c r="B2430" t="s">
        <v>771</v>
      </c>
      <c r="C2430" t="s">
        <v>232</v>
      </c>
      <c r="D2430" t="s">
        <v>279</v>
      </c>
      <c r="E2430" s="35">
        <v>0.499</v>
      </c>
      <c r="F2430" s="35">
        <v>0.69799999999999995</v>
      </c>
      <c r="G2430" s="35">
        <v>1500</v>
      </c>
    </row>
    <row r="2431" spans="1:7" x14ac:dyDescent="0.25">
      <c r="A2431">
        <v>20221028</v>
      </c>
      <c r="B2431" t="s">
        <v>771</v>
      </c>
      <c r="C2431" t="s">
        <v>232</v>
      </c>
      <c r="D2431" t="s">
        <v>285</v>
      </c>
      <c r="E2431" s="35">
        <v>0.499</v>
      </c>
      <c r="F2431" s="35">
        <v>0.69799999999999995</v>
      </c>
      <c r="G2431" s="35">
        <v>1100</v>
      </c>
    </row>
    <row r="2432" spans="1:7" x14ac:dyDescent="0.25">
      <c r="A2432">
        <v>20221028</v>
      </c>
      <c r="B2432" t="s">
        <v>771</v>
      </c>
      <c r="C2432" t="s">
        <v>232</v>
      </c>
      <c r="D2432" t="s">
        <v>289</v>
      </c>
      <c r="E2432" s="35">
        <v>0.499</v>
      </c>
      <c r="F2432" s="35">
        <v>0.69799999999999995</v>
      </c>
      <c r="G2432" s="35">
        <v>700</v>
      </c>
    </row>
    <row r="2433" spans="1:7" x14ac:dyDescent="0.25">
      <c r="A2433">
        <v>20221028</v>
      </c>
      <c r="B2433" t="s">
        <v>771</v>
      </c>
      <c r="C2433" t="s">
        <v>215</v>
      </c>
      <c r="D2433" t="s">
        <v>187</v>
      </c>
      <c r="E2433" s="35">
        <v>0.499</v>
      </c>
      <c r="F2433" s="35">
        <v>0.69799999999999995</v>
      </c>
      <c r="G2433" s="35">
        <v>3300</v>
      </c>
    </row>
    <row r="2434" spans="1:7" x14ac:dyDescent="0.25">
      <c r="A2434">
        <v>20221028</v>
      </c>
      <c r="B2434" t="s">
        <v>771</v>
      </c>
      <c r="C2434" t="s">
        <v>215</v>
      </c>
      <c r="D2434" t="s">
        <v>214</v>
      </c>
      <c r="E2434" s="35">
        <v>0.499</v>
      </c>
      <c r="F2434" s="35">
        <v>0.69799999999999995</v>
      </c>
      <c r="G2434" s="35">
        <v>3100</v>
      </c>
    </row>
    <row r="2435" spans="1:7" x14ac:dyDescent="0.25">
      <c r="A2435">
        <v>20221028</v>
      </c>
      <c r="B2435" t="s">
        <v>771</v>
      </c>
      <c r="C2435" t="s">
        <v>215</v>
      </c>
      <c r="D2435" t="s">
        <v>233</v>
      </c>
      <c r="E2435" s="35">
        <v>0.499</v>
      </c>
      <c r="F2435" s="35">
        <v>0.69799999999999995</v>
      </c>
      <c r="G2435" s="35">
        <v>2900</v>
      </c>
    </row>
    <row r="2436" spans="1:7" x14ac:dyDescent="0.25">
      <c r="A2436">
        <v>20221028</v>
      </c>
      <c r="B2436" t="s">
        <v>771</v>
      </c>
      <c r="C2436" t="s">
        <v>215</v>
      </c>
      <c r="D2436" t="s">
        <v>242</v>
      </c>
      <c r="E2436" s="35">
        <v>0.499</v>
      </c>
      <c r="F2436" s="35">
        <v>0.69799999999999995</v>
      </c>
      <c r="G2436" s="35">
        <v>2800</v>
      </c>
    </row>
    <row r="2437" spans="1:7" x14ac:dyDescent="0.25">
      <c r="A2437">
        <v>20221028</v>
      </c>
      <c r="B2437" t="s">
        <v>771</v>
      </c>
      <c r="C2437" t="s">
        <v>215</v>
      </c>
      <c r="D2437" t="s">
        <v>250</v>
      </c>
      <c r="E2437" s="35">
        <v>0.499</v>
      </c>
      <c r="F2437" s="35">
        <v>0.69799999999999995</v>
      </c>
      <c r="G2437" s="35">
        <v>2700</v>
      </c>
    </row>
    <row r="2438" spans="1:7" x14ac:dyDescent="0.25">
      <c r="A2438">
        <v>20221028</v>
      </c>
      <c r="B2438" t="s">
        <v>771</v>
      </c>
      <c r="C2438" t="s">
        <v>215</v>
      </c>
      <c r="D2438" t="s">
        <v>258</v>
      </c>
      <c r="E2438" s="35">
        <v>0.499</v>
      </c>
      <c r="F2438" s="35">
        <v>0.69799999999999995</v>
      </c>
      <c r="G2438" s="35">
        <v>2200</v>
      </c>
    </row>
    <row r="2439" spans="1:7" x14ac:dyDescent="0.25">
      <c r="A2439">
        <v>20221028</v>
      </c>
      <c r="B2439" t="s">
        <v>771</v>
      </c>
      <c r="C2439" t="s">
        <v>215</v>
      </c>
      <c r="D2439" t="s">
        <v>265</v>
      </c>
      <c r="E2439" s="35">
        <v>0.499</v>
      </c>
      <c r="F2439" s="35">
        <v>0.69799999999999995</v>
      </c>
      <c r="G2439" s="35">
        <v>1800</v>
      </c>
    </row>
    <row r="2440" spans="1:7" x14ac:dyDescent="0.25">
      <c r="A2440">
        <v>20221028</v>
      </c>
      <c r="B2440" t="s">
        <v>771</v>
      </c>
      <c r="C2440" t="s">
        <v>215</v>
      </c>
      <c r="D2440" t="s">
        <v>273</v>
      </c>
      <c r="E2440" s="35">
        <v>0.499</v>
      </c>
      <c r="F2440" s="35">
        <v>0.69799999999999995</v>
      </c>
      <c r="G2440" s="35">
        <v>1600</v>
      </c>
    </row>
    <row r="2441" spans="1:7" x14ac:dyDescent="0.25">
      <c r="A2441">
        <v>20221028</v>
      </c>
      <c r="B2441" t="s">
        <v>771</v>
      </c>
      <c r="C2441" t="s">
        <v>215</v>
      </c>
      <c r="D2441" t="s">
        <v>279</v>
      </c>
      <c r="E2441" s="35">
        <v>0.499</v>
      </c>
      <c r="F2441" s="35">
        <v>0.69799999999999995</v>
      </c>
      <c r="G2441" s="35">
        <v>1400</v>
      </c>
    </row>
    <row r="2442" spans="1:7" x14ac:dyDescent="0.25">
      <c r="A2442">
        <v>20221028</v>
      </c>
      <c r="B2442" t="s">
        <v>771</v>
      </c>
      <c r="C2442" t="s">
        <v>215</v>
      </c>
      <c r="D2442" t="s">
        <v>285</v>
      </c>
      <c r="E2442" s="35">
        <v>0.499</v>
      </c>
      <c r="F2442" s="35">
        <v>0.69799999999999995</v>
      </c>
      <c r="G2442" s="35">
        <v>1000</v>
      </c>
    </row>
    <row r="2443" spans="1:7" x14ac:dyDescent="0.25">
      <c r="A2443">
        <v>20221028</v>
      </c>
      <c r="B2443" t="s">
        <v>771</v>
      </c>
      <c r="C2443" t="s">
        <v>215</v>
      </c>
      <c r="D2443" t="s">
        <v>289</v>
      </c>
      <c r="E2443" s="35">
        <v>0.499</v>
      </c>
      <c r="F2443" s="35">
        <v>0.69799999999999995</v>
      </c>
      <c r="G2443" s="35">
        <v>700</v>
      </c>
    </row>
    <row r="2444" spans="1:7" x14ac:dyDescent="0.25">
      <c r="A2444">
        <v>20221028</v>
      </c>
      <c r="B2444" t="s">
        <v>771</v>
      </c>
      <c r="C2444" t="s">
        <v>249</v>
      </c>
      <c r="D2444" t="s">
        <v>187</v>
      </c>
      <c r="E2444" s="35">
        <v>0.499</v>
      </c>
      <c r="F2444" s="35">
        <v>0.69799999999999995</v>
      </c>
      <c r="G2444" s="35">
        <v>3000</v>
      </c>
    </row>
    <row r="2445" spans="1:7" x14ac:dyDescent="0.25">
      <c r="A2445">
        <v>20221028</v>
      </c>
      <c r="B2445" t="s">
        <v>771</v>
      </c>
      <c r="C2445" t="s">
        <v>249</v>
      </c>
      <c r="D2445" t="s">
        <v>214</v>
      </c>
      <c r="E2445" s="35">
        <v>0.499</v>
      </c>
      <c r="F2445" s="35">
        <v>0.69799999999999995</v>
      </c>
      <c r="G2445" s="35">
        <v>2900</v>
      </c>
    </row>
    <row r="2446" spans="1:7" x14ac:dyDescent="0.25">
      <c r="A2446">
        <v>20221028</v>
      </c>
      <c r="B2446" t="s">
        <v>771</v>
      </c>
      <c r="C2446" t="s">
        <v>249</v>
      </c>
      <c r="D2446" t="s">
        <v>233</v>
      </c>
      <c r="E2446" s="35">
        <v>0.499</v>
      </c>
      <c r="F2446" s="35">
        <v>0.69799999999999995</v>
      </c>
      <c r="G2446" s="35">
        <v>2700</v>
      </c>
    </row>
    <row r="2447" spans="1:7" x14ac:dyDescent="0.25">
      <c r="A2447">
        <v>20221028</v>
      </c>
      <c r="B2447" t="s">
        <v>771</v>
      </c>
      <c r="C2447" t="s">
        <v>249</v>
      </c>
      <c r="D2447" t="s">
        <v>242</v>
      </c>
      <c r="E2447" s="35">
        <v>0.499</v>
      </c>
      <c r="F2447" s="35">
        <v>0.69799999999999995</v>
      </c>
      <c r="G2447" s="35">
        <v>2600</v>
      </c>
    </row>
    <row r="2448" spans="1:7" x14ac:dyDescent="0.25">
      <c r="A2448">
        <v>20221028</v>
      </c>
      <c r="B2448" t="s">
        <v>771</v>
      </c>
      <c r="C2448" t="s">
        <v>249</v>
      </c>
      <c r="D2448" t="s">
        <v>250</v>
      </c>
      <c r="E2448" s="35">
        <v>0.499</v>
      </c>
      <c r="F2448" s="35">
        <v>0.69799999999999995</v>
      </c>
      <c r="G2448" s="35">
        <v>2500</v>
      </c>
    </row>
    <row r="2449" spans="1:7" x14ac:dyDescent="0.25">
      <c r="A2449">
        <v>20221028</v>
      </c>
      <c r="B2449" t="s">
        <v>771</v>
      </c>
      <c r="C2449" t="s">
        <v>249</v>
      </c>
      <c r="D2449" t="s">
        <v>258</v>
      </c>
      <c r="E2449" s="35">
        <v>0.499</v>
      </c>
      <c r="F2449" s="35">
        <v>0.69799999999999995</v>
      </c>
      <c r="G2449" s="35">
        <v>2100</v>
      </c>
    </row>
    <row r="2450" spans="1:7" x14ac:dyDescent="0.25">
      <c r="A2450">
        <v>20221028</v>
      </c>
      <c r="B2450" t="s">
        <v>771</v>
      </c>
      <c r="C2450" t="s">
        <v>249</v>
      </c>
      <c r="D2450" t="s">
        <v>265</v>
      </c>
      <c r="E2450" s="35">
        <v>0.499</v>
      </c>
      <c r="F2450" s="35">
        <v>0.69799999999999995</v>
      </c>
      <c r="G2450" s="35">
        <v>1700</v>
      </c>
    </row>
    <row r="2451" spans="1:7" x14ac:dyDescent="0.25">
      <c r="A2451">
        <v>20221028</v>
      </c>
      <c r="B2451" t="s">
        <v>771</v>
      </c>
      <c r="C2451" t="s">
        <v>249</v>
      </c>
      <c r="D2451" t="s">
        <v>273</v>
      </c>
      <c r="E2451" s="35">
        <v>0.499</v>
      </c>
      <c r="F2451" s="35">
        <v>0.69799999999999995</v>
      </c>
      <c r="G2451" s="35">
        <v>1500</v>
      </c>
    </row>
    <row r="2452" spans="1:7" x14ac:dyDescent="0.25">
      <c r="A2452">
        <v>20221028</v>
      </c>
      <c r="B2452" t="s">
        <v>771</v>
      </c>
      <c r="C2452" t="s">
        <v>249</v>
      </c>
      <c r="D2452" t="s">
        <v>279</v>
      </c>
      <c r="E2452" s="35">
        <v>0.499</v>
      </c>
      <c r="F2452" s="35">
        <v>0.69799999999999995</v>
      </c>
      <c r="G2452" s="35">
        <v>1300</v>
      </c>
    </row>
    <row r="2453" spans="1:7" x14ac:dyDescent="0.25">
      <c r="A2453">
        <v>20221028</v>
      </c>
      <c r="B2453" t="s">
        <v>771</v>
      </c>
      <c r="C2453" t="s">
        <v>249</v>
      </c>
      <c r="D2453" t="s">
        <v>285</v>
      </c>
      <c r="E2453" s="35">
        <v>0.499</v>
      </c>
      <c r="F2453" s="35">
        <v>0.69799999999999995</v>
      </c>
      <c r="G2453" s="35">
        <v>900</v>
      </c>
    </row>
    <row r="2454" spans="1:7" x14ac:dyDescent="0.25">
      <c r="A2454">
        <v>20221028</v>
      </c>
      <c r="B2454" t="s">
        <v>771</v>
      </c>
      <c r="C2454" t="s">
        <v>249</v>
      </c>
      <c r="D2454" t="s">
        <v>289</v>
      </c>
      <c r="E2454" s="35">
        <v>0.499</v>
      </c>
      <c r="F2454" s="35">
        <v>0.69799999999999995</v>
      </c>
      <c r="G2454" s="35">
        <v>700</v>
      </c>
    </row>
    <row r="2455" spans="1:7" x14ac:dyDescent="0.25">
      <c r="A2455">
        <v>20221028</v>
      </c>
      <c r="B2455" t="s">
        <v>771</v>
      </c>
      <c r="C2455" t="s">
        <v>257</v>
      </c>
      <c r="D2455" t="s">
        <v>187</v>
      </c>
      <c r="E2455" s="35">
        <v>0.499</v>
      </c>
      <c r="F2455" s="35">
        <v>0.69799999999999995</v>
      </c>
      <c r="G2455" s="35">
        <v>2700</v>
      </c>
    </row>
    <row r="2456" spans="1:7" x14ac:dyDescent="0.25">
      <c r="A2456">
        <v>20221028</v>
      </c>
      <c r="B2456" t="s">
        <v>771</v>
      </c>
      <c r="C2456" t="s">
        <v>257</v>
      </c>
      <c r="D2456" t="s">
        <v>214</v>
      </c>
      <c r="E2456" s="35">
        <v>0.499</v>
      </c>
      <c r="F2456" s="35">
        <v>0.69799999999999995</v>
      </c>
      <c r="G2456" s="35">
        <v>2600</v>
      </c>
    </row>
    <row r="2457" spans="1:7" x14ac:dyDescent="0.25">
      <c r="A2457">
        <v>20221028</v>
      </c>
      <c r="B2457" t="s">
        <v>771</v>
      </c>
      <c r="C2457" t="s">
        <v>257</v>
      </c>
      <c r="D2457" t="s">
        <v>233</v>
      </c>
      <c r="E2457" s="35">
        <v>0.499</v>
      </c>
      <c r="F2457" s="35">
        <v>0.69799999999999995</v>
      </c>
      <c r="G2457" s="35">
        <v>2500</v>
      </c>
    </row>
    <row r="2458" spans="1:7" x14ac:dyDescent="0.25">
      <c r="A2458">
        <v>20221028</v>
      </c>
      <c r="B2458" t="s">
        <v>771</v>
      </c>
      <c r="C2458" t="s">
        <v>257</v>
      </c>
      <c r="D2458" t="s">
        <v>242</v>
      </c>
      <c r="E2458" s="35">
        <v>0.499</v>
      </c>
      <c r="F2458" s="35">
        <v>0.69799999999999995</v>
      </c>
      <c r="G2458" s="35">
        <v>2400</v>
      </c>
    </row>
    <row r="2459" spans="1:7" x14ac:dyDescent="0.25">
      <c r="A2459">
        <v>20221028</v>
      </c>
      <c r="B2459" t="s">
        <v>771</v>
      </c>
      <c r="C2459" t="s">
        <v>257</v>
      </c>
      <c r="D2459" t="s">
        <v>250</v>
      </c>
      <c r="E2459" s="35">
        <v>0.499</v>
      </c>
      <c r="F2459" s="35">
        <v>0.69799999999999995</v>
      </c>
      <c r="G2459" s="35">
        <v>2300</v>
      </c>
    </row>
    <row r="2460" spans="1:7" x14ac:dyDescent="0.25">
      <c r="A2460">
        <v>20221028</v>
      </c>
      <c r="B2460" t="s">
        <v>771</v>
      </c>
      <c r="C2460" t="s">
        <v>257</v>
      </c>
      <c r="D2460" t="s">
        <v>258</v>
      </c>
      <c r="E2460" s="35">
        <v>0.499</v>
      </c>
      <c r="F2460" s="35">
        <v>0.69799999999999995</v>
      </c>
      <c r="G2460" s="35">
        <v>1900</v>
      </c>
    </row>
    <row r="2461" spans="1:7" x14ac:dyDescent="0.25">
      <c r="A2461">
        <v>20221028</v>
      </c>
      <c r="B2461" t="s">
        <v>771</v>
      </c>
      <c r="C2461" t="s">
        <v>257</v>
      </c>
      <c r="D2461" t="s">
        <v>265</v>
      </c>
      <c r="E2461" s="35">
        <v>0.499</v>
      </c>
      <c r="F2461" s="35">
        <v>0.69799999999999995</v>
      </c>
      <c r="G2461" s="35">
        <v>1600</v>
      </c>
    </row>
    <row r="2462" spans="1:7" x14ac:dyDescent="0.25">
      <c r="A2462">
        <v>20221028</v>
      </c>
      <c r="B2462" t="s">
        <v>771</v>
      </c>
      <c r="C2462" t="s">
        <v>257</v>
      </c>
      <c r="D2462" t="s">
        <v>273</v>
      </c>
      <c r="E2462" s="35">
        <v>0.499</v>
      </c>
      <c r="F2462" s="35">
        <v>0.69799999999999995</v>
      </c>
      <c r="G2462" s="35">
        <v>1400</v>
      </c>
    </row>
    <row r="2463" spans="1:7" x14ac:dyDescent="0.25">
      <c r="A2463">
        <v>20221028</v>
      </c>
      <c r="B2463" t="s">
        <v>771</v>
      </c>
      <c r="C2463" t="s">
        <v>257</v>
      </c>
      <c r="D2463" t="s">
        <v>279</v>
      </c>
      <c r="E2463" s="35">
        <v>0.499</v>
      </c>
      <c r="F2463" s="35">
        <v>0.69799999999999995</v>
      </c>
      <c r="G2463" s="35">
        <v>1200</v>
      </c>
    </row>
    <row r="2464" spans="1:7" x14ac:dyDescent="0.25">
      <c r="A2464">
        <v>20221028</v>
      </c>
      <c r="B2464" t="s">
        <v>771</v>
      </c>
      <c r="C2464" t="s">
        <v>257</v>
      </c>
      <c r="D2464" t="s">
        <v>285</v>
      </c>
      <c r="E2464" s="35">
        <v>0.499</v>
      </c>
      <c r="F2464" s="35">
        <v>0.69799999999999995</v>
      </c>
      <c r="G2464" s="35">
        <v>900</v>
      </c>
    </row>
    <row r="2465" spans="1:7" x14ac:dyDescent="0.25">
      <c r="A2465">
        <v>20221028</v>
      </c>
      <c r="B2465" t="s">
        <v>771</v>
      </c>
      <c r="C2465" t="s">
        <v>257</v>
      </c>
      <c r="D2465" t="s">
        <v>289</v>
      </c>
      <c r="E2465" s="35">
        <v>0.499</v>
      </c>
      <c r="F2465" s="35">
        <v>0.69799999999999995</v>
      </c>
      <c r="G2465" s="35">
        <v>600</v>
      </c>
    </row>
    <row r="2466" spans="1:7" x14ac:dyDescent="0.25">
      <c r="A2466">
        <v>20221028</v>
      </c>
      <c r="B2466" t="s">
        <v>771</v>
      </c>
      <c r="C2466" t="s">
        <v>264</v>
      </c>
      <c r="D2466" t="s">
        <v>187</v>
      </c>
      <c r="E2466" s="35">
        <v>0.499</v>
      </c>
      <c r="F2466" s="35">
        <v>0.69799999999999995</v>
      </c>
      <c r="G2466" s="35">
        <v>2300</v>
      </c>
    </row>
    <row r="2467" spans="1:7" x14ac:dyDescent="0.25">
      <c r="A2467">
        <v>20221028</v>
      </c>
      <c r="B2467" t="s">
        <v>771</v>
      </c>
      <c r="C2467" t="s">
        <v>264</v>
      </c>
      <c r="D2467" t="s">
        <v>214</v>
      </c>
      <c r="E2467" s="35">
        <v>0.499</v>
      </c>
      <c r="F2467" s="35">
        <v>0.69799999999999995</v>
      </c>
      <c r="G2467" s="35">
        <v>2200</v>
      </c>
    </row>
    <row r="2468" spans="1:7" x14ac:dyDescent="0.25">
      <c r="A2468">
        <v>20221028</v>
      </c>
      <c r="B2468" t="s">
        <v>771</v>
      </c>
      <c r="C2468" t="s">
        <v>264</v>
      </c>
      <c r="D2468" t="s">
        <v>233</v>
      </c>
      <c r="E2468" s="35">
        <v>0.499</v>
      </c>
      <c r="F2468" s="35">
        <v>0.69799999999999995</v>
      </c>
      <c r="G2468" s="35">
        <v>2100</v>
      </c>
    </row>
    <row r="2469" spans="1:7" x14ac:dyDescent="0.25">
      <c r="A2469">
        <v>20221028</v>
      </c>
      <c r="B2469" t="s">
        <v>771</v>
      </c>
      <c r="C2469" t="s">
        <v>264</v>
      </c>
      <c r="D2469" t="s">
        <v>242</v>
      </c>
      <c r="E2469" s="35">
        <v>0.499</v>
      </c>
      <c r="F2469" s="35">
        <v>0.69799999999999995</v>
      </c>
      <c r="G2469" s="35">
        <v>2000</v>
      </c>
    </row>
    <row r="2470" spans="1:7" x14ac:dyDescent="0.25">
      <c r="A2470">
        <v>20221028</v>
      </c>
      <c r="B2470" t="s">
        <v>771</v>
      </c>
      <c r="C2470" t="s">
        <v>264</v>
      </c>
      <c r="D2470" t="s">
        <v>250</v>
      </c>
      <c r="E2470" s="35">
        <v>0.499</v>
      </c>
      <c r="F2470" s="35">
        <v>0.69799999999999995</v>
      </c>
      <c r="G2470" s="35">
        <v>1900</v>
      </c>
    </row>
    <row r="2471" spans="1:7" x14ac:dyDescent="0.25">
      <c r="A2471">
        <v>20221028</v>
      </c>
      <c r="B2471" t="s">
        <v>771</v>
      </c>
      <c r="C2471" t="s">
        <v>264</v>
      </c>
      <c r="D2471" t="s">
        <v>258</v>
      </c>
      <c r="E2471" s="35">
        <v>0.499</v>
      </c>
      <c r="F2471" s="35">
        <v>0.69799999999999995</v>
      </c>
      <c r="G2471" s="35">
        <v>1700</v>
      </c>
    </row>
    <row r="2472" spans="1:7" x14ac:dyDescent="0.25">
      <c r="A2472">
        <v>20221028</v>
      </c>
      <c r="B2472" t="s">
        <v>771</v>
      </c>
      <c r="C2472" t="s">
        <v>264</v>
      </c>
      <c r="D2472" t="s">
        <v>265</v>
      </c>
      <c r="E2472" s="35">
        <v>0.499</v>
      </c>
      <c r="F2472" s="35">
        <v>0.69799999999999995</v>
      </c>
      <c r="G2472" s="35">
        <v>1500</v>
      </c>
    </row>
    <row r="2473" spans="1:7" x14ac:dyDescent="0.25">
      <c r="A2473">
        <v>20221028</v>
      </c>
      <c r="B2473" t="s">
        <v>771</v>
      </c>
      <c r="C2473" t="s">
        <v>264</v>
      </c>
      <c r="D2473" t="s">
        <v>273</v>
      </c>
      <c r="E2473" s="35">
        <v>0.499</v>
      </c>
      <c r="F2473" s="35">
        <v>0.69799999999999995</v>
      </c>
      <c r="G2473" s="35">
        <v>1300</v>
      </c>
    </row>
    <row r="2474" spans="1:7" x14ac:dyDescent="0.25">
      <c r="A2474">
        <v>20221028</v>
      </c>
      <c r="B2474" t="s">
        <v>771</v>
      </c>
      <c r="C2474" t="s">
        <v>264</v>
      </c>
      <c r="D2474" t="s">
        <v>279</v>
      </c>
      <c r="E2474" s="35">
        <v>0.499</v>
      </c>
      <c r="F2474" s="35">
        <v>0.69799999999999995</v>
      </c>
      <c r="G2474" s="35">
        <v>1100</v>
      </c>
    </row>
    <row r="2475" spans="1:7" x14ac:dyDescent="0.25">
      <c r="A2475">
        <v>20221028</v>
      </c>
      <c r="B2475" t="s">
        <v>771</v>
      </c>
      <c r="C2475" t="s">
        <v>264</v>
      </c>
      <c r="D2475" t="s">
        <v>285</v>
      </c>
      <c r="E2475" s="35">
        <v>0.499</v>
      </c>
      <c r="F2475" s="35">
        <v>0.69799999999999995</v>
      </c>
      <c r="G2475" s="35">
        <v>800</v>
      </c>
    </row>
    <row r="2476" spans="1:7" x14ac:dyDescent="0.25">
      <c r="A2476">
        <v>20221028</v>
      </c>
      <c r="B2476" t="s">
        <v>771</v>
      </c>
      <c r="C2476" t="s">
        <v>264</v>
      </c>
      <c r="D2476" t="s">
        <v>289</v>
      </c>
      <c r="E2476" s="35">
        <v>0.499</v>
      </c>
      <c r="F2476" s="35">
        <v>0.69799999999999995</v>
      </c>
      <c r="G2476" s="35">
        <v>600</v>
      </c>
    </row>
    <row r="2477" spans="1:7" x14ac:dyDescent="0.25">
      <c r="A2477">
        <v>20221028</v>
      </c>
      <c r="B2477" t="s">
        <v>771</v>
      </c>
      <c r="C2477" t="s">
        <v>272</v>
      </c>
      <c r="D2477" t="s">
        <v>187</v>
      </c>
      <c r="E2477" s="35">
        <v>0.499</v>
      </c>
      <c r="F2477" s="35">
        <v>0.69799999999999995</v>
      </c>
      <c r="G2477" s="35">
        <v>1900</v>
      </c>
    </row>
    <row r="2478" spans="1:7" x14ac:dyDescent="0.25">
      <c r="A2478">
        <v>20221028</v>
      </c>
      <c r="B2478" t="s">
        <v>771</v>
      </c>
      <c r="C2478" t="s">
        <v>272</v>
      </c>
      <c r="D2478" t="s">
        <v>214</v>
      </c>
      <c r="E2478" s="35">
        <v>0.499</v>
      </c>
      <c r="F2478" s="35">
        <v>0.69799999999999995</v>
      </c>
      <c r="G2478" s="35">
        <v>1800</v>
      </c>
    </row>
    <row r="2479" spans="1:7" x14ac:dyDescent="0.25">
      <c r="A2479">
        <v>20221028</v>
      </c>
      <c r="B2479" t="s">
        <v>771</v>
      </c>
      <c r="C2479" t="s">
        <v>272</v>
      </c>
      <c r="D2479" t="s">
        <v>233</v>
      </c>
      <c r="E2479" s="35">
        <v>0.499</v>
      </c>
      <c r="F2479" s="35">
        <v>0.69799999999999995</v>
      </c>
      <c r="G2479" s="35">
        <v>1700</v>
      </c>
    </row>
    <row r="2480" spans="1:7" x14ac:dyDescent="0.25">
      <c r="A2480">
        <v>20221028</v>
      </c>
      <c r="B2480" t="s">
        <v>771</v>
      </c>
      <c r="C2480" t="s">
        <v>272</v>
      </c>
      <c r="D2480" t="s">
        <v>242</v>
      </c>
      <c r="E2480" s="35">
        <v>0.499</v>
      </c>
      <c r="F2480" s="35">
        <v>0.69799999999999995</v>
      </c>
      <c r="G2480" s="35">
        <v>1600</v>
      </c>
    </row>
    <row r="2481" spans="1:7" x14ac:dyDescent="0.25">
      <c r="A2481">
        <v>20221028</v>
      </c>
      <c r="B2481" t="s">
        <v>771</v>
      </c>
      <c r="C2481" t="s">
        <v>272</v>
      </c>
      <c r="D2481" t="s">
        <v>250</v>
      </c>
      <c r="E2481" s="35">
        <v>0.499</v>
      </c>
      <c r="F2481" s="35">
        <v>0.69799999999999995</v>
      </c>
      <c r="G2481" s="35">
        <v>1500</v>
      </c>
    </row>
    <row r="2482" spans="1:7" x14ac:dyDescent="0.25">
      <c r="A2482">
        <v>20221028</v>
      </c>
      <c r="B2482" t="s">
        <v>771</v>
      </c>
      <c r="C2482" t="s">
        <v>272</v>
      </c>
      <c r="D2482" t="s">
        <v>258</v>
      </c>
      <c r="E2482" s="35">
        <v>0.499</v>
      </c>
      <c r="F2482" s="35">
        <v>0.69799999999999995</v>
      </c>
      <c r="G2482" s="35">
        <v>1400</v>
      </c>
    </row>
    <row r="2483" spans="1:7" x14ac:dyDescent="0.25">
      <c r="A2483">
        <v>20221028</v>
      </c>
      <c r="B2483" t="s">
        <v>771</v>
      </c>
      <c r="C2483" t="s">
        <v>272</v>
      </c>
      <c r="D2483" t="s">
        <v>265</v>
      </c>
      <c r="E2483" s="35">
        <v>0.499</v>
      </c>
      <c r="F2483" s="35">
        <v>0.69799999999999995</v>
      </c>
      <c r="G2483" s="35">
        <v>1300</v>
      </c>
    </row>
    <row r="2484" spans="1:7" x14ac:dyDescent="0.25">
      <c r="A2484">
        <v>20221028</v>
      </c>
      <c r="B2484" t="s">
        <v>771</v>
      </c>
      <c r="C2484" t="s">
        <v>272</v>
      </c>
      <c r="D2484" t="s">
        <v>273</v>
      </c>
      <c r="E2484" s="35">
        <v>0.499</v>
      </c>
      <c r="F2484" s="35">
        <v>0.69799999999999995</v>
      </c>
      <c r="G2484" s="35">
        <v>1100</v>
      </c>
    </row>
    <row r="2485" spans="1:7" x14ac:dyDescent="0.25">
      <c r="A2485">
        <v>20221028</v>
      </c>
      <c r="B2485" t="s">
        <v>771</v>
      </c>
      <c r="C2485" t="s">
        <v>272</v>
      </c>
      <c r="D2485" t="s">
        <v>279</v>
      </c>
      <c r="E2485" s="35">
        <v>0.499</v>
      </c>
      <c r="F2485" s="35">
        <v>0.69799999999999995</v>
      </c>
      <c r="G2485" s="35">
        <v>900</v>
      </c>
    </row>
    <row r="2486" spans="1:7" x14ac:dyDescent="0.25">
      <c r="A2486">
        <v>20221028</v>
      </c>
      <c r="B2486" t="s">
        <v>771</v>
      </c>
      <c r="C2486" t="s">
        <v>272</v>
      </c>
      <c r="D2486" t="s">
        <v>285</v>
      </c>
      <c r="E2486" s="35">
        <v>0.499</v>
      </c>
      <c r="F2486" s="35">
        <v>0.69799999999999995</v>
      </c>
      <c r="G2486" s="35">
        <v>700</v>
      </c>
    </row>
    <row r="2487" spans="1:7" x14ac:dyDescent="0.25">
      <c r="A2487">
        <v>20221028</v>
      </c>
      <c r="B2487" t="s">
        <v>771</v>
      </c>
      <c r="C2487" t="s">
        <v>272</v>
      </c>
      <c r="D2487" t="s">
        <v>289</v>
      </c>
      <c r="E2487" s="35">
        <v>0.499</v>
      </c>
      <c r="F2487" s="35">
        <v>0.69799999999999995</v>
      </c>
      <c r="G2487" s="35">
        <v>600</v>
      </c>
    </row>
    <row r="2488" spans="1:7" x14ac:dyDescent="0.25">
      <c r="A2488">
        <v>20221028</v>
      </c>
      <c r="B2488" t="s">
        <v>771</v>
      </c>
      <c r="C2488" t="s">
        <v>278</v>
      </c>
      <c r="D2488" t="s">
        <v>187</v>
      </c>
      <c r="E2488" s="35">
        <v>0.499</v>
      </c>
      <c r="F2488" s="35">
        <v>0.69799999999999995</v>
      </c>
      <c r="G2488" s="35">
        <v>1600</v>
      </c>
    </row>
    <row r="2489" spans="1:7" x14ac:dyDescent="0.25">
      <c r="A2489">
        <v>20221028</v>
      </c>
      <c r="B2489" t="s">
        <v>771</v>
      </c>
      <c r="C2489" t="s">
        <v>278</v>
      </c>
      <c r="D2489" t="s">
        <v>214</v>
      </c>
      <c r="E2489" s="35">
        <v>0.499</v>
      </c>
      <c r="F2489" s="35">
        <v>0.69799999999999995</v>
      </c>
      <c r="G2489" s="35">
        <v>1500</v>
      </c>
    </row>
    <row r="2490" spans="1:7" x14ac:dyDescent="0.25">
      <c r="A2490">
        <v>20221028</v>
      </c>
      <c r="B2490" t="s">
        <v>771</v>
      </c>
      <c r="C2490" t="s">
        <v>278</v>
      </c>
      <c r="D2490" t="s">
        <v>233</v>
      </c>
      <c r="E2490" s="35">
        <v>0.499</v>
      </c>
      <c r="F2490" s="35">
        <v>0.69799999999999995</v>
      </c>
      <c r="G2490" s="35">
        <v>1400</v>
      </c>
    </row>
    <row r="2491" spans="1:7" x14ac:dyDescent="0.25">
      <c r="A2491">
        <v>20221028</v>
      </c>
      <c r="B2491" t="s">
        <v>771</v>
      </c>
      <c r="C2491" t="s">
        <v>278</v>
      </c>
      <c r="D2491" t="s">
        <v>242</v>
      </c>
      <c r="E2491" s="35">
        <v>0.499</v>
      </c>
      <c r="F2491" s="35">
        <v>0.69799999999999995</v>
      </c>
      <c r="G2491" s="35">
        <v>1300</v>
      </c>
    </row>
    <row r="2492" spans="1:7" x14ac:dyDescent="0.25">
      <c r="A2492">
        <v>20221028</v>
      </c>
      <c r="B2492" t="s">
        <v>771</v>
      </c>
      <c r="C2492" t="s">
        <v>278</v>
      </c>
      <c r="D2492" t="s">
        <v>250</v>
      </c>
      <c r="E2492" s="35">
        <v>0.499</v>
      </c>
      <c r="F2492" s="35">
        <v>0.69799999999999995</v>
      </c>
      <c r="G2492" s="35">
        <v>1200</v>
      </c>
    </row>
    <row r="2493" spans="1:7" x14ac:dyDescent="0.25">
      <c r="A2493">
        <v>20221028</v>
      </c>
      <c r="B2493" t="s">
        <v>771</v>
      </c>
      <c r="C2493" t="s">
        <v>278</v>
      </c>
      <c r="D2493" t="s">
        <v>258</v>
      </c>
      <c r="E2493" s="35">
        <v>0.499</v>
      </c>
      <c r="F2493" s="35">
        <v>0.69799999999999995</v>
      </c>
      <c r="G2493" s="35">
        <v>1200</v>
      </c>
    </row>
    <row r="2494" spans="1:7" x14ac:dyDescent="0.25">
      <c r="A2494">
        <v>20221028</v>
      </c>
      <c r="B2494" t="s">
        <v>771</v>
      </c>
      <c r="C2494" t="s">
        <v>278</v>
      </c>
      <c r="D2494" t="s">
        <v>265</v>
      </c>
      <c r="E2494" s="35">
        <v>0.499</v>
      </c>
      <c r="F2494" s="35">
        <v>0.69799999999999995</v>
      </c>
      <c r="G2494" s="35">
        <v>1100</v>
      </c>
    </row>
    <row r="2495" spans="1:7" x14ac:dyDescent="0.25">
      <c r="A2495">
        <v>20221028</v>
      </c>
      <c r="B2495" t="s">
        <v>771</v>
      </c>
      <c r="C2495" t="s">
        <v>278</v>
      </c>
      <c r="D2495" t="s">
        <v>273</v>
      </c>
      <c r="E2495" s="35">
        <v>0.499</v>
      </c>
      <c r="F2495" s="35">
        <v>0.69799999999999995</v>
      </c>
      <c r="G2495" s="35">
        <v>1000</v>
      </c>
    </row>
    <row r="2496" spans="1:7" x14ac:dyDescent="0.25">
      <c r="A2496">
        <v>20221028</v>
      </c>
      <c r="B2496" t="s">
        <v>771</v>
      </c>
      <c r="C2496" t="s">
        <v>278</v>
      </c>
      <c r="D2496" t="s">
        <v>279</v>
      </c>
      <c r="E2496" s="35">
        <v>0.499</v>
      </c>
      <c r="F2496" s="35">
        <v>0.69799999999999995</v>
      </c>
      <c r="G2496" s="35">
        <v>800</v>
      </c>
    </row>
    <row r="2497" spans="1:7" x14ac:dyDescent="0.25">
      <c r="A2497">
        <v>20221028</v>
      </c>
      <c r="B2497" t="s">
        <v>771</v>
      </c>
      <c r="C2497" t="s">
        <v>278</v>
      </c>
      <c r="D2497" t="s">
        <v>285</v>
      </c>
      <c r="E2497" s="35">
        <v>0.499</v>
      </c>
      <c r="F2497" s="35">
        <v>0.69799999999999995</v>
      </c>
      <c r="G2497" s="35">
        <v>700</v>
      </c>
    </row>
    <row r="2498" spans="1:7" x14ac:dyDescent="0.25">
      <c r="A2498">
        <v>20221028</v>
      </c>
      <c r="B2498" t="s">
        <v>771</v>
      </c>
      <c r="C2498" t="s">
        <v>278</v>
      </c>
      <c r="D2498" t="s">
        <v>289</v>
      </c>
      <c r="E2498" s="35">
        <v>0.499</v>
      </c>
      <c r="F2498" s="35">
        <v>0.69799999999999995</v>
      </c>
      <c r="G2498" s="35">
        <v>500</v>
      </c>
    </row>
    <row r="2499" spans="1:7" x14ac:dyDescent="0.25">
      <c r="A2499">
        <v>20221028</v>
      </c>
      <c r="B2499" t="s">
        <v>771</v>
      </c>
      <c r="C2499" t="s">
        <v>284</v>
      </c>
      <c r="D2499" t="s">
        <v>187</v>
      </c>
      <c r="E2499" s="35">
        <v>0.499</v>
      </c>
      <c r="F2499" s="35">
        <v>0.69799999999999995</v>
      </c>
      <c r="G2499" s="35">
        <v>1400</v>
      </c>
    </row>
    <row r="2500" spans="1:7" x14ac:dyDescent="0.25">
      <c r="A2500">
        <v>20221028</v>
      </c>
      <c r="B2500" t="s">
        <v>771</v>
      </c>
      <c r="C2500" t="s">
        <v>284</v>
      </c>
      <c r="D2500" t="s">
        <v>214</v>
      </c>
      <c r="E2500" s="35">
        <v>0.499</v>
      </c>
      <c r="F2500" s="35">
        <v>0.69799999999999995</v>
      </c>
      <c r="G2500" s="35">
        <v>1300</v>
      </c>
    </row>
    <row r="2501" spans="1:7" x14ac:dyDescent="0.25">
      <c r="A2501">
        <v>20221028</v>
      </c>
      <c r="B2501" t="s">
        <v>771</v>
      </c>
      <c r="C2501" t="s">
        <v>284</v>
      </c>
      <c r="D2501" t="s">
        <v>233</v>
      </c>
      <c r="E2501" s="35">
        <v>0.499</v>
      </c>
      <c r="F2501" s="35">
        <v>0.69799999999999995</v>
      </c>
      <c r="G2501" s="35">
        <v>1200</v>
      </c>
    </row>
    <row r="2502" spans="1:7" x14ac:dyDescent="0.25">
      <c r="A2502">
        <v>20221028</v>
      </c>
      <c r="B2502" t="s">
        <v>771</v>
      </c>
      <c r="C2502" t="s">
        <v>284</v>
      </c>
      <c r="D2502" t="s">
        <v>242</v>
      </c>
      <c r="E2502" s="35">
        <v>0.499</v>
      </c>
      <c r="F2502" s="35">
        <v>0.69799999999999995</v>
      </c>
      <c r="G2502" s="35">
        <v>1100</v>
      </c>
    </row>
    <row r="2503" spans="1:7" x14ac:dyDescent="0.25">
      <c r="A2503">
        <v>20221028</v>
      </c>
      <c r="B2503" t="s">
        <v>771</v>
      </c>
      <c r="C2503" t="s">
        <v>284</v>
      </c>
      <c r="D2503" t="s">
        <v>250</v>
      </c>
      <c r="E2503" s="35">
        <v>0.499</v>
      </c>
      <c r="F2503" s="35">
        <v>0.69799999999999995</v>
      </c>
      <c r="G2503" s="35">
        <v>1000</v>
      </c>
    </row>
    <row r="2504" spans="1:7" x14ac:dyDescent="0.25">
      <c r="A2504">
        <v>20221028</v>
      </c>
      <c r="B2504" t="s">
        <v>771</v>
      </c>
      <c r="C2504" t="s">
        <v>284</v>
      </c>
      <c r="D2504" t="s">
        <v>258</v>
      </c>
      <c r="E2504" s="35">
        <v>0.499</v>
      </c>
      <c r="F2504" s="35">
        <v>0.69799999999999995</v>
      </c>
      <c r="G2504" s="35">
        <v>1000</v>
      </c>
    </row>
    <row r="2505" spans="1:7" x14ac:dyDescent="0.25">
      <c r="A2505">
        <v>20221028</v>
      </c>
      <c r="B2505" t="s">
        <v>771</v>
      </c>
      <c r="C2505" t="s">
        <v>284</v>
      </c>
      <c r="D2505" t="s">
        <v>265</v>
      </c>
      <c r="E2505" s="35">
        <v>0.499</v>
      </c>
      <c r="F2505" s="35">
        <v>0.69799999999999995</v>
      </c>
      <c r="G2505" s="35">
        <v>900</v>
      </c>
    </row>
    <row r="2506" spans="1:7" x14ac:dyDescent="0.25">
      <c r="A2506">
        <v>20221028</v>
      </c>
      <c r="B2506" t="s">
        <v>771</v>
      </c>
      <c r="C2506" t="s">
        <v>284</v>
      </c>
      <c r="D2506" t="s">
        <v>273</v>
      </c>
      <c r="E2506" s="35">
        <v>0.499</v>
      </c>
      <c r="F2506" s="35">
        <v>0.69799999999999995</v>
      </c>
      <c r="G2506" s="35">
        <v>800</v>
      </c>
    </row>
    <row r="2507" spans="1:7" x14ac:dyDescent="0.25">
      <c r="A2507">
        <v>20221028</v>
      </c>
      <c r="B2507" t="s">
        <v>771</v>
      </c>
      <c r="C2507" t="s">
        <v>284</v>
      </c>
      <c r="D2507" t="s">
        <v>279</v>
      </c>
      <c r="E2507" s="35">
        <v>0.499</v>
      </c>
      <c r="F2507" s="35">
        <v>0.69799999999999995</v>
      </c>
      <c r="G2507" s="35">
        <v>700</v>
      </c>
    </row>
    <row r="2508" spans="1:7" x14ac:dyDescent="0.25">
      <c r="A2508">
        <v>20221028</v>
      </c>
      <c r="B2508" t="s">
        <v>771</v>
      </c>
      <c r="C2508" t="s">
        <v>284</v>
      </c>
      <c r="D2508" t="s">
        <v>285</v>
      </c>
      <c r="E2508" s="35">
        <v>0.499</v>
      </c>
      <c r="F2508" s="35">
        <v>0.69799999999999995</v>
      </c>
      <c r="G2508" s="35">
        <v>600</v>
      </c>
    </row>
    <row r="2509" spans="1:7" x14ac:dyDescent="0.25">
      <c r="A2509">
        <v>20221028</v>
      </c>
      <c r="B2509" t="s">
        <v>771</v>
      </c>
      <c r="C2509" t="s">
        <v>284</v>
      </c>
      <c r="D2509" t="s">
        <v>289</v>
      </c>
      <c r="E2509" s="35">
        <v>0.499</v>
      </c>
      <c r="F2509" s="35">
        <v>0.69799999999999995</v>
      </c>
      <c r="G2509" s="35">
        <v>400</v>
      </c>
    </row>
    <row r="2510" spans="1:7" x14ac:dyDescent="0.25">
      <c r="A2510">
        <v>20221028</v>
      </c>
      <c r="B2510" t="s">
        <v>771</v>
      </c>
      <c r="C2510" t="s">
        <v>186</v>
      </c>
      <c r="D2510" t="s">
        <v>187</v>
      </c>
      <c r="E2510" s="35">
        <v>0.69899999999999995</v>
      </c>
      <c r="F2510" s="35">
        <v>0.89800000000000002</v>
      </c>
      <c r="G2510" s="35">
        <v>6200</v>
      </c>
    </row>
    <row r="2511" spans="1:7" x14ac:dyDescent="0.25">
      <c r="A2511">
        <v>20221028</v>
      </c>
      <c r="B2511" t="s">
        <v>771</v>
      </c>
      <c r="C2511" t="s">
        <v>186</v>
      </c>
      <c r="D2511" t="s">
        <v>214</v>
      </c>
      <c r="E2511" s="35">
        <v>0.69899999999999995</v>
      </c>
      <c r="F2511" s="35">
        <v>0.89800000000000002</v>
      </c>
      <c r="G2511" s="35">
        <v>5600</v>
      </c>
    </row>
    <row r="2512" spans="1:7" x14ac:dyDescent="0.25">
      <c r="A2512">
        <v>20221028</v>
      </c>
      <c r="B2512" t="s">
        <v>771</v>
      </c>
      <c r="C2512" t="s">
        <v>186</v>
      </c>
      <c r="D2512" t="s">
        <v>233</v>
      </c>
      <c r="E2512" s="35">
        <v>0.69899999999999995</v>
      </c>
      <c r="F2512" s="35">
        <v>0.89800000000000002</v>
      </c>
      <c r="G2512" s="35">
        <v>5300</v>
      </c>
    </row>
    <row r="2513" spans="1:7" x14ac:dyDescent="0.25">
      <c r="A2513">
        <v>20221028</v>
      </c>
      <c r="B2513" t="s">
        <v>771</v>
      </c>
      <c r="C2513" t="s">
        <v>186</v>
      </c>
      <c r="D2513" t="s">
        <v>242</v>
      </c>
      <c r="E2513" s="35">
        <v>0.69899999999999995</v>
      </c>
      <c r="F2513" s="35">
        <v>0.89800000000000002</v>
      </c>
      <c r="G2513" s="35">
        <v>5000</v>
      </c>
    </row>
    <row r="2514" spans="1:7" x14ac:dyDescent="0.25">
      <c r="A2514">
        <v>20221028</v>
      </c>
      <c r="B2514" t="s">
        <v>771</v>
      </c>
      <c r="C2514" t="s">
        <v>186</v>
      </c>
      <c r="D2514" t="s">
        <v>250</v>
      </c>
      <c r="E2514" s="35">
        <v>0.69899999999999995</v>
      </c>
      <c r="F2514" s="35">
        <v>0.89800000000000002</v>
      </c>
      <c r="G2514" s="35">
        <v>4700</v>
      </c>
    </row>
    <row r="2515" spans="1:7" x14ac:dyDescent="0.25">
      <c r="A2515">
        <v>20221028</v>
      </c>
      <c r="B2515" t="s">
        <v>771</v>
      </c>
      <c r="C2515" t="s">
        <v>186</v>
      </c>
      <c r="D2515" t="s">
        <v>258</v>
      </c>
      <c r="E2515" s="35">
        <v>0.69899999999999995</v>
      </c>
      <c r="F2515" s="35">
        <v>0.89800000000000002</v>
      </c>
      <c r="G2515" s="35">
        <v>4100</v>
      </c>
    </row>
    <row r="2516" spans="1:7" x14ac:dyDescent="0.25">
      <c r="A2516">
        <v>20221028</v>
      </c>
      <c r="B2516" t="s">
        <v>771</v>
      </c>
      <c r="C2516" t="s">
        <v>186</v>
      </c>
      <c r="D2516" t="s">
        <v>265</v>
      </c>
      <c r="E2516" s="35">
        <v>0.69899999999999995</v>
      </c>
      <c r="F2516" s="35">
        <v>0.89800000000000002</v>
      </c>
      <c r="G2516" s="35">
        <v>3500</v>
      </c>
    </row>
    <row r="2517" spans="1:7" x14ac:dyDescent="0.25">
      <c r="A2517">
        <v>20221028</v>
      </c>
      <c r="B2517" t="s">
        <v>771</v>
      </c>
      <c r="C2517" t="s">
        <v>186</v>
      </c>
      <c r="D2517" t="s">
        <v>273</v>
      </c>
      <c r="E2517" s="35">
        <v>0.69899999999999995</v>
      </c>
      <c r="F2517" s="35">
        <v>0.89800000000000002</v>
      </c>
      <c r="G2517" s="35">
        <v>3100</v>
      </c>
    </row>
    <row r="2518" spans="1:7" x14ac:dyDescent="0.25">
      <c r="A2518">
        <v>20221028</v>
      </c>
      <c r="B2518" t="s">
        <v>771</v>
      </c>
      <c r="C2518" t="s">
        <v>186</v>
      </c>
      <c r="D2518" t="s">
        <v>279</v>
      </c>
      <c r="E2518" s="35">
        <v>0.69899999999999995</v>
      </c>
      <c r="F2518" s="35">
        <v>0.89800000000000002</v>
      </c>
      <c r="G2518" s="35">
        <v>2400</v>
      </c>
    </row>
    <row r="2519" spans="1:7" x14ac:dyDescent="0.25">
      <c r="A2519">
        <v>20221028</v>
      </c>
      <c r="B2519" t="s">
        <v>771</v>
      </c>
      <c r="C2519" t="s">
        <v>186</v>
      </c>
      <c r="D2519" t="s">
        <v>285</v>
      </c>
      <c r="E2519" s="35">
        <v>0.69899999999999995</v>
      </c>
      <c r="F2519" s="35">
        <v>0.89800000000000002</v>
      </c>
      <c r="G2519" s="35">
        <v>1600</v>
      </c>
    </row>
    <row r="2520" spans="1:7" x14ac:dyDescent="0.25">
      <c r="A2520">
        <v>20221028</v>
      </c>
      <c r="B2520" t="s">
        <v>771</v>
      </c>
      <c r="C2520" t="s">
        <v>186</v>
      </c>
      <c r="D2520" t="s">
        <v>289</v>
      </c>
      <c r="E2520" s="35">
        <v>0.69899999999999995</v>
      </c>
      <c r="F2520" s="35">
        <v>0.89800000000000002</v>
      </c>
      <c r="G2520" s="35">
        <v>1000</v>
      </c>
    </row>
    <row r="2521" spans="1:7" x14ac:dyDescent="0.25">
      <c r="A2521">
        <v>20221028</v>
      </c>
      <c r="B2521" t="s">
        <v>771</v>
      </c>
      <c r="C2521" t="s">
        <v>213</v>
      </c>
      <c r="D2521" t="s">
        <v>187</v>
      </c>
      <c r="E2521" s="35">
        <v>0.69899999999999995</v>
      </c>
      <c r="F2521" s="35">
        <v>0.89800000000000002</v>
      </c>
      <c r="G2521" s="35">
        <v>5600</v>
      </c>
    </row>
    <row r="2522" spans="1:7" x14ac:dyDescent="0.25">
      <c r="A2522">
        <v>20221028</v>
      </c>
      <c r="B2522" t="s">
        <v>771</v>
      </c>
      <c r="C2522" t="s">
        <v>213</v>
      </c>
      <c r="D2522" t="s">
        <v>214</v>
      </c>
      <c r="E2522" s="35">
        <v>0.69899999999999995</v>
      </c>
      <c r="F2522" s="35">
        <v>0.89800000000000002</v>
      </c>
      <c r="G2522" s="35">
        <v>5300</v>
      </c>
    </row>
    <row r="2523" spans="1:7" x14ac:dyDescent="0.25">
      <c r="A2523">
        <v>20221028</v>
      </c>
      <c r="B2523" t="s">
        <v>771</v>
      </c>
      <c r="C2523" t="s">
        <v>213</v>
      </c>
      <c r="D2523" t="s">
        <v>233</v>
      </c>
      <c r="E2523" s="35">
        <v>0.69899999999999995</v>
      </c>
      <c r="F2523" s="35">
        <v>0.89800000000000002</v>
      </c>
      <c r="G2523" s="35">
        <v>5000</v>
      </c>
    </row>
    <row r="2524" spans="1:7" x14ac:dyDescent="0.25">
      <c r="A2524">
        <v>20221028</v>
      </c>
      <c r="B2524" t="s">
        <v>771</v>
      </c>
      <c r="C2524" t="s">
        <v>213</v>
      </c>
      <c r="D2524" t="s">
        <v>242</v>
      </c>
      <c r="E2524" s="35">
        <v>0.69899999999999995</v>
      </c>
      <c r="F2524" s="35">
        <v>0.89800000000000002</v>
      </c>
      <c r="G2524" s="35">
        <v>4800</v>
      </c>
    </row>
    <row r="2525" spans="1:7" x14ac:dyDescent="0.25">
      <c r="A2525">
        <v>20221028</v>
      </c>
      <c r="B2525" t="s">
        <v>771</v>
      </c>
      <c r="C2525" t="s">
        <v>213</v>
      </c>
      <c r="D2525" t="s">
        <v>250</v>
      </c>
      <c r="E2525" s="35">
        <v>0.69899999999999995</v>
      </c>
      <c r="F2525" s="35">
        <v>0.89800000000000002</v>
      </c>
      <c r="G2525" s="35">
        <v>4500</v>
      </c>
    </row>
    <row r="2526" spans="1:7" x14ac:dyDescent="0.25">
      <c r="A2526">
        <v>20221028</v>
      </c>
      <c r="B2526" t="s">
        <v>771</v>
      </c>
      <c r="C2526" t="s">
        <v>213</v>
      </c>
      <c r="D2526" t="s">
        <v>258</v>
      </c>
      <c r="E2526" s="35">
        <v>0.69899999999999995</v>
      </c>
      <c r="F2526" s="35">
        <v>0.89800000000000002</v>
      </c>
      <c r="G2526" s="35">
        <v>3900</v>
      </c>
    </row>
    <row r="2527" spans="1:7" x14ac:dyDescent="0.25">
      <c r="A2527">
        <v>20221028</v>
      </c>
      <c r="B2527" t="s">
        <v>771</v>
      </c>
      <c r="C2527" t="s">
        <v>213</v>
      </c>
      <c r="D2527" t="s">
        <v>265</v>
      </c>
      <c r="E2527" s="35">
        <v>0.69899999999999995</v>
      </c>
      <c r="F2527" s="35">
        <v>0.89800000000000002</v>
      </c>
      <c r="G2527" s="35">
        <v>3300</v>
      </c>
    </row>
    <row r="2528" spans="1:7" x14ac:dyDescent="0.25">
      <c r="A2528">
        <v>20221028</v>
      </c>
      <c r="B2528" t="s">
        <v>771</v>
      </c>
      <c r="C2528" t="s">
        <v>213</v>
      </c>
      <c r="D2528" t="s">
        <v>273</v>
      </c>
      <c r="E2528" s="35">
        <v>0.69899999999999995</v>
      </c>
      <c r="F2528" s="35">
        <v>0.89800000000000002</v>
      </c>
      <c r="G2528" s="35">
        <v>2900</v>
      </c>
    </row>
    <row r="2529" spans="1:7" x14ac:dyDescent="0.25">
      <c r="A2529">
        <v>20221028</v>
      </c>
      <c r="B2529" t="s">
        <v>771</v>
      </c>
      <c r="C2529" t="s">
        <v>213</v>
      </c>
      <c r="D2529" t="s">
        <v>279</v>
      </c>
      <c r="E2529" s="35">
        <v>0.69899999999999995</v>
      </c>
      <c r="F2529" s="35">
        <v>0.89800000000000002</v>
      </c>
      <c r="G2529" s="35">
        <v>2300</v>
      </c>
    </row>
    <row r="2530" spans="1:7" x14ac:dyDescent="0.25">
      <c r="A2530">
        <v>20221028</v>
      </c>
      <c r="B2530" t="s">
        <v>771</v>
      </c>
      <c r="C2530" t="s">
        <v>213</v>
      </c>
      <c r="D2530" t="s">
        <v>285</v>
      </c>
      <c r="E2530" s="35">
        <v>0.69899999999999995</v>
      </c>
      <c r="F2530" s="35">
        <v>0.89800000000000002</v>
      </c>
      <c r="G2530" s="35">
        <v>1500</v>
      </c>
    </row>
    <row r="2531" spans="1:7" x14ac:dyDescent="0.25">
      <c r="A2531">
        <v>20221028</v>
      </c>
      <c r="B2531" t="s">
        <v>771</v>
      </c>
      <c r="C2531" t="s">
        <v>213</v>
      </c>
      <c r="D2531" t="s">
        <v>289</v>
      </c>
      <c r="E2531" s="35">
        <v>0.69899999999999995</v>
      </c>
      <c r="F2531" s="35">
        <v>0.89800000000000002</v>
      </c>
      <c r="G2531" s="35">
        <v>900</v>
      </c>
    </row>
    <row r="2532" spans="1:7" x14ac:dyDescent="0.25">
      <c r="A2532">
        <v>20221028</v>
      </c>
      <c r="B2532" t="s">
        <v>771</v>
      </c>
      <c r="C2532" t="s">
        <v>232</v>
      </c>
      <c r="D2532" t="s">
        <v>187</v>
      </c>
      <c r="E2532" s="35">
        <v>0.69899999999999995</v>
      </c>
      <c r="F2532" s="35">
        <v>0.89800000000000002</v>
      </c>
      <c r="G2532" s="35">
        <v>5300</v>
      </c>
    </row>
    <row r="2533" spans="1:7" x14ac:dyDescent="0.25">
      <c r="A2533">
        <v>20221028</v>
      </c>
      <c r="B2533" t="s">
        <v>771</v>
      </c>
      <c r="C2533" t="s">
        <v>232</v>
      </c>
      <c r="D2533" t="s">
        <v>214</v>
      </c>
      <c r="E2533" s="35">
        <v>0.69899999999999995</v>
      </c>
      <c r="F2533" s="35">
        <v>0.89800000000000002</v>
      </c>
      <c r="G2533" s="35">
        <v>5000</v>
      </c>
    </row>
    <row r="2534" spans="1:7" x14ac:dyDescent="0.25">
      <c r="A2534">
        <v>20221028</v>
      </c>
      <c r="B2534" t="s">
        <v>771</v>
      </c>
      <c r="C2534" t="s">
        <v>232</v>
      </c>
      <c r="D2534" t="s">
        <v>233</v>
      </c>
      <c r="E2534" s="35">
        <v>0.69899999999999995</v>
      </c>
      <c r="F2534" s="35">
        <v>0.89800000000000002</v>
      </c>
      <c r="G2534" s="35">
        <v>4800</v>
      </c>
    </row>
    <row r="2535" spans="1:7" x14ac:dyDescent="0.25">
      <c r="A2535">
        <v>20221028</v>
      </c>
      <c r="B2535" t="s">
        <v>771</v>
      </c>
      <c r="C2535" t="s">
        <v>232</v>
      </c>
      <c r="D2535" t="s">
        <v>242</v>
      </c>
      <c r="E2535" s="35">
        <v>0.69899999999999995</v>
      </c>
      <c r="F2535" s="35">
        <v>0.89800000000000002</v>
      </c>
      <c r="G2535" s="35">
        <v>4600</v>
      </c>
    </row>
    <row r="2536" spans="1:7" x14ac:dyDescent="0.25">
      <c r="A2536">
        <v>20221028</v>
      </c>
      <c r="B2536" t="s">
        <v>771</v>
      </c>
      <c r="C2536" t="s">
        <v>232</v>
      </c>
      <c r="D2536" t="s">
        <v>250</v>
      </c>
      <c r="E2536" s="35">
        <v>0.69899999999999995</v>
      </c>
      <c r="F2536" s="35">
        <v>0.89800000000000002</v>
      </c>
      <c r="G2536" s="35">
        <v>4300</v>
      </c>
    </row>
    <row r="2537" spans="1:7" x14ac:dyDescent="0.25">
      <c r="A2537">
        <v>20221028</v>
      </c>
      <c r="B2537" t="s">
        <v>771</v>
      </c>
      <c r="C2537" t="s">
        <v>232</v>
      </c>
      <c r="D2537" t="s">
        <v>258</v>
      </c>
      <c r="E2537" s="35">
        <v>0.69899999999999995</v>
      </c>
      <c r="F2537" s="35">
        <v>0.89800000000000002</v>
      </c>
      <c r="G2537" s="35">
        <v>3700</v>
      </c>
    </row>
    <row r="2538" spans="1:7" x14ac:dyDescent="0.25">
      <c r="A2538">
        <v>20221028</v>
      </c>
      <c r="B2538" t="s">
        <v>771</v>
      </c>
      <c r="C2538" t="s">
        <v>232</v>
      </c>
      <c r="D2538" t="s">
        <v>265</v>
      </c>
      <c r="E2538" s="35">
        <v>0.69899999999999995</v>
      </c>
      <c r="F2538" s="35">
        <v>0.89800000000000002</v>
      </c>
      <c r="G2538" s="35">
        <v>3100</v>
      </c>
    </row>
    <row r="2539" spans="1:7" x14ac:dyDescent="0.25">
      <c r="A2539">
        <v>20221028</v>
      </c>
      <c r="B2539" t="s">
        <v>771</v>
      </c>
      <c r="C2539" t="s">
        <v>232</v>
      </c>
      <c r="D2539" t="s">
        <v>273</v>
      </c>
      <c r="E2539" s="35">
        <v>0.69899999999999995</v>
      </c>
      <c r="F2539" s="35">
        <v>0.89800000000000002</v>
      </c>
      <c r="G2539" s="35">
        <v>2700</v>
      </c>
    </row>
    <row r="2540" spans="1:7" x14ac:dyDescent="0.25">
      <c r="A2540">
        <v>20221028</v>
      </c>
      <c r="B2540" t="s">
        <v>771</v>
      </c>
      <c r="C2540" t="s">
        <v>232</v>
      </c>
      <c r="D2540" t="s">
        <v>279</v>
      </c>
      <c r="E2540" s="35">
        <v>0.69899999999999995</v>
      </c>
      <c r="F2540" s="35">
        <v>0.89800000000000002</v>
      </c>
      <c r="G2540" s="35">
        <v>2200</v>
      </c>
    </row>
    <row r="2541" spans="1:7" x14ac:dyDescent="0.25">
      <c r="A2541">
        <v>20221028</v>
      </c>
      <c r="B2541" t="s">
        <v>771</v>
      </c>
      <c r="C2541" t="s">
        <v>232</v>
      </c>
      <c r="D2541" t="s">
        <v>285</v>
      </c>
      <c r="E2541" s="35">
        <v>0.69899999999999995</v>
      </c>
      <c r="F2541" s="35">
        <v>0.89800000000000002</v>
      </c>
      <c r="G2541" s="35">
        <v>1400</v>
      </c>
    </row>
    <row r="2542" spans="1:7" x14ac:dyDescent="0.25">
      <c r="A2542">
        <v>20221028</v>
      </c>
      <c r="B2542" t="s">
        <v>771</v>
      </c>
      <c r="C2542" t="s">
        <v>232</v>
      </c>
      <c r="D2542" t="s">
        <v>289</v>
      </c>
      <c r="E2542" s="35">
        <v>0.69899999999999995</v>
      </c>
      <c r="F2542" s="35">
        <v>0.89800000000000002</v>
      </c>
      <c r="G2542" s="35">
        <v>900</v>
      </c>
    </row>
    <row r="2543" spans="1:7" x14ac:dyDescent="0.25">
      <c r="A2543">
        <v>20221028</v>
      </c>
      <c r="B2543" t="s">
        <v>771</v>
      </c>
      <c r="C2543" t="s">
        <v>215</v>
      </c>
      <c r="D2543" t="s">
        <v>187</v>
      </c>
      <c r="E2543" s="35">
        <v>0.69899999999999995</v>
      </c>
      <c r="F2543" s="35">
        <v>0.89800000000000002</v>
      </c>
      <c r="G2543" s="35">
        <v>5000</v>
      </c>
    </row>
    <row r="2544" spans="1:7" x14ac:dyDescent="0.25">
      <c r="A2544">
        <v>20221028</v>
      </c>
      <c r="B2544" t="s">
        <v>771</v>
      </c>
      <c r="C2544" t="s">
        <v>215</v>
      </c>
      <c r="D2544" t="s">
        <v>214</v>
      </c>
      <c r="E2544" s="35">
        <v>0.69899999999999995</v>
      </c>
      <c r="F2544" s="35">
        <v>0.89800000000000002</v>
      </c>
      <c r="G2544" s="35">
        <v>4700</v>
      </c>
    </row>
    <row r="2545" spans="1:7" x14ac:dyDescent="0.25">
      <c r="A2545">
        <v>20221028</v>
      </c>
      <c r="B2545" t="s">
        <v>771</v>
      </c>
      <c r="C2545" t="s">
        <v>215</v>
      </c>
      <c r="D2545" t="s">
        <v>233</v>
      </c>
      <c r="E2545" s="35">
        <v>0.69899999999999995</v>
      </c>
      <c r="F2545" s="35">
        <v>0.89800000000000002</v>
      </c>
      <c r="G2545" s="35">
        <v>4500</v>
      </c>
    </row>
    <row r="2546" spans="1:7" x14ac:dyDescent="0.25">
      <c r="A2546">
        <v>20221028</v>
      </c>
      <c r="B2546" t="s">
        <v>771</v>
      </c>
      <c r="C2546" t="s">
        <v>215</v>
      </c>
      <c r="D2546" t="s">
        <v>242</v>
      </c>
      <c r="E2546" s="35">
        <v>0.69899999999999995</v>
      </c>
      <c r="F2546" s="35">
        <v>0.89800000000000002</v>
      </c>
      <c r="G2546" s="35">
        <v>4300</v>
      </c>
    </row>
    <row r="2547" spans="1:7" x14ac:dyDescent="0.25">
      <c r="A2547">
        <v>20221028</v>
      </c>
      <c r="B2547" t="s">
        <v>771</v>
      </c>
      <c r="C2547" t="s">
        <v>215</v>
      </c>
      <c r="D2547" t="s">
        <v>250</v>
      </c>
      <c r="E2547" s="35">
        <v>0.69899999999999995</v>
      </c>
      <c r="F2547" s="35">
        <v>0.89800000000000002</v>
      </c>
      <c r="G2547" s="35">
        <v>4000</v>
      </c>
    </row>
    <row r="2548" spans="1:7" x14ac:dyDescent="0.25">
      <c r="A2548">
        <v>20221028</v>
      </c>
      <c r="B2548" t="s">
        <v>771</v>
      </c>
      <c r="C2548" t="s">
        <v>215</v>
      </c>
      <c r="D2548" t="s">
        <v>258</v>
      </c>
      <c r="E2548" s="35">
        <v>0.69899999999999995</v>
      </c>
      <c r="F2548" s="35">
        <v>0.89800000000000002</v>
      </c>
      <c r="G2548" s="35">
        <v>3400</v>
      </c>
    </row>
    <row r="2549" spans="1:7" x14ac:dyDescent="0.25">
      <c r="A2549">
        <v>20221028</v>
      </c>
      <c r="B2549" t="s">
        <v>771</v>
      </c>
      <c r="C2549" t="s">
        <v>215</v>
      </c>
      <c r="D2549" t="s">
        <v>265</v>
      </c>
      <c r="E2549" s="35">
        <v>0.69899999999999995</v>
      </c>
      <c r="F2549" s="35">
        <v>0.89800000000000002</v>
      </c>
      <c r="G2549" s="35">
        <v>2900</v>
      </c>
    </row>
    <row r="2550" spans="1:7" x14ac:dyDescent="0.25">
      <c r="A2550">
        <v>20221028</v>
      </c>
      <c r="B2550" t="s">
        <v>771</v>
      </c>
      <c r="C2550" t="s">
        <v>215</v>
      </c>
      <c r="D2550" t="s">
        <v>273</v>
      </c>
      <c r="E2550" s="35">
        <v>0.69899999999999995</v>
      </c>
      <c r="F2550" s="35">
        <v>0.89800000000000002</v>
      </c>
      <c r="G2550" s="35">
        <v>2500</v>
      </c>
    </row>
    <row r="2551" spans="1:7" x14ac:dyDescent="0.25">
      <c r="A2551">
        <v>20221028</v>
      </c>
      <c r="B2551" t="s">
        <v>771</v>
      </c>
      <c r="C2551" t="s">
        <v>215</v>
      </c>
      <c r="D2551" t="s">
        <v>279</v>
      </c>
      <c r="E2551" s="35">
        <v>0.69899999999999995</v>
      </c>
      <c r="F2551" s="35">
        <v>0.89800000000000002</v>
      </c>
      <c r="G2551" s="35">
        <v>2100</v>
      </c>
    </row>
    <row r="2552" spans="1:7" x14ac:dyDescent="0.25">
      <c r="A2552">
        <v>20221028</v>
      </c>
      <c r="B2552" t="s">
        <v>771</v>
      </c>
      <c r="C2552" t="s">
        <v>215</v>
      </c>
      <c r="D2552" t="s">
        <v>285</v>
      </c>
      <c r="E2552" s="35">
        <v>0.69899999999999995</v>
      </c>
      <c r="F2552" s="35">
        <v>0.89800000000000002</v>
      </c>
      <c r="G2552" s="35">
        <v>1400</v>
      </c>
    </row>
    <row r="2553" spans="1:7" x14ac:dyDescent="0.25">
      <c r="A2553">
        <v>20221028</v>
      </c>
      <c r="B2553" t="s">
        <v>771</v>
      </c>
      <c r="C2553" t="s">
        <v>215</v>
      </c>
      <c r="D2553" t="s">
        <v>289</v>
      </c>
      <c r="E2553" s="35">
        <v>0.69899999999999995</v>
      </c>
      <c r="F2553" s="35">
        <v>0.89800000000000002</v>
      </c>
      <c r="G2553" s="35">
        <v>800</v>
      </c>
    </row>
    <row r="2554" spans="1:7" x14ac:dyDescent="0.25">
      <c r="A2554">
        <v>20221028</v>
      </c>
      <c r="B2554" t="s">
        <v>771</v>
      </c>
      <c r="C2554" t="s">
        <v>249</v>
      </c>
      <c r="D2554" t="s">
        <v>187</v>
      </c>
      <c r="E2554" s="35">
        <v>0.69899999999999995</v>
      </c>
      <c r="F2554" s="35">
        <v>0.89800000000000002</v>
      </c>
      <c r="G2554" s="35">
        <v>4600</v>
      </c>
    </row>
    <row r="2555" spans="1:7" x14ac:dyDescent="0.25">
      <c r="A2555">
        <v>20221028</v>
      </c>
      <c r="B2555" t="s">
        <v>771</v>
      </c>
      <c r="C2555" t="s">
        <v>249</v>
      </c>
      <c r="D2555" t="s">
        <v>214</v>
      </c>
      <c r="E2555" s="35">
        <v>0.69899999999999995</v>
      </c>
      <c r="F2555" s="35">
        <v>0.89800000000000002</v>
      </c>
      <c r="G2555" s="35">
        <v>4300</v>
      </c>
    </row>
    <row r="2556" spans="1:7" x14ac:dyDescent="0.25">
      <c r="A2556">
        <v>20221028</v>
      </c>
      <c r="B2556" t="s">
        <v>771</v>
      </c>
      <c r="C2556" t="s">
        <v>249</v>
      </c>
      <c r="D2556" t="s">
        <v>233</v>
      </c>
      <c r="E2556" s="35">
        <v>0.69899999999999995</v>
      </c>
      <c r="F2556" s="35">
        <v>0.89800000000000002</v>
      </c>
      <c r="G2556" s="35">
        <v>4100</v>
      </c>
    </row>
    <row r="2557" spans="1:7" x14ac:dyDescent="0.25">
      <c r="A2557">
        <v>20221028</v>
      </c>
      <c r="B2557" t="s">
        <v>771</v>
      </c>
      <c r="C2557" t="s">
        <v>249</v>
      </c>
      <c r="D2557" t="s">
        <v>242</v>
      </c>
      <c r="E2557" s="35">
        <v>0.69899999999999995</v>
      </c>
      <c r="F2557" s="35">
        <v>0.89800000000000002</v>
      </c>
      <c r="G2557" s="35">
        <v>3900</v>
      </c>
    </row>
    <row r="2558" spans="1:7" x14ac:dyDescent="0.25">
      <c r="A2558">
        <v>20221028</v>
      </c>
      <c r="B2558" t="s">
        <v>771</v>
      </c>
      <c r="C2558" t="s">
        <v>249</v>
      </c>
      <c r="D2558" t="s">
        <v>250</v>
      </c>
      <c r="E2558" s="35">
        <v>0.69899999999999995</v>
      </c>
      <c r="F2558" s="35">
        <v>0.89800000000000002</v>
      </c>
      <c r="G2558" s="35">
        <v>3600</v>
      </c>
    </row>
    <row r="2559" spans="1:7" x14ac:dyDescent="0.25">
      <c r="A2559">
        <v>20221028</v>
      </c>
      <c r="B2559" t="s">
        <v>771</v>
      </c>
      <c r="C2559" t="s">
        <v>249</v>
      </c>
      <c r="D2559" t="s">
        <v>258</v>
      </c>
      <c r="E2559" s="35">
        <v>0.69899999999999995</v>
      </c>
      <c r="F2559" s="35">
        <v>0.89800000000000002</v>
      </c>
      <c r="G2559" s="35">
        <v>3100</v>
      </c>
    </row>
    <row r="2560" spans="1:7" x14ac:dyDescent="0.25">
      <c r="A2560">
        <v>20221028</v>
      </c>
      <c r="B2560" t="s">
        <v>771</v>
      </c>
      <c r="C2560" t="s">
        <v>249</v>
      </c>
      <c r="D2560" t="s">
        <v>265</v>
      </c>
      <c r="E2560" s="35">
        <v>0.69899999999999995</v>
      </c>
      <c r="F2560" s="35">
        <v>0.89800000000000002</v>
      </c>
      <c r="G2560" s="35">
        <v>2700</v>
      </c>
    </row>
    <row r="2561" spans="1:7" x14ac:dyDescent="0.25">
      <c r="A2561">
        <v>20221028</v>
      </c>
      <c r="B2561" t="s">
        <v>771</v>
      </c>
      <c r="C2561" t="s">
        <v>249</v>
      </c>
      <c r="D2561" t="s">
        <v>273</v>
      </c>
      <c r="E2561" s="35">
        <v>0.69899999999999995</v>
      </c>
      <c r="F2561" s="35">
        <v>0.89800000000000002</v>
      </c>
      <c r="G2561" s="35">
        <v>2300</v>
      </c>
    </row>
    <row r="2562" spans="1:7" x14ac:dyDescent="0.25">
      <c r="A2562">
        <v>20221028</v>
      </c>
      <c r="B2562" t="s">
        <v>771</v>
      </c>
      <c r="C2562" t="s">
        <v>249</v>
      </c>
      <c r="D2562" t="s">
        <v>279</v>
      </c>
      <c r="E2562" s="35">
        <v>0.69899999999999995</v>
      </c>
      <c r="F2562" s="35">
        <v>0.89800000000000002</v>
      </c>
      <c r="G2562" s="35">
        <v>2000</v>
      </c>
    </row>
    <row r="2563" spans="1:7" x14ac:dyDescent="0.25">
      <c r="A2563">
        <v>20221028</v>
      </c>
      <c r="B2563" t="s">
        <v>771</v>
      </c>
      <c r="C2563" t="s">
        <v>249</v>
      </c>
      <c r="D2563" t="s">
        <v>285</v>
      </c>
      <c r="E2563" s="35">
        <v>0.69899999999999995</v>
      </c>
      <c r="F2563" s="35">
        <v>0.89800000000000002</v>
      </c>
      <c r="G2563" s="35">
        <v>1300</v>
      </c>
    </row>
    <row r="2564" spans="1:7" x14ac:dyDescent="0.25">
      <c r="A2564">
        <v>20221028</v>
      </c>
      <c r="B2564" t="s">
        <v>771</v>
      </c>
      <c r="C2564" t="s">
        <v>249</v>
      </c>
      <c r="D2564" t="s">
        <v>289</v>
      </c>
      <c r="E2564" s="35">
        <v>0.69899999999999995</v>
      </c>
      <c r="F2564" s="35">
        <v>0.89800000000000002</v>
      </c>
      <c r="G2564" s="35">
        <v>800</v>
      </c>
    </row>
    <row r="2565" spans="1:7" x14ac:dyDescent="0.25">
      <c r="A2565">
        <v>20221028</v>
      </c>
      <c r="B2565" t="s">
        <v>771</v>
      </c>
      <c r="C2565" t="s">
        <v>257</v>
      </c>
      <c r="D2565" t="s">
        <v>187</v>
      </c>
      <c r="E2565" s="35">
        <v>0.69899999999999995</v>
      </c>
      <c r="F2565" s="35">
        <v>0.89800000000000002</v>
      </c>
      <c r="G2565" s="35">
        <v>3800</v>
      </c>
    </row>
    <row r="2566" spans="1:7" x14ac:dyDescent="0.25">
      <c r="A2566">
        <v>20221028</v>
      </c>
      <c r="B2566" t="s">
        <v>771</v>
      </c>
      <c r="C2566" t="s">
        <v>257</v>
      </c>
      <c r="D2566" t="s">
        <v>214</v>
      </c>
      <c r="E2566" s="35">
        <v>0.69899999999999995</v>
      </c>
      <c r="F2566" s="35">
        <v>0.89800000000000002</v>
      </c>
      <c r="G2566" s="35">
        <v>3600</v>
      </c>
    </row>
    <row r="2567" spans="1:7" x14ac:dyDescent="0.25">
      <c r="A2567">
        <v>20221028</v>
      </c>
      <c r="B2567" t="s">
        <v>771</v>
      </c>
      <c r="C2567" t="s">
        <v>257</v>
      </c>
      <c r="D2567" t="s">
        <v>233</v>
      </c>
      <c r="E2567" s="35">
        <v>0.69899999999999995</v>
      </c>
      <c r="F2567" s="35">
        <v>0.89800000000000002</v>
      </c>
      <c r="G2567" s="35">
        <v>3400</v>
      </c>
    </row>
    <row r="2568" spans="1:7" x14ac:dyDescent="0.25">
      <c r="A2568">
        <v>20221028</v>
      </c>
      <c r="B2568" t="s">
        <v>771</v>
      </c>
      <c r="C2568" t="s">
        <v>257</v>
      </c>
      <c r="D2568" t="s">
        <v>242</v>
      </c>
      <c r="E2568" s="35">
        <v>0.69899999999999995</v>
      </c>
      <c r="F2568" s="35">
        <v>0.89800000000000002</v>
      </c>
      <c r="G2568" s="35">
        <v>3200</v>
      </c>
    </row>
    <row r="2569" spans="1:7" x14ac:dyDescent="0.25">
      <c r="A2569">
        <v>20221028</v>
      </c>
      <c r="B2569" t="s">
        <v>771</v>
      </c>
      <c r="C2569" t="s">
        <v>257</v>
      </c>
      <c r="D2569" t="s">
        <v>250</v>
      </c>
      <c r="E2569" s="35">
        <v>0.69899999999999995</v>
      </c>
      <c r="F2569" s="35">
        <v>0.89800000000000002</v>
      </c>
      <c r="G2569" s="35">
        <v>3100</v>
      </c>
    </row>
    <row r="2570" spans="1:7" x14ac:dyDescent="0.25">
      <c r="A2570">
        <v>20221028</v>
      </c>
      <c r="B2570" t="s">
        <v>771</v>
      </c>
      <c r="C2570" t="s">
        <v>257</v>
      </c>
      <c r="D2570" t="s">
        <v>258</v>
      </c>
      <c r="E2570" s="35">
        <v>0.69899999999999995</v>
      </c>
      <c r="F2570" s="35">
        <v>0.89800000000000002</v>
      </c>
      <c r="G2570" s="35">
        <v>2800</v>
      </c>
    </row>
    <row r="2571" spans="1:7" x14ac:dyDescent="0.25">
      <c r="A2571">
        <v>20221028</v>
      </c>
      <c r="B2571" t="s">
        <v>771</v>
      </c>
      <c r="C2571" t="s">
        <v>257</v>
      </c>
      <c r="D2571" t="s">
        <v>265</v>
      </c>
      <c r="E2571" s="35">
        <v>0.69899999999999995</v>
      </c>
      <c r="F2571" s="35">
        <v>0.89800000000000002</v>
      </c>
      <c r="G2571" s="35">
        <v>2500</v>
      </c>
    </row>
    <row r="2572" spans="1:7" x14ac:dyDescent="0.25">
      <c r="A2572">
        <v>20221028</v>
      </c>
      <c r="B2572" t="s">
        <v>771</v>
      </c>
      <c r="C2572" t="s">
        <v>257</v>
      </c>
      <c r="D2572" t="s">
        <v>273</v>
      </c>
      <c r="E2572" s="35">
        <v>0.69899999999999995</v>
      </c>
      <c r="F2572" s="35">
        <v>0.89800000000000002</v>
      </c>
      <c r="G2572" s="35">
        <v>2100</v>
      </c>
    </row>
    <row r="2573" spans="1:7" x14ac:dyDescent="0.25">
      <c r="A2573">
        <v>20221028</v>
      </c>
      <c r="B2573" t="s">
        <v>771</v>
      </c>
      <c r="C2573" t="s">
        <v>257</v>
      </c>
      <c r="D2573" t="s">
        <v>279</v>
      </c>
      <c r="E2573" s="35">
        <v>0.69899999999999995</v>
      </c>
      <c r="F2573" s="35">
        <v>0.89800000000000002</v>
      </c>
      <c r="G2573" s="35">
        <v>1800</v>
      </c>
    </row>
    <row r="2574" spans="1:7" x14ac:dyDescent="0.25">
      <c r="A2574">
        <v>20221028</v>
      </c>
      <c r="B2574" t="s">
        <v>771</v>
      </c>
      <c r="C2574" t="s">
        <v>257</v>
      </c>
      <c r="D2574" t="s">
        <v>285</v>
      </c>
      <c r="E2574" s="35">
        <v>0.69899999999999995</v>
      </c>
      <c r="F2574" s="35">
        <v>0.89800000000000002</v>
      </c>
      <c r="G2574" s="35">
        <v>1200</v>
      </c>
    </row>
    <row r="2575" spans="1:7" x14ac:dyDescent="0.25">
      <c r="A2575">
        <v>20221028</v>
      </c>
      <c r="B2575" t="s">
        <v>771</v>
      </c>
      <c r="C2575" t="s">
        <v>257</v>
      </c>
      <c r="D2575" t="s">
        <v>289</v>
      </c>
      <c r="E2575" s="35">
        <v>0.69899999999999995</v>
      </c>
      <c r="F2575" s="35">
        <v>0.89800000000000002</v>
      </c>
      <c r="G2575" s="35">
        <v>800</v>
      </c>
    </row>
    <row r="2576" spans="1:7" x14ac:dyDescent="0.25">
      <c r="A2576">
        <v>20221028</v>
      </c>
      <c r="B2576" t="s">
        <v>771</v>
      </c>
      <c r="C2576" t="s">
        <v>264</v>
      </c>
      <c r="D2576" t="s">
        <v>187</v>
      </c>
      <c r="E2576" s="35">
        <v>0.69899999999999995</v>
      </c>
      <c r="F2576" s="35">
        <v>0.89800000000000002</v>
      </c>
      <c r="G2576" s="35">
        <v>3000</v>
      </c>
    </row>
    <row r="2577" spans="1:7" x14ac:dyDescent="0.25">
      <c r="A2577">
        <v>20221028</v>
      </c>
      <c r="B2577" t="s">
        <v>771</v>
      </c>
      <c r="C2577" t="s">
        <v>264</v>
      </c>
      <c r="D2577" t="s">
        <v>214</v>
      </c>
      <c r="E2577" s="35">
        <v>0.69899999999999995</v>
      </c>
      <c r="F2577" s="35">
        <v>0.89800000000000002</v>
      </c>
      <c r="G2577" s="35">
        <v>2900</v>
      </c>
    </row>
    <row r="2578" spans="1:7" x14ac:dyDescent="0.25">
      <c r="A2578">
        <v>20221028</v>
      </c>
      <c r="B2578" t="s">
        <v>771</v>
      </c>
      <c r="C2578" t="s">
        <v>264</v>
      </c>
      <c r="D2578" t="s">
        <v>233</v>
      </c>
      <c r="E2578" s="35">
        <v>0.69899999999999995</v>
      </c>
      <c r="F2578" s="35">
        <v>0.89800000000000002</v>
      </c>
      <c r="G2578" s="35">
        <v>2800</v>
      </c>
    </row>
    <row r="2579" spans="1:7" x14ac:dyDescent="0.25">
      <c r="A2579">
        <v>20221028</v>
      </c>
      <c r="B2579" t="s">
        <v>771</v>
      </c>
      <c r="C2579" t="s">
        <v>264</v>
      </c>
      <c r="D2579" t="s">
        <v>242</v>
      </c>
      <c r="E2579" s="35">
        <v>0.69899999999999995</v>
      </c>
      <c r="F2579" s="35">
        <v>0.89800000000000002</v>
      </c>
      <c r="G2579" s="35">
        <v>2700</v>
      </c>
    </row>
    <row r="2580" spans="1:7" x14ac:dyDescent="0.25">
      <c r="A2580">
        <v>20221028</v>
      </c>
      <c r="B2580" t="s">
        <v>771</v>
      </c>
      <c r="C2580" t="s">
        <v>264</v>
      </c>
      <c r="D2580" t="s">
        <v>250</v>
      </c>
      <c r="E2580" s="35">
        <v>0.69899999999999995</v>
      </c>
      <c r="F2580" s="35">
        <v>0.89800000000000002</v>
      </c>
      <c r="G2580" s="35">
        <v>2600</v>
      </c>
    </row>
    <row r="2581" spans="1:7" x14ac:dyDescent="0.25">
      <c r="A2581">
        <v>20221028</v>
      </c>
      <c r="B2581" t="s">
        <v>771</v>
      </c>
      <c r="C2581" t="s">
        <v>264</v>
      </c>
      <c r="D2581" t="s">
        <v>258</v>
      </c>
      <c r="E2581" s="35">
        <v>0.69899999999999995</v>
      </c>
      <c r="F2581" s="35">
        <v>0.89800000000000002</v>
      </c>
      <c r="G2581" s="35">
        <v>2400</v>
      </c>
    </row>
    <row r="2582" spans="1:7" x14ac:dyDescent="0.25">
      <c r="A2582">
        <v>20221028</v>
      </c>
      <c r="B2582" t="s">
        <v>771</v>
      </c>
      <c r="C2582" t="s">
        <v>264</v>
      </c>
      <c r="D2582" t="s">
        <v>265</v>
      </c>
      <c r="E2582" s="35">
        <v>0.69899999999999995</v>
      </c>
      <c r="F2582" s="35">
        <v>0.89800000000000002</v>
      </c>
      <c r="G2582" s="35">
        <v>2200</v>
      </c>
    </row>
    <row r="2583" spans="1:7" x14ac:dyDescent="0.25">
      <c r="A2583">
        <v>20221028</v>
      </c>
      <c r="B2583" t="s">
        <v>771</v>
      </c>
      <c r="C2583" t="s">
        <v>264</v>
      </c>
      <c r="D2583" t="s">
        <v>273</v>
      </c>
      <c r="E2583" s="35">
        <v>0.69899999999999995</v>
      </c>
      <c r="F2583" s="35">
        <v>0.89800000000000002</v>
      </c>
      <c r="G2583" s="35">
        <v>1900</v>
      </c>
    </row>
    <row r="2584" spans="1:7" x14ac:dyDescent="0.25">
      <c r="A2584">
        <v>20221028</v>
      </c>
      <c r="B2584" t="s">
        <v>771</v>
      </c>
      <c r="C2584" t="s">
        <v>264</v>
      </c>
      <c r="D2584" t="s">
        <v>279</v>
      </c>
      <c r="E2584" s="35">
        <v>0.69899999999999995</v>
      </c>
      <c r="F2584" s="35">
        <v>0.89800000000000002</v>
      </c>
      <c r="G2584" s="35">
        <v>1500</v>
      </c>
    </row>
    <row r="2585" spans="1:7" x14ac:dyDescent="0.25">
      <c r="A2585">
        <v>20221028</v>
      </c>
      <c r="B2585" t="s">
        <v>771</v>
      </c>
      <c r="C2585" t="s">
        <v>264</v>
      </c>
      <c r="D2585" t="s">
        <v>285</v>
      </c>
      <c r="E2585" s="35">
        <v>0.69899999999999995</v>
      </c>
      <c r="F2585" s="35">
        <v>0.89800000000000002</v>
      </c>
      <c r="G2585" s="35">
        <v>1100</v>
      </c>
    </row>
    <row r="2586" spans="1:7" x14ac:dyDescent="0.25">
      <c r="A2586">
        <v>20221028</v>
      </c>
      <c r="B2586" t="s">
        <v>771</v>
      </c>
      <c r="C2586" t="s">
        <v>264</v>
      </c>
      <c r="D2586" t="s">
        <v>289</v>
      </c>
      <c r="E2586" s="35">
        <v>0.69899999999999995</v>
      </c>
      <c r="F2586" s="35">
        <v>0.89800000000000002</v>
      </c>
      <c r="G2586" s="35">
        <v>700</v>
      </c>
    </row>
    <row r="2587" spans="1:7" x14ac:dyDescent="0.25">
      <c r="A2587">
        <v>20221028</v>
      </c>
      <c r="B2587" t="s">
        <v>771</v>
      </c>
      <c r="C2587" t="s">
        <v>272</v>
      </c>
      <c r="D2587" t="s">
        <v>187</v>
      </c>
      <c r="E2587" s="35">
        <v>0.69899999999999995</v>
      </c>
      <c r="F2587" s="35">
        <v>0.89800000000000002</v>
      </c>
      <c r="G2587" s="35">
        <v>2500</v>
      </c>
    </row>
    <row r="2588" spans="1:7" x14ac:dyDescent="0.25">
      <c r="A2588">
        <v>20221028</v>
      </c>
      <c r="B2588" t="s">
        <v>771</v>
      </c>
      <c r="C2588" t="s">
        <v>272</v>
      </c>
      <c r="D2588" t="s">
        <v>214</v>
      </c>
      <c r="E2588" s="35">
        <v>0.69899999999999995</v>
      </c>
      <c r="F2588" s="35">
        <v>0.89800000000000002</v>
      </c>
      <c r="G2588" s="35">
        <v>2400</v>
      </c>
    </row>
    <row r="2589" spans="1:7" x14ac:dyDescent="0.25">
      <c r="A2589">
        <v>20221028</v>
      </c>
      <c r="B2589" t="s">
        <v>771</v>
      </c>
      <c r="C2589" t="s">
        <v>272</v>
      </c>
      <c r="D2589" t="s">
        <v>233</v>
      </c>
      <c r="E2589" s="35">
        <v>0.69899999999999995</v>
      </c>
      <c r="F2589" s="35">
        <v>0.89800000000000002</v>
      </c>
      <c r="G2589" s="35">
        <v>2300</v>
      </c>
    </row>
    <row r="2590" spans="1:7" x14ac:dyDescent="0.25">
      <c r="A2590">
        <v>20221028</v>
      </c>
      <c r="B2590" t="s">
        <v>771</v>
      </c>
      <c r="C2590" t="s">
        <v>272</v>
      </c>
      <c r="D2590" t="s">
        <v>242</v>
      </c>
      <c r="E2590" s="35">
        <v>0.69899999999999995</v>
      </c>
      <c r="F2590" s="35">
        <v>0.89800000000000002</v>
      </c>
      <c r="G2590" s="35">
        <v>2200</v>
      </c>
    </row>
    <row r="2591" spans="1:7" x14ac:dyDescent="0.25">
      <c r="A2591">
        <v>20221028</v>
      </c>
      <c r="B2591" t="s">
        <v>771</v>
      </c>
      <c r="C2591" t="s">
        <v>272</v>
      </c>
      <c r="D2591" t="s">
        <v>250</v>
      </c>
      <c r="E2591" s="35">
        <v>0.69899999999999995</v>
      </c>
      <c r="F2591" s="35">
        <v>0.89800000000000002</v>
      </c>
      <c r="G2591" s="35">
        <v>2100</v>
      </c>
    </row>
    <row r="2592" spans="1:7" x14ac:dyDescent="0.25">
      <c r="A2592">
        <v>20221028</v>
      </c>
      <c r="B2592" t="s">
        <v>771</v>
      </c>
      <c r="C2592" t="s">
        <v>272</v>
      </c>
      <c r="D2592" t="s">
        <v>258</v>
      </c>
      <c r="E2592" s="35">
        <v>0.69899999999999995</v>
      </c>
      <c r="F2592" s="35">
        <v>0.89800000000000002</v>
      </c>
      <c r="G2592" s="35">
        <v>2000</v>
      </c>
    </row>
    <row r="2593" spans="1:7" x14ac:dyDescent="0.25">
      <c r="A2593">
        <v>20221028</v>
      </c>
      <c r="B2593" t="s">
        <v>771</v>
      </c>
      <c r="C2593" t="s">
        <v>272</v>
      </c>
      <c r="D2593" t="s">
        <v>265</v>
      </c>
      <c r="E2593" s="35">
        <v>0.69899999999999995</v>
      </c>
      <c r="F2593" s="35">
        <v>0.89800000000000002</v>
      </c>
      <c r="G2593" s="35">
        <v>1900</v>
      </c>
    </row>
    <row r="2594" spans="1:7" x14ac:dyDescent="0.25">
      <c r="A2594">
        <v>20221028</v>
      </c>
      <c r="B2594" t="s">
        <v>771</v>
      </c>
      <c r="C2594" t="s">
        <v>272</v>
      </c>
      <c r="D2594" t="s">
        <v>273</v>
      </c>
      <c r="E2594" s="35">
        <v>0.69899999999999995</v>
      </c>
      <c r="F2594" s="35">
        <v>0.89800000000000002</v>
      </c>
      <c r="G2594" s="35">
        <v>1700</v>
      </c>
    </row>
    <row r="2595" spans="1:7" x14ac:dyDescent="0.25">
      <c r="A2595">
        <v>20221028</v>
      </c>
      <c r="B2595" t="s">
        <v>771</v>
      </c>
      <c r="C2595" t="s">
        <v>272</v>
      </c>
      <c r="D2595" t="s">
        <v>279</v>
      </c>
      <c r="E2595" s="35">
        <v>0.69899999999999995</v>
      </c>
      <c r="F2595" s="35">
        <v>0.89800000000000002</v>
      </c>
      <c r="G2595" s="35">
        <v>1400</v>
      </c>
    </row>
    <row r="2596" spans="1:7" x14ac:dyDescent="0.25">
      <c r="A2596">
        <v>20221028</v>
      </c>
      <c r="B2596" t="s">
        <v>771</v>
      </c>
      <c r="C2596" t="s">
        <v>272</v>
      </c>
      <c r="D2596" t="s">
        <v>285</v>
      </c>
      <c r="E2596" s="35">
        <v>0.69899999999999995</v>
      </c>
      <c r="F2596" s="35">
        <v>0.89800000000000002</v>
      </c>
      <c r="G2596" s="35">
        <v>1000</v>
      </c>
    </row>
    <row r="2597" spans="1:7" x14ac:dyDescent="0.25">
      <c r="A2597">
        <v>20221028</v>
      </c>
      <c r="B2597" t="s">
        <v>771</v>
      </c>
      <c r="C2597" t="s">
        <v>272</v>
      </c>
      <c r="D2597" t="s">
        <v>289</v>
      </c>
      <c r="E2597" s="35">
        <v>0.69899999999999995</v>
      </c>
      <c r="F2597" s="35">
        <v>0.89800000000000002</v>
      </c>
      <c r="G2597" s="35">
        <v>700</v>
      </c>
    </row>
    <row r="2598" spans="1:7" x14ac:dyDescent="0.25">
      <c r="A2598">
        <v>20221028</v>
      </c>
      <c r="B2598" t="s">
        <v>771</v>
      </c>
      <c r="C2598" t="s">
        <v>278</v>
      </c>
      <c r="D2598" t="s">
        <v>187</v>
      </c>
      <c r="E2598" s="35">
        <v>0.69899999999999995</v>
      </c>
      <c r="F2598" s="35">
        <v>0.89800000000000002</v>
      </c>
      <c r="G2598" s="35">
        <v>2200</v>
      </c>
    </row>
    <row r="2599" spans="1:7" x14ac:dyDescent="0.25">
      <c r="A2599">
        <v>20221028</v>
      </c>
      <c r="B2599" t="s">
        <v>771</v>
      </c>
      <c r="C2599" t="s">
        <v>278</v>
      </c>
      <c r="D2599" t="s">
        <v>214</v>
      </c>
      <c r="E2599" s="35">
        <v>0.69899999999999995</v>
      </c>
      <c r="F2599" s="35">
        <v>0.89800000000000002</v>
      </c>
      <c r="G2599" s="35">
        <v>2100</v>
      </c>
    </row>
    <row r="2600" spans="1:7" x14ac:dyDescent="0.25">
      <c r="A2600">
        <v>20221028</v>
      </c>
      <c r="B2600" t="s">
        <v>771</v>
      </c>
      <c r="C2600" t="s">
        <v>278</v>
      </c>
      <c r="D2600" t="s">
        <v>233</v>
      </c>
      <c r="E2600" s="35">
        <v>0.69899999999999995</v>
      </c>
      <c r="F2600" s="35">
        <v>0.89800000000000002</v>
      </c>
      <c r="G2600" s="35">
        <v>2000</v>
      </c>
    </row>
    <row r="2601" spans="1:7" x14ac:dyDescent="0.25">
      <c r="A2601">
        <v>20221028</v>
      </c>
      <c r="B2601" t="s">
        <v>771</v>
      </c>
      <c r="C2601" t="s">
        <v>278</v>
      </c>
      <c r="D2601" t="s">
        <v>242</v>
      </c>
      <c r="E2601" s="35">
        <v>0.69899999999999995</v>
      </c>
      <c r="F2601" s="35">
        <v>0.89800000000000002</v>
      </c>
      <c r="G2601" s="35">
        <v>1900</v>
      </c>
    </row>
    <row r="2602" spans="1:7" x14ac:dyDescent="0.25">
      <c r="A2602">
        <v>20221028</v>
      </c>
      <c r="B2602" t="s">
        <v>771</v>
      </c>
      <c r="C2602" t="s">
        <v>278</v>
      </c>
      <c r="D2602" t="s">
        <v>250</v>
      </c>
      <c r="E2602" s="35">
        <v>0.69899999999999995</v>
      </c>
      <c r="F2602" s="35">
        <v>0.89800000000000002</v>
      </c>
      <c r="G2602" s="35">
        <v>1800</v>
      </c>
    </row>
    <row r="2603" spans="1:7" x14ac:dyDescent="0.25">
      <c r="A2603">
        <v>20221028</v>
      </c>
      <c r="B2603" t="s">
        <v>771</v>
      </c>
      <c r="C2603" t="s">
        <v>278</v>
      </c>
      <c r="D2603" t="s">
        <v>258</v>
      </c>
      <c r="E2603" s="35">
        <v>0.69899999999999995</v>
      </c>
      <c r="F2603" s="35">
        <v>0.89800000000000002</v>
      </c>
      <c r="G2603" s="35">
        <v>1700</v>
      </c>
    </row>
    <row r="2604" spans="1:7" x14ac:dyDescent="0.25">
      <c r="A2604">
        <v>20221028</v>
      </c>
      <c r="B2604" t="s">
        <v>771</v>
      </c>
      <c r="C2604" t="s">
        <v>278</v>
      </c>
      <c r="D2604" t="s">
        <v>265</v>
      </c>
      <c r="E2604" s="35">
        <v>0.69899999999999995</v>
      </c>
      <c r="F2604" s="35">
        <v>0.89800000000000002</v>
      </c>
      <c r="G2604" s="35">
        <v>1600</v>
      </c>
    </row>
    <row r="2605" spans="1:7" x14ac:dyDescent="0.25">
      <c r="A2605">
        <v>20221028</v>
      </c>
      <c r="B2605" t="s">
        <v>771</v>
      </c>
      <c r="C2605" t="s">
        <v>278</v>
      </c>
      <c r="D2605" t="s">
        <v>273</v>
      </c>
      <c r="E2605" s="35">
        <v>0.69899999999999995</v>
      </c>
      <c r="F2605" s="35">
        <v>0.89800000000000002</v>
      </c>
      <c r="G2605" s="35">
        <v>1500</v>
      </c>
    </row>
    <row r="2606" spans="1:7" x14ac:dyDescent="0.25">
      <c r="A2606">
        <v>20221028</v>
      </c>
      <c r="B2606" t="s">
        <v>771</v>
      </c>
      <c r="C2606" t="s">
        <v>278</v>
      </c>
      <c r="D2606" t="s">
        <v>279</v>
      </c>
      <c r="E2606" s="35">
        <v>0.69899999999999995</v>
      </c>
      <c r="F2606" s="35">
        <v>0.89800000000000002</v>
      </c>
      <c r="G2606" s="35">
        <v>1100</v>
      </c>
    </row>
    <row r="2607" spans="1:7" x14ac:dyDescent="0.25">
      <c r="A2607">
        <v>20221028</v>
      </c>
      <c r="B2607" t="s">
        <v>771</v>
      </c>
      <c r="C2607" t="s">
        <v>278</v>
      </c>
      <c r="D2607" t="s">
        <v>285</v>
      </c>
      <c r="E2607" s="35">
        <v>0.69899999999999995</v>
      </c>
      <c r="F2607" s="35">
        <v>0.89800000000000002</v>
      </c>
      <c r="G2607" s="35">
        <v>800</v>
      </c>
    </row>
    <row r="2608" spans="1:7" x14ac:dyDescent="0.25">
      <c r="A2608">
        <v>20221028</v>
      </c>
      <c r="B2608" t="s">
        <v>771</v>
      </c>
      <c r="C2608" t="s">
        <v>278</v>
      </c>
      <c r="D2608" t="s">
        <v>289</v>
      </c>
      <c r="E2608" s="35">
        <v>0.69899999999999995</v>
      </c>
      <c r="F2608" s="35">
        <v>0.89800000000000002</v>
      </c>
      <c r="G2608" s="35">
        <v>600</v>
      </c>
    </row>
    <row r="2609" spans="1:7" x14ac:dyDescent="0.25">
      <c r="A2609">
        <v>20221028</v>
      </c>
      <c r="B2609" t="s">
        <v>771</v>
      </c>
      <c r="C2609" t="s">
        <v>284</v>
      </c>
      <c r="D2609" t="s">
        <v>187</v>
      </c>
      <c r="E2609" s="35">
        <v>0.69899999999999995</v>
      </c>
      <c r="F2609" s="35">
        <v>0.89800000000000002</v>
      </c>
      <c r="G2609" s="35">
        <v>2000</v>
      </c>
    </row>
    <row r="2610" spans="1:7" x14ac:dyDescent="0.25">
      <c r="A2610">
        <v>20221028</v>
      </c>
      <c r="B2610" t="s">
        <v>771</v>
      </c>
      <c r="C2610" t="s">
        <v>284</v>
      </c>
      <c r="D2610" t="s">
        <v>214</v>
      </c>
      <c r="E2610" s="35">
        <v>0.69899999999999995</v>
      </c>
      <c r="F2610" s="35">
        <v>0.89800000000000002</v>
      </c>
      <c r="G2610" s="35">
        <v>1900</v>
      </c>
    </row>
    <row r="2611" spans="1:7" x14ac:dyDescent="0.25">
      <c r="A2611">
        <v>20221028</v>
      </c>
      <c r="B2611" t="s">
        <v>771</v>
      </c>
      <c r="C2611" t="s">
        <v>284</v>
      </c>
      <c r="D2611" t="s">
        <v>233</v>
      </c>
      <c r="E2611" s="35">
        <v>0.69899999999999995</v>
      </c>
      <c r="F2611" s="35">
        <v>0.89800000000000002</v>
      </c>
      <c r="G2611" s="35">
        <v>1800</v>
      </c>
    </row>
    <row r="2612" spans="1:7" x14ac:dyDescent="0.25">
      <c r="A2612">
        <v>20221028</v>
      </c>
      <c r="B2612" t="s">
        <v>771</v>
      </c>
      <c r="C2612" t="s">
        <v>284</v>
      </c>
      <c r="D2612" t="s">
        <v>242</v>
      </c>
      <c r="E2612" s="35">
        <v>0.69899999999999995</v>
      </c>
      <c r="F2612" s="35">
        <v>0.89800000000000002</v>
      </c>
      <c r="G2612" s="35">
        <v>1700</v>
      </c>
    </row>
    <row r="2613" spans="1:7" x14ac:dyDescent="0.25">
      <c r="A2613">
        <v>20221028</v>
      </c>
      <c r="B2613" t="s">
        <v>771</v>
      </c>
      <c r="C2613" t="s">
        <v>284</v>
      </c>
      <c r="D2613" t="s">
        <v>250</v>
      </c>
      <c r="E2613" s="35">
        <v>0.69899999999999995</v>
      </c>
      <c r="F2613" s="35">
        <v>0.89800000000000002</v>
      </c>
      <c r="G2613" s="35">
        <v>1600</v>
      </c>
    </row>
    <row r="2614" spans="1:7" x14ac:dyDescent="0.25">
      <c r="A2614">
        <v>20221028</v>
      </c>
      <c r="B2614" t="s">
        <v>771</v>
      </c>
      <c r="C2614" t="s">
        <v>284</v>
      </c>
      <c r="D2614" t="s">
        <v>258</v>
      </c>
      <c r="E2614" s="35">
        <v>0.69899999999999995</v>
      </c>
      <c r="F2614" s="35">
        <v>0.89800000000000002</v>
      </c>
      <c r="G2614" s="35">
        <v>1500</v>
      </c>
    </row>
    <row r="2615" spans="1:7" x14ac:dyDescent="0.25">
      <c r="A2615">
        <v>20221028</v>
      </c>
      <c r="B2615" t="s">
        <v>771</v>
      </c>
      <c r="C2615" t="s">
        <v>284</v>
      </c>
      <c r="D2615" t="s">
        <v>265</v>
      </c>
      <c r="E2615" s="35">
        <v>0.69899999999999995</v>
      </c>
      <c r="F2615" s="35">
        <v>0.89800000000000002</v>
      </c>
      <c r="G2615" s="35">
        <v>1400</v>
      </c>
    </row>
    <row r="2616" spans="1:7" x14ac:dyDescent="0.25">
      <c r="A2616">
        <v>20221028</v>
      </c>
      <c r="B2616" t="s">
        <v>771</v>
      </c>
      <c r="C2616" t="s">
        <v>284</v>
      </c>
      <c r="D2616" t="s">
        <v>273</v>
      </c>
      <c r="E2616" s="35">
        <v>0.69899999999999995</v>
      </c>
      <c r="F2616" s="35">
        <v>0.89800000000000002</v>
      </c>
      <c r="G2616" s="35">
        <v>1200</v>
      </c>
    </row>
    <row r="2617" spans="1:7" x14ac:dyDescent="0.25">
      <c r="A2617">
        <v>20221028</v>
      </c>
      <c r="B2617" t="s">
        <v>771</v>
      </c>
      <c r="C2617" t="s">
        <v>284</v>
      </c>
      <c r="D2617" t="s">
        <v>279</v>
      </c>
      <c r="E2617" s="35">
        <v>0.69899999999999995</v>
      </c>
      <c r="F2617" s="35">
        <v>0.89800000000000002</v>
      </c>
      <c r="G2617" s="35">
        <v>900</v>
      </c>
    </row>
    <row r="2618" spans="1:7" x14ac:dyDescent="0.25">
      <c r="A2618">
        <v>20221028</v>
      </c>
      <c r="B2618" t="s">
        <v>771</v>
      </c>
      <c r="C2618" t="s">
        <v>284</v>
      </c>
      <c r="D2618" t="s">
        <v>285</v>
      </c>
      <c r="E2618" s="35">
        <v>0.69899999999999995</v>
      </c>
      <c r="F2618" s="35">
        <v>0.89800000000000002</v>
      </c>
      <c r="G2618" s="35">
        <v>700</v>
      </c>
    </row>
    <row r="2619" spans="1:7" x14ac:dyDescent="0.25">
      <c r="A2619">
        <v>20221028</v>
      </c>
      <c r="B2619" t="s">
        <v>771</v>
      </c>
      <c r="C2619" t="s">
        <v>284</v>
      </c>
      <c r="D2619" t="s">
        <v>289</v>
      </c>
      <c r="E2619" s="35">
        <v>0.69899999999999995</v>
      </c>
      <c r="F2619" s="35">
        <v>0.89800000000000002</v>
      </c>
      <c r="G2619" s="35">
        <v>500</v>
      </c>
    </row>
    <row r="2620" spans="1:7" x14ac:dyDescent="0.25">
      <c r="A2620">
        <v>20221028</v>
      </c>
      <c r="B2620" t="s">
        <v>771</v>
      </c>
      <c r="C2620" t="s">
        <v>186</v>
      </c>
      <c r="D2620" t="s">
        <v>187</v>
      </c>
      <c r="E2620" s="35">
        <v>0.89900000000000002</v>
      </c>
      <c r="F2620" s="35">
        <v>0.998</v>
      </c>
      <c r="G2620" s="35">
        <v>9200</v>
      </c>
    </row>
    <row r="2621" spans="1:7" x14ac:dyDescent="0.25">
      <c r="A2621">
        <v>20221028</v>
      </c>
      <c r="B2621" t="s">
        <v>771</v>
      </c>
      <c r="C2621" t="s">
        <v>186</v>
      </c>
      <c r="D2621" t="s">
        <v>214</v>
      </c>
      <c r="E2621" s="35">
        <v>0.89900000000000002</v>
      </c>
      <c r="F2621" s="35">
        <v>0.998</v>
      </c>
      <c r="G2621" s="35">
        <v>7800</v>
      </c>
    </row>
    <row r="2622" spans="1:7" x14ac:dyDescent="0.25">
      <c r="A2622">
        <v>20221028</v>
      </c>
      <c r="B2622" t="s">
        <v>771</v>
      </c>
      <c r="C2622" t="s">
        <v>186</v>
      </c>
      <c r="D2622" t="s">
        <v>233</v>
      </c>
      <c r="E2622" s="35">
        <v>0.89900000000000002</v>
      </c>
      <c r="F2622" s="35">
        <v>0.998</v>
      </c>
      <c r="G2622" s="35">
        <v>7100</v>
      </c>
    </row>
    <row r="2623" spans="1:7" x14ac:dyDescent="0.25">
      <c r="A2623">
        <v>20221028</v>
      </c>
      <c r="B2623" t="s">
        <v>771</v>
      </c>
      <c r="C2623" t="s">
        <v>186</v>
      </c>
      <c r="D2623" t="s">
        <v>242</v>
      </c>
      <c r="E2623" s="35">
        <v>0.89900000000000002</v>
      </c>
      <c r="F2623" s="35">
        <v>0.998</v>
      </c>
      <c r="G2623" s="35">
        <v>6500</v>
      </c>
    </row>
    <row r="2624" spans="1:7" x14ac:dyDescent="0.25">
      <c r="A2624">
        <v>20221028</v>
      </c>
      <c r="B2624" t="s">
        <v>771</v>
      </c>
      <c r="C2624" t="s">
        <v>186</v>
      </c>
      <c r="D2624" t="s">
        <v>250</v>
      </c>
      <c r="E2624" s="35">
        <v>0.89900000000000002</v>
      </c>
      <c r="F2624" s="35">
        <v>0.998</v>
      </c>
      <c r="G2624" s="35">
        <v>6000</v>
      </c>
    </row>
    <row r="2625" spans="1:7" x14ac:dyDescent="0.25">
      <c r="A2625">
        <v>20221028</v>
      </c>
      <c r="B2625" t="s">
        <v>771</v>
      </c>
      <c r="C2625" t="s">
        <v>186</v>
      </c>
      <c r="D2625" t="s">
        <v>258</v>
      </c>
      <c r="E2625" s="35">
        <v>0.89900000000000002</v>
      </c>
      <c r="F2625" s="35">
        <v>0.998</v>
      </c>
      <c r="G2625" s="35">
        <v>5100</v>
      </c>
    </row>
    <row r="2626" spans="1:7" x14ac:dyDescent="0.25">
      <c r="A2626">
        <v>20221028</v>
      </c>
      <c r="B2626" t="s">
        <v>771</v>
      </c>
      <c r="C2626" t="s">
        <v>186</v>
      </c>
      <c r="D2626" t="s">
        <v>265</v>
      </c>
      <c r="E2626" s="35">
        <v>0.89900000000000002</v>
      </c>
      <c r="F2626" s="35">
        <v>0.998</v>
      </c>
      <c r="G2626" s="35">
        <v>4500</v>
      </c>
    </row>
    <row r="2627" spans="1:7" x14ac:dyDescent="0.25">
      <c r="A2627">
        <v>20221028</v>
      </c>
      <c r="B2627" t="s">
        <v>771</v>
      </c>
      <c r="C2627" t="s">
        <v>186</v>
      </c>
      <c r="D2627" t="s">
        <v>273</v>
      </c>
      <c r="E2627" s="35">
        <v>0.89900000000000002</v>
      </c>
      <c r="F2627" s="35">
        <v>0.998</v>
      </c>
      <c r="G2627" s="35">
        <v>3700</v>
      </c>
    </row>
    <row r="2628" spans="1:7" x14ac:dyDescent="0.25">
      <c r="A2628">
        <v>20221028</v>
      </c>
      <c r="B2628" t="s">
        <v>771</v>
      </c>
      <c r="C2628" t="s">
        <v>186</v>
      </c>
      <c r="D2628" t="s">
        <v>279</v>
      </c>
      <c r="E2628" s="35">
        <v>0.89900000000000002</v>
      </c>
      <c r="F2628" s="35">
        <v>0.998</v>
      </c>
      <c r="G2628" s="35">
        <v>2700</v>
      </c>
    </row>
    <row r="2629" spans="1:7" x14ac:dyDescent="0.25">
      <c r="A2629">
        <v>20221028</v>
      </c>
      <c r="B2629" t="s">
        <v>771</v>
      </c>
      <c r="C2629" t="s">
        <v>186</v>
      </c>
      <c r="D2629" t="s">
        <v>285</v>
      </c>
      <c r="E2629" s="35">
        <v>0.89900000000000002</v>
      </c>
      <c r="F2629" s="35">
        <v>0.998</v>
      </c>
      <c r="G2629" s="35">
        <v>1800</v>
      </c>
    </row>
    <row r="2630" spans="1:7" x14ac:dyDescent="0.25">
      <c r="A2630">
        <v>20221028</v>
      </c>
      <c r="B2630" t="s">
        <v>771</v>
      </c>
      <c r="C2630" t="s">
        <v>186</v>
      </c>
      <c r="D2630" t="s">
        <v>289</v>
      </c>
      <c r="E2630" s="35">
        <v>0.89900000000000002</v>
      </c>
      <c r="F2630" s="35">
        <v>0.998</v>
      </c>
      <c r="G2630" s="35">
        <v>1100</v>
      </c>
    </row>
    <row r="2631" spans="1:7" x14ac:dyDescent="0.25">
      <c r="A2631">
        <v>20221028</v>
      </c>
      <c r="B2631" t="s">
        <v>771</v>
      </c>
      <c r="C2631" t="s">
        <v>213</v>
      </c>
      <c r="D2631" t="s">
        <v>187</v>
      </c>
      <c r="E2631" s="35">
        <v>0.89900000000000002</v>
      </c>
      <c r="F2631" s="35">
        <v>0.998</v>
      </c>
      <c r="G2631" s="35">
        <v>7700</v>
      </c>
    </row>
    <row r="2632" spans="1:7" x14ac:dyDescent="0.25">
      <c r="A2632">
        <v>20221028</v>
      </c>
      <c r="B2632" t="s">
        <v>771</v>
      </c>
      <c r="C2632" t="s">
        <v>213</v>
      </c>
      <c r="D2632" t="s">
        <v>214</v>
      </c>
      <c r="E2632" s="35">
        <v>0.89900000000000002</v>
      </c>
      <c r="F2632" s="35">
        <v>0.998</v>
      </c>
      <c r="G2632" s="35">
        <v>7100</v>
      </c>
    </row>
    <row r="2633" spans="1:7" x14ac:dyDescent="0.25">
      <c r="A2633">
        <v>20221028</v>
      </c>
      <c r="B2633" t="s">
        <v>771</v>
      </c>
      <c r="C2633" t="s">
        <v>213</v>
      </c>
      <c r="D2633" t="s">
        <v>233</v>
      </c>
      <c r="E2633" s="35">
        <v>0.89900000000000002</v>
      </c>
      <c r="F2633" s="35">
        <v>0.998</v>
      </c>
      <c r="G2633" s="35">
        <v>6500</v>
      </c>
    </row>
    <row r="2634" spans="1:7" x14ac:dyDescent="0.25">
      <c r="A2634">
        <v>20221028</v>
      </c>
      <c r="B2634" t="s">
        <v>771</v>
      </c>
      <c r="C2634" t="s">
        <v>213</v>
      </c>
      <c r="D2634" t="s">
        <v>242</v>
      </c>
      <c r="E2634" s="35">
        <v>0.89900000000000002</v>
      </c>
      <c r="F2634" s="35">
        <v>0.998</v>
      </c>
      <c r="G2634" s="35">
        <v>6000</v>
      </c>
    </row>
    <row r="2635" spans="1:7" x14ac:dyDescent="0.25">
      <c r="A2635">
        <v>20221028</v>
      </c>
      <c r="B2635" t="s">
        <v>771</v>
      </c>
      <c r="C2635" t="s">
        <v>213</v>
      </c>
      <c r="D2635" t="s">
        <v>250</v>
      </c>
      <c r="E2635" s="35">
        <v>0.89900000000000002</v>
      </c>
      <c r="F2635" s="35">
        <v>0.998</v>
      </c>
      <c r="G2635" s="35">
        <v>5700</v>
      </c>
    </row>
    <row r="2636" spans="1:7" x14ac:dyDescent="0.25">
      <c r="A2636">
        <v>20221028</v>
      </c>
      <c r="B2636" t="s">
        <v>771</v>
      </c>
      <c r="C2636" t="s">
        <v>213</v>
      </c>
      <c r="D2636" t="s">
        <v>258</v>
      </c>
      <c r="E2636" s="35">
        <v>0.89900000000000002</v>
      </c>
      <c r="F2636" s="35">
        <v>0.998</v>
      </c>
      <c r="G2636" s="35">
        <v>4900</v>
      </c>
    </row>
    <row r="2637" spans="1:7" x14ac:dyDescent="0.25">
      <c r="A2637">
        <v>20221028</v>
      </c>
      <c r="B2637" t="s">
        <v>771</v>
      </c>
      <c r="C2637" t="s">
        <v>213</v>
      </c>
      <c r="D2637" t="s">
        <v>265</v>
      </c>
      <c r="E2637" s="35">
        <v>0.89900000000000002</v>
      </c>
      <c r="F2637" s="35">
        <v>0.998</v>
      </c>
      <c r="G2637" s="35">
        <v>4300</v>
      </c>
    </row>
    <row r="2638" spans="1:7" x14ac:dyDescent="0.25">
      <c r="A2638">
        <v>20221028</v>
      </c>
      <c r="B2638" t="s">
        <v>771</v>
      </c>
      <c r="C2638" t="s">
        <v>213</v>
      </c>
      <c r="D2638" t="s">
        <v>273</v>
      </c>
      <c r="E2638" s="35">
        <v>0.89900000000000002</v>
      </c>
      <c r="F2638" s="35">
        <v>0.998</v>
      </c>
      <c r="G2638" s="35">
        <v>3500</v>
      </c>
    </row>
    <row r="2639" spans="1:7" x14ac:dyDescent="0.25">
      <c r="A2639">
        <v>20221028</v>
      </c>
      <c r="B2639" t="s">
        <v>771</v>
      </c>
      <c r="C2639" t="s">
        <v>213</v>
      </c>
      <c r="D2639" t="s">
        <v>279</v>
      </c>
      <c r="E2639" s="35">
        <v>0.89900000000000002</v>
      </c>
      <c r="F2639" s="35">
        <v>0.998</v>
      </c>
      <c r="G2639" s="35">
        <v>2600</v>
      </c>
    </row>
    <row r="2640" spans="1:7" x14ac:dyDescent="0.25">
      <c r="A2640">
        <v>20221028</v>
      </c>
      <c r="B2640" t="s">
        <v>771</v>
      </c>
      <c r="C2640" t="s">
        <v>213</v>
      </c>
      <c r="D2640" t="s">
        <v>285</v>
      </c>
      <c r="E2640" s="35">
        <v>0.89900000000000002</v>
      </c>
      <c r="F2640" s="35">
        <v>0.998</v>
      </c>
      <c r="G2640" s="35">
        <v>1700</v>
      </c>
    </row>
    <row r="2641" spans="1:7" x14ac:dyDescent="0.25">
      <c r="A2641">
        <v>20221028</v>
      </c>
      <c r="B2641" t="s">
        <v>771</v>
      </c>
      <c r="C2641" t="s">
        <v>213</v>
      </c>
      <c r="D2641" t="s">
        <v>289</v>
      </c>
      <c r="E2641" s="35">
        <v>0.89900000000000002</v>
      </c>
      <c r="F2641" s="35">
        <v>0.998</v>
      </c>
      <c r="G2641" s="35">
        <v>1000</v>
      </c>
    </row>
    <row r="2642" spans="1:7" x14ac:dyDescent="0.25">
      <c r="A2642">
        <v>20221028</v>
      </c>
      <c r="B2642" t="s">
        <v>771</v>
      </c>
      <c r="C2642" t="s">
        <v>232</v>
      </c>
      <c r="D2642" t="s">
        <v>187</v>
      </c>
      <c r="E2642" s="35">
        <v>0.89900000000000002</v>
      </c>
      <c r="F2642" s="35">
        <v>0.998</v>
      </c>
      <c r="G2642" s="35">
        <v>6900</v>
      </c>
    </row>
    <row r="2643" spans="1:7" x14ac:dyDescent="0.25">
      <c r="A2643">
        <v>20221028</v>
      </c>
      <c r="B2643" t="s">
        <v>771</v>
      </c>
      <c r="C2643" t="s">
        <v>232</v>
      </c>
      <c r="D2643" t="s">
        <v>214</v>
      </c>
      <c r="E2643" s="35">
        <v>0.89900000000000002</v>
      </c>
      <c r="F2643" s="35">
        <v>0.998</v>
      </c>
      <c r="G2643" s="35">
        <v>6400</v>
      </c>
    </row>
    <row r="2644" spans="1:7" x14ac:dyDescent="0.25">
      <c r="A2644">
        <v>20221028</v>
      </c>
      <c r="B2644" t="s">
        <v>771</v>
      </c>
      <c r="C2644" t="s">
        <v>232</v>
      </c>
      <c r="D2644" t="s">
        <v>233</v>
      </c>
      <c r="E2644" s="35">
        <v>0.89900000000000002</v>
      </c>
      <c r="F2644" s="35">
        <v>0.998</v>
      </c>
      <c r="G2644" s="35">
        <v>6000</v>
      </c>
    </row>
    <row r="2645" spans="1:7" x14ac:dyDescent="0.25">
      <c r="A2645">
        <v>20221028</v>
      </c>
      <c r="B2645" t="s">
        <v>771</v>
      </c>
      <c r="C2645" t="s">
        <v>232</v>
      </c>
      <c r="D2645" t="s">
        <v>242</v>
      </c>
      <c r="E2645" s="35">
        <v>0.89900000000000002</v>
      </c>
      <c r="F2645" s="35">
        <v>0.998</v>
      </c>
      <c r="G2645" s="35">
        <v>5700</v>
      </c>
    </row>
    <row r="2646" spans="1:7" x14ac:dyDescent="0.25">
      <c r="A2646">
        <v>20221028</v>
      </c>
      <c r="B2646" t="s">
        <v>771</v>
      </c>
      <c r="C2646" t="s">
        <v>232</v>
      </c>
      <c r="D2646" t="s">
        <v>250</v>
      </c>
      <c r="E2646" s="35">
        <v>0.89900000000000002</v>
      </c>
      <c r="F2646" s="35">
        <v>0.998</v>
      </c>
      <c r="G2646" s="35">
        <v>5500</v>
      </c>
    </row>
    <row r="2647" spans="1:7" x14ac:dyDescent="0.25">
      <c r="A2647">
        <v>20221028</v>
      </c>
      <c r="B2647" t="s">
        <v>771</v>
      </c>
      <c r="C2647" t="s">
        <v>232</v>
      </c>
      <c r="D2647" t="s">
        <v>258</v>
      </c>
      <c r="E2647" s="35">
        <v>0.89900000000000002</v>
      </c>
      <c r="F2647" s="35">
        <v>0.998</v>
      </c>
      <c r="G2647" s="35">
        <v>4700</v>
      </c>
    </row>
    <row r="2648" spans="1:7" x14ac:dyDescent="0.25">
      <c r="A2648">
        <v>20221028</v>
      </c>
      <c r="B2648" t="s">
        <v>771</v>
      </c>
      <c r="C2648" t="s">
        <v>232</v>
      </c>
      <c r="D2648" t="s">
        <v>265</v>
      </c>
      <c r="E2648" s="35">
        <v>0.89900000000000002</v>
      </c>
      <c r="F2648" s="35">
        <v>0.998</v>
      </c>
      <c r="G2648" s="35">
        <v>4100</v>
      </c>
    </row>
    <row r="2649" spans="1:7" x14ac:dyDescent="0.25">
      <c r="A2649">
        <v>20221028</v>
      </c>
      <c r="B2649" t="s">
        <v>771</v>
      </c>
      <c r="C2649" t="s">
        <v>232</v>
      </c>
      <c r="D2649" t="s">
        <v>273</v>
      </c>
      <c r="E2649" s="35">
        <v>0.89900000000000002</v>
      </c>
      <c r="F2649" s="35">
        <v>0.998</v>
      </c>
      <c r="G2649" s="35">
        <v>3300</v>
      </c>
    </row>
    <row r="2650" spans="1:7" x14ac:dyDescent="0.25">
      <c r="A2650">
        <v>20221028</v>
      </c>
      <c r="B2650" t="s">
        <v>771</v>
      </c>
      <c r="C2650" t="s">
        <v>232</v>
      </c>
      <c r="D2650" t="s">
        <v>279</v>
      </c>
      <c r="E2650" s="35">
        <v>0.89900000000000002</v>
      </c>
      <c r="F2650" s="35">
        <v>0.998</v>
      </c>
      <c r="G2650" s="35">
        <v>2500</v>
      </c>
    </row>
    <row r="2651" spans="1:7" x14ac:dyDescent="0.25">
      <c r="A2651">
        <v>20221028</v>
      </c>
      <c r="B2651" t="s">
        <v>771</v>
      </c>
      <c r="C2651" t="s">
        <v>232</v>
      </c>
      <c r="D2651" t="s">
        <v>285</v>
      </c>
      <c r="E2651" s="35">
        <v>0.89900000000000002</v>
      </c>
      <c r="F2651" s="35">
        <v>0.998</v>
      </c>
      <c r="G2651" s="35">
        <v>1600</v>
      </c>
    </row>
    <row r="2652" spans="1:7" x14ac:dyDescent="0.25">
      <c r="A2652">
        <v>20221028</v>
      </c>
      <c r="B2652" t="s">
        <v>771</v>
      </c>
      <c r="C2652" t="s">
        <v>232</v>
      </c>
      <c r="D2652" t="s">
        <v>289</v>
      </c>
      <c r="E2652" s="35">
        <v>0.89900000000000002</v>
      </c>
      <c r="F2652" s="35">
        <v>0.998</v>
      </c>
      <c r="G2652" s="35">
        <v>1000</v>
      </c>
    </row>
    <row r="2653" spans="1:7" x14ac:dyDescent="0.25">
      <c r="A2653">
        <v>20221028</v>
      </c>
      <c r="B2653" t="s">
        <v>771</v>
      </c>
      <c r="C2653" t="s">
        <v>215</v>
      </c>
      <c r="D2653" t="s">
        <v>187</v>
      </c>
      <c r="E2653" s="35">
        <v>0.89900000000000002</v>
      </c>
      <c r="F2653" s="35">
        <v>0.998</v>
      </c>
      <c r="G2653" s="35">
        <v>6200</v>
      </c>
    </row>
    <row r="2654" spans="1:7" x14ac:dyDescent="0.25">
      <c r="A2654">
        <v>20221028</v>
      </c>
      <c r="B2654" t="s">
        <v>771</v>
      </c>
      <c r="C2654" t="s">
        <v>215</v>
      </c>
      <c r="D2654" t="s">
        <v>214</v>
      </c>
      <c r="E2654" s="35">
        <v>0.89900000000000002</v>
      </c>
      <c r="F2654" s="35">
        <v>0.998</v>
      </c>
      <c r="G2654" s="35">
        <v>5900</v>
      </c>
    </row>
    <row r="2655" spans="1:7" x14ac:dyDescent="0.25">
      <c r="A2655">
        <v>20221028</v>
      </c>
      <c r="B2655" t="s">
        <v>771</v>
      </c>
      <c r="C2655" t="s">
        <v>215</v>
      </c>
      <c r="D2655" t="s">
        <v>233</v>
      </c>
      <c r="E2655" s="35">
        <v>0.89900000000000002</v>
      </c>
      <c r="F2655" s="35">
        <v>0.998</v>
      </c>
      <c r="G2655" s="35">
        <v>5600</v>
      </c>
    </row>
    <row r="2656" spans="1:7" x14ac:dyDescent="0.25">
      <c r="A2656">
        <v>20221028</v>
      </c>
      <c r="B2656" t="s">
        <v>771</v>
      </c>
      <c r="C2656" t="s">
        <v>215</v>
      </c>
      <c r="D2656" t="s">
        <v>242</v>
      </c>
      <c r="E2656" s="35">
        <v>0.89900000000000002</v>
      </c>
      <c r="F2656" s="35">
        <v>0.998</v>
      </c>
      <c r="G2656" s="35">
        <v>5400</v>
      </c>
    </row>
    <row r="2657" spans="1:7" x14ac:dyDescent="0.25">
      <c r="A2657">
        <v>20221028</v>
      </c>
      <c r="B2657" t="s">
        <v>771</v>
      </c>
      <c r="C2657" t="s">
        <v>215</v>
      </c>
      <c r="D2657" t="s">
        <v>250</v>
      </c>
      <c r="E2657" s="35">
        <v>0.89900000000000002</v>
      </c>
      <c r="F2657" s="35">
        <v>0.998</v>
      </c>
      <c r="G2657" s="35">
        <v>5200</v>
      </c>
    </row>
    <row r="2658" spans="1:7" x14ac:dyDescent="0.25">
      <c r="A2658">
        <v>20221028</v>
      </c>
      <c r="B2658" t="s">
        <v>771</v>
      </c>
      <c r="C2658" t="s">
        <v>215</v>
      </c>
      <c r="D2658" t="s">
        <v>258</v>
      </c>
      <c r="E2658" s="35">
        <v>0.89900000000000002</v>
      </c>
      <c r="F2658" s="35">
        <v>0.998</v>
      </c>
      <c r="G2658" s="35">
        <v>4500</v>
      </c>
    </row>
    <row r="2659" spans="1:7" x14ac:dyDescent="0.25">
      <c r="A2659">
        <v>20221028</v>
      </c>
      <c r="B2659" t="s">
        <v>771</v>
      </c>
      <c r="C2659" t="s">
        <v>215</v>
      </c>
      <c r="D2659" t="s">
        <v>265</v>
      </c>
      <c r="E2659" s="35">
        <v>0.89900000000000002</v>
      </c>
      <c r="F2659" s="35">
        <v>0.998</v>
      </c>
      <c r="G2659" s="35">
        <v>3900</v>
      </c>
    </row>
    <row r="2660" spans="1:7" x14ac:dyDescent="0.25">
      <c r="A2660">
        <v>20221028</v>
      </c>
      <c r="B2660" t="s">
        <v>771</v>
      </c>
      <c r="C2660" t="s">
        <v>215</v>
      </c>
      <c r="D2660" t="s">
        <v>273</v>
      </c>
      <c r="E2660" s="35">
        <v>0.89900000000000002</v>
      </c>
      <c r="F2660" s="35">
        <v>0.998</v>
      </c>
      <c r="G2660" s="35">
        <v>3100</v>
      </c>
    </row>
    <row r="2661" spans="1:7" x14ac:dyDescent="0.25">
      <c r="A2661">
        <v>20221028</v>
      </c>
      <c r="B2661" t="s">
        <v>771</v>
      </c>
      <c r="C2661" t="s">
        <v>215</v>
      </c>
      <c r="D2661" t="s">
        <v>279</v>
      </c>
      <c r="E2661" s="35">
        <v>0.89900000000000002</v>
      </c>
      <c r="F2661" s="35">
        <v>0.998</v>
      </c>
      <c r="G2661" s="35">
        <v>2400</v>
      </c>
    </row>
    <row r="2662" spans="1:7" x14ac:dyDescent="0.25">
      <c r="A2662">
        <v>20221028</v>
      </c>
      <c r="B2662" t="s">
        <v>771</v>
      </c>
      <c r="C2662" t="s">
        <v>215</v>
      </c>
      <c r="D2662" t="s">
        <v>285</v>
      </c>
      <c r="E2662" s="35">
        <v>0.89900000000000002</v>
      </c>
      <c r="F2662" s="35">
        <v>0.998</v>
      </c>
      <c r="G2662" s="35">
        <v>1600</v>
      </c>
    </row>
    <row r="2663" spans="1:7" x14ac:dyDescent="0.25">
      <c r="A2663">
        <v>20221028</v>
      </c>
      <c r="B2663" t="s">
        <v>771</v>
      </c>
      <c r="C2663" t="s">
        <v>215</v>
      </c>
      <c r="D2663" t="s">
        <v>289</v>
      </c>
      <c r="E2663" s="35">
        <v>0.89900000000000002</v>
      </c>
      <c r="F2663" s="35">
        <v>0.998</v>
      </c>
      <c r="G2663" s="35">
        <v>900</v>
      </c>
    </row>
    <row r="2664" spans="1:7" x14ac:dyDescent="0.25">
      <c r="A2664">
        <v>20221028</v>
      </c>
      <c r="B2664" t="s">
        <v>771</v>
      </c>
      <c r="C2664" t="s">
        <v>249</v>
      </c>
      <c r="D2664" t="s">
        <v>187</v>
      </c>
      <c r="E2664" s="35">
        <v>0.89900000000000002</v>
      </c>
      <c r="F2664" s="35">
        <v>0.998</v>
      </c>
      <c r="G2664" s="35">
        <v>5600</v>
      </c>
    </row>
    <row r="2665" spans="1:7" x14ac:dyDescent="0.25">
      <c r="A2665">
        <v>20221028</v>
      </c>
      <c r="B2665" t="s">
        <v>771</v>
      </c>
      <c r="C2665" t="s">
        <v>249</v>
      </c>
      <c r="D2665" t="s">
        <v>214</v>
      </c>
      <c r="E2665" s="35">
        <v>0.89900000000000002</v>
      </c>
      <c r="F2665" s="35">
        <v>0.998</v>
      </c>
      <c r="G2665" s="35">
        <v>5400</v>
      </c>
    </row>
    <row r="2666" spans="1:7" x14ac:dyDescent="0.25">
      <c r="A2666">
        <v>20221028</v>
      </c>
      <c r="B2666" t="s">
        <v>771</v>
      </c>
      <c r="C2666" t="s">
        <v>249</v>
      </c>
      <c r="D2666" t="s">
        <v>233</v>
      </c>
      <c r="E2666" s="35">
        <v>0.89900000000000002</v>
      </c>
      <c r="F2666" s="35">
        <v>0.998</v>
      </c>
      <c r="G2666" s="35">
        <v>5200</v>
      </c>
    </row>
    <row r="2667" spans="1:7" x14ac:dyDescent="0.25">
      <c r="A2667">
        <v>20221028</v>
      </c>
      <c r="B2667" t="s">
        <v>771</v>
      </c>
      <c r="C2667" t="s">
        <v>249</v>
      </c>
      <c r="D2667" t="s">
        <v>242</v>
      </c>
      <c r="E2667" s="35">
        <v>0.89900000000000002</v>
      </c>
      <c r="F2667" s="35">
        <v>0.998</v>
      </c>
      <c r="G2667" s="35">
        <v>4900</v>
      </c>
    </row>
    <row r="2668" spans="1:7" x14ac:dyDescent="0.25">
      <c r="A2668">
        <v>20221028</v>
      </c>
      <c r="B2668" t="s">
        <v>771</v>
      </c>
      <c r="C2668" t="s">
        <v>249</v>
      </c>
      <c r="D2668" t="s">
        <v>250</v>
      </c>
      <c r="E2668" s="35">
        <v>0.89900000000000002</v>
      </c>
      <c r="F2668" s="35">
        <v>0.998</v>
      </c>
      <c r="G2668" s="35">
        <v>4700</v>
      </c>
    </row>
    <row r="2669" spans="1:7" x14ac:dyDescent="0.25">
      <c r="A2669">
        <v>20221028</v>
      </c>
      <c r="B2669" t="s">
        <v>771</v>
      </c>
      <c r="C2669" t="s">
        <v>249</v>
      </c>
      <c r="D2669" t="s">
        <v>258</v>
      </c>
      <c r="E2669" s="35">
        <v>0.89900000000000002</v>
      </c>
      <c r="F2669" s="35">
        <v>0.998</v>
      </c>
      <c r="G2669" s="35">
        <v>4100</v>
      </c>
    </row>
    <row r="2670" spans="1:7" x14ac:dyDescent="0.25">
      <c r="A2670">
        <v>20221028</v>
      </c>
      <c r="B2670" t="s">
        <v>771</v>
      </c>
      <c r="C2670" t="s">
        <v>249</v>
      </c>
      <c r="D2670" t="s">
        <v>265</v>
      </c>
      <c r="E2670" s="35">
        <v>0.89900000000000002</v>
      </c>
      <c r="F2670" s="35">
        <v>0.998</v>
      </c>
      <c r="G2670" s="35">
        <v>3600</v>
      </c>
    </row>
    <row r="2671" spans="1:7" x14ac:dyDescent="0.25">
      <c r="A2671">
        <v>20221028</v>
      </c>
      <c r="B2671" t="s">
        <v>771</v>
      </c>
      <c r="C2671" t="s">
        <v>249</v>
      </c>
      <c r="D2671" t="s">
        <v>273</v>
      </c>
      <c r="E2671" s="35">
        <v>0.89900000000000002</v>
      </c>
      <c r="F2671" s="35">
        <v>0.998</v>
      </c>
      <c r="G2671" s="35">
        <v>2900</v>
      </c>
    </row>
    <row r="2672" spans="1:7" x14ac:dyDescent="0.25">
      <c r="A2672">
        <v>20221028</v>
      </c>
      <c r="B2672" t="s">
        <v>771</v>
      </c>
      <c r="C2672" t="s">
        <v>249</v>
      </c>
      <c r="D2672" t="s">
        <v>279</v>
      </c>
      <c r="E2672" s="35">
        <v>0.89900000000000002</v>
      </c>
      <c r="F2672" s="35">
        <v>0.998</v>
      </c>
      <c r="G2672" s="35">
        <v>2300</v>
      </c>
    </row>
    <row r="2673" spans="1:7" x14ac:dyDescent="0.25">
      <c r="A2673">
        <v>20221028</v>
      </c>
      <c r="B2673" t="s">
        <v>771</v>
      </c>
      <c r="C2673" t="s">
        <v>249</v>
      </c>
      <c r="D2673" t="s">
        <v>285</v>
      </c>
      <c r="E2673" s="35">
        <v>0.89900000000000002</v>
      </c>
      <c r="F2673" s="35">
        <v>0.998</v>
      </c>
      <c r="G2673" s="35">
        <v>1500</v>
      </c>
    </row>
    <row r="2674" spans="1:7" x14ac:dyDescent="0.25">
      <c r="A2674">
        <v>20221028</v>
      </c>
      <c r="B2674" t="s">
        <v>771</v>
      </c>
      <c r="C2674" t="s">
        <v>249</v>
      </c>
      <c r="D2674" t="s">
        <v>289</v>
      </c>
      <c r="E2674" s="35">
        <v>0.89900000000000002</v>
      </c>
      <c r="F2674" s="35">
        <v>0.998</v>
      </c>
      <c r="G2674" s="35">
        <v>900</v>
      </c>
    </row>
    <row r="2675" spans="1:7" x14ac:dyDescent="0.25">
      <c r="A2675">
        <v>20221028</v>
      </c>
      <c r="B2675" t="s">
        <v>771</v>
      </c>
      <c r="C2675" t="s">
        <v>257</v>
      </c>
      <c r="D2675" t="s">
        <v>187</v>
      </c>
      <c r="E2675" s="35">
        <v>0.89900000000000002</v>
      </c>
      <c r="F2675" s="35">
        <v>0.998</v>
      </c>
      <c r="G2675" s="35">
        <v>4800</v>
      </c>
    </row>
    <row r="2676" spans="1:7" x14ac:dyDescent="0.25">
      <c r="A2676">
        <v>20221028</v>
      </c>
      <c r="B2676" t="s">
        <v>771</v>
      </c>
      <c r="C2676" t="s">
        <v>257</v>
      </c>
      <c r="D2676" t="s">
        <v>214</v>
      </c>
      <c r="E2676" s="35">
        <v>0.89900000000000002</v>
      </c>
      <c r="F2676" s="35">
        <v>0.998</v>
      </c>
      <c r="G2676" s="35">
        <v>4600</v>
      </c>
    </row>
    <row r="2677" spans="1:7" x14ac:dyDescent="0.25">
      <c r="A2677">
        <v>20221028</v>
      </c>
      <c r="B2677" t="s">
        <v>771</v>
      </c>
      <c r="C2677" t="s">
        <v>257</v>
      </c>
      <c r="D2677" t="s">
        <v>233</v>
      </c>
      <c r="E2677" s="35">
        <v>0.89900000000000002</v>
      </c>
      <c r="F2677" s="35">
        <v>0.998</v>
      </c>
      <c r="G2677" s="35">
        <v>4400</v>
      </c>
    </row>
    <row r="2678" spans="1:7" x14ac:dyDescent="0.25">
      <c r="A2678">
        <v>20221028</v>
      </c>
      <c r="B2678" t="s">
        <v>771</v>
      </c>
      <c r="C2678" t="s">
        <v>257</v>
      </c>
      <c r="D2678" t="s">
        <v>242</v>
      </c>
      <c r="E2678" s="35">
        <v>0.89900000000000002</v>
      </c>
      <c r="F2678" s="35">
        <v>0.998</v>
      </c>
      <c r="G2678" s="35">
        <v>4200</v>
      </c>
    </row>
    <row r="2679" spans="1:7" x14ac:dyDescent="0.25">
      <c r="A2679">
        <v>20221028</v>
      </c>
      <c r="B2679" t="s">
        <v>771</v>
      </c>
      <c r="C2679" t="s">
        <v>257</v>
      </c>
      <c r="D2679" t="s">
        <v>250</v>
      </c>
      <c r="E2679" s="35">
        <v>0.89900000000000002</v>
      </c>
      <c r="F2679" s="35">
        <v>0.998</v>
      </c>
      <c r="G2679" s="35">
        <v>4000</v>
      </c>
    </row>
    <row r="2680" spans="1:7" x14ac:dyDescent="0.25">
      <c r="A2680">
        <v>20221028</v>
      </c>
      <c r="B2680" t="s">
        <v>771</v>
      </c>
      <c r="C2680" t="s">
        <v>257</v>
      </c>
      <c r="D2680" t="s">
        <v>258</v>
      </c>
      <c r="E2680" s="35">
        <v>0.89900000000000002</v>
      </c>
      <c r="F2680" s="35">
        <v>0.998</v>
      </c>
      <c r="G2680" s="35">
        <v>3600</v>
      </c>
    </row>
    <row r="2681" spans="1:7" x14ac:dyDescent="0.25">
      <c r="A2681">
        <v>20221028</v>
      </c>
      <c r="B2681" t="s">
        <v>771</v>
      </c>
      <c r="C2681" t="s">
        <v>257</v>
      </c>
      <c r="D2681" t="s">
        <v>265</v>
      </c>
      <c r="E2681" s="35">
        <v>0.89900000000000002</v>
      </c>
      <c r="F2681" s="35">
        <v>0.998</v>
      </c>
      <c r="G2681" s="35">
        <v>3300</v>
      </c>
    </row>
    <row r="2682" spans="1:7" x14ac:dyDescent="0.25">
      <c r="A2682">
        <v>20221028</v>
      </c>
      <c r="B2682" t="s">
        <v>771</v>
      </c>
      <c r="C2682" t="s">
        <v>257</v>
      </c>
      <c r="D2682" t="s">
        <v>273</v>
      </c>
      <c r="E2682" s="35">
        <v>0.89900000000000002</v>
      </c>
      <c r="F2682" s="35">
        <v>0.998</v>
      </c>
      <c r="G2682" s="35">
        <v>2700</v>
      </c>
    </row>
    <row r="2683" spans="1:7" x14ac:dyDescent="0.25">
      <c r="A2683">
        <v>20221028</v>
      </c>
      <c r="B2683" t="s">
        <v>771</v>
      </c>
      <c r="C2683" t="s">
        <v>257</v>
      </c>
      <c r="D2683" t="s">
        <v>279</v>
      </c>
      <c r="E2683" s="35">
        <v>0.89900000000000002</v>
      </c>
      <c r="F2683" s="35">
        <v>0.998</v>
      </c>
      <c r="G2683" s="35">
        <v>2100</v>
      </c>
    </row>
    <row r="2684" spans="1:7" x14ac:dyDescent="0.25">
      <c r="A2684">
        <v>20221028</v>
      </c>
      <c r="B2684" t="s">
        <v>771</v>
      </c>
      <c r="C2684" t="s">
        <v>257</v>
      </c>
      <c r="D2684" t="s">
        <v>285</v>
      </c>
      <c r="E2684" s="35">
        <v>0.89900000000000002</v>
      </c>
      <c r="F2684" s="35">
        <v>0.998</v>
      </c>
      <c r="G2684" s="35">
        <v>1400</v>
      </c>
    </row>
    <row r="2685" spans="1:7" x14ac:dyDescent="0.25">
      <c r="A2685">
        <v>20221028</v>
      </c>
      <c r="B2685" t="s">
        <v>771</v>
      </c>
      <c r="C2685" t="s">
        <v>257</v>
      </c>
      <c r="D2685" t="s">
        <v>289</v>
      </c>
      <c r="E2685" s="35">
        <v>0.89900000000000002</v>
      </c>
      <c r="F2685" s="35">
        <v>0.998</v>
      </c>
      <c r="G2685" s="35">
        <v>900</v>
      </c>
    </row>
    <row r="2686" spans="1:7" x14ac:dyDescent="0.25">
      <c r="A2686">
        <v>20221028</v>
      </c>
      <c r="B2686" t="s">
        <v>771</v>
      </c>
      <c r="C2686" t="s">
        <v>264</v>
      </c>
      <c r="D2686" t="s">
        <v>187</v>
      </c>
      <c r="E2686" s="35">
        <v>0.89900000000000002</v>
      </c>
      <c r="F2686" s="35">
        <v>0.998</v>
      </c>
      <c r="G2686" s="35">
        <v>3900</v>
      </c>
    </row>
    <row r="2687" spans="1:7" x14ac:dyDescent="0.25">
      <c r="A2687">
        <v>20221028</v>
      </c>
      <c r="B2687" t="s">
        <v>771</v>
      </c>
      <c r="C2687" t="s">
        <v>264</v>
      </c>
      <c r="D2687" t="s">
        <v>214</v>
      </c>
      <c r="E2687" s="35">
        <v>0.89900000000000002</v>
      </c>
      <c r="F2687" s="35">
        <v>0.998</v>
      </c>
      <c r="G2687" s="35">
        <v>3700</v>
      </c>
    </row>
    <row r="2688" spans="1:7" x14ac:dyDescent="0.25">
      <c r="A2688">
        <v>20221028</v>
      </c>
      <c r="B2688" t="s">
        <v>771</v>
      </c>
      <c r="C2688" t="s">
        <v>264</v>
      </c>
      <c r="D2688" t="s">
        <v>233</v>
      </c>
      <c r="E2688" s="35">
        <v>0.89900000000000002</v>
      </c>
      <c r="F2688" s="35">
        <v>0.998</v>
      </c>
      <c r="G2688" s="35">
        <v>3600</v>
      </c>
    </row>
    <row r="2689" spans="1:7" x14ac:dyDescent="0.25">
      <c r="A2689">
        <v>20221028</v>
      </c>
      <c r="B2689" t="s">
        <v>771</v>
      </c>
      <c r="C2689" t="s">
        <v>264</v>
      </c>
      <c r="D2689" t="s">
        <v>242</v>
      </c>
      <c r="E2689" s="35">
        <v>0.89900000000000002</v>
      </c>
      <c r="F2689" s="35">
        <v>0.998</v>
      </c>
      <c r="G2689" s="35">
        <v>3500</v>
      </c>
    </row>
    <row r="2690" spans="1:7" x14ac:dyDescent="0.25">
      <c r="A2690">
        <v>20221028</v>
      </c>
      <c r="B2690" t="s">
        <v>771</v>
      </c>
      <c r="C2690" t="s">
        <v>264</v>
      </c>
      <c r="D2690" t="s">
        <v>250</v>
      </c>
      <c r="E2690" s="35">
        <v>0.89900000000000002</v>
      </c>
      <c r="F2690" s="35">
        <v>0.998</v>
      </c>
      <c r="G2690" s="35">
        <v>3300</v>
      </c>
    </row>
    <row r="2691" spans="1:7" x14ac:dyDescent="0.25">
      <c r="A2691">
        <v>20221028</v>
      </c>
      <c r="B2691" t="s">
        <v>771</v>
      </c>
      <c r="C2691" t="s">
        <v>264</v>
      </c>
      <c r="D2691" t="s">
        <v>258</v>
      </c>
      <c r="E2691" s="35">
        <v>0.89900000000000002</v>
      </c>
      <c r="F2691" s="35">
        <v>0.998</v>
      </c>
      <c r="G2691" s="35">
        <v>3100</v>
      </c>
    </row>
    <row r="2692" spans="1:7" x14ac:dyDescent="0.25">
      <c r="A2692">
        <v>20221028</v>
      </c>
      <c r="B2692" t="s">
        <v>771</v>
      </c>
      <c r="C2692" t="s">
        <v>264</v>
      </c>
      <c r="D2692" t="s">
        <v>265</v>
      </c>
      <c r="E2692" s="35">
        <v>0.89900000000000002</v>
      </c>
      <c r="F2692" s="35">
        <v>0.998</v>
      </c>
      <c r="G2692" s="35">
        <v>2800</v>
      </c>
    </row>
    <row r="2693" spans="1:7" x14ac:dyDescent="0.25">
      <c r="A2693">
        <v>20221028</v>
      </c>
      <c r="B2693" t="s">
        <v>771</v>
      </c>
      <c r="C2693" t="s">
        <v>264</v>
      </c>
      <c r="D2693" t="s">
        <v>273</v>
      </c>
      <c r="E2693" s="35">
        <v>0.89900000000000002</v>
      </c>
      <c r="F2693" s="35">
        <v>0.998</v>
      </c>
      <c r="G2693" s="35">
        <v>2300</v>
      </c>
    </row>
    <row r="2694" spans="1:7" x14ac:dyDescent="0.25">
      <c r="A2694">
        <v>20221028</v>
      </c>
      <c r="B2694" t="s">
        <v>771</v>
      </c>
      <c r="C2694" t="s">
        <v>264</v>
      </c>
      <c r="D2694" t="s">
        <v>279</v>
      </c>
      <c r="E2694" s="35">
        <v>0.89900000000000002</v>
      </c>
      <c r="F2694" s="35">
        <v>0.998</v>
      </c>
      <c r="G2694" s="35">
        <v>1900</v>
      </c>
    </row>
    <row r="2695" spans="1:7" x14ac:dyDescent="0.25">
      <c r="A2695">
        <v>20221028</v>
      </c>
      <c r="B2695" t="s">
        <v>771</v>
      </c>
      <c r="C2695" t="s">
        <v>264</v>
      </c>
      <c r="D2695" t="s">
        <v>285</v>
      </c>
      <c r="E2695" s="35">
        <v>0.89900000000000002</v>
      </c>
      <c r="F2695" s="35">
        <v>0.998</v>
      </c>
      <c r="G2695" s="35">
        <v>1300</v>
      </c>
    </row>
    <row r="2696" spans="1:7" x14ac:dyDescent="0.25">
      <c r="A2696">
        <v>20221028</v>
      </c>
      <c r="B2696" t="s">
        <v>771</v>
      </c>
      <c r="C2696" t="s">
        <v>264</v>
      </c>
      <c r="D2696" t="s">
        <v>289</v>
      </c>
      <c r="E2696" s="35">
        <v>0.89900000000000002</v>
      </c>
      <c r="F2696" s="35">
        <v>0.998</v>
      </c>
      <c r="G2696" s="35">
        <v>800</v>
      </c>
    </row>
    <row r="2697" spans="1:7" x14ac:dyDescent="0.25">
      <c r="A2697">
        <v>20221028</v>
      </c>
      <c r="B2697" t="s">
        <v>771</v>
      </c>
      <c r="C2697" t="s">
        <v>272</v>
      </c>
      <c r="D2697" t="s">
        <v>187</v>
      </c>
      <c r="E2697" s="35">
        <v>0.89900000000000002</v>
      </c>
      <c r="F2697" s="35">
        <v>0.998</v>
      </c>
      <c r="G2697" s="35">
        <v>3200</v>
      </c>
    </row>
    <row r="2698" spans="1:7" x14ac:dyDescent="0.25">
      <c r="A2698">
        <v>20221028</v>
      </c>
      <c r="B2698" t="s">
        <v>771</v>
      </c>
      <c r="C2698" t="s">
        <v>272</v>
      </c>
      <c r="D2698" t="s">
        <v>214</v>
      </c>
      <c r="E2698" s="35">
        <v>0.89900000000000002</v>
      </c>
      <c r="F2698" s="35">
        <v>0.998</v>
      </c>
      <c r="G2698" s="35">
        <v>3000</v>
      </c>
    </row>
    <row r="2699" spans="1:7" x14ac:dyDescent="0.25">
      <c r="A2699">
        <v>20221028</v>
      </c>
      <c r="B2699" t="s">
        <v>771</v>
      </c>
      <c r="C2699" t="s">
        <v>272</v>
      </c>
      <c r="D2699" t="s">
        <v>233</v>
      </c>
      <c r="E2699" s="35">
        <v>0.89900000000000002</v>
      </c>
      <c r="F2699" s="35">
        <v>0.998</v>
      </c>
      <c r="G2699" s="35">
        <v>2900</v>
      </c>
    </row>
    <row r="2700" spans="1:7" x14ac:dyDescent="0.25">
      <c r="A2700">
        <v>20221028</v>
      </c>
      <c r="B2700" t="s">
        <v>771</v>
      </c>
      <c r="C2700" t="s">
        <v>272</v>
      </c>
      <c r="D2700" t="s">
        <v>242</v>
      </c>
      <c r="E2700" s="35">
        <v>0.89900000000000002</v>
      </c>
      <c r="F2700" s="35">
        <v>0.998</v>
      </c>
      <c r="G2700" s="35">
        <v>2800</v>
      </c>
    </row>
    <row r="2701" spans="1:7" x14ac:dyDescent="0.25">
      <c r="A2701">
        <v>20221028</v>
      </c>
      <c r="B2701" t="s">
        <v>771</v>
      </c>
      <c r="C2701" t="s">
        <v>272</v>
      </c>
      <c r="D2701" t="s">
        <v>250</v>
      </c>
      <c r="E2701" s="35">
        <v>0.89900000000000002</v>
      </c>
      <c r="F2701" s="35">
        <v>0.998</v>
      </c>
      <c r="G2701" s="35">
        <v>2700</v>
      </c>
    </row>
    <row r="2702" spans="1:7" x14ac:dyDescent="0.25">
      <c r="A2702">
        <v>20221028</v>
      </c>
      <c r="B2702" t="s">
        <v>771</v>
      </c>
      <c r="C2702" t="s">
        <v>272</v>
      </c>
      <c r="D2702" t="s">
        <v>258</v>
      </c>
      <c r="E2702" s="35">
        <v>0.89900000000000002</v>
      </c>
      <c r="F2702" s="35">
        <v>0.998</v>
      </c>
      <c r="G2702" s="35">
        <v>2600</v>
      </c>
    </row>
    <row r="2703" spans="1:7" x14ac:dyDescent="0.25">
      <c r="A2703">
        <v>20221028</v>
      </c>
      <c r="B2703" t="s">
        <v>771</v>
      </c>
      <c r="C2703" t="s">
        <v>272</v>
      </c>
      <c r="D2703" t="s">
        <v>265</v>
      </c>
      <c r="E2703" s="35">
        <v>0.89900000000000002</v>
      </c>
      <c r="F2703" s="35">
        <v>0.998</v>
      </c>
      <c r="G2703" s="35">
        <v>2400</v>
      </c>
    </row>
    <row r="2704" spans="1:7" x14ac:dyDescent="0.25">
      <c r="A2704">
        <v>20221028</v>
      </c>
      <c r="B2704" t="s">
        <v>771</v>
      </c>
      <c r="C2704" t="s">
        <v>272</v>
      </c>
      <c r="D2704" t="s">
        <v>273</v>
      </c>
      <c r="E2704" s="35">
        <v>0.89900000000000002</v>
      </c>
      <c r="F2704" s="35">
        <v>0.998</v>
      </c>
      <c r="G2704" s="35">
        <v>2000</v>
      </c>
    </row>
    <row r="2705" spans="1:7" x14ac:dyDescent="0.25">
      <c r="A2705">
        <v>20221028</v>
      </c>
      <c r="B2705" t="s">
        <v>771</v>
      </c>
      <c r="C2705" t="s">
        <v>272</v>
      </c>
      <c r="D2705" t="s">
        <v>279</v>
      </c>
      <c r="E2705" s="35">
        <v>0.89900000000000002</v>
      </c>
      <c r="F2705" s="35">
        <v>0.998</v>
      </c>
      <c r="G2705" s="35">
        <v>1600</v>
      </c>
    </row>
    <row r="2706" spans="1:7" x14ac:dyDescent="0.25">
      <c r="A2706">
        <v>20221028</v>
      </c>
      <c r="B2706" t="s">
        <v>771</v>
      </c>
      <c r="C2706" t="s">
        <v>272</v>
      </c>
      <c r="D2706" t="s">
        <v>285</v>
      </c>
      <c r="E2706" s="35">
        <v>0.89900000000000002</v>
      </c>
      <c r="F2706" s="35">
        <v>0.998</v>
      </c>
      <c r="G2706" s="35">
        <v>1200</v>
      </c>
    </row>
    <row r="2707" spans="1:7" x14ac:dyDescent="0.25">
      <c r="A2707">
        <v>20221028</v>
      </c>
      <c r="B2707" t="s">
        <v>771</v>
      </c>
      <c r="C2707" t="s">
        <v>272</v>
      </c>
      <c r="D2707" t="s">
        <v>289</v>
      </c>
      <c r="E2707" s="35">
        <v>0.89900000000000002</v>
      </c>
      <c r="F2707" s="35">
        <v>0.998</v>
      </c>
      <c r="G2707" s="35">
        <v>800</v>
      </c>
    </row>
    <row r="2708" spans="1:7" x14ac:dyDescent="0.25">
      <c r="A2708">
        <v>20221028</v>
      </c>
      <c r="B2708" t="s">
        <v>771</v>
      </c>
      <c r="C2708" t="s">
        <v>278</v>
      </c>
      <c r="D2708" t="s">
        <v>187</v>
      </c>
      <c r="E2708" s="35">
        <v>0.89900000000000002</v>
      </c>
      <c r="F2708" s="35">
        <v>0.998</v>
      </c>
      <c r="G2708" s="35">
        <v>2600</v>
      </c>
    </row>
    <row r="2709" spans="1:7" x14ac:dyDescent="0.25">
      <c r="A2709">
        <v>20221028</v>
      </c>
      <c r="B2709" t="s">
        <v>771</v>
      </c>
      <c r="C2709" t="s">
        <v>278</v>
      </c>
      <c r="D2709" t="s">
        <v>214</v>
      </c>
      <c r="E2709" s="35">
        <v>0.89900000000000002</v>
      </c>
      <c r="F2709" s="35">
        <v>0.998</v>
      </c>
      <c r="G2709" s="35">
        <v>2500</v>
      </c>
    </row>
    <row r="2710" spans="1:7" x14ac:dyDescent="0.25">
      <c r="A2710">
        <v>20221028</v>
      </c>
      <c r="B2710" t="s">
        <v>771</v>
      </c>
      <c r="C2710" t="s">
        <v>278</v>
      </c>
      <c r="D2710" t="s">
        <v>233</v>
      </c>
      <c r="E2710" s="35">
        <v>0.89900000000000002</v>
      </c>
      <c r="F2710" s="35">
        <v>0.998</v>
      </c>
      <c r="G2710" s="35">
        <v>2400</v>
      </c>
    </row>
    <row r="2711" spans="1:7" x14ac:dyDescent="0.25">
      <c r="A2711">
        <v>20221028</v>
      </c>
      <c r="B2711" t="s">
        <v>771</v>
      </c>
      <c r="C2711" t="s">
        <v>278</v>
      </c>
      <c r="D2711" t="s">
        <v>242</v>
      </c>
      <c r="E2711" s="35">
        <v>0.89900000000000002</v>
      </c>
      <c r="F2711" s="35">
        <v>0.998</v>
      </c>
      <c r="G2711" s="35">
        <v>2300</v>
      </c>
    </row>
    <row r="2712" spans="1:7" x14ac:dyDescent="0.25">
      <c r="A2712">
        <v>20221028</v>
      </c>
      <c r="B2712" t="s">
        <v>771</v>
      </c>
      <c r="C2712" t="s">
        <v>278</v>
      </c>
      <c r="D2712" t="s">
        <v>250</v>
      </c>
      <c r="E2712" s="35">
        <v>0.89900000000000002</v>
      </c>
      <c r="F2712" s="35">
        <v>0.998</v>
      </c>
      <c r="G2712" s="35">
        <v>2200</v>
      </c>
    </row>
    <row r="2713" spans="1:7" x14ac:dyDescent="0.25">
      <c r="A2713">
        <v>20221028</v>
      </c>
      <c r="B2713" t="s">
        <v>771</v>
      </c>
      <c r="C2713" t="s">
        <v>278</v>
      </c>
      <c r="D2713" t="s">
        <v>258</v>
      </c>
      <c r="E2713" s="35">
        <v>0.89900000000000002</v>
      </c>
      <c r="F2713" s="35">
        <v>0.998</v>
      </c>
      <c r="G2713" s="35">
        <v>2100</v>
      </c>
    </row>
    <row r="2714" spans="1:7" x14ac:dyDescent="0.25">
      <c r="A2714">
        <v>20221028</v>
      </c>
      <c r="B2714" t="s">
        <v>771</v>
      </c>
      <c r="C2714" t="s">
        <v>278</v>
      </c>
      <c r="D2714" t="s">
        <v>265</v>
      </c>
      <c r="E2714" s="35">
        <v>0.89900000000000002</v>
      </c>
      <c r="F2714" s="35">
        <v>0.998</v>
      </c>
      <c r="G2714" s="35">
        <v>2000</v>
      </c>
    </row>
    <row r="2715" spans="1:7" x14ac:dyDescent="0.25">
      <c r="A2715">
        <v>20221028</v>
      </c>
      <c r="B2715" t="s">
        <v>771</v>
      </c>
      <c r="C2715" t="s">
        <v>278</v>
      </c>
      <c r="D2715" t="s">
        <v>273</v>
      </c>
      <c r="E2715" s="35">
        <v>0.89900000000000002</v>
      </c>
      <c r="F2715" s="35">
        <v>0.998</v>
      </c>
      <c r="G2715" s="35">
        <v>1700</v>
      </c>
    </row>
    <row r="2716" spans="1:7" x14ac:dyDescent="0.25">
      <c r="A2716">
        <v>20221028</v>
      </c>
      <c r="B2716" t="s">
        <v>771</v>
      </c>
      <c r="C2716" t="s">
        <v>278</v>
      </c>
      <c r="D2716" t="s">
        <v>279</v>
      </c>
      <c r="E2716" s="35">
        <v>0.89900000000000002</v>
      </c>
      <c r="F2716" s="35">
        <v>0.998</v>
      </c>
      <c r="G2716" s="35">
        <v>1300</v>
      </c>
    </row>
    <row r="2717" spans="1:7" x14ac:dyDescent="0.25">
      <c r="A2717">
        <v>20221028</v>
      </c>
      <c r="B2717" t="s">
        <v>771</v>
      </c>
      <c r="C2717" t="s">
        <v>278</v>
      </c>
      <c r="D2717" t="s">
        <v>285</v>
      </c>
      <c r="E2717" s="35">
        <v>0.89900000000000002</v>
      </c>
      <c r="F2717" s="35">
        <v>0.998</v>
      </c>
      <c r="G2717" s="35">
        <v>1000</v>
      </c>
    </row>
    <row r="2718" spans="1:7" x14ac:dyDescent="0.25">
      <c r="A2718">
        <v>20221028</v>
      </c>
      <c r="B2718" t="s">
        <v>771</v>
      </c>
      <c r="C2718" t="s">
        <v>278</v>
      </c>
      <c r="D2718" t="s">
        <v>289</v>
      </c>
      <c r="E2718" s="35">
        <v>0.89900000000000002</v>
      </c>
      <c r="F2718" s="35">
        <v>0.998</v>
      </c>
      <c r="G2718" s="35">
        <v>700</v>
      </c>
    </row>
    <row r="2719" spans="1:7" x14ac:dyDescent="0.25">
      <c r="A2719">
        <v>20221028</v>
      </c>
      <c r="B2719" t="s">
        <v>771</v>
      </c>
      <c r="C2719" t="s">
        <v>284</v>
      </c>
      <c r="D2719" t="s">
        <v>187</v>
      </c>
      <c r="E2719" s="35">
        <v>0.89900000000000002</v>
      </c>
      <c r="F2719" s="35">
        <v>0.998</v>
      </c>
      <c r="G2719" s="35">
        <v>2200</v>
      </c>
    </row>
    <row r="2720" spans="1:7" x14ac:dyDescent="0.25">
      <c r="A2720">
        <v>20221028</v>
      </c>
      <c r="B2720" t="s">
        <v>771</v>
      </c>
      <c r="C2720" t="s">
        <v>284</v>
      </c>
      <c r="D2720" t="s">
        <v>214</v>
      </c>
      <c r="E2720" s="35">
        <v>0.89900000000000002</v>
      </c>
      <c r="F2720" s="35">
        <v>0.998</v>
      </c>
      <c r="G2720" s="35">
        <v>2100</v>
      </c>
    </row>
    <row r="2721" spans="1:7" x14ac:dyDescent="0.25">
      <c r="A2721">
        <v>20221028</v>
      </c>
      <c r="B2721" t="s">
        <v>771</v>
      </c>
      <c r="C2721" t="s">
        <v>284</v>
      </c>
      <c r="D2721" t="s">
        <v>233</v>
      </c>
      <c r="E2721" s="35">
        <v>0.89900000000000002</v>
      </c>
      <c r="F2721" s="35">
        <v>0.998</v>
      </c>
      <c r="G2721" s="35">
        <v>2000</v>
      </c>
    </row>
    <row r="2722" spans="1:7" x14ac:dyDescent="0.25">
      <c r="A2722">
        <v>20221028</v>
      </c>
      <c r="B2722" t="s">
        <v>771</v>
      </c>
      <c r="C2722" t="s">
        <v>284</v>
      </c>
      <c r="D2722" t="s">
        <v>242</v>
      </c>
      <c r="E2722" s="35">
        <v>0.89900000000000002</v>
      </c>
      <c r="F2722" s="35">
        <v>0.998</v>
      </c>
      <c r="G2722" s="35">
        <v>1900</v>
      </c>
    </row>
    <row r="2723" spans="1:7" x14ac:dyDescent="0.25">
      <c r="A2723">
        <v>20221028</v>
      </c>
      <c r="B2723" t="s">
        <v>771</v>
      </c>
      <c r="C2723" t="s">
        <v>284</v>
      </c>
      <c r="D2723" t="s">
        <v>250</v>
      </c>
      <c r="E2723" s="35">
        <v>0.89900000000000002</v>
      </c>
      <c r="F2723" s="35">
        <v>0.998</v>
      </c>
      <c r="G2723" s="35">
        <v>1800</v>
      </c>
    </row>
    <row r="2724" spans="1:7" x14ac:dyDescent="0.25">
      <c r="A2724">
        <v>20221028</v>
      </c>
      <c r="B2724" t="s">
        <v>771</v>
      </c>
      <c r="C2724" t="s">
        <v>284</v>
      </c>
      <c r="D2724" t="s">
        <v>258</v>
      </c>
      <c r="E2724" s="35">
        <v>0.89900000000000002</v>
      </c>
      <c r="F2724" s="35">
        <v>0.998</v>
      </c>
      <c r="G2724" s="35">
        <v>1700</v>
      </c>
    </row>
    <row r="2725" spans="1:7" x14ac:dyDescent="0.25">
      <c r="A2725">
        <v>20221028</v>
      </c>
      <c r="B2725" t="s">
        <v>771</v>
      </c>
      <c r="C2725" t="s">
        <v>284</v>
      </c>
      <c r="D2725" t="s">
        <v>265</v>
      </c>
      <c r="E2725" s="35">
        <v>0.89900000000000002</v>
      </c>
      <c r="F2725" s="35">
        <v>0.998</v>
      </c>
      <c r="G2725" s="35">
        <v>1600</v>
      </c>
    </row>
    <row r="2726" spans="1:7" x14ac:dyDescent="0.25">
      <c r="A2726">
        <v>20221028</v>
      </c>
      <c r="B2726" t="s">
        <v>771</v>
      </c>
      <c r="C2726" t="s">
        <v>284</v>
      </c>
      <c r="D2726" t="s">
        <v>273</v>
      </c>
      <c r="E2726" s="35">
        <v>0.89900000000000002</v>
      </c>
      <c r="F2726" s="35">
        <v>0.998</v>
      </c>
      <c r="G2726" s="35">
        <v>1500</v>
      </c>
    </row>
    <row r="2727" spans="1:7" x14ac:dyDescent="0.25">
      <c r="A2727">
        <v>20221028</v>
      </c>
      <c r="B2727" t="s">
        <v>771</v>
      </c>
      <c r="C2727" t="s">
        <v>284</v>
      </c>
      <c r="D2727" t="s">
        <v>279</v>
      </c>
      <c r="E2727" s="35">
        <v>0.89900000000000002</v>
      </c>
      <c r="F2727" s="35">
        <v>0.998</v>
      </c>
      <c r="G2727" s="35">
        <v>1100</v>
      </c>
    </row>
    <row r="2728" spans="1:7" x14ac:dyDescent="0.25">
      <c r="A2728">
        <v>20221028</v>
      </c>
      <c r="B2728" t="s">
        <v>771</v>
      </c>
      <c r="C2728" t="s">
        <v>284</v>
      </c>
      <c r="D2728" t="s">
        <v>285</v>
      </c>
      <c r="E2728" s="35">
        <v>0.89900000000000002</v>
      </c>
      <c r="F2728" s="35">
        <v>0.998</v>
      </c>
      <c r="G2728" s="35">
        <v>900</v>
      </c>
    </row>
    <row r="2729" spans="1:7" x14ac:dyDescent="0.25">
      <c r="A2729">
        <v>20221028</v>
      </c>
      <c r="B2729" t="s">
        <v>771</v>
      </c>
      <c r="C2729" t="s">
        <v>284</v>
      </c>
      <c r="D2729" t="s">
        <v>289</v>
      </c>
      <c r="E2729" s="35">
        <v>0.89900000000000002</v>
      </c>
      <c r="F2729" s="35">
        <v>0.998</v>
      </c>
      <c r="G2729" s="35">
        <v>700</v>
      </c>
    </row>
    <row r="2730" spans="1:7" x14ac:dyDescent="0.25">
      <c r="A2730">
        <v>20221028</v>
      </c>
      <c r="B2730" t="s">
        <v>771</v>
      </c>
      <c r="C2730" t="s">
        <v>186</v>
      </c>
      <c r="D2730" t="s">
        <v>187</v>
      </c>
      <c r="E2730" s="35">
        <v>0.999</v>
      </c>
      <c r="F2730" s="35">
        <v>1.498</v>
      </c>
      <c r="G2730" s="35">
        <v>12500</v>
      </c>
    </row>
    <row r="2731" spans="1:7" x14ac:dyDescent="0.25">
      <c r="A2731">
        <v>20221028</v>
      </c>
      <c r="B2731" t="s">
        <v>771</v>
      </c>
      <c r="C2731" t="s">
        <v>186</v>
      </c>
      <c r="D2731" t="s">
        <v>214</v>
      </c>
      <c r="E2731" s="35">
        <v>0.999</v>
      </c>
      <c r="F2731" s="35">
        <v>1.498</v>
      </c>
      <c r="G2731" s="35">
        <v>10400</v>
      </c>
    </row>
    <row r="2732" spans="1:7" x14ac:dyDescent="0.25">
      <c r="A2732">
        <v>20221028</v>
      </c>
      <c r="B2732" t="s">
        <v>771</v>
      </c>
      <c r="C2732" t="s">
        <v>186</v>
      </c>
      <c r="D2732" t="s">
        <v>233</v>
      </c>
      <c r="E2732" s="35">
        <v>0.999</v>
      </c>
      <c r="F2732" s="35">
        <v>1.498</v>
      </c>
      <c r="G2732" s="35">
        <v>9400</v>
      </c>
    </row>
    <row r="2733" spans="1:7" x14ac:dyDescent="0.25">
      <c r="A2733">
        <v>20221028</v>
      </c>
      <c r="B2733" t="s">
        <v>771</v>
      </c>
      <c r="C2733" t="s">
        <v>186</v>
      </c>
      <c r="D2733" t="s">
        <v>242</v>
      </c>
      <c r="E2733" s="35">
        <v>0.999</v>
      </c>
      <c r="F2733" s="35">
        <v>1.498</v>
      </c>
      <c r="G2733" s="35">
        <v>8500</v>
      </c>
    </row>
    <row r="2734" spans="1:7" x14ac:dyDescent="0.25">
      <c r="A2734">
        <v>20221028</v>
      </c>
      <c r="B2734" t="s">
        <v>771</v>
      </c>
      <c r="C2734" t="s">
        <v>186</v>
      </c>
      <c r="D2734" t="s">
        <v>250</v>
      </c>
      <c r="E2734" s="35">
        <v>0.999</v>
      </c>
      <c r="F2734" s="35">
        <v>1.498</v>
      </c>
      <c r="G2734" s="35">
        <v>7500</v>
      </c>
    </row>
    <row r="2735" spans="1:7" x14ac:dyDescent="0.25">
      <c r="A2735">
        <v>20221028</v>
      </c>
      <c r="B2735" t="s">
        <v>771</v>
      </c>
      <c r="C2735" t="s">
        <v>186</v>
      </c>
      <c r="D2735" t="s">
        <v>258</v>
      </c>
      <c r="E2735" s="35">
        <v>0.999</v>
      </c>
      <c r="F2735" s="35">
        <v>1.498</v>
      </c>
      <c r="G2735" s="35">
        <v>6500</v>
      </c>
    </row>
    <row r="2736" spans="1:7" x14ac:dyDescent="0.25">
      <c r="A2736">
        <v>20221028</v>
      </c>
      <c r="B2736" t="s">
        <v>771</v>
      </c>
      <c r="C2736" t="s">
        <v>186</v>
      </c>
      <c r="D2736" t="s">
        <v>265</v>
      </c>
      <c r="E2736" s="35">
        <v>0.999</v>
      </c>
      <c r="F2736" s="35">
        <v>1.498</v>
      </c>
      <c r="G2736" s="35">
        <v>5500</v>
      </c>
    </row>
    <row r="2737" spans="1:7" x14ac:dyDescent="0.25">
      <c r="A2737">
        <v>20221028</v>
      </c>
      <c r="B2737" t="s">
        <v>771</v>
      </c>
      <c r="C2737" t="s">
        <v>186</v>
      </c>
      <c r="D2737" t="s">
        <v>273</v>
      </c>
      <c r="E2737" s="35">
        <v>0.999</v>
      </c>
      <c r="F2737" s="35">
        <v>1.498</v>
      </c>
      <c r="G2737" s="35">
        <v>4300</v>
      </c>
    </row>
    <row r="2738" spans="1:7" x14ac:dyDescent="0.25">
      <c r="A2738">
        <v>20221028</v>
      </c>
      <c r="B2738" t="s">
        <v>771</v>
      </c>
      <c r="C2738" t="s">
        <v>186</v>
      </c>
      <c r="D2738" t="s">
        <v>279</v>
      </c>
      <c r="E2738" s="35">
        <v>0.999</v>
      </c>
      <c r="F2738" s="35">
        <v>1.498</v>
      </c>
      <c r="G2738" s="35">
        <v>3300</v>
      </c>
    </row>
    <row r="2739" spans="1:7" x14ac:dyDescent="0.25">
      <c r="A2739">
        <v>20221028</v>
      </c>
      <c r="B2739" t="s">
        <v>771</v>
      </c>
      <c r="C2739" t="s">
        <v>186</v>
      </c>
      <c r="D2739" t="s">
        <v>285</v>
      </c>
      <c r="E2739" s="35">
        <v>0.999</v>
      </c>
      <c r="F2739" s="35">
        <v>1.498</v>
      </c>
      <c r="G2739" s="35">
        <v>2100</v>
      </c>
    </row>
    <row r="2740" spans="1:7" x14ac:dyDescent="0.25">
      <c r="A2740">
        <v>20221028</v>
      </c>
      <c r="B2740" t="s">
        <v>771</v>
      </c>
      <c r="C2740" t="s">
        <v>186</v>
      </c>
      <c r="D2740" t="s">
        <v>289</v>
      </c>
      <c r="E2740" s="35">
        <v>0.999</v>
      </c>
      <c r="F2740" s="35">
        <v>1.498</v>
      </c>
      <c r="G2740" s="35">
        <v>1300</v>
      </c>
    </row>
    <row r="2741" spans="1:7" x14ac:dyDescent="0.25">
      <c r="A2741">
        <v>20221028</v>
      </c>
      <c r="B2741" t="s">
        <v>771</v>
      </c>
      <c r="C2741" t="s">
        <v>213</v>
      </c>
      <c r="D2741" t="s">
        <v>187</v>
      </c>
      <c r="E2741" s="35">
        <v>0.999</v>
      </c>
      <c r="F2741" s="35">
        <v>1.498</v>
      </c>
      <c r="G2741" s="35">
        <v>10400</v>
      </c>
    </row>
    <row r="2742" spans="1:7" x14ac:dyDescent="0.25">
      <c r="A2742">
        <v>20221028</v>
      </c>
      <c r="B2742" t="s">
        <v>771</v>
      </c>
      <c r="C2742" t="s">
        <v>213</v>
      </c>
      <c r="D2742" t="s">
        <v>214</v>
      </c>
      <c r="E2742" s="35">
        <v>0.999</v>
      </c>
      <c r="F2742" s="35">
        <v>1.498</v>
      </c>
      <c r="G2742" s="35">
        <v>9400</v>
      </c>
    </row>
    <row r="2743" spans="1:7" x14ac:dyDescent="0.25">
      <c r="A2743">
        <v>20221028</v>
      </c>
      <c r="B2743" t="s">
        <v>771</v>
      </c>
      <c r="C2743" t="s">
        <v>213</v>
      </c>
      <c r="D2743" t="s">
        <v>233</v>
      </c>
      <c r="E2743" s="35">
        <v>0.999</v>
      </c>
      <c r="F2743" s="35">
        <v>1.498</v>
      </c>
      <c r="G2743" s="35">
        <v>8700</v>
      </c>
    </row>
    <row r="2744" spans="1:7" x14ac:dyDescent="0.25">
      <c r="A2744">
        <v>20221028</v>
      </c>
      <c r="B2744" t="s">
        <v>771</v>
      </c>
      <c r="C2744" t="s">
        <v>213</v>
      </c>
      <c r="D2744" t="s">
        <v>242</v>
      </c>
      <c r="E2744" s="35">
        <v>0.999</v>
      </c>
      <c r="F2744" s="35">
        <v>1.498</v>
      </c>
      <c r="G2744" s="35">
        <v>8000</v>
      </c>
    </row>
    <row r="2745" spans="1:7" x14ac:dyDescent="0.25">
      <c r="A2745">
        <v>20221028</v>
      </c>
      <c r="B2745" t="s">
        <v>771</v>
      </c>
      <c r="C2745" t="s">
        <v>213</v>
      </c>
      <c r="D2745" t="s">
        <v>250</v>
      </c>
      <c r="E2745" s="35">
        <v>0.999</v>
      </c>
      <c r="F2745" s="35">
        <v>1.498</v>
      </c>
      <c r="G2745" s="35">
        <v>7200</v>
      </c>
    </row>
    <row r="2746" spans="1:7" x14ac:dyDescent="0.25">
      <c r="A2746">
        <v>20221028</v>
      </c>
      <c r="B2746" t="s">
        <v>771</v>
      </c>
      <c r="C2746" t="s">
        <v>213</v>
      </c>
      <c r="D2746" t="s">
        <v>258</v>
      </c>
      <c r="E2746" s="35">
        <v>0.999</v>
      </c>
      <c r="F2746" s="35">
        <v>1.498</v>
      </c>
      <c r="G2746" s="35">
        <v>6200</v>
      </c>
    </row>
    <row r="2747" spans="1:7" x14ac:dyDescent="0.25">
      <c r="A2747">
        <v>20221028</v>
      </c>
      <c r="B2747" t="s">
        <v>771</v>
      </c>
      <c r="C2747" t="s">
        <v>213</v>
      </c>
      <c r="D2747" t="s">
        <v>265</v>
      </c>
      <c r="E2747" s="35">
        <v>0.999</v>
      </c>
      <c r="F2747" s="35">
        <v>1.498</v>
      </c>
      <c r="G2747" s="35">
        <v>5300</v>
      </c>
    </row>
    <row r="2748" spans="1:7" x14ac:dyDescent="0.25">
      <c r="A2748">
        <v>20221028</v>
      </c>
      <c r="B2748" t="s">
        <v>771</v>
      </c>
      <c r="C2748" t="s">
        <v>213</v>
      </c>
      <c r="D2748" t="s">
        <v>273</v>
      </c>
      <c r="E2748" s="35">
        <v>0.999</v>
      </c>
      <c r="F2748" s="35">
        <v>1.498</v>
      </c>
      <c r="G2748" s="35">
        <v>4100</v>
      </c>
    </row>
    <row r="2749" spans="1:7" x14ac:dyDescent="0.25">
      <c r="A2749">
        <v>20221028</v>
      </c>
      <c r="B2749" t="s">
        <v>771</v>
      </c>
      <c r="C2749" t="s">
        <v>213</v>
      </c>
      <c r="D2749" t="s">
        <v>279</v>
      </c>
      <c r="E2749" s="35">
        <v>0.999</v>
      </c>
      <c r="F2749" s="35">
        <v>1.498</v>
      </c>
      <c r="G2749" s="35">
        <v>3200</v>
      </c>
    </row>
    <row r="2750" spans="1:7" x14ac:dyDescent="0.25">
      <c r="A2750">
        <v>20221028</v>
      </c>
      <c r="B2750" t="s">
        <v>771</v>
      </c>
      <c r="C2750" t="s">
        <v>213</v>
      </c>
      <c r="D2750" t="s">
        <v>285</v>
      </c>
      <c r="E2750" s="35">
        <v>0.999</v>
      </c>
      <c r="F2750" s="35">
        <v>1.498</v>
      </c>
      <c r="G2750" s="35">
        <v>2000</v>
      </c>
    </row>
    <row r="2751" spans="1:7" x14ac:dyDescent="0.25">
      <c r="A2751">
        <v>20221028</v>
      </c>
      <c r="B2751" t="s">
        <v>771</v>
      </c>
      <c r="C2751" t="s">
        <v>213</v>
      </c>
      <c r="D2751" t="s">
        <v>289</v>
      </c>
      <c r="E2751" s="35">
        <v>0.999</v>
      </c>
      <c r="F2751" s="35">
        <v>1.498</v>
      </c>
      <c r="G2751" s="35">
        <v>1200</v>
      </c>
    </row>
    <row r="2752" spans="1:7" x14ac:dyDescent="0.25">
      <c r="A2752">
        <v>20221028</v>
      </c>
      <c r="B2752" t="s">
        <v>771</v>
      </c>
      <c r="C2752" t="s">
        <v>232</v>
      </c>
      <c r="D2752" t="s">
        <v>187</v>
      </c>
      <c r="E2752" s="35">
        <v>0.999</v>
      </c>
      <c r="F2752" s="35">
        <v>1.498</v>
      </c>
      <c r="G2752" s="35">
        <v>9400</v>
      </c>
    </row>
    <row r="2753" spans="1:7" x14ac:dyDescent="0.25">
      <c r="A2753">
        <v>20221028</v>
      </c>
      <c r="B2753" t="s">
        <v>771</v>
      </c>
      <c r="C2753" t="s">
        <v>232</v>
      </c>
      <c r="D2753" t="s">
        <v>214</v>
      </c>
      <c r="E2753" s="35">
        <v>0.999</v>
      </c>
      <c r="F2753" s="35">
        <v>1.498</v>
      </c>
      <c r="G2753" s="35">
        <v>8500</v>
      </c>
    </row>
    <row r="2754" spans="1:7" x14ac:dyDescent="0.25">
      <c r="A2754">
        <v>20221028</v>
      </c>
      <c r="B2754" t="s">
        <v>771</v>
      </c>
      <c r="C2754" t="s">
        <v>232</v>
      </c>
      <c r="D2754" t="s">
        <v>233</v>
      </c>
      <c r="E2754" s="35">
        <v>0.999</v>
      </c>
      <c r="F2754" s="35">
        <v>1.498</v>
      </c>
      <c r="G2754" s="35">
        <v>8000</v>
      </c>
    </row>
    <row r="2755" spans="1:7" x14ac:dyDescent="0.25">
      <c r="A2755">
        <v>20221028</v>
      </c>
      <c r="B2755" t="s">
        <v>771</v>
      </c>
      <c r="C2755" t="s">
        <v>232</v>
      </c>
      <c r="D2755" t="s">
        <v>242</v>
      </c>
      <c r="E2755" s="35">
        <v>0.999</v>
      </c>
      <c r="F2755" s="35">
        <v>1.498</v>
      </c>
      <c r="G2755" s="35">
        <v>7500</v>
      </c>
    </row>
    <row r="2756" spans="1:7" x14ac:dyDescent="0.25">
      <c r="A2756">
        <v>20221028</v>
      </c>
      <c r="B2756" t="s">
        <v>771</v>
      </c>
      <c r="C2756" t="s">
        <v>232</v>
      </c>
      <c r="D2756" t="s">
        <v>250</v>
      </c>
      <c r="E2756" s="35">
        <v>0.999</v>
      </c>
      <c r="F2756" s="35">
        <v>1.498</v>
      </c>
      <c r="G2756" s="35">
        <v>6900</v>
      </c>
    </row>
    <row r="2757" spans="1:7" x14ac:dyDescent="0.25">
      <c r="A2757">
        <v>20221028</v>
      </c>
      <c r="B2757" t="s">
        <v>771</v>
      </c>
      <c r="C2757" t="s">
        <v>232</v>
      </c>
      <c r="D2757" t="s">
        <v>258</v>
      </c>
      <c r="E2757" s="35">
        <v>0.999</v>
      </c>
      <c r="F2757" s="35">
        <v>1.498</v>
      </c>
      <c r="G2757" s="35">
        <v>5900</v>
      </c>
    </row>
    <row r="2758" spans="1:7" x14ac:dyDescent="0.25">
      <c r="A2758">
        <v>20221028</v>
      </c>
      <c r="B2758" t="s">
        <v>771</v>
      </c>
      <c r="C2758" t="s">
        <v>232</v>
      </c>
      <c r="D2758" t="s">
        <v>265</v>
      </c>
      <c r="E2758" s="35">
        <v>0.999</v>
      </c>
      <c r="F2758" s="35">
        <v>1.498</v>
      </c>
      <c r="G2758" s="35">
        <v>5000</v>
      </c>
    </row>
    <row r="2759" spans="1:7" x14ac:dyDescent="0.25">
      <c r="A2759">
        <v>20221028</v>
      </c>
      <c r="B2759" t="s">
        <v>771</v>
      </c>
      <c r="C2759" t="s">
        <v>232</v>
      </c>
      <c r="D2759" t="s">
        <v>273</v>
      </c>
      <c r="E2759" s="35">
        <v>0.999</v>
      </c>
      <c r="F2759" s="35">
        <v>1.498</v>
      </c>
      <c r="G2759" s="35">
        <v>3900</v>
      </c>
    </row>
    <row r="2760" spans="1:7" x14ac:dyDescent="0.25">
      <c r="A2760">
        <v>20221028</v>
      </c>
      <c r="B2760" t="s">
        <v>771</v>
      </c>
      <c r="C2760" t="s">
        <v>232</v>
      </c>
      <c r="D2760" t="s">
        <v>279</v>
      </c>
      <c r="E2760" s="35">
        <v>0.999</v>
      </c>
      <c r="F2760" s="35">
        <v>1.498</v>
      </c>
      <c r="G2760" s="35">
        <v>3100</v>
      </c>
    </row>
    <row r="2761" spans="1:7" x14ac:dyDescent="0.25">
      <c r="A2761">
        <v>20221028</v>
      </c>
      <c r="B2761" t="s">
        <v>771</v>
      </c>
      <c r="C2761" t="s">
        <v>232</v>
      </c>
      <c r="D2761" t="s">
        <v>285</v>
      </c>
      <c r="E2761" s="35">
        <v>0.999</v>
      </c>
      <c r="F2761" s="35">
        <v>1.498</v>
      </c>
      <c r="G2761" s="35">
        <v>2000</v>
      </c>
    </row>
    <row r="2762" spans="1:7" x14ac:dyDescent="0.25">
      <c r="A2762">
        <v>20221028</v>
      </c>
      <c r="B2762" t="s">
        <v>771</v>
      </c>
      <c r="C2762" t="s">
        <v>232</v>
      </c>
      <c r="D2762" t="s">
        <v>289</v>
      </c>
      <c r="E2762" s="35">
        <v>0.999</v>
      </c>
      <c r="F2762" s="35">
        <v>1.498</v>
      </c>
      <c r="G2762" s="35">
        <v>1100</v>
      </c>
    </row>
    <row r="2763" spans="1:7" x14ac:dyDescent="0.25">
      <c r="A2763">
        <v>20221028</v>
      </c>
      <c r="B2763" t="s">
        <v>771</v>
      </c>
      <c r="C2763" t="s">
        <v>215</v>
      </c>
      <c r="D2763" t="s">
        <v>187</v>
      </c>
      <c r="E2763" s="35">
        <v>0.999</v>
      </c>
      <c r="F2763" s="35">
        <v>1.498</v>
      </c>
      <c r="G2763" s="35">
        <v>8100</v>
      </c>
    </row>
    <row r="2764" spans="1:7" x14ac:dyDescent="0.25">
      <c r="A2764">
        <v>20221028</v>
      </c>
      <c r="B2764" t="s">
        <v>771</v>
      </c>
      <c r="C2764" t="s">
        <v>215</v>
      </c>
      <c r="D2764" t="s">
        <v>214</v>
      </c>
      <c r="E2764" s="35">
        <v>0.999</v>
      </c>
      <c r="F2764" s="35">
        <v>1.498</v>
      </c>
      <c r="G2764" s="35">
        <v>7700</v>
      </c>
    </row>
    <row r="2765" spans="1:7" x14ac:dyDescent="0.25">
      <c r="A2765">
        <v>20221028</v>
      </c>
      <c r="B2765" t="s">
        <v>771</v>
      </c>
      <c r="C2765" t="s">
        <v>215</v>
      </c>
      <c r="D2765" t="s">
        <v>233</v>
      </c>
      <c r="E2765" s="35">
        <v>0.999</v>
      </c>
      <c r="F2765" s="35">
        <v>1.498</v>
      </c>
      <c r="G2765" s="35">
        <v>7300</v>
      </c>
    </row>
    <row r="2766" spans="1:7" x14ac:dyDescent="0.25">
      <c r="A2766">
        <v>20221028</v>
      </c>
      <c r="B2766" t="s">
        <v>771</v>
      </c>
      <c r="C2766" t="s">
        <v>215</v>
      </c>
      <c r="D2766" t="s">
        <v>242</v>
      </c>
      <c r="E2766" s="35">
        <v>0.999</v>
      </c>
      <c r="F2766" s="35">
        <v>1.498</v>
      </c>
      <c r="G2766" s="35">
        <v>7000</v>
      </c>
    </row>
    <row r="2767" spans="1:7" x14ac:dyDescent="0.25">
      <c r="A2767">
        <v>20221028</v>
      </c>
      <c r="B2767" t="s">
        <v>771</v>
      </c>
      <c r="C2767" t="s">
        <v>215</v>
      </c>
      <c r="D2767" t="s">
        <v>250</v>
      </c>
      <c r="E2767" s="35">
        <v>0.999</v>
      </c>
      <c r="F2767" s="35">
        <v>1.498</v>
      </c>
      <c r="G2767" s="35">
        <v>6600</v>
      </c>
    </row>
    <row r="2768" spans="1:7" x14ac:dyDescent="0.25">
      <c r="A2768">
        <v>20221028</v>
      </c>
      <c r="B2768" t="s">
        <v>771</v>
      </c>
      <c r="C2768" t="s">
        <v>215</v>
      </c>
      <c r="D2768" t="s">
        <v>258</v>
      </c>
      <c r="E2768" s="35">
        <v>0.999</v>
      </c>
      <c r="F2768" s="35">
        <v>1.498</v>
      </c>
      <c r="G2768" s="35">
        <v>5600</v>
      </c>
    </row>
    <row r="2769" spans="1:7" x14ac:dyDescent="0.25">
      <c r="A2769">
        <v>20221028</v>
      </c>
      <c r="B2769" t="s">
        <v>771</v>
      </c>
      <c r="C2769" t="s">
        <v>215</v>
      </c>
      <c r="D2769" t="s">
        <v>265</v>
      </c>
      <c r="E2769" s="35">
        <v>0.999</v>
      </c>
      <c r="F2769" s="35">
        <v>1.498</v>
      </c>
      <c r="G2769" s="35">
        <v>4800</v>
      </c>
    </row>
    <row r="2770" spans="1:7" x14ac:dyDescent="0.25">
      <c r="A2770">
        <v>20221028</v>
      </c>
      <c r="B2770" t="s">
        <v>771</v>
      </c>
      <c r="C2770" t="s">
        <v>215</v>
      </c>
      <c r="D2770" t="s">
        <v>273</v>
      </c>
      <c r="E2770" s="35">
        <v>0.999</v>
      </c>
      <c r="F2770" s="35">
        <v>1.498</v>
      </c>
      <c r="G2770" s="35">
        <v>3700</v>
      </c>
    </row>
    <row r="2771" spans="1:7" x14ac:dyDescent="0.25">
      <c r="A2771">
        <v>20221028</v>
      </c>
      <c r="B2771" t="s">
        <v>771</v>
      </c>
      <c r="C2771" t="s">
        <v>215</v>
      </c>
      <c r="D2771" t="s">
        <v>279</v>
      </c>
      <c r="E2771" s="35">
        <v>0.999</v>
      </c>
      <c r="F2771" s="35">
        <v>1.498</v>
      </c>
      <c r="G2771" s="35">
        <v>2900</v>
      </c>
    </row>
    <row r="2772" spans="1:7" x14ac:dyDescent="0.25">
      <c r="A2772">
        <v>20221028</v>
      </c>
      <c r="B2772" t="s">
        <v>771</v>
      </c>
      <c r="C2772" t="s">
        <v>215</v>
      </c>
      <c r="D2772" t="s">
        <v>285</v>
      </c>
      <c r="E2772" s="35">
        <v>0.999</v>
      </c>
      <c r="F2772" s="35">
        <v>1.498</v>
      </c>
      <c r="G2772" s="35">
        <v>1900</v>
      </c>
    </row>
    <row r="2773" spans="1:7" x14ac:dyDescent="0.25">
      <c r="A2773">
        <v>20221028</v>
      </c>
      <c r="B2773" t="s">
        <v>771</v>
      </c>
      <c r="C2773" t="s">
        <v>215</v>
      </c>
      <c r="D2773" t="s">
        <v>289</v>
      </c>
      <c r="E2773" s="35">
        <v>0.999</v>
      </c>
      <c r="F2773" s="35">
        <v>1.498</v>
      </c>
      <c r="G2773" s="35">
        <v>1000</v>
      </c>
    </row>
    <row r="2774" spans="1:7" x14ac:dyDescent="0.25">
      <c r="A2774">
        <v>20221028</v>
      </c>
      <c r="B2774" t="s">
        <v>771</v>
      </c>
      <c r="C2774" t="s">
        <v>249</v>
      </c>
      <c r="D2774" t="s">
        <v>187</v>
      </c>
      <c r="E2774" s="35">
        <v>0.999</v>
      </c>
      <c r="F2774" s="35">
        <v>1.498</v>
      </c>
      <c r="G2774" s="35">
        <v>6900</v>
      </c>
    </row>
    <row r="2775" spans="1:7" x14ac:dyDescent="0.25">
      <c r="A2775">
        <v>20221028</v>
      </c>
      <c r="B2775" t="s">
        <v>771</v>
      </c>
      <c r="C2775" t="s">
        <v>249</v>
      </c>
      <c r="D2775" t="s">
        <v>214</v>
      </c>
      <c r="E2775" s="35">
        <v>0.999</v>
      </c>
      <c r="F2775" s="35">
        <v>1.498</v>
      </c>
      <c r="G2775" s="35">
        <v>6600</v>
      </c>
    </row>
    <row r="2776" spans="1:7" x14ac:dyDescent="0.25">
      <c r="A2776">
        <v>20221028</v>
      </c>
      <c r="B2776" t="s">
        <v>771</v>
      </c>
      <c r="C2776" t="s">
        <v>249</v>
      </c>
      <c r="D2776" t="s">
        <v>233</v>
      </c>
      <c r="E2776" s="35">
        <v>0.999</v>
      </c>
      <c r="F2776" s="35">
        <v>1.498</v>
      </c>
      <c r="G2776" s="35">
        <v>6300</v>
      </c>
    </row>
    <row r="2777" spans="1:7" x14ac:dyDescent="0.25">
      <c r="A2777">
        <v>20221028</v>
      </c>
      <c r="B2777" t="s">
        <v>771</v>
      </c>
      <c r="C2777" t="s">
        <v>249</v>
      </c>
      <c r="D2777" t="s">
        <v>242</v>
      </c>
      <c r="E2777" s="35">
        <v>0.999</v>
      </c>
      <c r="F2777" s="35">
        <v>1.498</v>
      </c>
      <c r="G2777" s="35">
        <v>6000</v>
      </c>
    </row>
    <row r="2778" spans="1:7" x14ac:dyDescent="0.25">
      <c r="A2778">
        <v>20221028</v>
      </c>
      <c r="B2778" t="s">
        <v>771</v>
      </c>
      <c r="C2778" t="s">
        <v>249</v>
      </c>
      <c r="D2778" t="s">
        <v>250</v>
      </c>
      <c r="E2778" s="35">
        <v>0.999</v>
      </c>
      <c r="F2778" s="35">
        <v>1.498</v>
      </c>
      <c r="G2778" s="35">
        <v>5700</v>
      </c>
    </row>
    <row r="2779" spans="1:7" x14ac:dyDescent="0.25">
      <c r="A2779">
        <v>20221028</v>
      </c>
      <c r="B2779" t="s">
        <v>771</v>
      </c>
      <c r="C2779" t="s">
        <v>249</v>
      </c>
      <c r="D2779" t="s">
        <v>258</v>
      </c>
      <c r="E2779" s="35">
        <v>0.999</v>
      </c>
      <c r="F2779" s="35">
        <v>1.498</v>
      </c>
      <c r="G2779" s="35">
        <v>5200</v>
      </c>
    </row>
    <row r="2780" spans="1:7" x14ac:dyDescent="0.25">
      <c r="A2780">
        <v>20221028</v>
      </c>
      <c r="B2780" t="s">
        <v>771</v>
      </c>
      <c r="C2780" t="s">
        <v>249</v>
      </c>
      <c r="D2780" t="s">
        <v>265</v>
      </c>
      <c r="E2780" s="35">
        <v>0.999</v>
      </c>
      <c r="F2780" s="35">
        <v>1.498</v>
      </c>
      <c r="G2780" s="35">
        <v>4500</v>
      </c>
    </row>
    <row r="2781" spans="1:7" x14ac:dyDescent="0.25">
      <c r="A2781">
        <v>20221028</v>
      </c>
      <c r="B2781" t="s">
        <v>771</v>
      </c>
      <c r="C2781" t="s">
        <v>249</v>
      </c>
      <c r="D2781" t="s">
        <v>273</v>
      </c>
      <c r="E2781" s="35">
        <v>0.999</v>
      </c>
      <c r="F2781" s="35">
        <v>1.498</v>
      </c>
      <c r="G2781" s="35">
        <v>3500</v>
      </c>
    </row>
    <row r="2782" spans="1:7" x14ac:dyDescent="0.25">
      <c r="A2782">
        <v>20221028</v>
      </c>
      <c r="B2782" t="s">
        <v>771</v>
      </c>
      <c r="C2782" t="s">
        <v>249</v>
      </c>
      <c r="D2782" t="s">
        <v>279</v>
      </c>
      <c r="E2782" s="35">
        <v>0.999</v>
      </c>
      <c r="F2782" s="35">
        <v>1.498</v>
      </c>
      <c r="G2782" s="35">
        <v>2700</v>
      </c>
    </row>
    <row r="2783" spans="1:7" x14ac:dyDescent="0.25">
      <c r="A2783">
        <v>20221028</v>
      </c>
      <c r="B2783" t="s">
        <v>771</v>
      </c>
      <c r="C2783" t="s">
        <v>249</v>
      </c>
      <c r="D2783" t="s">
        <v>285</v>
      </c>
      <c r="E2783" s="35">
        <v>0.999</v>
      </c>
      <c r="F2783" s="35">
        <v>1.498</v>
      </c>
      <c r="G2783" s="35">
        <v>1800</v>
      </c>
    </row>
    <row r="2784" spans="1:7" x14ac:dyDescent="0.25">
      <c r="A2784">
        <v>20221028</v>
      </c>
      <c r="B2784" t="s">
        <v>771</v>
      </c>
      <c r="C2784" t="s">
        <v>249</v>
      </c>
      <c r="D2784" t="s">
        <v>289</v>
      </c>
      <c r="E2784" s="35">
        <v>0.999</v>
      </c>
      <c r="F2784" s="35">
        <v>1.498</v>
      </c>
      <c r="G2784" s="35">
        <v>1000</v>
      </c>
    </row>
    <row r="2785" spans="1:7" x14ac:dyDescent="0.25">
      <c r="A2785">
        <v>20221028</v>
      </c>
      <c r="B2785" t="s">
        <v>771</v>
      </c>
      <c r="C2785" t="s">
        <v>257</v>
      </c>
      <c r="D2785" t="s">
        <v>187</v>
      </c>
      <c r="E2785" s="35">
        <v>0.999</v>
      </c>
      <c r="F2785" s="35">
        <v>1.498</v>
      </c>
      <c r="G2785" s="35">
        <v>5900</v>
      </c>
    </row>
    <row r="2786" spans="1:7" x14ac:dyDescent="0.25">
      <c r="A2786">
        <v>20221028</v>
      </c>
      <c r="B2786" t="s">
        <v>771</v>
      </c>
      <c r="C2786" t="s">
        <v>257</v>
      </c>
      <c r="D2786" t="s">
        <v>214</v>
      </c>
      <c r="E2786" s="35">
        <v>0.999</v>
      </c>
      <c r="F2786" s="35">
        <v>1.498</v>
      </c>
      <c r="G2786" s="35">
        <v>5600</v>
      </c>
    </row>
    <row r="2787" spans="1:7" x14ac:dyDescent="0.25">
      <c r="A2787">
        <v>20221028</v>
      </c>
      <c r="B2787" t="s">
        <v>771</v>
      </c>
      <c r="C2787" t="s">
        <v>257</v>
      </c>
      <c r="D2787" t="s">
        <v>233</v>
      </c>
      <c r="E2787" s="35">
        <v>0.999</v>
      </c>
      <c r="F2787" s="35">
        <v>1.498</v>
      </c>
      <c r="G2787" s="35">
        <v>5400</v>
      </c>
    </row>
    <row r="2788" spans="1:7" x14ac:dyDescent="0.25">
      <c r="A2788">
        <v>20221028</v>
      </c>
      <c r="B2788" t="s">
        <v>771</v>
      </c>
      <c r="C2788" t="s">
        <v>257</v>
      </c>
      <c r="D2788" t="s">
        <v>242</v>
      </c>
      <c r="E2788" s="35">
        <v>0.999</v>
      </c>
      <c r="F2788" s="35">
        <v>1.498</v>
      </c>
      <c r="G2788" s="35">
        <v>5200</v>
      </c>
    </row>
    <row r="2789" spans="1:7" x14ac:dyDescent="0.25">
      <c r="A2789">
        <v>20221028</v>
      </c>
      <c r="B2789" t="s">
        <v>771</v>
      </c>
      <c r="C2789" t="s">
        <v>257</v>
      </c>
      <c r="D2789" t="s">
        <v>250</v>
      </c>
      <c r="E2789" s="35">
        <v>0.999</v>
      </c>
      <c r="F2789" s="35">
        <v>1.498</v>
      </c>
      <c r="G2789" s="35">
        <v>4900</v>
      </c>
    </row>
    <row r="2790" spans="1:7" x14ac:dyDescent="0.25">
      <c r="A2790">
        <v>20221028</v>
      </c>
      <c r="B2790" t="s">
        <v>771</v>
      </c>
      <c r="C2790" t="s">
        <v>257</v>
      </c>
      <c r="D2790" t="s">
        <v>258</v>
      </c>
      <c r="E2790" s="35">
        <v>0.999</v>
      </c>
      <c r="F2790" s="35">
        <v>1.498</v>
      </c>
      <c r="G2790" s="35">
        <v>4500</v>
      </c>
    </row>
    <row r="2791" spans="1:7" x14ac:dyDescent="0.25">
      <c r="A2791">
        <v>20221028</v>
      </c>
      <c r="B2791" t="s">
        <v>771</v>
      </c>
      <c r="C2791" t="s">
        <v>257</v>
      </c>
      <c r="D2791" t="s">
        <v>265</v>
      </c>
      <c r="E2791" s="35">
        <v>0.999</v>
      </c>
      <c r="F2791" s="35">
        <v>1.498</v>
      </c>
      <c r="G2791" s="35">
        <v>4100</v>
      </c>
    </row>
    <row r="2792" spans="1:7" x14ac:dyDescent="0.25">
      <c r="A2792">
        <v>20221028</v>
      </c>
      <c r="B2792" t="s">
        <v>771</v>
      </c>
      <c r="C2792" t="s">
        <v>257</v>
      </c>
      <c r="D2792" t="s">
        <v>273</v>
      </c>
      <c r="E2792" s="35">
        <v>0.999</v>
      </c>
      <c r="F2792" s="35">
        <v>1.498</v>
      </c>
      <c r="G2792" s="35">
        <v>3200</v>
      </c>
    </row>
    <row r="2793" spans="1:7" x14ac:dyDescent="0.25">
      <c r="A2793">
        <v>20221028</v>
      </c>
      <c r="B2793" t="s">
        <v>771</v>
      </c>
      <c r="C2793" t="s">
        <v>257</v>
      </c>
      <c r="D2793" t="s">
        <v>279</v>
      </c>
      <c r="E2793" s="35">
        <v>0.999</v>
      </c>
      <c r="F2793" s="35">
        <v>1.498</v>
      </c>
      <c r="G2793" s="35">
        <v>2500</v>
      </c>
    </row>
    <row r="2794" spans="1:7" x14ac:dyDescent="0.25">
      <c r="A2794">
        <v>20221028</v>
      </c>
      <c r="B2794" t="s">
        <v>771</v>
      </c>
      <c r="C2794" t="s">
        <v>257</v>
      </c>
      <c r="D2794" t="s">
        <v>285</v>
      </c>
      <c r="E2794" s="35">
        <v>0.999</v>
      </c>
      <c r="F2794" s="35">
        <v>1.498</v>
      </c>
      <c r="G2794" s="35">
        <v>1700</v>
      </c>
    </row>
    <row r="2795" spans="1:7" x14ac:dyDescent="0.25">
      <c r="A2795">
        <v>20221028</v>
      </c>
      <c r="B2795" t="s">
        <v>771</v>
      </c>
      <c r="C2795" t="s">
        <v>257</v>
      </c>
      <c r="D2795" t="s">
        <v>289</v>
      </c>
      <c r="E2795" s="35">
        <v>0.999</v>
      </c>
      <c r="F2795" s="35">
        <v>1.498</v>
      </c>
      <c r="G2795" s="35">
        <v>1000</v>
      </c>
    </row>
    <row r="2796" spans="1:7" x14ac:dyDescent="0.25">
      <c r="A2796">
        <v>20221028</v>
      </c>
      <c r="B2796" t="s">
        <v>771</v>
      </c>
      <c r="C2796" t="s">
        <v>264</v>
      </c>
      <c r="D2796" t="s">
        <v>187</v>
      </c>
      <c r="E2796" s="35">
        <v>0.999</v>
      </c>
      <c r="F2796" s="35">
        <v>1.498</v>
      </c>
      <c r="G2796" s="35">
        <v>4800</v>
      </c>
    </row>
    <row r="2797" spans="1:7" x14ac:dyDescent="0.25">
      <c r="A2797">
        <v>20221028</v>
      </c>
      <c r="B2797" t="s">
        <v>771</v>
      </c>
      <c r="C2797" t="s">
        <v>264</v>
      </c>
      <c r="D2797" t="s">
        <v>214</v>
      </c>
      <c r="E2797" s="35">
        <v>0.999</v>
      </c>
      <c r="F2797" s="35">
        <v>1.498</v>
      </c>
      <c r="G2797" s="35">
        <v>4600</v>
      </c>
    </row>
    <row r="2798" spans="1:7" x14ac:dyDescent="0.25">
      <c r="A2798">
        <v>20221028</v>
      </c>
      <c r="B2798" t="s">
        <v>771</v>
      </c>
      <c r="C2798" t="s">
        <v>264</v>
      </c>
      <c r="D2798" t="s">
        <v>233</v>
      </c>
      <c r="E2798" s="35">
        <v>0.999</v>
      </c>
      <c r="F2798" s="35">
        <v>1.498</v>
      </c>
      <c r="G2798" s="35">
        <v>4400</v>
      </c>
    </row>
    <row r="2799" spans="1:7" x14ac:dyDescent="0.25">
      <c r="A2799">
        <v>20221028</v>
      </c>
      <c r="B2799" t="s">
        <v>771</v>
      </c>
      <c r="C2799" t="s">
        <v>264</v>
      </c>
      <c r="D2799" t="s">
        <v>242</v>
      </c>
      <c r="E2799" s="35">
        <v>0.999</v>
      </c>
      <c r="F2799" s="35">
        <v>1.498</v>
      </c>
      <c r="G2799" s="35">
        <v>4200</v>
      </c>
    </row>
    <row r="2800" spans="1:7" x14ac:dyDescent="0.25">
      <c r="A2800">
        <v>20221028</v>
      </c>
      <c r="B2800" t="s">
        <v>771</v>
      </c>
      <c r="C2800" t="s">
        <v>264</v>
      </c>
      <c r="D2800" t="s">
        <v>250</v>
      </c>
      <c r="E2800" s="35">
        <v>0.999</v>
      </c>
      <c r="F2800" s="35">
        <v>1.498</v>
      </c>
      <c r="G2800" s="35">
        <v>4000</v>
      </c>
    </row>
    <row r="2801" spans="1:7" x14ac:dyDescent="0.25">
      <c r="A2801">
        <v>20221028</v>
      </c>
      <c r="B2801" t="s">
        <v>771</v>
      </c>
      <c r="C2801" t="s">
        <v>264</v>
      </c>
      <c r="D2801" t="s">
        <v>258</v>
      </c>
      <c r="E2801" s="35">
        <v>0.999</v>
      </c>
      <c r="F2801" s="35">
        <v>1.498</v>
      </c>
      <c r="G2801" s="35">
        <v>3700</v>
      </c>
    </row>
    <row r="2802" spans="1:7" x14ac:dyDescent="0.25">
      <c r="A2802">
        <v>20221028</v>
      </c>
      <c r="B2802" t="s">
        <v>771</v>
      </c>
      <c r="C2802" t="s">
        <v>264</v>
      </c>
      <c r="D2802" t="s">
        <v>265</v>
      </c>
      <c r="E2802" s="35">
        <v>0.999</v>
      </c>
      <c r="F2802" s="35">
        <v>1.498</v>
      </c>
      <c r="G2802" s="35">
        <v>3400</v>
      </c>
    </row>
    <row r="2803" spans="1:7" x14ac:dyDescent="0.25">
      <c r="A2803">
        <v>20221028</v>
      </c>
      <c r="B2803" t="s">
        <v>771</v>
      </c>
      <c r="C2803" t="s">
        <v>264</v>
      </c>
      <c r="D2803" t="s">
        <v>273</v>
      </c>
      <c r="E2803" s="35">
        <v>0.999</v>
      </c>
      <c r="F2803" s="35">
        <v>1.498</v>
      </c>
      <c r="G2803" s="35">
        <v>2700</v>
      </c>
    </row>
    <row r="2804" spans="1:7" x14ac:dyDescent="0.25">
      <c r="A2804">
        <v>20221028</v>
      </c>
      <c r="B2804" t="s">
        <v>771</v>
      </c>
      <c r="C2804" t="s">
        <v>264</v>
      </c>
      <c r="D2804" t="s">
        <v>279</v>
      </c>
      <c r="E2804" s="35">
        <v>0.999</v>
      </c>
      <c r="F2804" s="35">
        <v>1.498</v>
      </c>
      <c r="G2804" s="35">
        <v>2200</v>
      </c>
    </row>
    <row r="2805" spans="1:7" x14ac:dyDescent="0.25">
      <c r="A2805">
        <v>20221028</v>
      </c>
      <c r="B2805" t="s">
        <v>771</v>
      </c>
      <c r="C2805" t="s">
        <v>264</v>
      </c>
      <c r="D2805" t="s">
        <v>285</v>
      </c>
      <c r="E2805" s="35">
        <v>0.999</v>
      </c>
      <c r="F2805" s="35">
        <v>1.498</v>
      </c>
      <c r="G2805" s="35">
        <v>1500</v>
      </c>
    </row>
    <row r="2806" spans="1:7" x14ac:dyDescent="0.25">
      <c r="A2806">
        <v>20221028</v>
      </c>
      <c r="B2806" t="s">
        <v>771</v>
      </c>
      <c r="C2806" t="s">
        <v>264</v>
      </c>
      <c r="D2806" t="s">
        <v>289</v>
      </c>
      <c r="E2806" s="35">
        <v>0.999</v>
      </c>
      <c r="F2806" s="35">
        <v>1.498</v>
      </c>
      <c r="G2806" s="35">
        <v>900</v>
      </c>
    </row>
    <row r="2807" spans="1:7" x14ac:dyDescent="0.25">
      <c r="A2807">
        <v>20221028</v>
      </c>
      <c r="B2807" t="s">
        <v>771</v>
      </c>
      <c r="C2807" t="s">
        <v>272</v>
      </c>
      <c r="D2807" t="s">
        <v>187</v>
      </c>
      <c r="E2807" s="35">
        <v>0.999</v>
      </c>
      <c r="F2807" s="35">
        <v>1.498</v>
      </c>
      <c r="G2807" s="35">
        <v>3900</v>
      </c>
    </row>
    <row r="2808" spans="1:7" x14ac:dyDescent="0.25">
      <c r="A2808">
        <v>20221028</v>
      </c>
      <c r="B2808" t="s">
        <v>771</v>
      </c>
      <c r="C2808" t="s">
        <v>272</v>
      </c>
      <c r="D2808" t="s">
        <v>214</v>
      </c>
      <c r="E2808" s="35">
        <v>0.999</v>
      </c>
      <c r="F2808" s="35">
        <v>1.498</v>
      </c>
      <c r="G2808" s="35">
        <v>3700</v>
      </c>
    </row>
    <row r="2809" spans="1:7" x14ac:dyDescent="0.25">
      <c r="A2809">
        <v>20221028</v>
      </c>
      <c r="B2809" t="s">
        <v>771</v>
      </c>
      <c r="C2809" t="s">
        <v>272</v>
      </c>
      <c r="D2809" t="s">
        <v>233</v>
      </c>
      <c r="E2809" s="35">
        <v>0.999</v>
      </c>
      <c r="F2809" s="35">
        <v>1.498</v>
      </c>
      <c r="G2809" s="35">
        <v>3500</v>
      </c>
    </row>
    <row r="2810" spans="1:7" x14ac:dyDescent="0.25">
      <c r="A2810">
        <v>20221028</v>
      </c>
      <c r="B2810" t="s">
        <v>771</v>
      </c>
      <c r="C2810" t="s">
        <v>272</v>
      </c>
      <c r="D2810" t="s">
        <v>242</v>
      </c>
      <c r="E2810" s="35">
        <v>0.999</v>
      </c>
      <c r="F2810" s="35">
        <v>1.498</v>
      </c>
      <c r="G2810" s="35">
        <v>3300</v>
      </c>
    </row>
    <row r="2811" spans="1:7" x14ac:dyDescent="0.25">
      <c r="A2811">
        <v>20221028</v>
      </c>
      <c r="B2811" t="s">
        <v>771</v>
      </c>
      <c r="C2811" t="s">
        <v>272</v>
      </c>
      <c r="D2811" t="s">
        <v>250</v>
      </c>
      <c r="E2811" s="35">
        <v>0.999</v>
      </c>
      <c r="F2811" s="35">
        <v>1.498</v>
      </c>
      <c r="G2811" s="35">
        <v>3200</v>
      </c>
    </row>
    <row r="2812" spans="1:7" x14ac:dyDescent="0.25">
      <c r="A2812">
        <v>20221028</v>
      </c>
      <c r="B2812" t="s">
        <v>771</v>
      </c>
      <c r="C2812" t="s">
        <v>272</v>
      </c>
      <c r="D2812" t="s">
        <v>258</v>
      </c>
      <c r="E2812" s="35">
        <v>0.999</v>
      </c>
      <c r="F2812" s="35">
        <v>1.498</v>
      </c>
      <c r="G2812" s="35">
        <v>3000</v>
      </c>
    </row>
    <row r="2813" spans="1:7" x14ac:dyDescent="0.25">
      <c r="A2813">
        <v>20221028</v>
      </c>
      <c r="B2813" t="s">
        <v>771</v>
      </c>
      <c r="C2813" t="s">
        <v>272</v>
      </c>
      <c r="D2813" t="s">
        <v>265</v>
      </c>
      <c r="E2813" s="35">
        <v>0.999</v>
      </c>
      <c r="F2813" s="35">
        <v>1.498</v>
      </c>
      <c r="G2813" s="35">
        <v>2800</v>
      </c>
    </row>
    <row r="2814" spans="1:7" x14ac:dyDescent="0.25">
      <c r="A2814">
        <v>20221028</v>
      </c>
      <c r="B2814" t="s">
        <v>771</v>
      </c>
      <c r="C2814" t="s">
        <v>272</v>
      </c>
      <c r="D2814" t="s">
        <v>273</v>
      </c>
      <c r="E2814" s="35">
        <v>0.999</v>
      </c>
      <c r="F2814" s="35">
        <v>1.498</v>
      </c>
      <c r="G2814" s="35">
        <v>2300</v>
      </c>
    </row>
    <row r="2815" spans="1:7" x14ac:dyDescent="0.25">
      <c r="A2815">
        <v>20221028</v>
      </c>
      <c r="B2815" t="s">
        <v>771</v>
      </c>
      <c r="C2815" t="s">
        <v>272</v>
      </c>
      <c r="D2815" t="s">
        <v>279</v>
      </c>
      <c r="E2815" s="35">
        <v>0.999</v>
      </c>
      <c r="F2815" s="35">
        <v>1.498</v>
      </c>
      <c r="G2815" s="35">
        <v>1900</v>
      </c>
    </row>
    <row r="2816" spans="1:7" x14ac:dyDescent="0.25">
      <c r="A2816">
        <v>20221028</v>
      </c>
      <c r="B2816" t="s">
        <v>771</v>
      </c>
      <c r="C2816" t="s">
        <v>272</v>
      </c>
      <c r="D2816" t="s">
        <v>285</v>
      </c>
      <c r="E2816" s="35">
        <v>0.999</v>
      </c>
      <c r="F2816" s="35">
        <v>1.498</v>
      </c>
      <c r="G2816" s="35">
        <v>1400</v>
      </c>
    </row>
    <row r="2817" spans="1:7" x14ac:dyDescent="0.25">
      <c r="A2817">
        <v>20221028</v>
      </c>
      <c r="B2817" t="s">
        <v>771</v>
      </c>
      <c r="C2817" t="s">
        <v>272</v>
      </c>
      <c r="D2817" t="s">
        <v>289</v>
      </c>
      <c r="E2817" s="35">
        <v>0.999</v>
      </c>
      <c r="F2817" s="35">
        <v>1.498</v>
      </c>
      <c r="G2817" s="35">
        <v>900</v>
      </c>
    </row>
    <row r="2818" spans="1:7" x14ac:dyDescent="0.25">
      <c r="A2818">
        <v>20221028</v>
      </c>
      <c r="B2818" t="s">
        <v>771</v>
      </c>
      <c r="C2818" t="s">
        <v>278</v>
      </c>
      <c r="D2818" t="s">
        <v>187</v>
      </c>
      <c r="E2818" s="35">
        <v>0.999</v>
      </c>
      <c r="F2818" s="35">
        <v>1.498</v>
      </c>
      <c r="G2818" s="35">
        <v>3300</v>
      </c>
    </row>
    <row r="2819" spans="1:7" x14ac:dyDescent="0.25">
      <c r="A2819">
        <v>20221028</v>
      </c>
      <c r="B2819" t="s">
        <v>771</v>
      </c>
      <c r="C2819" t="s">
        <v>278</v>
      </c>
      <c r="D2819" t="s">
        <v>214</v>
      </c>
      <c r="E2819" s="35">
        <v>0.999</v>
      </c>
      <c r="F2819" s="35">
        <v>1.498</v>
      </c>
      <c r="G2819" s="35">
        <v>3100</v>
      </c>
    </row>
    <row r="2820" spans="1:7" x14ac:dyDescent="0.25">
      <c r="A2820">
        <v>20221028</v>
      </c>
      <c r="B2820" t="s">
        <v>771</v>
      </c>
      <c r="C2820" t="s">
        <v>278</v>
      </c>
      <c r="D2820" t="s">
        <v>233</v>
      </c>
      <c r="E2820" s="35">
        <v>0.999</v>
      </c>
      <c r="F2820" s="35">
        <v>1.498</v>
      </c>
      <c r="G2820" s="35">
        <v>2900</v>
      </c>
    </row>
    <row r="2821" spans="1:7" x14ac:dyDescent="0.25">
      <c r="A2821">
        <v>20221028</v>
      </c>
      <c r="B2821" t="s">
        <v>771</v>
      </c>
      <c r="C2821" t="s">
        <v>278</v>
      </c>
      <c r="D2821" t="s">
        <v>242</v>
      </c>
      <c r="E2821" s="35">
        <v>0.999</v>
      </c>
      <c r="F2821" s="35">
        <v>1.498</v>
      </c>
      <c r="G2821" s="35">
        <v>2800</v>
      </c>
    </row>
    <row r="2822" spans="1:7" x14ac:dyDescent="0.25">
      <c r="A2822">
        <v>20221028</v>
      </c>
      <c r="B2822" t="s">
        <v>771</v>
      </c>
      <c r="C2822" t="s">
        <v>278</v>
      </c>
      <c r="D2822" t="s">
        <v>250</v>
      </c>
      <c r="E2822" s="35">
        <v>0.999</v>
      </c>
      <c r="F2822" s="35">
        <v>1.498</v>
      </c>
      <c r="G2822" s="35">
        <v>2600</v>
      </c>
    </row>
    <row r="2823" spans="1:7" x14ac:dyDescent="0.25">
      <c r="A2823">
        <v>20221028</v>
      </c>
      <c r="B2823" t="s">
        <v>771</v>
      </c>
      <c r="C2823" t="s">
        <v>278</v>
      </c>
      <c r="D2823" t="s">
        <v>258</v>
      </c>
      <c r="E2823" s="35">
        <v>0.999</v>
      </c>
      <c r="F2823" s="35">
        <v>1.498</v>
      </c>
      <c r="G2823" s="35">
        <v>2500</v>
      </c>
    </row>
    <row r="2824" spans="1:7" x14ac:dyDescent="0.25">
      <c r="A2824">
        <v>20221028</v>
      </c>
      <c r="B2824" t="s">
        <v>771</v>
      </c>
      <c r="C2824" t="s">
        <v>278</v>
      </c>
      <c r="D2824" t="s">
        <v>265</v>
      </c>
      <c r="E2824" s="35">
        <v>0.999</v>
      </c>
      <c r="F2824" s="35">
        <v>1.498</v>
      </c>
      <c r="G2824" s="35">
        <v>2300</v>
      </c>
    </row>
    <row r="2825" spans="1:7" x14ac:dyDescent="0.25">
      <c r="A2825">
        <v>20221028</v>
      </c>
      <c r="B2825" t="s">
        <v>771</v>
      </c>
      <c r="C2825" t="s">
        <v>278</v>
      </c>
      <c r="D2825" t="s">
        <v>273</v>
      </c>
      <c r="E2825" s="35">
        <v>0.999</v>
      </c>
      <c r="F2825" s="35">
        <v>1.498</v>
      </c>
      <c r="G2825" s="35">
        <v>2000</v>
      </c>
    </row>
    <row r="2826" spans="1:7" x14ac:dyDescent="0.25">
      <c r="A2826">
        <v>20221028</v>
      </c>
      <c r="B2826" t="s">
        <v>771</v>
      </c>
      <c r="C2826" t="s">
        <v>278</v>
      </c>
      <c r="D2826" t="s">
        <v>279</v>
      </c>
      <c r="E2826" s="35">
        <v>0.999</v>
      </c>
      <c r="F2826" s="35">
        <v>1.498</v>
      </c>
      <c r="G2826" s="35">
        <v>1700</v>
      </c>
    </row>
    <row r="2827" spans="1:7" x14ac:dyDescent="0.25">
      <c r="A2827">
        <v>20221028</v>
      </c>
      <c r="B2827" t="s">
        <v>771</v>
      </c>
      <c r="C2827" t="s">
        <v>278</v>
      </c>
      <c r="D2827" t="s">
        <v>285</v>
      </c>
      <c r="E2827" s="35">
        <v>0.999</v>
      </c>
      <c r="F2827" s="35">
        <v>1.498</v>
      </c>
      <c r="G2827" s="35">
        <v>1200</v>
      </c>
    </row>
    <row r="2828" spans="1:7" x14ac:dyDescent="0.25">
      <c r="A2828">
        <v>20221028</v>
      </c>
      <c r="B2828" t="s">
        <v>771</v>
      </c>
      <c r="C2828" t="s">
        <v>278</v>
      </c>
      <c r="D2828" t="s">
        <v>289</v>
      </c>
      <c r="E2828" s="35">
        <v>0.999</v>
      </c>
      <c r="F2828" s="35">
        <v>1.498</v>
      </c>
      <c r="G2828" s="35">
        <v>900</v>
      </c>
    </row>
    <row r="2829" spans="1:7" x14ac:dyDescent="0.25">
      <c r="A2829">
        <v>20221028</v>
      </c>
      <c r="B2829" t="s">
        <v>771</v>
      </c>
      <c r="C2829" t="s">
        <v>284</v>
      </c>
      <c r="D2829" t="s">
        <v>187</v>
      </c>
      <c r="E2829" s="35">
        <v>0.999</v>
      </c>
      <c r="F2829" s="35">
        <v>1.498</v>
      </c>
      <c r="G2829" s="35">
        <v>2700</v>
      </c>
    </row>
    <row r="2830" spans="1:7" x14ac:dyDescent="0.25">
      <c r="A2830">
        <v>20221028</v>
      </c>
      <c r="B2830" t="s">
        <v>771</v>
      </c>
      <c r="C2830" t="s">
        <v>284</v>
      </c>
      <c r="D2830" t="s">
        <v>214</v>
      </c>
      <c r="E2830" s="35">
        <v>0.999</v>
      </c>
      <c r="F2830" s="35">
        <v>1.498</v>
      </c>
      <c r="G2830" s="35">
        <v>2500</v>
      </c>
    </row>
    <row r="2831" spans="1:7" x14ac:dyDescent="0.25">
      <c r="A2831">
        <v>20221028</v>
      </c>
      <c r="B2831" t="s">
        <v>771</v>
      </c>
      <c r="C2831" t="s">
        <v>284</v>
      </c>
      <c r="D2831" t="s">
        <v>233</v>
      </c>
      <c r="E2831" s="35">
        <v>0.999</v>
      </c>
      <c r="F2831" s="35">
        <v>1.498</v>
      </c>
      <c r="G2831" s="35">
        <v>2300</v>
      </c>
    </row>
    <row r="2832" spans="1:7" x14ac:dyDescent="0.25">
      <c r="A2832">
        <v>20221028</v>
      </c>
      <c r="B2832" t="s">
        <v>771</v>
      </c>
      <c r="C2832" t="s">
        <v>284</v>
      </c>
      <c r="D2832" t="s">
        <v>242</v>
      </c>
      <c r="E2832" s="35">
        <v>0.999</v>
      </c>
      <c r="F2832" s="35">
        <v>1.498</v>
      </c>
      <c r="G2832" s="35">
        <v>2200</v>
      </c>
    </row>
    <row r="2833" spans="1:7" x14ac:dyDescent="0.25">
      <c r="A2833">
        <v>20221028</v>
      </c>
      <c r="B2833" t="s">
        <v>771</v>
      </c>
      <c r="C2833" t="s">
        <v>284</v>
      </c>
      <c r="D2833" t="s">
        <v>250</v>
      </c>
      <c r="E2833" s="35">
        <v>0.999</v>
      </c>
      <c r="F2833" s="35">
        <v>1.498</v>
      </c>
      <c r="G2833" s="35">
        <v>2100</v>
      </c>
    </row>
    <row r="2834" spans="1:7" x14ac:dyDescent="0.25">
      <c r="A2834">
        <v>20221028</v>
      </c>
      <c r="B2834" t="s">
        <v>771</v>
      </c>
      <c r="C2834" t="s">
        <v>284</v>
      </c>
      <c r="D2834" t="s">
        <v>258</v>
      </c>
      <c r="E2834" s="35">
        <v>0.999</v>
      </c>
      <c r="F2834" s="35">
        <v>1.498</v>
      </c>
      <c r="G2834" s="35">
        <v>2000</v>
      </c>
    </row>
    <row r="2835" spans="1:7" x14ac:dyDescent="0.25">
      <c r="A2835">
        <v>20221028</v>
      </c>
      <c r="B2835" t="s">
        <v>771</v>
      </c>
      <c r="C2835" t="s">
        <v>284</v>
      </c>
      <c r="D2835" t="s">
        <v>265</v>
      </c>
      <c r="E2835" s="35">
        <v>0.999</v>
      </c>
      <c r="F2835" s="35">
        <v>1.498</v>
      </c>
      <c r="G2835" s="35">
        <v>1900</v>
      </c>
    </row>
    <row r="2836" spans="1:7" x14ac:dyDescent="0.25">
      <c r="A2836">
        <v>20221028</v>
      </c>
      <c r="B2836" t="s">
        <v>771</v>
      </c>
      <c r="C2836" t="s">
        <v>284</v>
      </c>
      <c r="D2836" t="s">
        <v>273</v>
      </c>
      <c r="E2836" s="35">
        <v>0.999</v>
      </c>
      <c r="F2836" s="35">
        <v>1.498</v>
      </c>
      <c r="G2836" s="35">
        <v>1800</v>
      </c>
    </row>
    <row r="2837" spans="1:7" x14ac:dyDescent="0.25">
      <c r="A2837">
        <v>20221028</v>
      </c>
      <c r="B2837" t="s">
        <v>771</v>
      </c>
      <c r="C2837" t="s">
        <v>284</v>
      </c>
      <c r="D2837" t="s">
        <v>279</v>
      </c>
      <c r="E2837" s="35">
        <v>0.999</v>
      </c>
      <c r="F2837" s="35">
        <v>1.498</v>
      </c>
      <c r="G2837" s="35">
        <v>1400</v>
      </c>
    </row>
    <row r="2838" spans="1:7" x14ac:dyDescent="0.25">
      <c r="A2838">
        <v>20221028</v>
      </c>
      <c r="B2838" t="s">
        <v>771</v>
      </c>
      <c r="C2838" t="s">
        <v>284</v>
      </c>
      <c r="D2838" t="s">
        <v>285</v>
      </c>
      <c r="E2838" s="35">
        <v>0.999</v>
      </c>
      <c r="F2838" s="35">
        <v>1.498</v>
      </c>
      <c r="G2838" s="35">
        <v>1000</v>
      </c>
    </row>
    <row r="2839" spans="1:7" x14ac:dyDescent="0.25">
      <c r="A2839">
        <v>20221028</v>
      </c>
      <c r="B2839" t="s">
        <v>771</v>
      </c>
      <c r="C2839" t="s">
        <v>284</v>
      </c>
      <c r="D2839" t="s">
        <v>289</v>
      </c>
      <c r="E2839" s="35">
        <v>0.999</v>
      </c>
      <c r="F2839" s="35">
        <v>1.498</v>
      </c>
      <c r="G2839" s="35">
        <v>800</v>
      </c>
    </row>
    <row r="2840" spans="1:7" x14ac:dyDescent="0.25">
      <c r="A2840">
        <v>20221028</v>
      </c>
      <c r="B2840" t="s">
        <v>771</v>
      </c>
      <c r="C2840" t="s">
        <v>186</v>
      </c>
      <c r="D2840" t="s">
        <v>187</v>
      </c>
      <c r="E2840" s="35">
        <v>1.4990000000000001</v>
      </c>
      <c r="F2840" s="35">
        <v>1.998</v>
      </c>
      <c r="G2840" s="35">
        <v>18200</v>
      </c>
    </row>
    <row r="2841" spans="1:7" x14ac:dyDescent="0.25">
      <c r="A2841">
        <v>20221028</v>
      </c>
      <c r="B2841" t="s">
        <v>771</v>
      </c>
      <c r="C2841" t="s">
        <v>186</v>
      </c>
      <c r="D2841" t="s">
        <v>214</v>
      </c>
      <c r="E2841" s="35">
        <v>1.4990000000000001</v>
      </c>
      <c r="F2841" s="35">
        <v>1.998</v>
      </c>
      <c r="G2841" s="35">
        <v>16400</v>
      </c>
    </row>
    <row r="2842" spans="1:7" x14ac:dyDescent="0.25">
      <c r="A2842">
        <v>20221028</v>
      </c>
      <c r="B2842" t="s">
        <v>771</v>
      </c>
      <c r="C2842" t="s">
        <v>186</v>
      </c>
      <c r="D2842" t="s">
        <v>233</v>
      </c>
      <c r="E2842" s="35">
        <v>1.4990000000000001</v>
      </c>
      <c r="F2842" s="35">
        <v>1.998</v>
      </c>
      <c r="G2842" s="35">
        <v>15000</v>
      </c>
    </row>
    <row r="2843" spans="1:7" x14ac:dyDescent="0.25">
      <c r="A2843">
        <v>20221028</v>
      </c>
      <c r="B2843" t="s">
        <v>771</v>
      </c>
      <c r="C2843" t="s">
        <v>186</v>
      </c>
      <c r="D2843" t="s">
        <v>242</v>
      </c>
      <c r="E2843" s="35">
        <v>1.4990000000000001</v>
      </c>
      <c r="F2843" s="35">
        <v>1.998</v>
      </c>
      <c r="G2843" s="35">
        <v>13600</v>
      </c>
    </row>
    <row r="2844" spans="1:7" x14ac:dyDescent="0.25">
      <c r="A2844">
        <v>20221028</v>
      </c>
      <c r="B2844" t="s">
        <v>771</v>
      </c>
      <c r="C2844" t="s">
        <v>186</v>
      </c>
      <c r="D2844" t="s">
        <v>250</v>
      </c>
      <c r="E2844" s="35">
        <v>1.4990000000000001</v>
      </c>
      <c r="F2844" s="35">
        <v>1.998</v>
      </c>
      <c r="G2844" s="35">
        <v>12400</v>
      </c>
    </row>
    <row r="2845" spans="1:7" x14ac:dyDescent="0.25">
      <c r="A2845">
        <v>20221028</v>
      </c>
      <c r="B2845" t="s">
        <v>771</v>
      </c>
      <c r="C2845" t="s">
        <v>186</v>
      </c>
      <c r="D2845" t="s">
        <v>258</v>
      </c>
      <c r="E2845" s="35">
        <v>1.4990000000000001</v>
      </c>
      <c r="F2845" s="35">
        <v>1.998</v>
      </c>
      <c r="G2845" s="35">
        <v>11000</v>
      </c>
    </row>
    <row r="2846" spans="1:7" x14ac:dyDescent="0.25">
      <c r="A2846">
        <v>20221028</v>
      </c>
      <c r="B2846" t="s">
        <v>771</v>
      </c>
      <c r="C2846" t="s">
        <v>186</v>
      </c>
      <c r="D2846" t="s">
        <v>265</v>
      </c>
      <c r="E2846" s="35">
        <v>1.4990000000000001</v>
      </c>
      <c r="F2846" s="35">
        <v>1.998</v>
      </c>
      <c r="G2846" s="35">
        <v>9100</v>
      </c>
    </row>
    <row r="2847" spans="1:7" x14ac:dyDescent="0.25">
      <c r="A2847">
        <v>20221028</v>
      </c>
      <c r="B2847" t="s">
        <v>771</v>
      </c>
      <c r="C2847" t="s">
        <v>186</v>
      </c>
      <c r="D2847" t="s">
        <v>273</v>
      </c>
      <c r="E2847" s="35">
        <v>1.4990000000000001</v>
      </c>
      <c r="F2847" s="35">
        <v>1.998</v>
      </c>
      <c r="G2847" s="35">
        <v>7100</v>
      </c>
    </row>
    <row r="2848" spans="1:7" x14ac:dyDescent="0.25">
      <c r="A2848">
        <v>20221028</v>
      </c>
      <c r="B2848" t="s">
        <v>771</v>
      </c>
      <c r="C2848" t="s">
        <v>186</v>
      </c>
      <c r="D2848" t="s">
        <v>279</v>
      </c>
      <c r="E2848" s="35">
        <v>1.4990000000000001</v>
      </c>
      <c r="F2848" s="35">
        <v>1.998</v>
      </c>
      <c r="G2848" s="35">
        <v>5300</v>
      </c>
    </row>
    <row r="2849" spans="1:7" x14ac:dyDescent="0.25">
      <c r="A2849">
        <v>20221028</v>
      </c>
      <c r="B2849" t="s">
        <v>771</v>
      </c>
      <c r="C2849" t="s">
        <v>186</v>
      </c>
      <c r="D2849" t="s">
        <v>285</v>
      </c>
      <c r="E2849" s="35">
        <v>1.4990000000000001</v>
      </c>
      <c r="F2849" s="35">
        <v>1.998</v>
      </c>
      <c r="G2849" s="35">
        <v>2700</v>
      </c>
    </row>
    <row r="2850" spans="1:7" x14ac:dyDescent="0.25">
      <c r="A2850">
        <v>20221028</v>
      </c>
      <c r="B2850" t="s">
        <v>771</v>
      </c>
      <c r="C2850" t="s">
        <v>186</v>
      </c>
      <c r="D2850" t="s">
        <v>289</v>
      </c>
      <c r="E2850" s="35">
        <v>1.4990000000000001</v>
      </c>
      <c r="F2850" s="35">
        <v>1.998</v>
      </c>
      <c r="G2850" s="35">
        <v>1500</v>
      </c>
    </row>
    <row r="2851" spans="1:7" x14ac:dyDescent="0.25">
      <c r="A2851">
        <v>20221028</v>
      </c>
      <c r="B2851" t="s">
        <v>771</v>
      </c>
      <c r="C2851" t="s">
        <v>213</v>
      </c>
      <c r="D2851" t="s">
        <v>187</v>
      </c>
      <c r="E2851" s="35">
        <v>1.4990000000000001</v>
      </c>
      <c r="F2851" s="35">
        <v>1.998</v>
      </c>
      <c r="G2851" s="35">
        <v>16400</v>
      </c>
    </row>
    <row r="2852" spans="1:7" x14ac:dyDescent="0.25">
      <c r="A2852">
        <v>20221028</v>
      </c>
      <c r="B2852" t="s">
        <v>771</v>
      </c>
      <c r="C2852" t="s">
        <v>213</v>
      </c>
      <c r="D2852" t="s">
        <v>214</v>
      </c>
      <c r="E2852" s="35">
        <v>1.4990000000000001</v>
      </c>
      <c r="F2852" s="35">
        <v>1.998</v>
      </c>
      <c r="G2852" s="35">
        <v>14900</v>
      </c>
    </row>
    <row r="2853" spans="1:7" x14ac:dyDescent="0.25">
      <c r="A2853">
        <v>20221028</v>
      </c>
      <c r="B2853" t="s">
        <v>771</v>
      </c>
      <c r="C2853" t="s">
        <v>213</v>
      </c>
      <c r="D2853" t="s">
        <v>233</v>
      </c>
      <c r="E2853" s="35">
        <v>1.4990000000000001</v>
      </c>
      <c r="F2853" s="35">
        <v>1.998</v>
      </c>
      <c r="G2853" s="35">
        <v>13600</v>
      </c>
    </row>
    <row r="2854" spans="1:7" x14ac:dyDescent="0.25">
      <c r="A2854">
        <v>20221028</v>
      </c>
      <c r="B2854" t="s">
        <v>771</v>
      </c>
      <c r="C2854" t="s">
        <v>213</v>
      </c>
      <c r="D2854" t="s">
        <v>242</v>
      </c>
      <c r="E2854" s="35">
        <v>1.4990000000000001</v>
      </c>
      <c r="F2854" s="35">
        <v>1.998</v>
      </c>
      <c r="G2854" s="35">
        <v>12800</v>
      </c>
    </row>
    <row r="2855" spans="1:7" x14ac:dyDescent="0.25">
      <c r="A2855">
        <v>20221028</v>
      </c>
      <c r="B2855" t="s">
        <v>771</v>
      </c>
      <c r="C2855" t="s">
        <v>213</v>
      </c>
      <c r="D2855" t="s">
        <v>250</v>
      </c>
      <c r="E2855" s="35">
        <v>1.4990000000000001</v>
      </c>
      <c r="F2855" s="35">
        <v>1.998</v>
      </c>
      <c r="G2855" s="35">
        <v>11800</v>
      </c>
    </row>
    <row r="2856" spans="1:7" x14ac:dyDescent="0.25">
      <c r="A2856">
        <v>20221028</v>
      </c>
      <c r="B2856" t="s">
        <v>771</v>
      </c>
      <c r="C2856" t="s">
        <v>213</v>
      </c>
      <c r="D2856" t="s">
        <v>258</v>
      </c>
      <c r="E2856" s="35">
        <v>1.4990000000000001</v>
      </c>
      <c r="F2856" s="35">
        <v>1.998</v>
      </c>
      <c r="G2856" s="35">
        <v>10500</v>
      </c>
    </row>
    <row r="2857" spans="1:7" x14ac:dyDescent="0.25">
      <c r="A2857">
        <v>20221028</v>
      </c>
      <c r="B2857" t="s">
        <v>771</v>
      </c>
      <c r="C2857" t="s">
        <v>213</v>
      </c>
      <c r="D2857" t="s">
        <v>265</v>
      </c>
      <c r="E2857" s="35">
        <v>1.4990000000000001</v>
      </c>
      <c r="F2857" s="35">
        <v>1.998</v>
      </c>
      <c r="G2857" s="35">
        <v>8600</v>
      </c>
    </row>
    <row r="2858" spans="1:7" x14ac:dyDescent="0.25">
      <c r="A2858">
        <v>20221028</v>
      </c>
      <c r="B2858" t="s">
        <v>771</v>
      </c>
      <c r="C2858" t="s">
        <v>213</v>
      </c>
      <c r="D2858" t="s">
        <v>273</v>
      </c>
      <c r="E2858" s="35">
        <v>1.4990000000000001</v>
      </c>
      <c r="F2858" s="35">
        <v>1.998</v>
      </c>
      <c r="G2858" s="35">
        <v>6600</v>
      </c>
    </row>
    <row r="2859" spans="1:7" x14ac:dyDescent="0.25">
      <c r="A2859">
        <v>20221028</v>
      </c>
      <c r="B2859" t="s">
        <v>771</v>
      </c>
      <c r="C2859" t="s">
        <v>213</v>
      </c>
      <c r="D2859" t="s">
        <v>279</v>
      </c>
      <c r="E2859" s="35">
        <v>1.4990000000000001</v>
      </c>
      <c r="F2859" s="35">
        <v>1.998</v>
      </c>
      <c r="G2859" s="35">
        <v>5000</v>
      </c>
    </row>
    <row r="2860" spans="1:7" x14ac:dyDescent="0.25">
      <c r="A2860">
        <v>20221028</v>
      </c>
      <c r="B2860" t="s">
        <v>771</v>
      </c>
      <c r="C2860" t="s">
        <v>213</v>
      </c>
      <c r="D2860" t="s">
        <v>285</v>
      </c>
      <c r="E2860" s="35">
        <v>1.4990000000000001</v>
      </c>
      <c r="F2860" s="35">
        <v>1.998</v>
      </c>
      <c r="G2860" s="35">
        <v>2600</v>
      </c>
    </row>
    <row r="2861" spans="1:7" x14ac:dyDescent="0.25">
      <c r="A2861">
        <v>20221028</v>
      </c>
      <c r="B2861" t="s">
        <v>771</v>
      </c>
      <c r="C2861" t="s">
        <v>213</v>
      </c>
      <c r="D2861" t="s">
        <v>289</v>
      </c>
      <c r="E2861" s="35">
        <v>1.4990000000000001</v>
      </c>
      <c r="F2861" s="35">
        <v>1.998</v>
      </c>
      <c r="G2861" s="35">
        <v>1400</v>
      </c>
    </row>
    <row r="2862" spans="1:7" x14ac:dyDescent="0.25">
      <c r="A2862">
        <v>20221028</v>
      </c>
      <c r="B2862" t="s">
        <v>771</v>
      </c>
      <c r="C2862" t="s">
        <v>232</v>
      </c>
      <c r="D2862" t="s">
        <v>187</v>
      </c>
      <c r="E2862" s="35">
        <v>1.4990000000000001</v>
      </c>
      <c r="F2862" s="35">
        <v>1.998</v>
      </c>
      <c r="G2862" s="35">
        <v>14300</v>
      </c>
    </row>
    <row r="2863" spans="1:7" x14ac:dyDescent="0.25">
      <c r="A2863">
        <v>20221028</v>
      </c>
      <c r="B2863" t="s">
        <v>771</v>
      </c>
      <c r="C2863" t="s">
        <v>232</v>
      </c>
      <c r="D2863" t="s">
        <v>214</v>
      </c>
      <c r="E2863" s="35">
        <v>1.4990000000000001</v>
      </c>
      <c r="F2863" s="35">
        <v>1.998</v>
      </c>
      <c r="G2863" s="35">
        <v>13400</v>
      </c>
    </row>
    <row r="2864" spans="1:7" x14ac:dyDescent="0.25">
      <c r="A2864">
        <v>20221028</v>
      </c>
      <c r="B2864" t="s">
        <v>771</v>
      </c>
      <c r="C2864" t="s">
        <v>232</v>
      </c>
      <c r="D2864" t="s">
        <v>233</v>
      </c>
      <c r="E2864" s="35">
        <v>1.4990000000000001</v>
      </c>
      <c r="F2864" s="35">
        <v>1.998</v>
      </c>
      <c r="G2864" s="35">
        <v>12700</v>
      </c>
    </row>
    <row r="2865" spans="1:7" x14ac:dyDescent="0.25">
      <c r="A2865">
        <v>20221028</v>
      </c>
      <c r="B2865" t="s">
        <v>771</v>
      </c>
      <c r="C2865" t="s">
        <v>232</v>
      </c>
      <c r="D2865" t="s">
        <v>242</v>
      </c>
      <c r="E2865" s="35">
        <v>1.4990000000000001</v>
      </c>
      <c r="F2865" s="35">
        <v>1.998</v>
      </c>
      <c r="G2865" s="35">
        <v>12200</v>
      </c>
    </row>
    <row r="2866" spans="1:7" x14ac:dyDescent="0.25">
      <c r="A2866">
        <v>20221028</v>
      </c>
      <c r="B2866" t="s">
        <v>771</v>
      </c>
      <c r="C2866" t="s">
        <v>232</v>
      </c>
      <c r="D2866" t="s">
        <v>250</v>
      </c>
      <c r="E2866" s="35">
        <v>1.4990000000000001</v>
      </c>
      <c r="F2866" s="35">
        <v>1.998</v>
      </c>
      <c r="G2866" s="35">
        <v>11200</v>
      </c>
    </row>
    <row r="2867" spans="1:7" x14ac:dyDescent="0.25">
      <c r="A2867">
        <v>20221028</v>
      </c>
      <c r="B2867" t="s">
        <v>771</v>
      </c>
      <c r="C2867" t="s">
        <v>232</v>
      </c>
      <c r="D2867" t="s">
        <v>258</v>
      </c>
      <c r="E2867" s="35">
        <v>1.4990000000000001</v>
      </c>
      <c r="F2867" s="35">
        <v>1.998</v>
      </c>
      <c r="G2867" s="35">
        <v>9900</v>
      </c>
    </row>
    <row r="2868" spans="1:7" x14ac:dyDescent="0.25">
      <c r="A2868">
        <v>20221028</v>
      </c>
      <c r="B2868" t="s">
        <v>771</v>
      </c>
      <c r="C2868" t="s">
        <v>232</v>
      </c>
      <c r="D2868" t="s">
        <v>265</v>
      </c>
      <c r="E2868" s="35">
        <v>1.4990000000000001</v>
      </c>
      <c r="F2868" s="35">
        <v>1.998</v>
      </c>
      <c r="G2868" s="35">
        <v>8200</v>
      </c>
    </row>
    <row r="2869" spans="1:7" x14ac:dyDescent="0.25">
      <c r="A2869">
        <v>20221028</v>
      </c>
      <c r="B2869" t="s">
        <v>771</v>
      </c>
      <c r="C2869" t="s">
        <v>232</v>
      </c>
      <c r="D2869" t="s">
        <v>273</v>
      </c>
      <c r="E2869" s="35">
        <v>1.4990000000000001</v>
      </c>
      <c r="F2869" s="35">
        <v>1.998</v>
      </c>
      <c r="G2869" s="35">
        <v>6100</v>
      </c>
    </row>
    <row r="2870" spans="1:7" x14ac:dyDescent="0.25">
      <c r="A2870">
        <v>20221028</v>
      </c>
      <c r="B2870" t="s">
        <v>771</v>
      </c>
      <c r="C2870" t="s">
        <v>232</v>
      </c>
      <c r="D2870" t="s">
        <v>279</v>
      </c>
      <c r="E2870" s="35">
        <v>1.4990000000000001</v>
      </c>
      <c r="F2870" s="35">
        <v>1.998</v>
      </c>
      <c r="G2870" s="35">
        <v>4700</v>
      </c>
    </row>
    <row r="2871" spans="1:7" x14ac:dyDescent="0.25">
      <c r="A2871">
        <v>20221028</v>
      </c>
      <c r="B2871" t="s">
        <v>771</v>
      </c>
      <c r="C2871" t="s">
        <v>232</v>
      </c>
      <c r="D2871" t="s">
        <v>285</v>
      </c>
      <c r="E2871" s="35">
        <v>1.4990000000000001</v>
      </c>
      <c r="F2871" s="35">
        <v>1.998</v>
      </c>
      <c r="G2871" s="35">
        <v>2500</v>
      </c>
    </row>
    <row r="2872" spans="1:7" x14ac:dyDescent="0.25">
      <c r="A2872">
        <v>20221028</v>
      </c>
      <c r="B2872" t="s">
        <v>771</v>
      </c>
      <c r="C2872" t="s">
        <v>232</v>
      </c>
      <c r="D2872" t="s">
        <v>289</v>
      </c>
      <c r="E2872" s="35">
        <v>1.4990000000000001</v>
      </c>
      <c r="F2872" s="35">
        <v>1.998</v>
      </c>
      <c r="G2872" s="35">
        <v>1300</v>
      </c>
    </row>
    <row r="2873" spans="1:7" x14ac:dyDescent="0.25">
      <c r="A2873">
        <v>20221028</v>
      </c>
      <c r="B2873" t="s">
        <v>771</v>
      </c>
      <c r="C2873" t="s">
        <v>215</v>
      </c>
      <c r="D2873" t="s">
        <v>187</v>
      </c>
      <c r="E2873" s="35">
        <v>1.4990000000000001</v>
      </c>
      <c r="F2873" s="35">
        <v>1.998</v>
      </c>
      <c r="G2873" s="35">
        <v>12700</v>
      </c>
    </row>
    <row r="2874" spans="1:7" x14ac:dyDescent="0.25">
      <c r="A2874">
        <v>20221028</v>
      </c>
      <c r="B2874" t="s">
        <v>771</v>
      </c>
      <c r="C2874" t="s">
        <v>215</v>
      </c>
      <c r="D2874" t="s">
        <v>214</v>
      </c>
      <c r="E2874" s="35">
        <v>1.4990000000000001</v>
      </c>
      <c r="F2874" s="35">
        <v>1.998</v>
      </c>
      <c r="G2874" s="35">
        <v>12200</v>
      </c>
    </row>
    <row r="2875" spans="1:7" x14ac:dyDescent="0.25">
      <c r="A2875">
        <v>20221028</v>
      </c>
      <c r="B2875" t="s">
        <v>771</v>
      </c>
      <c r="C2875" t="s">
        <v>215</v>
      </c>
      <c r="D2875" t="s">
        <v>233</v>
      </c>
      <c r="E2875" s="35">
        <v>1.4990000000000001</v>
      </c>
      <c r="F2875" s="35">
        <v>1.998</v>
      </c>
      <c r="G2875" s="35">
        <v>11700</v>
      </c>
    </row>
    <row r="2876" spans="1:7" x14ac:dyDescent="0.25">
      <c r="A2876">
        <v>20221028</v>
      </c>
      <c r="B2876" t="s">
        <v>771</v>
      </c>
      <c r="C2876" t="s">
        <v>215</v>
      </c>
      <c r="D2876" t="s">
        <v>242</v>
      </c>
      <c r="E2876" s="35">
        <v>1.4990000000000001</v>
      </c>
      <c r="F2876" s="35">
        <v>1.998</v>
      </c>
      <c r="G2876" s="35">
        <v>11200</v>
      </c>
    </row>
    <row r="2877" spans="1:7" x14ac:dyDescent="0.25">
      <c r="A2877">
        <v>20221028</v>
      </c>
      <c r="B2877" t="s">
        <v>771</v>
      </c>
      <c r="C2877" t="s">
        <v>215</v>
      </c>
      <c r="D2877" t="s">
        <v>250</v>
      </c>
      <c r="E2877" s="35">
        <v>1.4990000000000001</v>
      </c>
      <c r="F2877" s="35">
        <v>1.998</v>
      </c>
      <c r="G2877" s="35">
        <v>10400</v>
      </c>
    </row>
    <row r="2878" spans="1:7" x14ac:dyDescent="0.25">
      <c r="A2878">
        <v>20221028</v>
      </c>
      <c r="B2878" t="s">
        <v>771</v>
      </c>
      <c r="C2878" t="s">
        <v>215</v>
      </c>
      <c r="D2878" t="s">
        <v>258</v>
      </c>
      <c r="E2878" s="35">
        <v>1.4990000000000001</v>
      </c>
      <c r="F2878" s="35">
        <v>1.998</v>
      </c>
      <c r="G2878" s="35">
        <v>9200</v>
      </c>
    </row>
    <row r="2879" spans="1:7" x14ac:dyDescent="0.25">
      <c r="A2879">
        <v>20221028</v>
      </c>
      <c r="B2879" t="s">
        <v>771</v>
      </c>
      <c r="C2879" t="s">
        <v>215</v>
      </c>
      <c r="D2879" t="s">
        <v>265</v>
      </c>
      <c r="E2879" s="35">
        <v>1.4990000000000001</v>
      </c>
      <c r="F2879" s="35">
        <v>1.998</v>
      </c>
      <c r="G2879" s="35">
        <v>7800</v>
      </c>
    </row>
    <row r="2880" spans="1:7" x14ac:dyDescent="0.25">
      <c r="A2880">
        <v>20221028</v>
      </c>
      <c r="B2880" t="s">
        <v>771</v>
      </c>
      <c r="C2880" t="s">
        <v>215</v>
      </c>
      <c r="D2880" t="s">
        <v>273</v>
      </c>
      <c r="E2880" s="35">
        <v>1.4990000000000001</v>
      </c>
      <c r="F2880" s="35">
        <v>1.998</v>
      </c>
      <c r="G2880" s="35">
        <v>5700</v>
      </c>
    </row>
    <row r="2881" spans="1:7" x14ac:dyDescent="0.25">
      <c r="A2881">
        <v>20221028</v>
      </c>
      <c r="B2881" t="s">
        <v>771</v>
      </c>
      <c r="C2881" t="s">
        <v>215</v>
      </c>
      <c r="D2881" t="s">
        <v>279</v>
      </c>
      <c r="E2881" s="35">
        <v>1.4990000000000001</v>
      </c>
      <c r="F2881" s="35">
        <v>1.998</v>
      </c>
      <c r="G2881" s="35">
        <v>4400</v>
      </c>
    </row>
    <row r="2882" spans="1:7" x14ac:dyDescent="0.25">
      <c r="A2882">
        <v>20221028</v>
      </c>
      <c r="B2882" t="s">
        <v>771</v>
      </c>
      <c r="C2882" t="s">
        <v>215</v>
      </c>
      <c r="D2882" t="s">
        <v>285</v>
      </c>
      <c r="E2882" s="35">
        <v>1.4990000000000001</v>
      </c>
      <c r="F2882" s="35">
        <v>1.998</v>
      </c>
      <c r="G2882" s="35">
        <v>2400</v>
      </c>
    </row>
    <row r="2883" spans="1:7" x14ac:dyDescent="0.25">
      <c r="A2883">
        <v>20221028</v>
      </c>
      <c r="B2883" t="s">
        <v>771</v>
      </c>
      <c r="C2883" t="s">
        <v>215</v>
      </c>
      <c r="D2883" t="s">
        <v>289</v>
      </c>
      <c r="E2883" s="35">
        <v>1.4990000000000001</v>
      </c>
      <c r="F2883" s="35">
        <v>1.998</v>
      </c>
      <c r="G2883" s="35">
        <v>1200</v>
      </c>
    </row>
    <row r="2884" spans="1:7" x14ac:dyDescent="0.25">
      <c r="A2884">
        <v>20221028</v>
      </c>
      <c r="B2884" t="s">
        <v>771</v>
      </c>
      <c r="C2884" t="s">
        <v>249</v>
      </c>
      <c r="D2884" t="s">
        <v>187</v>
      </c>
      <c r="E2884" s="35">
        <v>1.4990000000000001</v>
      </c>
      <c r="F2884" s="35">
        <v>1.998</v>
      </c>
      <c r="G2884" s="35">
        <v>10700</v>
      </c>
    </row>
    <row r="2885" spans="1:7" x14ac:dyDescent="0.25">
      <c r="A2885">
        <v>20221028</v>
      </c>
      <c r="B2885" t="s">
        <v>771</v>
      </c>
      <c r="C2885" t="s">
        <v>249</v>
      </c>
      <c r="D2885" t="s">
        <v>214</v>
      </c>
      <c r="E2885" s="35">
        <v>1.4990000000000001</v>
      </c>
      <c r="F2885" s="35">
        <v>1.998</v>
      </c>
      <c r="G2885" s="35">
        <v>10300</v>
      </c>
    </row>
    <row r="2886" spans="1:7" x14ac:dyDescent="0.25">
      <c r="A2886">
        <v>20221028</v>
      </c>
      <c r="B2886" t="s">
        <v>771</v>
      </c>
      <c r="C2886" t="s">
        <v>249</v>
      </c>
      <c r="D2886" t="s">
        <v>233</v>
      </c>
      <c r="E2886" s="35">
        <v>1.4990000000000001</v>
      </c>
      <c r="F2886" s="35">
        <v>1.998</v>
      </c>
      <c r="G2886" s="35">
        <v>9900</v>
      </c>
    </row>
    <row r="2887" spans="1:7" x14ac:dyDescent="0.25">
      <c r="A2887">
        <v>20221028</v>
      </c>
      <c r="B2887" t="s">
        <v>771</v>
      </c>
      <c r="C2887" t="s">
        <v>249</v>
      </c>
      <c r="D2887" t="s">
        <v>242</v>
      </c>
      <c r="E2887" s="35">
        <v>1.4990000000000001</v>
      </c>
      <c r="F2887" s="35">
        <v>1.998</v>
      </c>
      <c r="G2887" s="35">
        <v>9500</v>
      </c>
    </row>
    <row r="2888" spans="1:7" x14ac:dyDescent="0.25">
      <c r="A2888">
        <v>20221028</v>
      </c>
      <c r="B2888" t="s">
        <v>771</v>
      </c>
      <c r="C2888" t="s">
        <v>249</v>
      </c>
      <c r="D2888" t="s">
        <v>250</v>
      </c>
      <c r="E2888" s="35">
        <v>1.4990000000000001</v>
      </c>
      <c r="F2888" s="35">
        <v>1.998</v>
      </c>
      <c r="G2888" s="35">
        <v>9100</v>
      </c>
    </row>
    <row r="2889" spans="1:7" x14ac:dyDescent="0.25">
      <c r="A2889">
        <v>20221028</v>
      </c>
      <c r="B2889" t="s">
        <v>771</v>
      </c>
      <c r="C2889" t="s">
        <v>249</v>
      </c>
      <c r="D2889" t="s">
        <v>258</v>
      </c>
      <c r="E2889" s="35">
        <v>1.4990000000000001</v>
      </c>
      <c r="F2889" s="35">
        <v>1.998</v>
      </c>
      <c r="G2889" s="35">
        <v>8500</v>
      </c>
    </row>
    <row r="2890" spans="1:7" x14ac:dyDescent="0.25">
      <c r="A2890">
        <v>20221028</v>
      </c>
      <c r="B2890" t="s">
        <v>771</v>
      </c>
      <c r="C2890" t="s">
        <v>249</v>
      </c>
      <c r="D2890" t="s">
        <v>265</v>
      </c>
      <c r="E2890" s="35">
        <v>1.4990000000000001</v>
      </c>
      <c r="F2890" s="35">
        <v>1.998</v>
      </c>
      <c r="G2890" s="35">
        <v>7400</v>
      </c>
    </row>
    <row r="2891" spans="1:7" x14ac:dyDescent="0.25">
      <c r="A2891">
        <v>20221028</v>
      </c>
      <c r="B2891" t="s">
        <v>771</v>
      </c>
      <c r="C2891" t="s">
        <v>249</v>
      </c>
      <c r="D2891" t="s">
        <v>273</v>
      </c>
      <c r="E2891" s="35">
        <v>1.4990000000000001</v>
      </c>
      <c r="F2891" s="35">
        <v>1.998</v>
      </c>
      <c r="G2891" s="35">
        <v>5400</v>
      </c>
    </row>
    <row r="2892" spans="1:7" x14ac:dyDescent="0.25">
      <c r="A2892">
        <v>20221028</v>
      </c>
      <c r="B2892" t="s">
        <v>771</v>
      </c>
      <c r="C2892" t="s">
        <v>249</v>
      </c>
      <c r="D2892" t="s">
        <v>279</v>
      </c>
      <c r="E2892" s="35">
        <v>1.4990000000000001</v>
      </c>
      <c r="F2892" s="35">
        <v>1.998</v>
      </c>
      <c r="G2892" s="35">
        <v>4100</v>
      </c>
    </row>
    <row r="2893" spans="1:7" x14ac:dyDescent="0.25">
      <c r="A2893">
        <v>20221028</v>
      </c>
      <c r="B2893" t="s">
        <v>771</v>
      </c>
      <c r="C2893" t="s">
        <v>249</v>
      </c>
      <c r="D2893" t="s">
        <v>285</v>
      </c>
      <c r="E2893" s="35">
        <v>1.4990000000000001</v>
      </c>
      <c r="F2893" s="35">
        <v>1.998</v>
      </c>
      <c r="G2893" s="35">
        <v>2300</v>
      </c>
    </row>
    <row r="2894" spans="1:7" x14ac:dyDescent="0.25">
      <c r="A2894">
        <v>20221028</v>
      </c>
      <c r="B2894" t="s">
        <v>771</v>
      </c>
      <c r="C2894" t="s">
        <v>249</v>
      </c>
      <c r="D2894" t="s">
        <v>289</v>
      </c>
      <c r="E2894" s="35">
        <v>1.4990000000000001</v>
      </c>
      <c r="F2894" s="35">
        <v>1.998</v>
      </c>
      <c r="G2894" s="35">
        <v>1100</v>
      </c>
    </row>
    <row r="2895" spans="1:7" x14ac:dyDescent="0.25">
      <c r="A2895">
        <v>20221028</v>
      </c>
      <c r="B2895" t="s">
        <v>771</v>
      </c>
      <c r="C2895" t="s">
        <v>257</v>
      </c>
      <c r="D2895" t="s">
        <v>187</v>
      </c>
      <c r="E2895" s="35">
        <v>1.4990000000000001</v>
      </c>
      <c r="F2895" s="35">
        <v>1.998</v>
      </c>
      <c r="G2895" s="35">
        <v>8900</v>
      </c>
    </row>
    <row r="2896" spans="1:7" x14ac:dyDescent="0.25">
      <c r="A2896">
        <v>20221028</v>
      </c>
      <c r="B2896" t="s">
        <v>771</v>
      </c>
      <c r="C2896" t="s">
        <v>257</v>
      </c>
      <c r="D2896" t="s">
        <v>214</v>
      </c>
      <c r="E2896" s="35">
        <v>1.4990000000000001</v>
      </c>
      <c r="F2896" s="35">
        <v>1.998</v>
      </c>
      <c r="G2896" s="35">
        <v>8500</v>
      </c>
    </row>
    <row r="2897" spans="1:7" x14ac:dyDescent="0.25">
      <c r="A2897">
        <v>20221028</v>
      </c>
      <c r="B2897" t="s">
        <v>771</v>
      </c>
      <c r="C2897" t="s">
        <v>257</v>
      </c>
      <c r="D2897" t="s">
        <v>233</v>
      </c>
      <c r="E2897" s="35">
        <v>1.4990000000000001</v>
      </c>
      <c r="F2897" s="35">
        <v>1.998</v>
      </c>
      <c r="G2897" s="35">
        <v>8200</v>
      </c>
    </row>
    <row r="2898" spans="1:7" x14ac:dyDescent="0.25">
      <c r="A2898">
        <v>20221028</v>
      </c>
      <c r="B2898" t="s">
        <v>771</v>
      </c>
      <c r="C2898" t="s">
        <v>257</v>
      </c>
      <c r="D2898" t="s">
        <v>242</v>
      </c>
      <c r="E2898" s="35">
        <v>1.4990000000000001</v>
      </c>
      <c r="F2898" s="35">
        <v>1.998</v>
      </c>
      <c r="G2898" s="35">
        <v>7900</v>
      </c>
    </row>
    <row r="2899" spans="1:7" x14ac:dyDescent="0.25">
      <c r="A2899">
        <v>20221028</v>
      </c>
      <c r="B2899" t="s">
        <v>771</v>
      </c>
      <c r="C2899" t="s">
        <v>257</v>
      </c>
      <c r="D2899" t="s">
        <v>250</v>
      </c>
      <c r="E2899" s="35">
        <v>1.4990000000000001</v>
      </c>
      <c r="F2899" s="35">
        <v>1.998</v>
      </c>
      <c r="G2899" s="35">
        <v>7600</v>
      </c>
    </row>
    <row r="2900" spans="1:7" x14ac:dyDescent="0.25">
      <c r="A2900">
        <v>20221028</v>
      </c>
      <c r="B2900" t="s">
        <v>771</v>
      </c>
      <c r="C2900" t="s">
        <v>257</v>
      </c>
      <c r="D2900" t="s">
        <v>258</v>
      </c>
      <c r="E2900" s="35">
        <v>1.4990000000000001</v>
      </c>
      <c r="F2900" s="35">
        <v>1.998</v>
      </c>
      <c r="G2900" s="35">
        <v>7300</v>
      </c>
    </row>
    <row r="2901" spans="1:7" x14ac:dyDescent="0.25">
      <c r="A2901">
        <v>20221028</v>
      </c>
      <c r="B2901" t="s">
        <v>771</v>
      </c>
      <c r="C2901" t="s">
        <v>257</v>
      </c>
      <c r="D2901" t="s">
        <v>265</v>
      </c>
      <c r="E2901" s="35">
        <v>1.4990000000000001</v>
      </c>
      <c r="F2901" s="35">
        <v>1.998</v>
      </c>
      <c r="G2901" s="35">
        <v>6700</v>
      </c>
    </row>
    <row r="2902" spans="1:7" x14ac:dyDescent="0.25">
      <c r="A2902">
        <v>20221028</v>
      </c>
      <c r="B2902" t="s">
        <v>771</v>
      </c>
      <c r="C2902" t="s">
        <v>257</v>
      </c>
      <c r="D2902" t="s">
        <v>273</v>
      </c>
      <c r="E2902" s="35">
        <v>1.4990000000000001</v>
      </c>
      <c r="F2902" s="35">
        <v>1.998</v>
      </c>
      <c r="G2902" s="35">
        <v>5000</v>
      </c>
    </row>
    <row r="2903" spans="1:7" x14ac:dyDescent="0.25">
      <c r="A2903">
        <v>20221028</v>
      </c>
      <c r="B2903" t="s">
        <v>771</v>
      </c>
      <c r="C2903" t="s">
        <v>257</v>
      </c>
      <c r="D2903" t="s">
        <v>279</v>
      </c>
      <c r="E2903" s="35">
        <v>1.4990000000000001</v>
      </c>
      <c r="F2903" s="35">
        <v>1.998</v>
      </c>
      <c r="G2903" s="35">
        <v>3800</v>
      </c>
    </row>
    <row r="2904" spans="1:7" x14ac:dyDescent="0.25">
      <c r="A2904">
        <v>20221028</v>
      </c>
      <c r="B2904" t="s">
        <v>771</v>
      </c>
      <c r="C2904" t="s">
        <v>257</v>
      </c>
      <c r="D2904" t="s">
        <v>285</v>
      </c>
      <c r="E2904" s="35">
        <v>1.4990000000000001</v>
      </c>
      <c r="F2904" s="35">
        <v>1.998</v>
      </c>
      <c r="G2904" s="35">
        <v>2200</v>
      </c>
    </row>
    <row r="2905" spans="1:7" x14ac:dyDescent="0.25">
      <c r="A2905">
        <v>20221028</v>
      </c>
      <c r="B2905" t="s">
        <v>771</v>
      </c>
      <c r="C2905" t="s">
        <v>257</v>
      </c>
      <c r="D2905" t="s">
        <v>289</v>
      </c>
      <c r="E2905" s="35">
        <v>1.4990000000000001</v>
      </c>
      <c r="F2905" s="35">
        <v>1.998</v>
      </c>
      <c r="G2905" s="35">
        <v>1100</v>
      </c>
    </row>
    <row r="2906" spans="1:7" x14ac:dyDescent="0.25">
      <c r="A2906">
        <v>20221028</v>
      </c>
      <c r="B2906" t="s">
        <v>771</v>
      </c>
      <c r="C2906" t="s">
        <v>264</v>
      </c>
      <c r="D2906" t="s">
        <v>187</v>
      </c>
      <c r="E2906" s="35">
        <v>1.4990000000000001</v>
      </c>
      <c r="F2906" s="35">
        <v>1.998</v>
      </c>
      <c r="G2906" s="35">
        <v>7200</v>
      </c>
    </row>
    <row r="2907" spans="1:7" x14ac:dyDescent="0.25">
      <c r="A2907">
        <v>20221028</v>
      </c>
      <c r="B2907" t="s">
        <v>771</v>
      </c>
      <c r="C2907" t="s">
        <v>264</v>
      </c>
      <c r="D2907" t="s">
        <v>214</v>
      </c>
      <c r="E2907" s="35">
        <v>1.4990000000000001</v>
      </c>
      <c r="F2907" s="35">
        <v>1.998</v>
      </c>
      <c r="G2907" s="35">
        <v>6900</v>
      </c>
    </row>
    <row r="2908" spans="1:7" x14ac:dyDescent="0.25">
      <c r="A2908">
        <v>20221028</v>
      </c>
      <c r="B2908" t="s">
        <v>771</v>
      </c>
      <c r="C2908" t="s">
        <v>264</v>
      </c>
      <c r="D2908" t="s">
        <v>233</v>
      </c>
      <c r="E2908" s="35">
        <v>1.4990000000000001</v>
      </c>
      <c r="F2908" s="35">
        <v>1.998</v>
      </c>
      <c r="G2908" s="35">
        <v>6600</v>
      </c>
    </row>
    <row r="2909" spans="1:7" x14ac:dyDescent="0.25">
      <c r="A2909">
        <v>20221028</v>
      </c>
      <c r="B2909" t="s">
        <v>771</v>
      </c>
      <c r="C2909" t="s">
        <v>264</v>
      </c>
      <c r="D2909" t="s">
        <v>242</v>
      </c>
      <c r="E2909" s="35">
        <v>1.4990000000000001</v>
      </c>
      <c r="F2909" s="35">
        <v>1.998</v>
      </c>
      <c r="G2909" s="35">
        <v>6300</v>
      </c>
    </row>
    <row r="2910" spans="1:7" x14ac:dyDescent="0.25">
      <c r="A2910">
        <v>20221028</v>
      </c>
      <c r="B2910" t="s">
        <v>771</v>
      </c>
      <c r="C2910" t="s">
        <v>264</v>
      </c>
      <c r="D2910" t="s">
        <v>250</v>
      </c>
      <c r="E2910" s="35">
        <v>1.4990000000000001</v>
      </c>
      <c r="F2910" s="35">
        <v>1.998</v>
      </c>
      <c r="G2910" s="35">
        <v>6100</v>
      </c>
    </row>
    <row r="2911" spans="1:7" x14ac:dyDescent="0.25">
      <c r="A2911">
        <v>20221028</v>
      </c>
      <c r="B2911" t="s">
        <v>771</v>
      </c>
      <c r="C2911" t="s">
        <v>264</v>
      </c>
      <c r="D2911" t="s">
        <v>258</v>
      </c>
      <c r="E2911" s="35">
        <v>1.4990000000000001</v>
      </c>
      <c r="F2911" s="35">
        <v>1.998</v>
      </c>
      <c r="G2911" s="35">
        <v>5800</v>
      </c>
    </row>
    <row r="2912" spans="1:7" x14ac:dyDescent="0.25">
      <c r="A2912">
        <v>20221028</v>
      </c>
      <c r="B2912" t="s">
        <v>771</v>
      </c>
      <c r="C2912" t="s">
        <v>264</v>
      </c>
      <c r="D2912" t="s">
        <v>265</v>
      </c>
      <c r="E2912" s="35">
        <v>1.4990000000000001</v>
      </c>
      <c r="F2912" s="35">
        <v>1.998</v>
      </c>
      <c r="G2912" s="35">
        <v>5500</v>
      </c>
    </row>
    <row r="2913" spans="1:7" x14ac:dyDescent="0.25">
      <c r="A2913">
        <v>20221028</v>
      </c>
      <c r="B2913" t="s">
        <v>771</v>
      </c>
      <c r="C2913" t="s">
        <v>264</v>
      </c>
      <c r="D2913" t="s">
        <v>273</v>
      </c>
      <c r="E2913" s="35">
        <v>1.4990000000000001</v>
      </c>
      <c r="F2913" s="35">
        <v>1.998</v>
      </c>
      <c r="G2913" s="35">
        <v>4400</v>
      </c>
    </row>
    <row r="2914" spans="1:7" x14ac:dyDescent="0.25">
      <c r="A2914">
        <v>20221028</v>
      </c>
      <c r="B2914" t="s">
        <v>771</v>
      </c>
      <c r="C2914" t="s">
        <v>264</v>
      </c>
      <c r="D2914" t="s">
        <v>279</v>
      </c>
      <c r="E2914" s="35">
        <v>1.4990000000000001</v>
      </c>
      <c r="F2914" s="35">
        <v>1.998</v>
      </c>
      <c r="G2914" s="35">
        <v>3500</v>
      </c>
    </row>
    <row r="2915" spans="1:7" x14ac:dyDescent="0.25">
      <c r="A2915">
        <v>20221028</v>
      </c>
      <c r="B2915" t="s">
        <v>771</v>
      </c>
      <c r="C2915" t="s">
        <v>264</v>
      </c>
      <c r="D2915" t="s">
        <v>285</v>
      </c>
      <c r="E2915" s="35">
        <v>1.4990000000000001</v>
      </c>
      <c r="F2915" s="35">
        <v>1.998</v>
      </c>
      <c r="G2915" s="35">
        <v>2000</v>
      </c>
    </row>
    <row r="2916" spans="1:7" x14ac:dyDescent="0.25">
      <c r="A2916">
        <v>20221028</v>
      </c>
      <c r="B2916" t="s">
        <v>771</v>
      </c>
      <c r="C2916" t="s">
        <v>264</v>
      </c>
      <c r="D2916" t="s">
        <v>289</v>
      </c>
      <c r="E2916" s="35">
        <v>1.4990000000000001</v>
      </c>
      <c r="F2916" s="35">
        <v>1.998</v>
      </c>
      <c r="G2916" s="35">
        <v>1100</v>
      </c>
    </row>
    <row r="2917" spans="1:7" x14ac:dyDescent="0.25">
      <c r="A2917">
        <v>20221028</v>
      </c>
      <c r="B2917" t="s">
        <v>771</v>
      </c>
      <c r="C2917" t="s">
        <v>272</v>
      </c>
      <c r="D2917" t="s">
        <v>187</v>
      </c>
      <c r="E2917" s="35">
        <v>1.4990000000000001</v>
      </c>
      <c r="F2917" s="35">
        <v>1.998</v>
      </c>
      <c r="G2917" s="35">
        <v>5700</v>
      </c>
    </row>
    <row r="2918" spans="1:7" x14ac:dyDescent="0.25">
      <c r="A2918">
        <v>20221028</v>
      </c>
      <c r="B2918" t="s">
        <v>771</v>
      </c>
      <c r="C2918" t="s">
        <v>272</v>
      </c>
      <c r="D2918" t="s">
        <v>214</v>
      </c>
      <c r="E2918" s="35">
        <v>1.4990000000000001</v>
      </c>
      <c r="F2918" s="35">
        <v>1.998</v>
      </c>
      <c r="G2918" s="35">
        <v>5500</v>
      </c>
    </row>
    <row r="2919" spans="1:7" x14ac:dyDescent="0.25">
      <c r="A2919">
        <v>20221028</v>
      </c>
      <c r="B2919" t="s">
        <v>771</v>
      </c>
      <c r="C2919" t="s">
        <v>272</v>
      </c>
      <c r="D2919" t="s">
        <v>233</v>
      </c>
      <c r="E2919" s="35">
        <v>1.4990000000000001</v>
      </c>
      <c r="F2919" s="35">
        <v>1.998</v>
      </c>
      <c r="G2919" s="35">
        <v>5300</v>
      </c>
    </row>
    <row r="2920" spans="1:7" x14ac:dyDescent="0.25">
      <c r="A2920">
        <v>20221028</v>
      </c>
      <c r="B2920" t="s">
        <v>771</v>
      </c>
      <c r="C2920" t="s">
        <v>272</v>
      </c>
      <c r="D2920" t="s">
        <v>242</v>
      </c>
      <c r="E2920" s="35">
        <v>1.4990000000000001</v>
      </c>
      <c r="F2920" s="35">
        <v>1.998</v>
      </c>
      <c r="G2920" s="35">
        <v>5100</v>
      </c>
    </row>
    <row r="2921" spans="1:7" x14ac:dyDescent="0.25">
      <c r="A2921">
        <v>20221028</v>
      </c>
      <c r="B2921" t="s">
        <v>771</v>
      </c>
      <c r="C2921" t="s">
        <v>272</v>
      </c>
      <c r="D2921" t="s">
        <v>250</v>
      </c>
      <c r="E2921" s="35">
        <v>1.4990000000000001</v>
      </c>
      <c r="F2921" s="35">
        <v>1.998</v>
      </c>
      <c r="G2921" s="35">
        <v>4900</v>
      </c>
    </row>
    <row r="2922" spans="1:7" x14ac:dyDescent="0.25">
      <c r="A2922">
        <v>20221028</v>
      </c>
      <c r="B2922" t="s">
        <v>771</v>
      </c>
      <c r="C2922" t="s">
        <v>272</v>
      </c>
      <c r="D2922" t="s">
        <v>258</v>
      </c>
      <c r="E2922" s="35">
        <v>1.4990000000000001</v>
      </c>
      <c r="F2922" s="35">
        <v>1.998</v>
      </c>
      <c r="G2922" s="35">
        <v>4700</v>
      </c>
    </row>
    <row r="2923" spans="1:7" x14ac:dyDescent="0.25">
      <c r="A2923">
        <v>20221028</v>
      </c>
      <c r="B2923" t="s">
        <v>771</v>
      </c>
      <c r="C2923" t="s">
        <v>272</v>
      </c>
      <c r="D2923" t="s">
        <v>265</v>
      </c>
      <c r="E2923" s="35">
        <v>1.4990000000000001</v>
      </c>
      <c r="F2923" s="35">
        <v>1.998</v>
      </c>
      <c r="G2923" s="35">
        <v>4400</v>
      </c>
    </row>
    <row r="2924" spans="1:7" x14ac:dyDescent="0.25">
      <c r="A2924">
        <v>20221028</v>
      </c>
      <c r="B2924" t="s">
        <v>771</v>
      </c>
      <c r="C2924" t="s">
        <v>272</v>
      </c>
      <c r="D2924" t="s">
        <v>273</v>
      </c>
      <c r="E2924" s="35">
        <v>1.4990000000000001</v>
      </c>
      <c r="F2924" s="35">
        <v>1.998</v>
      </c>
      <c r="G2924" s="35">
        <v>3700</v>
      </c>
    </row>
    <row r="2925" spans="1:7" x14ac:dyDescent="0.25">
      <c r="A2925">
        <v>20221028</v>
      </c>
      <c r="B2925" t="s">
        <v>771</v>
      </c>
      <c r="C2925" t="s">
        <v>272</v>
      </c>
      <c r="D2925" t="s">
        <v>279</v>
      </c>
      <c r="E2925" s="35">
        <v>1.4990000000000001</v>
      </c>
      <c r="F2925" s="35">
        <v>1.998</v>
      </c>
      <c r="G2925" s="35">
        <v>3200</v>
      </c>
    </row>
    <row r="2926" spans="1:7" x14ac:dyDescent="0.25">
      <c r="A2926">
        <v>20221028</v>
      </c>
      <c r="B2926" t="s">
        <v>771</v>
      </c>
      <c r="C2926" t="s">
        <v>272</v>
      </c>
      <c r="D2926" t="s">
        <v>285</v>
      </c>
      <c r="E2926" s="35">
        <v>1.4990000000000001</v>
      </c>
      <c r="F2926" s="35">
        <v>1.998</v>
      </c>
      <c r="G2926" s="35">
        <v>1800</v>
      </c>
    </row>
    <row r="2927" spans="1:7" x14ac:dyDescent="0.25">
      <c r="A2927">
        <v>20221028</v>
      </c>
      <c r="B2927" t="s">
        <v>771</v>
      </c>
      <c r="C2927" t="s">
        <v>272</v>
      </c>
      <c r="D2927" t="s">
        <v>289</v>
      </c>
      <c r="E2927" s="35">
        <v>1.4990000000000001</v>
      </c>
      <c r="F2927" s="35">
        <v>1.998</v>
      </c>
      <c r="G2927" s="35">
        <v>1000</v>
      </c>
    </row>
    <row r="2928" spans="1:7" x14ac:dyDescent="0.25">
      <c r="A2928">
        <v>20221028</v>
      </c>
      <c r="B2928" t="s">
        <v>771</v>
      </c>
      <c r="C2928" t="s">
        <v>278</v>
      </c>
      <c r="D2928" t="s">
        <v>187</v>
      </c>
      <c r="E2928" s="35">
        <v>1.4990000000000001</v>
      </c>
      <c r="F2928" s="35">
        <v>1.998</v>
      </c>
      <c r="G2928" s="35">
        <v>4600</v>
      </c>
    </row>
    <row r="2929" spans="1:7" x14ac:dyDescent="0.25">
      <c r="A2929">
        <v>20221028</v>
      </c>
      <c r="B2929" t="s">
        <v>771</v>
      </c>
      <c r="C2929" t="s">
        <v>278</v>
      </c>
      <c r="D2929" t="s">
        <v>214</v>
      </c>
      <c r="E2929" s="35">
        <v>1.4990000000000001</v>
      </c>
      <c r="F2929" s="35">
        <v>1.998</v>
      </c>
      <c r="G2929" s="35">
        <v>4400</v>
      </c>
    </row>
    <row r="2930" spans="1:7" x14ac:dyDescent="0.25">
      <c r="A2930">
        <v>20221028</v>
      </c>
      <c r="B2930" t="s">
        <v>771</v>
      </c>
      <c r="C2930" t="s">
        <v>278</v>
      </c>
      <c r="D2930" t="s">
        <v>233</v>
      </c>
      <c r="E2930" s="35">
        <v>1.4990000000000001</v>
      </c>
      <c r="F2930" s="35">
        <v>1.998</v>
      </c>
      <c r="G2930" s="35">
        <v>4300</v>
      </c>
    </row>
    <row r="2931" spans="1:7" x14ac:dyDescent="0.25">
      <c r="A2931">
        <v>20221028</v>
      </c>
      <c r="B2931" t="s">
        <v>771</v>
      </c>
      <c r="C2931" t="s">
        <v>278</v>
      </c>
      <c r="D2931" t="s">
        <v>242</v>
      </c>
      <c r="E2931" s="35">
        <v>1.4990000000000001</v>
      </c>
      <c r="F2931" s="35">
        <v>1.998</v>
      </c>
      <c r="G2931" s="35">
        <v>4100</v>
      </c>
    </row>
    <row r="2932" spans="1:7" x14ac:dyDescent="0.25">
      <c r="A2932">
        <v>20221028</v>
      </c>
      <c r="B2932" t="s">
        <v>771</v>
      </c>
      <c r="C2932" t="s">
        <v>278</v>
      </c>
      <c r="D2932" t="s">
        <v>250</v>
      </c>
      <c r="E2932" s="35">
        <v>1.4990000000000001</v>
      </c>
      <c r="F2932" s="35">
        <v>1.998</v>
      </c>
      <c r="G2932" s="35">
        <v>4000</v>
      </c>
    </row>
    <row r="2933" spans="1:7" x14ac:dyDescent="0.25">
      <c r="A2933">
        <v>20221028</v>
      </c>
      <c r="B2933" t="s">
        <v>771</v>
      </c>
      <c r="C2933" t="s">
        <v>278</v>
      </c>
      <c r="D2933" t="s">
        <v>258</v>
      </c>
      <c r="E2933" s="35">
        <v>1.4990000000000001</v>
      </c>
      <c r="F2933" s="35">
        <v>1.998</v>
      </c>
      <c r="G2933" s="35">
        <v>3800</v>
      </c>
    </row>
    <row r="2934" spans="1:7" x14ac:dyDescent="0.25">
      <c r="A2934">
        <v>20221028</v>
      </c>
      <c r="B2934" t="s">
        <v>771</v>
      </c>
      <c r="C2934" t="s">
        <v>278</v>
      </c>
      <c r="D2934" t="s">
        <v>265</v>
      </c>
      <c r="E2934" s="35">
        <v>1.4990000000000001</v>
      </c>
      <c r="F2934" s="35">
        <v>1.998</v>
      </c>
      <c r="G2934" s="35">
        <v>3600</v>
      </c>
    </row>
    <row r="2935" spans="1:7" x14ac:dyDescent="0.25">
      <c r="A2935">
        <v>20221028</v>
      </c>
      <c r="B2935" t="s">
        <v>771</v>
      </c>
      <c r="C2935" t="s">
        <v>278</v>
      </c>
      <c r="D2935" t="s">
        <v>273</v>
      </c>
      <c r="E2935" s="35">
        <v>1.4990000000000001</v>
      </c>
      <c r="F2935" s="35">
        <v>1.998</v>
      </c>
      <c r="G2935" s="35">
        <v>3000</v>
      </c>
    </row>
    <row r="2936" spans="1:7" x14ac:dyDescent="0.25">
      <c r="A2936">
        <v>20221028</v>
      </c>
      <c r="B2936" t="s">
        <v>771</v>
      </c>
      <c r="C2936" t="s">
        <v>278</v>
      </c>
      <c r="D2936" t="s">
        <v>279</v>
      </c>
      <c r="E2936" s="35">
        <v>1.4990000000000001</v>
      </c>
      <c r="F2936" s="35">
        <v>1.998</v>
      </c>
      <c r="G2936" s="35">
        <v>2700</v>
      </c>
    </row>
    <row r="2937" spans="1:7" x14ac:dyDescent="0.25">
      <c r="A2937">
        <v>20221028</v>
      </c>
      <c r="B2937" t="s">
        <v>771</v>
      </c>
      <c r="C2937" t="s">
        <v>278</v>
      </c>
      <c r="D2937" t="s">
        <v>285</v>
      </c>
      <c r="E2937" s="35">
        <v>1.4990000000000001</v>
      </c>
      <c r="F2937" s="35">
        <v>1.998</v>
      </c>
      <c r="G2937" s="35">
        <v>1600</v>
      </c>
    </row>
    <row r="2938" spans="1:7" x14ac:dyDescent="0.25">
      <c r="A2938">
        <v>20221028</v>
      </c>
      <c r="B2938" t="s">
        <v>771</v>
      </c>
      <c r="C2938" t="s">
        <v>278</v>
      </c>
      <c r="D2938" t="s">
        <v>289</v>
      </c>
      <c r="E2938" s="35">
        <v>1.4990000000000001</v>
      </c>
      <c r="F2938" s="35">
        <v>1.998</v>
      </c>
      <c r="G2938" s="35">
        <v>1000</v>
      </c>
    </row>
    <row r="2939" spans="1:7" x14ac:dyDescent="0.25">
      <c r="A2939">
        <v>20221028</v>
      </c>
      <c r="B2939" t="s">
        <v>771</v>
      </c>
      <c r="C2939" t="s">
        <v>284</v>
      </c>
      <c r="D2939" t="s">
        <v>187</v>
      </c>
      <c r="E2939" s="35">
        <v>1.4990000000000001</v>
      </c>
      <c r="F2939" s="35">
        <v>1.998</v>
      </c>
      <c r="G2939" s="35">
        <v>3700</v>
      </c>
    </row>
    <row r="2940" spans="1:7" x14ac:dyDescent="0.25">
      <c r="A2940">
        <v>20221028</v>
      </c>
      <c r="B2940" t="s">
        <v>771</v>
      </c>
      <c r="C2940" t="s">
        <v>284</v>
      </c>
      <c r="D2940" t="s">
        <v>214</v>
      </c>
      <c r="E2940" s="35">
        <v>1.4990000000000001</v>
      </c>
      <c r="F2940" s="35">
        <v>1.998</v>
      </c>
      <c r="G2940" s="35">
        <v>3500</v>
      </c>
    </row>
    <row r="2941" spans="1:7" x14ac:dyDescent="0.25">
      <c r="A2941">
        <v>20221028</v>
      </c>
      <c r="B2941" t="s">
        <v>771</v>
      </c>
      <c r="C2941" t="s">
        <v>284</v>
      </c>
      <c r="D2941" t="s">
        <v>233</v>
      </c>
      <c r="E2941" s="35">
        <v>1.4990000000000001</v>
      </c>
      <c r="F2941" s="35">
        <v>1.998</v>
      </c>
      <c r="G2941" s="35">
        <v>3400</v>
      </c>
    </row>
    <row r="2942" spans="1:7" x14ac:dyDescent="0.25">
      <c r="A2942">
        <v>20221028</v>
      </c>
      <c r="B2942" t="s">
        <v>771</v>
      </c>
      <c r="C2942" t="s">
        <v>284</v>
      </c>
      <c r="D2942" t="s">
        <v>242</v>
      </c>
      <c r="E2942" s="35">
        <v>1.4990000000000001</v>
      </c>
      <c r="F2942" s="35">
        <v>1.998</v>
      </c>
      <c r="G2942" s="35">
        <v>3300</v>
      </c>
    </row>
    <row r="2943" spans="1:7" x14ac:dyDescent="0.25">
      <c r="A2943">
        <v>20221028</v>
      </c>
      <c r="B2943" t="s">
        <v>771</v>
      </c>
      <c r="C2943" t="s">
        <v>284</v>
      </c>
      <c r="D2943" t="s">
        <v>250</v>
      </c>
      <c r="E2943" s="35">
        <v>1.4990000000000001</v>
      </c>
      <c r="F2943" s="35">
        <v>1.998</v>
      </c>
      <c r="G2943" s="35">
        <v>3200</v>
      </c>
    </row>
    <row r="2944" spans="1:7" x14ac:dyDescent="0.25">
      <c r="A2944">
        <v>20221028</v>
      </c>
      <c r="B2944" t="s">
        <v>771</v>
      </c>
      <c r="C2944" t="s">
        <v>284</v>
      </c>
      <c r="D2944" t="s">
        <v>258</v>
      </c>
      <c r="E2944" s="35">
        <v>1.4990000000000001</v>
      </c>
      <c r="F2944" s="35">
        <v>1.998</v>
      </c>
      <c r="G2944" s="35">
        <v>3000</v>
      </c>
    </row>
    <row r="2945" spans="1:7" x14ac:dyDescent="0.25">
      <c r="A2945">
        <v>20221028</v>
      </c>
      <c r="B2945" t="s">
        <v>771</v>
      </c>
      <c r="C2945" t="s">
        <v>284</v>
      </c>
      <c r="D2945" t="s">
        <v>265</v>
      </c>
      <c r="E2945" s="35">
        <v>1.4990000000000001</v>
      </c>
      <c r="F2945" s="35">
        <v>1.998</v>
      </c>
      <c r="G2945" s="35">
        <v>2800</v>
      </c>
    </row>
    <row r="2946" spans="1:7" x14ac:dyDescent="0.25">
      <c r="A2946">
        <v>20221028</v>
      </c>
      <c r="B2946" t="s">
        <v>771</v>
      </c>
      <c r="C2946" t="s">
        <v>284</v>
      </c>
      <c r="D2946" t="s">
        <v>273</v>
      </c>
      <c r="E2946" s="35">
        <v>1.4990000000000001</v>
      </c>
      <c r="F2946" s="35">
        <v>1.998</v>
      </c>
      <c r="G2946" s="35">
        <v>2600</v>
      </c>
    </row>
    <row r="2947" spans="1:7" x14ac:dyDescent="0.25">
      <c r="A2947">
        <v>20221028</v>
      </c>
      <c r="B2947" t="s">
        <v>771</v>
      </c>
      <c r="C2947" t="s">
        <v>284</v>
      </c>
      <c r="D2947" t="s">
        <v>279</v>
      </c>
      <c r="E2947" s="35">
        <v>1.4990000000000001</v>
      </c>
      <c r="F2947" s="35">
        <v>1.998</v>
      </c>
      <c r="G2947" s="35">
        <v>2300</v>
      </c>
    </row>
    <row r="2948" spans="1:7" x14ac:dyDescent="0.25">
      <c r="A2948">
        <v>20221028</v>
      </c>
      <c r="B2948" t="s">
        <v>771</v>
      </c>
      <c r="C2948" t="s">
        <v>284</v>
      </c>
      <c r="D2948" t="s">
        <v>285</v>
      </c>
      <c r="E2948" s="35">
        <v>1.4990000000000001</v>
      </c>
      <c r="F2948" s="35">
        <v>1.998</v>
      </c>
      <c r="G2948" s="35">
        <v>1500</v>
      </c>
    </row>
    <row r="2949" spans="1:7" x14ac:dyDescent="0.25">
      <c r="A2949">
        <v>20221028</v>
      </c>
      <c r="B2949" t="s">
        <v>771</v>
      </c>
      <c r="C2949" t="s">
        <v>284</v>
      </c>
      <c r="D2949" t="s">
        <v>289</v>
      </c>
      <c r="E2949" s="35">
        <v>1.4990000000000001</v>
      </c>
      <c r="F2949" s="35">
        <v>1.998</v>
      </c>
      <c r="G2949" s="35">
        <v>1000</v>
      </c>
    </row>
    <row r="2950" spans="1:7" x14ac:dyDescent="0.25">
      <c r="A2950">
        <v>20221028</v>
      </c>
      <c r="B2950" t="s">
        <v>771</v>
      </c>
      <c r="C2950" t="s">
        <v>186</v>
      </c>
      <c r="D2950" t="s">
        <v>187</v>
      </c>
      <c r="E2950" s="35">
        <v>1.9990000000000001</v>
      </c>
      <c r="F2950" s="35">
        <v>2.9980000000000002</v>
      </c>
      <c r="G2950" s="35">
        <v>25500</v>
      </c>
    </row>
    <row r="2951" spans="1:7" x14ac:dyDescent="0.25">
      <c r="A2951">
        <v>20221028</v>
      </c>
      <c r="B2951" t="s">
        <v>771</v>
      </c>
      <c r="C2951" t="s">
        <v>186</v>
      </c>
      <c r="D2951" t="s">
        <v>214</v>
      </c>
      <c r="E2951" s="35">
        <v>1.9990000000000001</v>
      </c>
      <c r="F2951" s="35">
        <v>2.9980000000000002</v>
      </c>
      <c r="G2951" s="35">
        <v>23500</v>
      </c>
    </row>
    <row r="2952" spans="1:7" x14ac:dyDescent="0.25">
      <c r="A2952">
        <v>20221028</v>
      </c>
      <c r="B2952" t="s">
        <v>771</v>
      </c>
      <c r="C2952" t="s">
        <v>186</v>
      </c>
      <c r="D2952" t="s">
        <v>233</v>
      </c>
      <c r="E2952" s="35">
        <v>1.9990000000000001</v>
      </c>
      <c r="F2952" s="35">
        <v>2.9980000000000002</v>
      </c>
      <c r="G2952" s="35">
        <v>21000</v>
      </c>
    </row>
    <row r="2953" spans="1:7" x14ac:dyDescent="0.25">
      <c r="A2953">
        <v>20221028</v>
      </c>
      <c r="B2953" t="s">
        <v>771</v>
      </c>
      <c r="C2953" t="s">
        <v>186</v>
      </c>
      <c r="D2953" t="s">
        <v>242</v>
      </c>
      <c r="E2953" s="35">
        <v>1.9990000000000001</v>
      </c>
      <c r="F2953" s="35">
        <v>2.9980000000000002</v>
      </c>
      <c r="G2953" s="35">
        <v>19000</v>
      </c>
    </row>
    <row r="2954" spans="1:7" x14ac:dyDescent="0.25">
      <c r="A2954">
        <v>20221028</v>
      </c>
      <c r="B2954" t="s">
        <v>771</v>
      </c>
      <c r="C2954" t="s">
        <v>186</v>
      </c>
      <c r="D2954" t="s">
        <v>250</v>
      </c>
      <c r="E2954" s="35">
        <v>1.9990000000000001</v>
      </c>
      <c r="F2954" s="35">
        <v>2.9980000000000002</v>
      </c>
      <c r="G2954" s="35">
        <v>17500</v>
      </c>
    </row>
    <row r="2955" spans="1:7" x14ac:dyDescent="0.25">
      <c r="A2955">
        <v>20221028</v>
      </c>
      <c r="B2955" t="s">
        <v>771</v>
      </c>
      <c r="C2955" t="s">
        <v>186</v>
      </c>
      <c r="D2955" t="s">
        <v>258</v>
      </c>
      <c r="E2955" s="35">
        <v>1.9990000000000001</v>
      </c>
      <c r="F2955" s="35">
        <v>2.9980000000000002</v>
      </c>
      <c r="G2955" s="35">
        <v>15100</v>
      </c>
    </row>
    <row r="2956" spans="1:7" x14ac:dyDescent="0.25">
      <c r="A2956">
        <v>20221028</v>
      </c>
      <c r="B2956" t="s">
        <v>771</v>
      </c>
      <c r="C2956" t="s">
        <v>186</v>
      </c>
      <c r="D2956" t="s">
        <v>265</v>
      </c>
      <c r="E2956" s="35">
        <v>1.9990000000000001</v>
      </c>
      <c r="F2956" s="35">
        <v>2.9980000000000002</v>
      </c>
      <c r="G2956" s="35">
        <v>12100</v>
      </c>
    </row>
    <row r="2957" spans="1:7" x14ac:dyDescent="0.25">
      <c r="A2957">
        <v>20221028</v>
      </c>
      <c r="B2957" t="s">
        <v>771</v>
      </c>
      <c r="C2957" t="s">
        <v>186</v>
      </c>
      <c r="D2957" t="s">
        <v>273</v>
      </c>
      <c r="E2957" s="35">
        <v>1.9990000000000001</v>
      </c>
      <c r="F2957" s="35">
        <v>2.9980000000000002</v>
      </c>
      <c r="G2957" s="35">
        <v>8800</v>
      </c>
    </row>
    <row r="2958" spans="1:7" x14ac:dyDescent="0.25">
      <c r="A2958">
        <v>20221028</v>
      </c>
      <c r="B2958" t="s">
        <v>771</v>
      </c>
      <c r="C2958" t="s">
        <v>186</v>
      </c>
      <c r="D2958" t="s">
        <v>279</v>
      </c>
      <c r="E2958" s="35">
        <v>1.9990000000000001</v>
      </c>
      <c r="F2958" s="35">
        <v>2.9980000000000002</v>
      </c>
      <c r="G2958" s="35">
        <v>6900</v>
      </c>
    </row>
    <row r="2959" spans="1:7" x14ac:dyDescent="0.25">
      <c r="A2959">
        <v>20221028</v>
      </c>
      <c r="B2959" t="s">
        <v>771</v>
      </c>
      <c r="C2959" t="s">
        <v>186</v>
      </c>
      <c r="D2959" t="s">
        <v>285</v>
      </c>
      <c r="E2959" s="35">
        <v>1.9990000000000001</v>
      </c>
      <c r="F2959" s="35">
        <v>2.9980000000000002</v>
      </c>
      <c r="G2959" s="35">
        <v>3000</v>
      </c>
    </row>
    <row r="2960" spans="1:7" x14ac:dyDescent="0.25">
      <c r="A2960">
        <v>20221028</v>
      </c>
      <c r="B2960" t="s">
        <v>771</v>
      </c>
      <c r="C2960" t="s">
        <v>186</v>
      </c>
      <c r="D2960" t="s">
        <v>289</v>
      </c>
      <c r="E2960" s="35">
        <v>1.9990000000000001</v>
      </c>
      <c r="F2960" s="35">
        <v>2.9980000000000002</v>
      </c>
      <c r="G2960" s="35">
        <v>1600</v>
      </c>
    </row>
    <row r="2961" spans="1:7" x14ac:dyDescent="0.25">
      <c r="A2961">
        <v>20221028</v>
      </c>
      <c r="B2961" t="s">
        <v>771</v>
      </c>
      <c r="C2961" t="s">
        <v>213</v>
      </c>
      <c r="D2961" t="s">
        <v>187</v>
      </c>
      <c r="E2961" s="35">
        <v>1.9990000000000001</v>
      </c>
      <c r="F2961" s="35">
        <v>2.9980000000000002</v>
      </c>
      <c r="G2961" s="35">
        <v>23000</v>
      </c>
    </row>
    <row r="2962" spans="1:7" x14ac:dyDescent="0.25">
      <c r="A2962">
        <v>20221028</v>
      </c>
      <c r="B2962" t="s">
        <v>771</v>
      </c>
      <c r="C2962" t="s">
        <v>213</v>
      </c>
      <c r="D2962" t="s">
        <v>214</v>
      </c>
      <c r="E2962" s="35">
        <v>1.9990000000000001</v>
      </c>
      <c r="F2962" s="35">
        <v>2.9980000000000002</v>
      </c>
      <c r="G2962" s="35">
        <v>21000</v>
      </c>
    </row>
    <row r="2963" spans="1:7" x14ac:dyDescent="0.25">
      <c r="A2963">
        <v>20221028</v>
      </c>
      <c r="B2963" t="s">
        <v>771</v>
      </c>
      <c r="C2963" t="s">
        <v>213</v>
      </c>
      <c r="D2963" t="s">
        <v>233</v>
      </c>
      <c r="E2963" s="35">
        <v>1.9990000000000001</v>
      </c>
      <c r="F2963" s="35">
        <v>2.9980000000000002</v>
      </c>
      <c r="G2963" s="35">
        <v>19500</v>
      </c>
    </row>
    <row r="2964" spans="1:7" x14ac:dyDescent="0.25">
      <c r="A2964">
        <v>20221028</v>
      </c>
      <c r="B2964" t="s">
        <v>771</v>
      </c>
      <c r="C2964" t="s">
        <v>213</v>
      </c>
      <c r="D2964" t="s">
        <v>242</v>
      </c>
      <c r="E2964" s="35">
        <v>1.9990000000000001</v>
      </c>
      <c r="F2964" s="35">
        <v>2.9980000000000002</v>
      </c>
      <c r="G2964" s="35">
        <v>18000</v>
      </c>
    </row>
    <row r="2965" spans="1:7" x14ac:dyDescent="0.25">
      <c r="A2965">
        <v>20221028</v>
      </c>
      <c r="B2965" t="s">
        <v>771</v>
      </c>
      <c r="C2965" t="s">
        <v>213</v>
      </c>
      <c r="D2965" t="s">
        <v>250</v>
      </c>
      <c r="E2965" s="35">
        <v>1.9990000000000001</v>
      </c>
      <c r="F2965" s="35">
        <v>2.9980000000000002</v>
      </c>
      <c r="G2965" s="35">
        <v>16500</v>
      </c>
    </row>
    <row r="2966" spans="1:7" x14ac:dyDescent="0.25">
      <c r="A2966">
        <v>20221028</v>
      </c>
      <c r="B2966" t="s">
        <v>771</v>
      </c>
      <c r="C2966" t="s">
        <v>213</v>
      </c>
      <c r="D2966" t="s">
        <v>258</v>
      </c>
      <c r="E2966" s="35">
        <v>1.9990000000000001</v>
      </c>
      <c r="F2966" s="35">
        <v>2.9980000000000002</v>
      </c>
      <c r="G2966" s="35">
        <v>14100</v>
      </c>
    </row>
    <row r="2967" spans="1:7" x14ac:dyDescent="0.25">
      <c r="A2967">
        <v>20221028</v>
      </c>
      <c r="B2967" t="s">
        <v>771</v>
      </c>
      <c r="C2967" t="s">
        <v>213</v>
      </c>
      <c r="D2967" t="s">
        <v>265</v>
      </c>
      <c r="E2967" s="35">
        <v>1.9990000000000001</v>
      </c>
      <c r="F2967" s="35">
        <v>2.9980000000000002</v>
      </c>
      <c r="G2967" s="35">
        <v>11400</v>
      </c>
    </row>
    <row r="2968" spans="1:7" x14ac:dyDescent="0.25">
      <c r="A2968">
        <v>20221028</v>
      </c>
      <c r="B2968" t="s">
        <v>771</v>
      </c>
      <c r="C2968" t="s">
        <v>213</v>
      </c>
      <c r="D2968" t="s">
        <v>273</v>
      </c>
      <c r="E2968" s="35">
        <v>1.9990000000000001</v>
      </c>
      <c r="F2968" s="35">
        <v>2.9980000000000002</v>
      </c>
      <c r="G2968" s="35">
        <v>8400</v>
      </c>
    </row>
    <row r="2969" spans="1:7" x14ac:dyDescent="0.25">
      <c r="A2969">
        <v>20221028</v>
      </c>
      <c r="B2969" t="s">
        <v>771</v>
      </c>
      <c r="C2969" t="s">
        <v>213</v>
      </c>
      <c r="D2969" t="s">
        <v>279</v>
      </c>
      <c r="E2969" s="35">
        <v>1.9990000000000001</v>
      </c>
      <c r="F2969" s="35">
        <v>2.9980000000000002</v>
      </c>
      <c r="G2969" s="35">
        <v>6400</v>
      </c>
    </row>
    <row r="2970" spans="1:7" x14ac:dyDescent="0.25">
      <c r="A2970">
        <v>20221028</v>
      </c>
      <c r="B2970" t="s">
        <v>771</v>
      </c>
      <c r="C2970" t="s">
        <v>213</v>
      </c>
      <c r="D2970" t="s">
        <v>285</v>
      </c>
      <c r="E2970" s="35">
        <v>1.9990000000000001</v>
      </c>
      <c r="F2970" s="35">
        <v>2.9980000000000002</v>
      </c>
      <c r="G2970" s="35">
        <v>2900</v>
      </c>
    </row>
    <row r="2971" spans="1:7" x14ac:dyDescent="0.25">
      <c r="A2971">
        <v>20221028</v>
      </c>
      <c r="B2971" t="s">
        <v>771</v>
      </c>
      <c r="C2971" t="s">
        <v>213</v>
      </c>
      <c r="D2971" t="s">
        <v>289</v>
      </c>
      <c r="E2971" s="35">
        <v>1.9990000000000001</v>
      </c>
      <c r="F2971" s="35">
        <v>2.9980000000000002</v>
      </c>
      <c r="G2971" s="35">
        <v>1500</v>
      </c>
    </row>
    <row r="2972" spans="1:7" x14ac:dyDescent="0.25">
      <c r="A2972">
        <v>20221028</v>
      </c>
      <c r="B2972" t="s">
        <v>771</v>
      </c>
      <c r="C2972" t="s">
        <v>232</v>
      </c>
      <c r="D2972" t="s">
        <v>187</v>
      </c>
      <c r="E2972" s="35">
        <v>1.9990000000000001</v>
      </c>
      <c r="F2972" s="35">
        <v>2.9980000000000002</v>
      </c>
      <c r="G2972" s="35">
        <v>20500</v>
      </c>
    </row>
    <row r="2973" spans="1:7" x14ac:dyDescent="0.25">
      <c r="A2973">
        <v>20221028</v>
      </c>
      <c r="B2973" t="s">
        <v>771</v>
      </c>
      <c r="C2973" t="s">
        <v>232</v>
      </c>
      <c r="D2973" t="s">
        <v>214</v>
      </c>
      <c r="E2973" s="35">
        <v>1.9990000000000001</v>
      </c>
      <c r="F2973" s="35">
        <v>2.9980000000000002</v>
      </c>
      <c r="G2973" s="35">
        <v>19000</v>
      </c>
    </row>
    <row r="2974" spans="1:7" x14ac:dyDescent="0.25">
      <c r="A2974">
        <v>20221028</v>
      </c>
      <c r="B2974" t="s">
        <v>771</v>
      </c>
      <c r="C2974" t="s">
        <v>232</v>
      </c>
      <c r="D2974" t="s">
        <v>233</v>
      </c>
      <c r="E2974" s="35">
        <v>1.9990000000000001</v>
      </c>
      <c r="F2974" s="35">
        <v>2.9980000000000002</v>
      </c>
      <c r="G2974" s="35">
        <v>18000</v>
      </c>
    </row>
    <row r="2975" spans="1:7" x14ac:dyDescent="0.25">
      <c r="A2975">
        <v>20221028</v>
      </c>
      <c r="B2975" t="s">
        <v>771</v>
      </c>
      <c r="C2975" t="s">
        <v>232</v>
      </c>
      <c r="D2975" t="s">
        <v>242</v>
      </c>
      <c r="E2975" s="35">
        <v>1.9990000000000001</v>
      </c>
      <c r="F2975" s="35">
        <v>2.9980000000000002</v>
      </c>
      <c r="G2975" s="35">
        <v>17000</v>
      </c>
    </row>
    <row r="2976" spans="1:7" x14ac:dyDescent="0.25">
      <c r="A2976">
        <v>20221028</v>
      </c>
      <c r="B2976" t="s">
        <v>771</v>
      </c>
      <c r="C2976" t="s">
        <v>232</v>
      </c>
      <c r="D2976" t="s">
        <v>250</v>
      </c>
      <c r="E2976" s="35">
        <v>1.9990000000000001</v>
      </c>
      <c r="F2976" s="35">
        <v>2.9980000000000002</v>
      </c>
      <c r="G2976" s="35">
        <v>15500</v>
      </c>
    </row>
    <row r="2977" spans="1:7" x14ac:dyDescent="0.25">
      <c r="A2977">
        <v>20221028</v>
      </c>
      <c r="B2977" t="s">
        <v>771</v>
      </c>
      <c r="C2977" t="s">
        <v>232</v>
      </c>
      <c r="D2977" t="s">
        <v>258</v>
      </c>
      <c r="E2977" s="35">
        <v>1.9990000000000001</v>
      </c>
      <c r="F2977" s="35">
        <v>2.9980000000000002</v>
      </c>
      <c r="G2977" s="35">
        <v>13200</v>
      </c>
    </row>
    <row r="2978" spans="1:7" x14ac:dyDescent="0.25">
      <c r="A2978">
        <v>20221028</v>
      </c>
      <c r="B2978" t="s">
        <v>771</v>
      </c>
      <c r="C2978" t="s">
        <v>232</v>
      </c>
      <c r="D2978" t="s">
        <v>265</v>
      </c>
      <c r="E2978" s="35">
        <v>1.9990000000000001</v>
      </c>
      <c r="F2978" s="35">
        <v>2.9980000000000002</v>
      </c>
      <c r="G2978" s="35">
        <v>10800</v>
      </c>
    </row>
    <row r="2979" spans="1:7" x14ac:dyDescent="0.25">
      <c r="A2979">
        <v>20221028</v>
      </c>
      <c r="B2979" t="s">
        <v>771</v>
      </c>
      <c r="C2979" t="s">
        <v>232</v>
      </c>
      <c r="D2979" t="s">
        <v>273</v>
      </c>
      <c r="E2979" s="35">
        <v>1.9990000000000001</v>
      </c>
      <c r="F2979" s="35">
        <v>2.9980000000000002</v>
      </c>
      <c r="G2979" s="35">
        <v>8000</v>
      </c>
    </row>
    <row r="2980" spans="1:7" x14ac:dyDescent="0.25">
      <c r="A2980">
        <v>20221028</v>
      </c>
      <c r="B2980" t="s">
        <v>771</v>
      </c>
      <c r="C2980" t="s">
        <v>232</v>
      </c>
      <c r="D2980" t="s">
        <v>279</v>
      </c>
      <c r="E2980" s="35">
        <v>1.9990000000000001</v>
      </c>
      <c r="F2980" s="35">
        <v>2.9980000000000002</v>
      </c>
      <c r="G2980" s="35">
        <v>5900</v>
      </c>
    </row>
    <row r="2981" spans="1:7" x14ac:dyDescent="0.25">
      <c r="A2981">
        <v>20221028</v>
      </c>
      <c r="B2981" t="s">
        <v>771</v>
      </c>
      <c r="C2981" t="s">
        <v>232</v>
      </c>
      <c r="D2981" t="s">
        <v>285</v>
      </c>
      <c r="E2981" s="35">
        <v>1.9990000000000001</v>
      </c>
      <c r="F2981" s="35">
        <v>2.9980000000000002</v>
      </c>
      <c r="G2981" s="35">
        <v>2800</v>
      </c>
    </row>
    <row r="2982" spans="1:7" x14ac:dyDescent="0.25">
      <c r="A2982">
        <v>20221028</v>
      </c>
      <c r="B2982" t="s">
        <v>771</v>
      </c>
      <c r="C2982" t="s">
        <v>232</v>
      </c>
      <c r="D2982" t="s">
        <v>289</v>
      </c>
      <c r="E2982" s="35">
        <v>1.9990000000000001</v>
      </c>
      <c r="F2982" s="35">
        <v>2.9980000000000002</v>
      </c>
      <c r="G2982" s="35">
        <v>1400</v>
      </c>
    </row>
    <row r="2983" spans="1:7" x14ac:dyDescent="0.25">
      <c r="A2983">
        <v>20221028</v>
      </c>
      <c r="B2983" t="s">
        <v>771</v>
      </c>
      <c r="C2983" t="s">
        <v>215</v>
      </c>
      <c r="D2983" t="s">
        <v>187</v>
      </c>
      <c r="E2983" s="35">
        <v>1.9990000000000001</v>
      </c>
      <c r="F2983" s="35">
        <v>2.9980000000000002</v>
      </c>
      <c r="G2983" s="35">
        <v>18500</v>
      </c>
    </row>
    <row r="2984" spans="1:7" x14ac:dyDescent="0.25">
      <c r="A2984">
        <v>20221028</v>
      </c>
      <c r="B2984" t="s">
        <v>771</v>
      </c>
      <c r="C2984" t="s">
        <v>215</v>
      </c>
      <c r="D2984" t="s">
        <v>214</v>
      </c>
      <c r="E2984" s="35">
        <v>1.9990000000000001</v>
      </c>
      <c r="F2984" s="35">
        <v>2.9980000000000002</v>
      </c>
      <c r="G2984" s="35">
        <v>17500</v>
      </c>
    </row>
    <row r="2985" spans="1:7" x14ac:dyDescent="0.25">
      <c r="A2985">
        <v>20221028</v>
      </c>
      <c r="B2985" t="s">
        <v>771</v>
      </c>
      <c r="C2985" t="s">
        <v>215</v>
      </c>
      <c r="D2985" t="s">
        <v>233</v>
      </c>
      <c r="E2985" s="35">
        <v>1.9990000000000001</v>
      </c>
      <c r="F2985" s="35">
        <v>2.9980000000000002</v>
      </c>
      <c r="G2985" s="35">
        <v>16500</v>
      </c>
    </row>
    <row r="2986" spans="1:7" x14ac:dyDescent="0.25">
      <c r="A2986">
        <v>20221028</v>
      </c>
      <c r="B2986" t="s">
        <v>771</v>
      </c>
      <c r="C2986" t="s">
        <v>215</v>
      </c>
      <c r="D2986" t="s">
        <v>242</v>
      </c>
      <c r="E2986" s="35">
        <v>1.9990000000000001</v>
      </c>
      <c r="F2986" s="35">
        <v>2.9980000000000002</v>
      </c>
      <c r="G2986" s="35">
        <v>15500</v>
      </c>
    </row>
    <row r="2987" spans="1:7" x14ac:dyDescent="0.25">
      <c r="A2987">
        <v>20221028</v>
      </c>
      <c r="B2987" t="s">
        <v>771</v>
      </c>
      <c r="C2987" t="s">
        <v>215</v>
      </c>
      <c r="D2987" t="s">
        <v>250</v>
      </c>
      <c r="E2987" s="35">
        <v>1.9990000000000001</v>
      </c>
      <c r="F2987" s="35">
        <v>2.9980000000000002</v>
      </c>
      <c r="G2987" s="35">
        <v>14500</v>
      </c>
    </row>
    <row r="2988" spans="1:7" x14ac:dyDescent="0.25">
      <c r="A2988">
        <v>20221028</v>
      </c>
      <c r="B2988" t="s">
        <v>771</v>
      </c>
      <c r="C2988" t="s">
        <v>215</v>
      </c>
      <c r="D2988" t="s">
        <v>258</v>
      </c>
      <c r="E2988" s="35">
        <v>1.9990000000000001</v>
      </c>
      <c r="F2988" s="35">
        <v>2.9980000000000002</v>
      </c>
      <c r="G2988" s="35">
        <v>12200</v>
      </c>
    </row>
    <row r="2989" spans="1:7" x14ac:dyDescent="0.25">
      <c r="A2989">
        <v>20221028</v>
      </c>
      <c r="B2989" t="s">
        <v>771</v>
      </c>
      <c r="C2989" t="s">
        <v>215</v>
      </c>
      <c r="D2989" t="s">
        <v>265</v>
      </c>
      <c r="E2989" s="35">
        <v>1.9990000000000001</v>
      </c>
      <c r="F2989" s="35">
        <v>2.9980000000000002</v>
      </c>
      <c r="G2989" s="35">
        <v>10300</v>
      </c>
    </row>
    <row r="2990" spans="1:7" x14ac:dyDescent="0.25">
      <c r="A2990">
        <v>20221028</v>
      </c>
      <c r="B2990" t="s">
        <v>771</v>
      </c>
      <c r="C2990" t="s">
        <v>215</v>
      </c>
      <c r="D2990" t="s">
        <v>273</v>
      </c>
      <c r="E2990" s="35">
        <v>1.9990000000000001</v>
      </c>
      <c r="F2990" s="35">
        <v>2.9980000000000002</v>
      </c>
      <c r="G2990" s="35">
        <v>7500</v>
      </c>
    </row>
    <row r="2991" spans="1:7" x14ac:dyDescent="0.25">
      <c r="A2991">
        <v>20221028</v>
      </c>
      <c r="B2991" t="s">
        <v>771</v>
      </c>
      <c r="C2991" t="s">
        <v>215</v>
      </c>
      <c r="D2991" t="s">
        <v>279</v>
      </c>
      <c r="E2991" s="35">
        <v>1.9990000000000001</v>
      </c>
      <c r="F2991" s="35">
        <v>2.9980000000000002</v>
      </c>
      <c r="G2991" s="35">
        <v>5500</v>
      </c>
    </row>
    <row r="2992" spans="1:7" x14ac:dyDescent="0.25">
      <c r="A2992">
        <v>20221028</v>
      </c>
      <c r="B2992" t="s">
        <v>771</v>
      </c>
      <c r="C2992" t="s">
        <v>215</v>
      </c>
      <c r="D2992" t="s">
        <v>285</v>
      </c>
      <c r="E2992" s="35">
        <v>1.9990000000000001</v>
      </c>
      <c r="F2992" s="35">
        <v>2.9980000000000002</v>
      </c>
      <c r="G2992" s="35">
        <v>2700</v>
      </c>
    </row>
    <row r="2993" spans="1:7" x14ac:dyDescent="0.25">
      <c r="A2993">
        <v>20221028</v>
      </c>
      <c r="B2993" t="s">
        <v>771</v>
      </c>
      <c r="C2993" t="s">
        <v>215</v>
      </c>
      <c r="D2993" t="s">
        <v>289</v>
      </c>
      <c r="E2993" s="35">
        <v>1.9990000000000001</v>
      </c>
      <c r="F2993" s="35">
        <v>2.9980000000000002</v>
      </c>
      <c r="G2993" s="35">
        <v>1300</v>
      </c>
    </row>
    <row r="2994" spans="1:7" x14ac:dyDescent="0.25">
      <c r="A2994">
        <v>20221028</v>
      </c>
      <c r="B2994" t="s">
        <v>771</v>
      </c>
      <c r="C2994" t="s">
        <v>249</v>
      </c>
      <c r="D2994" t="s">
        <v>187</v>
      </c>
      <c r="E2994" s="35">
        <v>1.9990000000000001</v>
      </c>
      <c r="F2994" s="35">
        <v>2.9980000000000002</v>
      </c>
      <c r="G2994" s="35">
        <v>15000</v>
      </c>
    </row>
    <row r="2995" spans="1:7" x14ac:dyDescent="0.25">
      <c r="A2995">
        <v>20221028</v>
      </c>
      <c r="B2995" t="s">
        <v>771</v>
      </c>
      <c r="C2995" t="s">
        <v>249</v>
      </c>
      <c r="D2995" t="s">
        <v>214</v>
      </c>
      <c r="E2995" s="35">
        <v>1.9990000000000001</v>
      </c>
      <c r="F2995" s="35">
        <v>2.9980000000000002</v>
      </c>
      <c r="G2995" s="35">
        <v>14000</v>
      </c>
    </row>
    <row r="2996" spans="1:7" x14ac:dyDescent="0.25">
      <c r="A2996">
        <v>20221028</v>
      </c>
      <c r="B2996" t="s">
        <v>771</v>
      </c>
      <c r="C2996" t="s">
        <v>249</v>
      </c>
      <c r="D2996" t="s">
        <v>233</v>
      </c>
      <c r="E2996" s="35">
        <v>1.9990000000000001</v>
      </c>
      <c r="F2996" s="35">
        <v>2.9980000000000002</v>
      </c>
      <c r="G2996" s="35">
        <v>13500</v>
      </c>
    </row>
    <row r="2997" spans="1:7" x14ac:dyDescent="0.25">
      <c r="A2997">
        <v>20221028</v>
      </c>
      <c r="B2997" t="s">
        <v>771</v>
      </c>
      <c r="C2997" t="s">
        <v>249</v>
      </c>
      <c r="D2997" t="s">
        <v>242</v>
      </c>
      <c r="E2997" s="35">
        <v>1.9990000000000001</v>
      </c>
      <c r="F2997" s="35">
        <v>2.9980000000000002</v>
      </c>
      <c r="G2997" s="35">
        <v>13000</v>
      </c>
    </row>
    <row r="2998" spans="1:7" x14ac:dyDescent="0.25">
      <c r="A2998">
        <v>20221028</v>
      </c>
      <c r="B2998" t="s">
        <v>771</v>
      </c>
      <c r="C2998" t="s">
        <v>249</v>
      </c>
      <c r="D2998" t="s">
        <v>250</v>
      </c>
      <c r="E2998" s="35">
        <v>1.9990000000000001</v>
      </c>
      <c r="F2998" s="35">
        <v>2.9980000000000002</v>
      </c>
      <c r="G2998" s="35">
        <v>12000</v>
      </c>
    </row>
    <row r="2999" spans="1:7" x14ac:dyDescent="0.25">
      <c r="A2999">
        <v>20221028</v>
      </c>
      <c r="B2999" t="s">
        <v>771</v>
      </c>
      <c r="C2999" t="s">
        <v>249</v>
      </c>
      <c r="D2999" t="s">
        <v>258</v>
      </c>
      <c r="E2999" s="35">
        <v>1.9990000000000001</v>
      </c>
      <c r="F2999" s="35">
        <v>2.9980000000000002</v>
      </c>
      <c r="G2999" s="35">
        <v>11100</v>
      </c>
    </row>
    <row r="3000" spans="1:7" x14ac:dyDescent="0.25">
      <c r="A3000">
        <v>20221028</v>
      </c>
      <c r="B3000" t="s">
        <v>771</v>
      </c>
      <c r="C3000" t="s">
        <v>249</v>
      </c>
      <c r="D3000" t="s">
        <v>265</v>
      </c>
      <c r="E3000" s="35">
        <v>1.9990000000000001</v>
      </c>
      <c r="F3000" s="35">
        <v>2.9980000000000002</v>
      </c>
      <c r="G3000" s="35">
        <v>9600</v>
      </c>
    </row>
    <row r="3001" spans="1:7" x14ac:dyDescent="0.25">
      <c r="A3001">
        <v>20221028</v>
      </c>
      <c r="B3001" t="s">
        <v>771</v>
      </c>
      <c r="C3001" t="s">
        <v>249</v>
      </c>
      <c r="D3001" t="s">
        <v>273</v>
      </c>
      <c r="E3001" s="35">
        <v>1.9990000000000001</v>
      </c>
      <c r="F3001" s="35">
        <v>2.9980000000000002</v>
      </c>
      <c r="G3001" s="35">
        <v>6700</v>
      </c>
    </row>
    <row r="3002" spans="1:7" x14ac:dyDescent="0.25">
      <c r="A3002">
        <v>20221028</v>
      </c>
      <c r="B3002" t="s">
        <v>771</v>
      </c>
      <c r="C3002" t="s">
        <v>249</v>
      </c>
      <c r="D3002" t="s">
        <v>279</v>
      </c>
      <c r="E3002" s="35">
        <v>1.9990000000000001</v>
      </c>
      <c r="F3002" s="35">
        <v>2.9980000000000002</v>
      </c>
      <c r="G3002" s="35">
        <v>5100</v>
      </c>
    </row>
    <row r="3003" spans="1:7" x14ac:dyDescent="0.25">
      <c r="A3003">
        <v>20221028</v>
      </c>
      <c r="B3003" t="s">
        <v>771</v>
      </c>
      <c r="C3003" t="s">
        <v>249</v>
      </c>
      <c r="D3003" t="s">
        <v>285</v>
      </c>
      <c r="E3003" s="35">
        <v>1.9990000000000001</v>
      </c>
      <c r="F3003" s="35">
        <v>2.9980000000000002</v>
      </c>
      <c r="G3003" s="35">
        <v>2500</v>
      </c>
    </row>
    <row r="3004" spans="1:7" x14ac:dyDescent="0.25">
      <c r="A3004">
        <v>20221028</v>
      </c>
      <c r="B3004" t="s">
        <v>771</v>
      </c>
      <c r="C3004" t="s">
        <v>249</v>
      </c>
      <c r="D3004" t="s">
        <v>289</v>
      </c>
      <c r="E3004" s="35">
        <v>1.9990000000000001</v>
      </c>
      <c r="F3004" s="35">
        <v>2.9980000000000002</v>
      </c>
      <c r="G3004" s="35">
        <v>1200</v>
      </c>
    </row>
    <row r="3005" spans="1:7" x14ac:dyDescent="0.25">
      <c r="A3005">
        <v>20221028</v>
      </c>
      <c r="B3005" t="s">
        <v>771</v>
      </c>
      <c r="C3005" t="s">
        <v>257</v>
      </c>
      <c r="D3005" t="s">
        <v>187</v>
      </c>
      <c r="E3005" s="35">
        <v>1.9990000000000001</v>
      </c>
      <c r="F3005" s="35">
        <v>2.9980000000000002</v>
      </c>
      <c r="G3005" s="35">
        <v>11800</v>
      </c>
    </row>
    <row r="3006" spans="1:7" x14ac:dyDescent="0.25">
      <c r="A3006">
        <v>20221028</v>
      </c>
      <c r="B3006" t="s">
        <v>771</v>
      </c>
      <c r="C3006" t="s">
        <v>257</v>
      </c>
      <c r="D3006" t="s">
        <v>214</v>
      </c>
      <c r="E3006" s="35">
        <v>1.9990000000000001</v>
      </c>
      <c r="F3006" s="35">
        <v>2.9980000000000002</v>
      </c>
      <c r="G3006" s="35">
        <v>11200</v>
      </c>
    </row>
    <row r="3007" spans="1:7" x14ac:dyDescent="0.25">
      <c r="A3007">
        <v>20221028</v>
      </c>
      <c r="B3007" t="s">
        <v>771</v>
      </c>
      <c r="C3007" t="s">
        <v>257</v>
      </c>
      <c r="D3007" t="s">
        <v>233</v>
      </c>
      <c r="E3007" s="35">
        <v>1.9990000000000001</v>
      </c>
      <c r="F3007" s="35">
        <v>2.9980000000000002</v>
      </c>
      <c r="G3007" s="35">
        <v>10700</v>
      </c>
    </row>
    <row r="3008" spans="1:7" x14ac:dyDescent="0.25">
      <c r="A3008">
        <v>20221028</v>
      </c>
      <c r="B3008" t="s">
        <v>771</v>
      </c>
      <c r="C3008" t="s">
        <v>257</v>
      </c>
      <c r="D3008" t="s">
        <v>242</v>
      </c>
      <c r="E3008" s="35">
        <v>1.9990000000000001</v>
      </c>
      <c r="F3008" s="35">
        <v>2.9980000000000002</v>
      </c>
      <c r="G3008" s="35">
        <v>10300</v>
      </c>
    </row>
    <row r="3009" spans="1:7" x14ac:dyDescent="0.25">
      <c r="A3009">
        <v>20221028</v>
      </c>
      <c r="B3009" t="s">
        <v>771</v>
      </c>
      <c r="C3009" t="s">
        <v>257</v>
      </c>
      <c r="D3009" t="s">
        <v>250</v>
      </c>
      <c r="E3009" s="35">
        <v>1.9990000000000001</v>
      </c>
      <c r="F3009" s="35">
        <v>2.9980000000000002</v>
      </c>
      <c r="G3009" s="35">
        <v>9700</v>
      </c>
    </row>
    <row r="3010" spans="1:7" x14ac:dyDescent="0.25">
      <c r="A3010">
        <v>20221028</v>
      </c>
      <c r="B3010" t="s">
        <v>771</v>
      </c>
      <c r="C3010" t="s">
        <v>257</v>
      </c>
      <c r="D3010" t="s">
        <v>258</v>
      </c>
      <c r="E3010" s="35">
        <v>1.9990000000000001</v>
      </c>
      <c r="F3010" s="35">
        <v>2.9980000000000002</v>
      </c>
      <c r="G3010" s="35">
        <v>9300</v>
      </c>
    </row>
    <row r="3011" spans="1:7" x14ac:dyDescent="0.25">
      <c r="A3011">
        <v>20221028</v>
      </c>
      <c r="B3011" t="s">
        <v>771</v>
      </c>
      <c r="C3011" t="s">
        <v>257</v>
      </c>
      <c r="D3011" t="s">
        <v>265</v>
      </c>
      <c r="E3011" s="35">
        <v>1.9990000000000001</v>
      </c>
      <c r="F3011" s="35">
        <v>2.9980000000000002</v>
      </c>
      <c r="G3011" s="35">
        <v>8900</v>
      </c>
    </row>
    <row r="3012" spans="1:7" x14ac:dyDescent="0.25">
      <c r="A3012">
        <v>20221028</v>
      </c>
      <c r="B3012" t="s">
        <v>771</v>
      </c>
      <c r="C3012" t="s">
        <v>257</v>
      </c>
      <c r="D3012" t="s">
        <v>273</v>
      </c>
      <c r="E3012" s="35">
        <v>1.9990000000000001</v>
      </c>
      <c r="F3012" s="35">
        <v>2.9980000000000002</v>
      </c>
      <c r="G3012" s="35">
        <v>6000</v>
      </c>
    </row>
    <row r="3013" spans="1:7" x14ac:dyDescent="0.25">
      <c r="A3013">
        <v>20221028</v>
      </c>
      <c r="B3013" t="s">
        <v>771</v>
      </c>
      <c r="C3013" t="s">
        <v>257</v>
      </c>
      <c r="D3013" t="s">
        <v>279</v>
      </c>
      <c r="E3013" s="35">
        <v>1.9990000000000001</v>
      </c>
      <c r="F3013" s="35">
        <v>2.9980000000000002</v>
      </c>
      <c r="G3013" s="35">
        <v>4800</v>
      </c>
    </row>
    <row r="3014" spans="1:7" x14ac:dyDescent="0.25">
      <c r="A3014">
        <v>20221028</v>
      </c>
      <c r="B3014" t="s">
        <v>771</v>
      </c>
      <c r="C3014" t="s">
        <v>257</v>
      </c>
      <c r="D3014" t="s">
        <v>285</v>
      </c>
      <c r="E3014" s="35">
        <v>1.9990000000000001</v>
      </c>
      <c r="F3014" s="35">
        <v>2.9980000000000002</v>
      </c>
      <c r="G3014" s="35">
        <v>2400</v>
      </c>
    </row>
    <row r="3015" spans="1:7" x14ac:dyDescent="0.25">
      <c r="A3015">
        <v>20221028</v>
      </c>
      <c r="B3015" t="s">
        <v>771</v>
      </c>
      <c r="C3015" t="s">
        <v>257</v>
      </c>
      <c r="D3015" t="s">
        <v>289</v>
      </c>
      <c r="E3015" s="35">
        <v>1.9990000000000001</v>
      </c>
      <c r="F3015" s="35">
        <v>2.9980000000000002</v>
      </c>
      <c r="G3015" s="35">
        <v>1200</v>
      </c>
    </row>
    <row r="3016" spans="1:7" x14ac:dyDescent="0.25">
      <c r="A3016">
        <v>20221028</v>
      </c>
      <c r="B3016" t="s">
        <v>771</v>
      </c>
      <c r="C3016" t="s">
        <v>264</v>
      </c>
      <c r="D3016" t="s">
        <v>187</v>
      </c>
      <c r="E3016" s="35">
        <v>1.9990000000000001</v>
      </c>
      <c r="F3016" s="35">
        <v>2.9980000000000002</v>
      </c>
      <c r="G3016" s="35">
        <v>9400</v>
      </c>
    </row>
    <row r="3017" spans="1:7" x14ac:dyDescent="0.25">
      <c r="A3017">
        <v>20221028</v>
      </c>
      <c r="B3017" t="s">
        <v>771</v>
      </c>
      <c r="C3017" t="s">
        <v>264</v>
      </c>
      <c r="D3017" t="s">
        <v>214</v>
      </c>
      <c r="E3017" s="35">
        <v>1.9990000000000001</v>
      </c>
      <c r="F3017" s="35">
        <v>2.9980000000000002</v>
      </c>
      <c r="G3017" s="35">
        <v>9000</v>
      </c>
    </row>
    <row r="3018" spans="1:7" x14ac:dyDescent="0.25">
      <c r="A3018">
        <v>20221028</v>
      </c>
      <c r="B3018" t="s">
        <v>771</v>
      </c>
      <c r="C3018" t="s">
        <v>264</v>
      </c>
      <c r="D3018" t="s">
        <v>233</v>
      </c>
      <c r="E3018" s="35">
        <v>1.9990000000000001</v>
      </c>
      <c r="F3018" s="35">
        <v>2.9980000000000002</v>
      </c>
      <c r="G3018" s="35">
        <v>8700</v>
      </c>
    </row>
    <row r="3019" spans="1:7" x14ac:dyDescent="0.25">
      <c r="A3019">
        <v>20221028</v>
      </c>
      <c r="B3019" t="s">
        <v>771</v>
      </c>
      <c r="C3019" t="s">
        <v>264</v>
      </c>
      <c r="D3019" t="s">
        <v>242</v>
      </c>
      <c r="E3019" s="35">
        <v>1.9990000000000001</v>
      </c>
      <c r="F3019" s="35">
        <v>2.9980000000000002</v>
      </c>
      <c r="G3019" s="35">
        <v>8300</v>
      </c>
    </row>
    <row r="3020" spans="1:7" x14ac:dyDescent="0.25">
      <c r="A3020">
        <v>20221028</v>
      </c>
      <c r="B3020" t="s">
        <v>771</v>
      </c>
      <c r="C3020" t="s">
        <v>264</v>
      </c>
      <c r="D3020" t="s">
        <v>250</v>
      </c>
      <c r="E3020" s="35">
        <v>1.9990000000000001</v>
      </c>
      <c r="F3020" s="35">
        <v>2.9980000000000002</v>
      </c>
      <c r="G3020" s="35">
        <v>8000</v>
      </c>
    </row>
    <row r="3021" spans="1:7" x14ac:dyDescent="0.25">
      <c r="A3021">
        <v>20221028</v>
      </c>
      <c r="B3021" t="s">
        <v>771</v>
      </c>
      <c r="C3021" t="s">
        <v>264</v>
      </c>
      <c r="D3021" t="s">
        <v>258</v>
      </c>
      <c r="E3021" s="35">
        <v>1.9990000000000001</v>
      </c>
      <c r="F3021" s="35">
        <v>2.9980000000000002</v>
      </c>
      <c r="G3021" s="35">
        <v>7700</v>
      </c>
    </row>
    <row r="3022" spans="1:7" x14ac:dyDescent="0.25">
      <c r="A3022">
        <v>20221028</v>
      </c>
      <c r="B3022" t="s">
        <v>771</v>
      </c>
      <c r="C3022" t="s">
        <v>264</v>
      </c>
      <c r="D3022" t="s">
        <v>265</v>
      </c>
      <c r="E3022" s="35">
        <v>1.9990000000000001</v>
      </c>
      <c r="F3022" s="35">
        <v>2.9980000000000002</v>
      </c>
      <c r="G3022" s="35">
        <v>7400</v>
      </c>
    </row>
    <row r="3023" spans="1:7" x14ac:dyDescent="0.25">
      <c r="A3023">
        <v>20221028</v>
      </c>
      <c r="B3023" t="s">
        <v>771</v>
      </c>
      <c r="C3023" t="s">
        <v>264</v>
      </c>
      <c r="D3023" t="s">
        <v>273</v>
      </c>
      <c r="E3023" s="35">
        <v>1.9990000000000001</v>
      </c>
      <c r="F3023" s="35">
        <v>2.9980000000000002</v>
      </c>
      <c r="G3023" s="35">
        <v>5400</v>
      </c>
    </row>
    <row r="3024" spans="1:7" x14ac:dyDescent="0.25">
      <c r="A3024">
        <v>20221028</v>
      </c>
      <c r="B3024" t="s">
        <v>771</v>
      </c>
      <c r="C3024" t="s">
        <v>264</v>
      </c>
      <c r="D3024" t="s">
        <v>279</v>
      </c>
      <c r="E3024" s="35">
        <v>1.9990000000000001</v>
      </c>
      <c r="F3024" s="35">
        <v>2.9980000000000002</v>
      </c>
      <c r="G3024" s="35">
        <v>4500</v>
      </c>
    </row>
    <row r="3025" spans="1:7" x14ac:dyDescent="0.25">
      <c r="A3025">
        <v>20221028</v>
      </c>
      <c r="B3025" t="s">
        <v>771</v>
      </c>
      <c r="C3025" t="s">
        <v>264</v>
      </c>
      <c r="D3025" t="s">
        <v>285</v>
      </c>
      <c r="E3025" s="35">
        <v>1.9990000000000001</v>
      </c>
      <c r="F3025" s="35">
        <v>2.9980000000000002</v>
      </c>
      <c r="G3025" s="35">
        <v>2200</v>
      </c>
    </row>
    <row r="3026" spans="1:7" x14ac:dyDescent="0.25">
      <c r="A3026">
        <v>20221028</v>
      </c>
      <c r="B3026" t="s">
        <v>771</v>
      </c>
      <c r="C3026" t="s">
        <v>264</v>
      </c>
      <c r="D3026" t="s">
        <v>289</v>
      </c>
      <c r="E3026" s="35">
        <v>1.9990000000000001</v>
      </c>
      <c r="F3026" s="35">
        <v>2.9980000000000002</v>
      </c>
      <c r="G3026" s="35">
        <v>1200</v>
      </c>
    </row>
    <row r="3027" spans="1:7" x14ac:dyDescent="0.25">
      <c r="A3027">
        <v>20221028</v>
      </c>
      <c r="B3027" t="s">
        <v>771</v>
      </c>
      <c r="C3027" t="s">
        <v>272</v>
      </c>
      <c r="D3027" t="s">
        <v>187</v>
      </c>
      <c r="E3027" s="35">
        <v>1.9990000000000001</v>
      </c>
      <c r="F3027" s="35">
        <v>2.9980000000000002</v>
      </c>
      <c r="G3027" s="35">
        <v>7600</v>
      </c>
    </row>
    <row r="3028" spans="1:7" x14ac:dyDescent="0.25">
      <c r="A3028">
        <v>20221028</v>
      </c>
      <c r="B3028" t="s">
        <v>771</v>
      </c>
      <c r="C3028" t="s">
        <v>272</v>
      </c>
      <c r="D3028" t="s">
        <v>214</v>
      </c>
      <c r="E3028" s="35">
        <v>1.9990000000000001</v>
      </c>
      <c r="F3028" s="35">
        <v>2.9980000000000002</v>
      </c>
      <c r="G3028" s="35">
        <v>7300</v>
      </c>
    </row>
    <row r="3029" spans="1:7" x14ac:dyDescent="0.25">
      <c r="A3029">
        <v>20221028</v>
      </c>
      <c r="B3029" t="s">
        <v>771</v>
      </c>
      <c r="C3029" t="s">
        <v>272</v>
      </c>
      <c r="D3029" t="s">
        <v>233</v>
      </c>
      <c r="E3029" s="35">
        <v>1.9990000000000001</v>
      </c>
      <c r="F3029" s="35">
        <v>2.9980000000000002</v>
      </c>
      <c r="G3029" s="35">
        <v>7100</v>
      </c>
    </row>
    <row r="3030" spans="1:7" x14ac:dyDescent="0.25">
      <c r="A3030">
        <v>20221028</v>
      </c>
      <c r="B3030" t="s">
        <v>771</v>
      </c>
      <c r="C3030" t="s">
        <v>272</v>
      </c>
      <c r="D3030" t="s">
        <v>242</v>
      </c>
      <c r="E3030" s="35">
        <v>1.9990000000000001</v>
      </c>
      <c r="F3030" s="35">
        <v>2.9980000000000002</v>
      </c>
      <c r="G3030" s="35">
        <v>6800</v>
      </c>
    </row>
    <row r="3031" spans="1:7" x14ac:dyDescent="0.25">
      <c r="A3031">
        <v>20221028</v>
      </c>
      <c r="B3031" t="s">
        <v>771</v>
      </c>
      <c r="C3031" t="s">
        <v>272</v>
      </c>
      <c r="D3031" t="s">
        <v>250</v>
      </c>
      <c r="E3031" s="35">
        <v>1.9990000000000001</v>
      </c>
      <c r="F3031" s="35">
        <v>2.9980000000000002</v>
      </c>
      <c r="G3031" s="35">
        <v>6600</v>
      </c>
    </row>
    <row r="3032" spans="1:7" x14ac:dyDescent="0.25">
      <c r="A3032">
        <v>20221028</v>
      </c>
      <c r="B3032" t="s">
        <v>771</v>
      </c>
      <c r="C3032" t="s">
        <v>272</v>
      </c>
      <c r="D3032" t="s">
        <v>258</v>
      </c>
      <c r="E3032" s="35">
        <v>1.9990000000000001</v>
      </c>
      <c r="F3032" s="35">
        <v>2.9980000000000002</v>
      </c>
      <c r="G3032" s="35">
        <v>6300</v>
      </c>
    </row>
    <row r="3033" spans="1:7" x14ac:dyDescent="0.25">
      <c r="A3033">
        <v>20221028</v>
      </c>
      <c r="B3033" t="s">
        <v>771</v>
      </c>
      <c r="C3033" t="s">
        <v>272</v>
      </c>
      <c r="D3033" t="s">
        <v>265</v>
      </c>
      <c r="E3033" s="35">
        <v>1.9990000000000001</v>
      </c>
      <c r="F3033" s="35">
        <v>2.9980000000000002</v>
      </c>
      <c r="G3033" s="35">
        <v>6000</v>
      </c>
    </row>
    <row r="3034" spans="1:7" x14ac:dyDescent="0.25">
      <c r="A3034">
        <v>20221028</v>
      </c>
      <c r="B3034" t="s">
        <v>771</v>
      </c>
      <c r="C3034" t="s">
        <v>272</v>
      </c>
      <c r="D3034" t="s">
        <v>273</v>
      </c>
      <c r="E3034" s="35">
        <v>1.9990000000000001</v>
      </c>
      <c r="F3034" s="35">
        <v>2.9980000000000002</v>
      </c>
      <c r="G3034" s="35">
        <v>4700</v>
      </c>
    </row>
    <row r="3035" spans="1:7" x14ac:dyDescent="0.25">
      <c r="A3035">
        <v>20221028</v>
      </c>
      <c r="B3035" t="s">
        <v>771</v>
      </c>
      <c r="C3035" t="s">
        <v>272</v>
      </c>
      <c r="D3035" t="s">
        <v>279</v>
      </c>
      <c r="E3035" s="35">
        <v>1.9990000000000001</v>
      </c>
      <c r="F3035" s="35">
        <v>2.9980000000000002</v>
      </c>
      <c r="G3035" s="35">
        <v>3900</v>
      </c>
    </row>
    <row r="3036" spans="1:7" x14ac:dyDescent="0.25">
      <c r="A3036">
        <v>20221028</v>
      </c>
      <c r="B3036" t="s">
        <v>771</v>
      </c>
      <c r="C3036" t="s">
        <v>272</v>
      </c>
      <c r="D3036" t="s">
        <v>285</v>
      </c>
      <c r="E3036" s="35">
        <v>1.9990000000000001</v>
      </c>
      <c r="F3036" s="35">
        <v>2.9980000000000002</v>
      </c>
      <c r="G3036" s="35">
        <v>2100</v>
      </c>
    </row>
    <row r="3037" spans="1:7" x14ac:dyDescent="0.25">
      <c r="A3037">
        <v>20221028</v>
      </c>
      <c r="B3037" t="s">
        <v>771</v>
      </c>
      <c r="C3037" t="s">
        <v>272</v>
      </c>
      <c r="D3037" t="s">
        <v>289</v>
      </c>
      <c r="E3037" s="35">
        <v>1.9990000000000001</v>
      </c>
      <c r="F3037" s="35">
        <v>2.9980000000000002</v>
      </c>
      <c r="G3037" s="35">
        <v>1100</v>
      </c>
    </row>
    <row r="3038" spans="1:7" x14ac:dyDescent="0.25">
      <c r="A3038">
        <v>20221028</v>
      </c>
      <c r="B3038" t="s">
        <v>771</v>
      </c>
      <c r="C3038" t="s">
        <v>278</v>
      </c>
      <c r="D3038" t="s">
        <v>187</v>
      </c>
      <c r="E3038" s="35">
        <v>1.9990000000000001</v>
      </c>
      <c r="F3038" s="35">
        <v>2.9980000000000002</v>
      </c>
      <c r="G3038" s="35">
        <v>6100</v>
      </c>
    </row>
    <row r="3039" spans="1:7" x14ac:dyDescent="0.25">
      <c r="A3039">
        <v>20221028</v>
      </c>
      <c r="B3039" t="s">
        <v>771</v>
      </c>
      <c r="C3039" t="s">
        <v>278</v>
      </c>
      <c r="D3039" t="s">
        <v>214</v>
      </c>
      <c r="E3039" s="35">
        <v>1.9990000000000001</v>
      </c>
      <c r="F3039" s="35">
        <v>2.9980000000000002</v>
      </c>
      <c r="G3039" s="35">
        <v>5800</v>
      </c>
    </row>
    <row r="3040" spans="1:7" x14ac:dyDescent="0.25">
      <c r="A3040">
        <v>20221028</v>
      </c>
      <c r="B3040" t="s">
        <v>771</v>
      </c>
      <c r="C3040" t="s">
        <v>278</v>
      </c>
      <c r="D3040" t="s">
        <v>233</v>
      </c>
      <c r="E3040" s="35">
        <v>1.9990000000000001</v>
      </c>
      <c r="F3040" s="35">
        <v>2.9980000000000002</v>
      </c>
      <c r="G3040" s="35">
        <v>5600</v>
      </c>
    </row>
    <row r="3041" spans="1:7" x14ac:dyDescent="0.25">
      <c r="A3041">
        <v>20221028</v>
      </c>
      <c r="B3041" t="s">
        <v>771</v>
      </c>
      <c r="C3041" t="s">
        <v>278</v>
      </c>
      <c r="D3041" t="s">
        <v>242</v>
      </c>
      <c r="E3041" s="35">
        <v>1.9990000000000001</v>
      </c>
      <c r="F3041" s="35">
        <v>2.9980000000000002</v>
      </c>
      <c r="G3041" s="35">
        <v>5400</v>
      </c>
    </row>
    <row r="3042" spans="1:7" x14ac:dyDescent="0.25">
      <c r="A3042">
        <v>20221028</v>
      </c>
      <c r="B3042" t="s">
        <v>771</v>
      </c>
      <c r="C3042" t="s">
        <v>278</v>
      </c>
      <c r="D3042" t="s">
        <v>250</v>
      </c>
      <c r="E3042" s="35">
        <v>1.9990000000000001</v>
      </c>
      <c r="F3042" s="35">
        <v>2.9980000000000002</v>
      </c>
      <c r="G3042" s="35">
        <v>5200</v>
      </c>
    </row>
    <row r="3043" spans="1:7" x14ac:dyDescent="0.25">
      <c r="A3043">
        <v>20221028</v>
      </c>
      <c r="B3043" t="s">
        <v>771</v>
      </c>
      <c r="C3043" t="s">
        <v>278</v>
      </c>
      <c r="D3043" t="s">
        <v>258</v>
      </c>
      <c r="E3043" s="35">
        <v>1.9990000000000001</v>
      </c>
      <c r="F3043" s="35">
        <v>2.9980000000000002</v>
      </c>
      <c r="G3043" s="35">
        <v>4900</v>
      </c>
    </row>
    <row r="3044" spans="1:7" x14ac:dyDescent="0.25">
      <c r="A3044">
        <v>20221028</v>
      </c>
      <c r="B3044" t="s">
        <v>771</v>
      </c>
      <c r="C3044" t="s">
        <v>278</v>
      </c>
      <c r="D3044" t="s">
        <v>265</v>
      </c>
      <c r="E3044" s="35">
        <v>1.9990000000000001</v>
      </c>
      <c r="F3044" s="35">
        <v>2.9980000000000002</v>
      </c>
      <c r="G3044" s="35">
        <v>4700</v>
      </c>
    </row>
    <row r="3045" spans="1:7" x14ac:dyDescent="0.25">
      <c r="A3045">
        <v>20221028</v>
      </c>
      <c r="B3045" t="s">
        <v>771</v>
      </c>
      <c r="C3045" t="s">
        <v>278</v>
      </c>
      <c r="D3045" t="s">
        <v>273</v>
      </c>
      <c r="E3045" s="35">
        <v>1.9990000000000001</v>
      </c>
      <c r="F3045" s="35">
        <v>2.9980000000000002</v>
      </c>
      <c r="G3045" s="35">
        <v>3900</v>
      </c>
    </row>
    <row r="3046" spans="1:7" x14ac:dyDescent="0.25">
      <c r="A3046">
        <v>20221028</v>
      </c>
      <c r="B3046" t="s">
        <v>771</v>
      </c>
      <c r="C3046" t="s">
        <v>278</v>
      </c>
      <c r="D3046" t="s">
        <v>279</v>
      </c>
      <c r="E3046" s="35">
        <v>1.9990000000000001</v>
      </c>
      <c r="F3046" s="35">
        <v>2.9980000000000002</v>
      </c>
      <c r="G3046" s="35">
        <v>3400</v>
      </c>
    </row>
    <row r="3047" spans="1:7" x14ac:dyDescent="0.25">
      <c r="A3047">
        <v>20221028</v>
      </c>
      <c r="B3047" t="s">
        <v>771</v>
      </c>
      <c r="C3047" t="s">
        <v>278</v>
      </c>
      <c r="D3047" t="s">
        <v>285</v>
      </c>
      <c r="E3047" s="35">
        <v>1.9990000000000001</v>
      </c>
      <c r="F3047" s="35">
        <v>2.9980000000000002</v>
      </c>
      <c r="G3047" s="35">
        <v>1900</v>
      </c>
    </row>
    <row r="3048" spans="1:7" x14ac:dyDescent="0.25">
      <c r="A3048">
        <v>20221028</v>
      </c>
      <c r="B3048" t="s">
        <v>771</v>
      </c>
      <c r="C3048" t="s">
        <v>278</v>
      </c>
      <c r="D3048" t="s">
        <v>289</v>
      </c>
      <c r="E3048" s="35">
        <v>1.9990000000000001</v>
      </c>
      <c r="F3048" s="35">
        <v>2.9980000000000002</v>
      </c>
      <c r="G3048" s="35">
        <v>1100</v>
      </c>
    </row>
    <row r="3049" spans="1:7" x14ac:dyDescent="0.25">
      <c r="A3049">
        <v>20221028</v>
      </c>
      <c r="B3049" t="s">
        <v>771</v>
      </c>
      <c r="C3049" t="s">
        <v>284</v>
      </c>
      <c r="D3049" t="s">
        <v>187</v>
      </c>
      <c r="E3049" s="35">
        <v>1.9990000000000001</v>
      </c>
      <c r="F3049" s="35">
        <v>2.9980000000000002</v>
      </c>
      <c r="G3049" s="35">
        <v>4800</v>
      </c>
    </row>
    <row r="3050" spans="1:7" x14ac:dyDescent="0.25">
      <c r="A3050">
        <v>20221028</v>
      </c>
      <c r="B3050" t="s">
        <v>771</v>
      </c>
      <c r="C3050" t="s">
        <v>284</v>
      </c>
      <c r="D3050" t="s">
        <v>214</v>
      </c>
      <c r="E3050" s="35">
        <v>1.9990000000000001</v>
      </c>
      <c r="F3050" s="35">
        <v>2.9980000000000002</v>
      </c>
      <c r="G3050" s="35">
        <v>4600</v>
      </c>
    </row>
    <row r="3051" spans="1:7" x14ac:dyDescent="0.25">
      <c r="A3051">
        <v>20221028</v>
      </c>
      <c r="B3051" t="s">
        <v>771</v>
      </c>
      <c r="C3051" t="s">
        <v>284</v>
      </c>
      <c r="D3051" t="s">
        <v>233</v>
      </c>
      <c r="E3051" s="35">
        <v>1.9990000000000001</v>
      </c>
      <c r="F3051" s="35">
        <v>2.9980000000000002</v>
      </c>
      <c r="G3051" s="35">
        <v>4500</v>
      </c>
    </row>
    <row r="3052" spans="1:7" x14ac:dyDescent="0.25">
      <c r="A3052">
        <v>20221028</v>
      </c>
      <c r="B3052" t="s">
        <v>771</v>
      </c>
      <c r="C3052" t="s">
        <v>284</v>
      </c>
      <c r="D3052" t="s">
        <v>242</v>
      </c>
      <c r="E3052" s="35">
        <v>1.9990000000000001</v>
      </c>
      <c r="F3052" s="35">
        <v>2.9980000000000002</v>
      </c>
      <c r="G3052" s="35">
        <v>4300</v>
      </c>
    </row>
    <row r="3053" spans="1:7" x14ac:dyDescent="0.25">
      <c r="A3053">
        <v>20221028</v>
      </c>
      <c r="B3053" t="s">
        <v>771</v>
      </c>
      <c r="C3053" t="s">
        <v>284</v>
      </c>
      <c r="D3053" t="s">
        <v>250</v>
      </c>
      <c r="E3053" s="35">
        <v>1.9990000000000001</v>
      </c>
      <c r="F3053" s="35">
        <v>2.9980000000000002</v>
      </c>
      <c r="G3053" s="35">
        <v>4100</v>
      </c>
    </row>
    <row r="3054" spans="1:7" x14ac:dyDescent="0.25">
      <c r="A3054">
        <v>20221028</v>
      </c>
      <c r="B3054" t="s">
        <v>771</v>
      </c>
      <c r="C3054" t="s">
        <v>284</v>
      </c>
      <c r="D3054" t="s">
        <v>258</v>
      </c>
      <c r="E3054" s="35">
        <v>1.9990000000000001</v>
      </c>
      <c r="F3054" s="35">
        <v>2.9980000000000002</v>
      </c>
      <c r="G3054" s="35">
        <v>3900</v>
      </c>
    </row>
    <row r="3055" spans="1:7" x14ac:dyDescent="0.25">
      <c r="A3055">
        <v>20221028</v>
      </c>
      <c r="B3055" t="s">
        <v>771</v>
      </c>
      <c r="C3055" t="s">
        <v>284</v>
      </c>
      <c r="D3055" t="s">
        <v>265</v>
      </c>
      <c r="E3055" s="35">
        <v>1.9990000000000001</v>
      </c>
      <c r="F3055" s="35">
        <v>2.9980000000000002</v>
      </c>
      <c r="G3055" s="35">
        <v>3700</v>
      </c>
    </row>
    <row r="3056" spans="1:7" x14ac:dyDescent="0.25">
      <c r="A3056">
        <v>20221028</v>
      </c>
      <c r="B3056" t="s">
        <v>771</v>
      </c>
      <c r="C3056" t="s">
        <v>284</v>
      </c>
      <c r="D3056" t="s">
        <v>273</v>
      </c>
      <c r="E3056" s="35">
        <v>1.9990000000000001</v>
      </c>
      <c r="F3056" s="35">
        <v>2.9980000000000002</v>
      </c>
      <c r="G3056" s="35">
        <v>3300</v>
      </c>
    </row>
    <row r="3057" spans="1:7" x14ac:dyDescent="0.25">
      <c r="A3057">
        <v>20221028</v>
      </c>
      <c r="B3057" t="s">
        <v>771</v>
      </c>
      <c r="C3057" t="s">
        <v>284</v>
      </c>
      <c r="D3057" t="s">
        <v>279</v>
      </c>
      <c r="E3057" s="35">
        <v>1.9990000000000001</v>
      </c>
      <c r="F3057" s="35">
        <v>2.9980000000000002</v>
      </c>
      <c r="G3057" s="35">
        <v>2800</v>
      </c>
    </row>
    <row r="3058" spans="1:7" x14ac:dyDescent="0.25">
      <c r="A3058">
        <v>20221028</v>
      </c>
      <c r="B3058" t="s">
        <v>771</v>
      </c>
      <c r="C3058" t="s">
        <v>284</v>
      </c>
      <c r="D3058" t="s">
        <v>285</v>
      </c>
      <c r="E3058" s="35">
        <v>1.9990000000000001</v>
      </c>
      <c r="F3058" s="35">
        <v>2.9980000000000002</v>
      </c>
      <c r="G3058" s="35">
        <v>1800</v>
      </c>
    </row>
    <row r="3059" spans="1:7" x14ac:dyDescent="0.25">
      <c r="A3059">
        <v>20221028</v>
      </c>
      <c r="B3059" t="s">
        <v>771</v>
      </c>
      <c r="C3059" t="s">
        <v>284</v>
      </c>
      <c r="D3059" t="s">
        <v>289</v>
      </c>
      <c r="E3059" s="35">
        <v>1.9990000000000001</v>
      </c>
      <c r="F3059" s="35">
        <v>2.9980000000000002</v>
      </c>
      <c r="G3059" s="35">
        <v>1000</v>
      </c>
    </row>
    <row r="3060" spans="1:7" x14ac:dyDescent="0.25">
      <c r="A3060">
        <v>20221028</v>
      </c>
      <c r="B3060" t="s">
        <v>771</v>
      </c>
      <c r="C3060" t="s">
        <v>186</v>
      </c>
      <c r="D3060" t="s">
        <v>187</v>
      </c>
      <c r="E3060" s="35">
        <v>2.9990000000000001</v>
      </c>
      <c r="F3060" s="35">
        <v>3.9980000000000002</v>
      </c>
      <c r="G3060" s="35">
        <v>46000</v>
      </c>
    </row>
    <row r="3061" spans="1:7" x14ac:dyDescent="0.25">
      <c r="A3061">
        <v>20221028</v>
      </c>
      <c r="B3061" t="s">
        <v>771</v>
      </c>
      <c r="C3061" t="s">
        <v>186</v>
      </c>
      <c r="D3061" t="s">
        <v>214</v>
      </c>
      <c r="E3061" s="35">
        <v>2.9990000000000001</v>
      </c>
      <c r="F3061" s="35">
        <v>3.9980000000000002</v>
      </c>
      <c r="G3061" s="35">
        <v>36500</v>
      </c>
    </row>
    <row r="3062" spans="1:7" x14ac:dyDescent="0.25">
      <c r="A3062">
        <v>20221028</v>
      </c>
      <c r="B3062" t="s">
        <v>771</v>
      </c>
      <c r="C3062" t="s">
        <v>186</v>
      </c>
      <c r="D3062" t="s">
        <v>233</v>
      </c>
      <c r="E3062" s="35">
        <v>2.9990000000000001</v>
      </c>
      <c r="F3062" s="35">
        <v>3.9980000000000002</v>
      </c>
      <c r="G3062" s="35">
        <v>33500</v>
      </c>
    </row>
    <row r="3063" spans="1:7" x14ac:dyDescent="0.25">
      <c r="A3063">
        <v>20221028</v>
      </c>
      <c r="B3063" t="s">
        <v>771</v>
      </c>
      <c r="C3063" t="s">
        <v>186</v>
      </c>
      <c r="D3063" t="s">
        <v>242</v>
      </c>
      <c r="E3063" s="35">
        <v>2.9990000000000001</v>
      </c>
      <c r="F3063" s="35">
        <v>3.9980000000000002</v>
      </c>
      <c r="G3063" s="35">
        <v>30500</v>
      </c>
    </row>
    <row r="3064" spans="1:7" x14ac:dyDescent="0.25">
      <c r="A3064">
        <v>20221028</v>
      </c>
      <c r="B3064" t="s">
        <v>771</v>
      </c>
      <c r="C3064" t="s">
        <v>186</v>
      </c>
      <c r="D3064" t="s">
        <v>250</v>
      </c>
      <c r="E3064" s="35">
        <v>2.9990000000000001</v>
      </c>
      <c r="F3064" s="35">
        <v>3.9980000000000002</v>
      </c>
      <c r="G3064" s="35">
        <v>27000</v>
      </c>
    </row>
    <row r="3065" spans="1:7" x14ac:dyDescent="0.25">
      <c r="A3065">
        <v>20221028</v>
      </c>
      <c r="B3065" t="s">
        <v>771</v>
      </c>
      <c r="C3065" t="s">
        <v>186</v>
      </c>
      <c r="D3065" t="s">
        <v>258</v>
      </c>
      <c r="E3065" s="35">
        <v>2.9990000000000001</v>
      </c>
      <c r="F3065" s="35">
        <v>3.9980000000000002</v>
      </c>
      <c r="G3065" s="35">
        <v>23000</v>
      </c>
    </row>
    <row r="3066" spans="1:7" x14ac:dyDescent="0.25">
      <c r="A3066">
        <v>20221028</v>
      </c>
      <c r="B3066" t="s">
        <v>771</v>
      </c>
      <c r="C3066" t="s">
        <v>186</v>
      </c>
      <c r="D3066" t="s">
        <v>265</v>
      </c>
      <c r="E3066" s="35">
        <v>2.9990000000000001</v>
      </c>
      <c r="F3066" s="35">
        <v>3.9980000000000002</v>
      </c>
      <c r="G3066" s="35">
        <v>17500</v>
      </c>
    </row>
    <row r="3067" spans="1:7" x14ac:dyDescent="0.25">
      <c r="A3067">
        <v>20221028</v>
      </c>
      <c r="B3067" t="s">
        <v>771</v>
      </c>
      <c r="C3067" t="s">
        <v>186</v>
      </c>
      <c r="D3067" t="s">
        <v>273</v>
      </c>
      <c r="E3067" s="35">
        <v>2.9990000000000001</v>
      </c>
      <c r="F3067" s="35">
        <v>3.9980000000000002</v>
      </c>
      <c r="G3067" s="35">
        <v>11800</v>
      </c>
    </row>
    <row r="3068" spans="1:7" x14ac:dyDescent="0.25">
      <c r="A3068">
        <v>20221028</v>
      </c>
      <c r="B3068" t="s">
        <v>771</v>
      </c>
      <c r="C3068" t="s">
        <v>186</v>
      </c>
      <c r="D3068" t="s">
        <v>279</v>
      </c>
      <c r="E3068" s="35">
        <v>2.9990000000000001</v>
      </c>
      <c r="F3068" s="35">
        <v>3.9980000000000002</v>
      </c>
      <c r="G3068" s="35">
        <v>8600</v>
      </c>
    </row>
    <row r="3069" spans="1:7" x14ac:dyDescent="0.25">
      <c r="A3069">
        <v>20221028</v>
      </c>
      <c r="B3069" t="s">
        <v>771</v>
      </c>
      <c r="C3069" t="s">
        <v>186</v>
      </c>
      <c r="D3069" t="s">
        <v>285</v>
      </c>
      <c r="E3069" s="35">
        <v>2.9990000000000001</v>
      </c>
      <c r="F3069" s="35">
        <v>3.9980000000000002</v>
      </c>
      <c r="G3069" s="35">
        <v>3600</v>
      </c>
    </row>
    <row r="3070" spans="1:7" x14ac:dyDescent="0.25">
      <c r="A3070">
        <v>20221028</v>
      </c>
      <c r="B3070" t="s">
        <v>771</v>
      </c>
      <c r="C3070" t="s">
        <v>186</v>
      </c>
      <c r="D3070" t="s">
        <v>289</v>
      </c>
      <c r="E3070" s="35">
        <v>2.9990000000000001</v>
      </c>
      <c r="F3070" s="35">
        <v>3.9980000000000002</v>
      </c>
      <c r="G3070" s="35">
        <v>1700</v>
      </c>
    </row>
    <row r="3071" spans="1:7" x14ac:dyDescent="0.25">
      <c r="A3071">
        <v>20221028</v>
      </c>
      <c r="B3071" t="s">
        <v>771</v>
      </c>
      <c r="C3071" t="s">
        <v>213</v>
      </c>
      <c r="D3071" t="s">
        <v>187</v>
      </c>
      <c r="E3071" s="35">
        <v>2.9990000000000001</v>
      </c>
      <c r="F3071" s="35">
        <v>3.9980000000000002</v>
      </c>
      <c r="G3071" s="35">
        <v>37500</v>
      </c>
    </row>
    <row r="3072" spans="1:7" x14ac:dyDescent="0.25">
      <c r="A3072">
        <v>20221028</v>
      </c>
      <c r="B3072" t="s">
        <v>771</v>
      </c>
      <c r="C3072" t="s">
        <v>213</v>
      </c>
      <c r="D3072" t="s">
        <v>214</v>
      </c>
      <c r="E3072" s="35">
        <v>2.9990000000000001</v>
      </c>
      <c r="F3072" s="35">
        <v>3.9980000000000002</v>
      </c>
      <c r="G3072" s="35">
        <v>33500</v>
      </c>
    </row>
    <row r="3073" spans="1:7" x14ac:dyDescent="0.25">
      <c r="A3073">
        <v>20221028</v>
      </c>
      <c r="B3073" t="s">
        <v>771</v>
      </c>
      <c r="C3073" t="s">
        <v>213</v>
      </c>
      <c r="D3073" t="s">
        <v>233</v>
      </c>
      <c r="E3073" s="35">
        <v>2.9990000000000001</v>
      </c>
      <c r="F3073" s="35">
        <v>3.9980000000000002</v>
      </c>
      <c r="G3073" s="35">
        <v>30500</v>
      </c>
    </row>
    <row r="3074" spans="1:7" x14ac:dyDescent="0.25">
      <c r="A3074">
        <v>20221028</v>
      </c>
      <c r="B3074" t="s">
        <v>771</v>
      </c>
      <c r="C3074" t="s">
        <v>213</v>
      </c>
      <c r="D3074" t="s">
        <v>242</v>
      </c>
      <c r="E3074" s="35">
        <v>2.9990000000000001</v>
      </c>
      <c r="F3074" s="35">
        <v>3.9980000000000002</v>
      </c>
      <c r="G3074" s="35">
        <v>28000</v>
      </c>
    </row>
    <row r="3075" spans="1:7" x14ac:dyDescent="0.25">
      <c r="A3075">
        <v>20221028</v>
      </c>
      <c r="B3075" t="s">
        <v>771</v>
      </c>
      <c r="C3075" t="s">
        <v>213</v>
      </c>
      <c r="D3075" t="s">
        <v>250</v>
      </c>
      <c r="E3075" s="35">
        <v>2.9990000000000001</v>
      </c>
      <c r="F3075" s="35">
        <v>3.9980000000000002</v>
      </c>
      <c r="G3075" s="35">
        <v>24500</v>
      </c>
    </row>
    <row r="3076" spans="1:7" x14ac:dyDescent="0.25">
      <c r="A3076">
        <v>20221028</v>
      </c>
      <c r="B3076" t="s">
        <v>771</v>
      </c>
      <c r="C3076" t="s">
        <v>213</v>
      </c>
      <c r="D3076" t="s">
        <v>258</v>
      </c>
      <c r="E3076" s="35">
        <v>2.9990000000000001</v>
      </c>
      <c r="F3076" s="35">
        <v>3.9980000000000002</v>
      </c>
      <c r="G3076" s="35">
        <v>21500</v>
      </c>
    </row>
    <row r="3077" spans="1:7" x14ac:dyDescent="0.25">
      <c r="A3077">
        <v>20221028</v>
      </c>
      <c r="B3077" t="s">
        <v>771</v>
      </c>
      <c r="C3077" t="s">
        <v>213</v>
      </c>
      <c r="D3077" t="s">
        <v>265</v>
      </c>
      <c r="E3077" s="35">
        <v>2.9990000000000001</v>
      </c>
      <c r="F3077" s="35">
        <v>3.9980000000000002</v>
      </c>
      <c r="G3077" s="35">
        <v>16500</v>
      </c>
    </row>
    <row r="3078" spans="1:7" x14ac:dyDescent="0.25">
      <c r="A3078">
        <v>20221028</v>
      </c>
      <c r="B3078" t="s">
        <v>771</v>
      </c>
      <c r="C3078" t="s">
        <v>213</v>
      </c>
      <c r="D3078" t="s">
        <v>273</v>
      </c>
      <c r="E3078" s="35">
        <v>2.9990000000000001</v>
      </c>
      <c r="F3078" s="35">
        <v>3.9980000000000002</v>
      </c>
      <c r="G3078" s="35">
        <v>10900</v>
      </c>
    </row>
    <row r="3079" spans="1:7" x14ac:dyDescent="0.25">
      <c r="A3079">
        <v>20221028</v>
      </c>
      <c r="B3079" t="s">
        <v>771</v>
      </c>
      <c r="C3079" t="s">
        <v>213</v>
      </c>
      <c r="D3079" t="s">
        <v>279</v>
      </c>
      <c r="E3079" s="35">
        <v>2.9990000000000001</v>
      </c>
      <c r="F3079" s="35">
        <v>3.9980000000000002</v>
      </c>
      <c r="G3079" s="35">
        <v>8000</v>
      </c>
    </row>
    <row r="3080" spans="1:7" x14ac:dyDescent="0.25">
      <c r="A3080">
        <v>20221028</v>
      </c>
      <c r="B3080" t="s">
        <v>771</v>
      </c>
      <c r="C3080" t="s">
        <v>213</v>
      </c>
      <c r="D3080" t="s">
        <v>285</v>
      </c>
      <c r="E3080" s="35">
        <v>2.9990000000000001</v>
      </c>
      <c r="F3080" s="35">
        <v>3.9980000000000002</v>
      </c>
      <c r="G3080" s="35">
        <v>3300</v>
      </c>
    </row>
    <row r="3081" spans="1:7" x14ac:dyDescent="0.25">
      <c r="A3081">
        <v>20221028</v>
      </c>
      <c r="B3081" t="s">
        <v>771</v>
      </c>
      <c r="C3081" t="s">
        <v>213</v>
      </c>
      <c r="D3081" t="s">
        <v>289</v>
      </c>
      <c r="E3081" s="35">
        <v>2.9990000000000001</v>
      </c>
      <c r="F3081" s="35">
        <v>3.9980000000000002</v>
      </c>
      <c r="G3081" s="35">
        <v>1600</v>
      </c>
    </row>
    <row r="3082" spans="1:7" x14ac:dyDescent="0.25">
      <c r="A3082">
        <v>20221028</v>
      </c>
      <c r="B3082" t="s">
        <v>771</v>
      </c>
      <c r="C3082" t="s">
        <v>232</v>
      </c>
      <c r="D3082" t="s">
        <v>187</v>
      </c>
      <c r="E3082" s="35">
        <v>2.9990000000000001</v>
      </c>
      <c r="F3082" s="35">
        <v>3.9980000000000002</v>
      </c>
      <c r="G3082" s="35">
        <v>33500</v>
      </c>
    </row>
    <row r="3083" spans="1:7" x14ac:dyDescent="0.25">
      <c r="A3083">
        <v>20221028</v>
      </c>
      <c r="B3083" t="s">
        <v>771</v>
      </c>
      <c r="C3083" t="s">
        <v>232</v>
      </c>
      <c r="D3083" t="s">
        <v>214</v>
      </c>
      <c r="E3083" s="35">
        <v>2.9990000000000001</v>
      </c>
      <c r="F3083" s="35">
        <v>3.9980000000000002</v>
      </c>
      <c r="G3083" s="35">
        <v>30500</v>
      </c>
    </row>
    <row r="3084" spans="1:7" x14ac:dyDescent="0.25">
      <c r="A3084">
        <v>20221028</v>
      </c>
      <c r="B3084" t="s">
        <v>771</v>
      </c>
      <c r="C3084" t="s">
        <v>232</v>
      </c>
      <c r="D3084" t="s">
        <v>233</v>
      </c>
      <c r="E3084" s="35">
        <v>2.9990000000000001</v>
      </c>
      <c r="F3084" s="35">
        <v>3.9980000000000002</v>
      </c>
      <c r="G3084" s="35">
        <v>28000</v>
      </c>
    </row>
    <row r="3085" spans="1:7" x14ac:dyDescent="0.25">
      <c r="A3085">
        <v>20221028</v>
      </c>
      <c r="B3085" t="s">
        <v>771</v>
      </c>
      <c r="C3085" t="s">
        <v>232</v>
      </c>
      <c r="D3085" t="s">
        <v>242</v>
      </c>
      <c r="E3085" s="35">
        <v>2.9990000000000001</v>
      </c>
      <c r="F3085" s="35">
        <v>3.9980000000000002</v>
      </c>
      <c r="G3085" s="35">
        <v>25000</v>
      </c>
    </row>
    <row r="3086" spans="1:7" x14ac:dyDescent="0.25">
      <c r="A3086">
        <v>20221028</v>
      </c>
      <c r="B3086" t="s">
        <v>771</v>
      </c>
      <c r="C3086" t="s">
        <v>232</v>
      </c>
      <c r="D3086" t="s">
        <v>250</v>
      </c>
      <c r="E3086" s="35">
        <v>2.9990000000000001</v>
      </c>
      <c r="F3086" s="35">
        <v>3.9980000000000002</v>
      </c>
      <c r="G3086" s="35">
        <v>22500</v>
      </c>
    </row>
    <row r="3087" spans="1:7" x14ac:dyDescent="0.25">
      <c r="A3087">
        <v>20221028</v>
      </c>
      <c r="B3087" t="s">
        <v>771</v>
      </c>
      <c r="C3087" t="s">
        <v>232</v>
      </c>
      <c r="D3087" t="s">
        <v>258</v>
      </c>
      <c r="E3087" s="35">
        <v>2.9990000000000001</v>
      </c>
      <c r="F3087" s="35">
        <v>3.9980000000000002</v>
      </c>
      <c r="G3087" s="35">
        <v>19500</v>
      </c>
    </row>
    <row r="3088" spans="1:7" x14ac:dyDescent="0.25">
      <c r="A3088">
        <v>20221028</v>
      </c>
      <c r="B3088" t="s">
        <v>771</v>
      </c>
      <c r="C3088" t="s">
        <v>232</v>
      </c>
      <c r="D3088" t="s">
        <v>265</v>
      </c>
      <c r="E3088" s="35">
        <v>2.9990000000000001</v>
      </c>
      <c r="F3088" s="35">
        <v>3.9980000000000002</v>
      </c>
      <c r="G3088" s="35">
        <v>15500</v>
      </c>
    </row>
    <row r="3089" spans="1:7" x14ac:dyDescent="0.25">
      <c r="A3089">
        <v>20221028</v>
      </c>
      <c r="B3089" t="s">
        <v>771</v>
      </c>
      <c r="C3089" t="s">
        <v>232</v>
      </c>
      <c r="D3089" t="s">
        <v>273</v>
      </c>
      <c r="E3089" s="35">
        <v>2.9990000000000001</v>
      </c>
      <c r="F3089" s="35">
        <v>3.9980000000000002</v>
      </c>
      <c r="G3089" s="35">
        <v>10100</v>
      </c>
    </row>
    <row r="3090" spans="1:7" x14ac:dyDescent="0.25">
      <c r="A3090">
        <v>20221028</v>
      </c>
      <c r="B3090" t="s">
        <v>771</v>
      </c>
      <c r="C3090" t="s">
        <v>232</v>
      </c>
      <c r="D3090" t="s">
        <v>279</v>
      </c>
      <c r="E3090" s="35">
        <v>2.9990000000000001</v>
      </c>
      <c r="F3090" s="35">
        <v>3.9980000000000002</v>
      </c>
      <c r="G3090" s="35">
        <v>7400</v>
      </c>
    </row>
    <row r="3091" spans="1:7" x14ac:dyDescent="0.25">
      <c r="A3091">
        <v>20221028</v>
      </c>
      <c r="B3091" t="s">
        <v>771</v>
      </c>
      <c r="C3091" t="s">
        <v>232</v>
      </c>
      <c r="D3091" t="s">
        <v>285</v>
      </c>
      <c r="E3091" s="35">
        <v>2.9990000000000001</v>
      </c>
      <c r="F3091" s="35">
        <v>3.9980000000000002</v>
      </c>
      <c r="G3091" s="35">
        <v>3000</v>
      </c>
    </row>
    <row r="3092" spans="1:7" x14ac:dyDescent="0.25">
      <c r="A3092">
        <v>20221028</v>
      </c>
      <c r="B3092" t="s">
        <v>771</v>
      </c>
      <c r="C3092" t="s">
        <v>232</v>
      </c>
      <c r="D3092" t="s">
        <v>289</v>
      </c>
      <c r="E3092" s="35">
        <v>2.9990000000000001</v>
      </c>
      <c r="F3092" s="35">
        <v>3.9980000000000002</v>
      </c>
      <c r="G3092" s="35">
        <v>1500</v>
      </c>
    </row>
    <row r="3093" spans="1:7" x14ac:dyDescent="0.25">
      <c r="A3093">
        <v>20221028</v>
      </c>
      <c r="B3093" t="s">
        <v>771</v>
      </c>
      <c r="C3093" t="s">
        <v>215</v>
      </c>
      <c r="D3093" t="s">
        <v>187</v>
      </c>
      <c r="E3093" s="35">
        <v>2.9990000000000001</v>
      </c>
      <c r="F3093" s="35">
        <v>3.9980000000000002</v>
      </c>
      <c r="G3093" s="35">
        <v>30000</v>
      </c>
    </row>
    <row r="3094" spans="1:7" x14ac:dyDescent="0.25">
      <c r="A3094">
        <v>20221028</v>
      </c>
      <c r="B3094" t="s">
        <v>771</v>
      </c>
      <c r="C3094" t="s">
        <v>215</v>
      </c>
      <c r="D3094" t="s">
        <v>214</v>
      </c>
      <c r="E3094" s="35">
        <v>2.9990000000000001</v>
      </c>
      <c r="F3094" s="35">
        <v>3.9980000000000002</v>
      </c>
      <c r="G3094" s="35">
        <v>27500</v>
      </c>
    </row>
    <row r="3095" spans="1:7" x14ac:dyDescent="0.25">
      <c r="A3095">
        <v>20221028</v>
      </c>
      <c r="B3095" t="s">
        <v>771</v>
      </c>
      <c r="C3095" t="s">
        <v>215</v>
      </c>
      <c r="D3095" t="s">
        <v>233</v>
      </c>
      <c r="E3095" s="35">
        <v>2.9990000000000001</v>
      </c>
      <c r="F3095" s="35">
        <v>3.9980000000000002</v>
      </c>
      <c r="G3095" s="35">
        <v>25000</v>
      </c>
    </row>
    <row r="3096" spans="1:7" x14ac:dyDescent="0.25">
      <c r="A3096">
        <v>20221028</v>
      </c>
      <c r="B3096" t="s">
        <v>771</v>
      </c>
      <c r="C3096" t="s">
        <v>215</v>
      </c>
      <c r="D3096" t="s">
        <v>242</v>
      </c>
      <c r="E3096" s="35">
        <v>2.9990000000000001</v>
      </c>
      <c r="F3096" s="35">
        <v>3.9980000000000002</v>
      </c>
      <c r="G3096" s="35">
        <v>22500</v>
      </c>
    </row>
    <row r="3097" spans="1:7" x14ac:dyDescent="0.25">
      <c r="A3097">
        <v>20221028</v>
      </c>
      <c r="B3097" t="s">
        <v>771</v>
      </c>
      <c r="C3097" t="s">
        <v>215</v>
      </c>
      <c r="D3097" t="s">
        <v>250</v>
      </c>
      <c r="E3097" s="35">
        <v>2.9990000000000001</v>
      </c>
      <c r="F3097" s="35">
        <v>3.9980000000000002</v>
      </c>
      <c r="G3097" s="35">
        <v>20500</v>
      </c>
    </row>
    <row r="3098" spans="1:7" x14ac:dyDescent="0.25">
      <c r="A3098">
        <v>20221028</v>
      </c>
      <c r="B3098" t="s">
        <v>771</v>
      </c>
      <c r="C3098" t="s">
        <v>215</v>
      </c>
      <c r="D3098" t="s">
        <v>258</v>
      </c>
      <c r="E3098" s="35">
        <v>2.9990000000000001</v>
      </c>
      <c r="F3098" s="35">
        <v>3.9980000000000002</v>
      </c>
      <c r="G3098" s="35">
        <v>18000</v>
      </c>
    </row>
    <row r="3099" spans="1:7" x14ac:dyDescent="0.25">
      <c r="A3099">
        <v>20221028</v>
      </c>
      <c r="B3099" t="s">
        <v>771</v>
      </c>
      <c r="C3099" t="s">
        <v>215</v>
      </c>
      <c r="D3099" t="s">
        <v>265</v>
      </c>
      <c r="E3099" s="35">
        <v>2.9990000000000001</v>
      </c>
      <c r="F3099" s="35">
        <v>3.9980000000000002</v>
      </c>
      <c r="G3099" s="35">
        <v>14500</v>
      </c>
    </row>
    <row r="3100" spans="1:7" x14ac:dyDescent="0.25">
      <c r="A3100">
        <v>20221028</v>
      </c>
      <c r="B3100" t="s">
        <v>771</v>
      </c>
      <c r="C3100" t="s">
        <v>215</v>
      </c>
      <c r="D3100" t="s">
        <v>273</v>
      </c>
      <c r="E3100" s="35">
        <v>2.9990000000000001</v>
      </c>
      <c r="F3100" s="35">
        <v>3.9980000000000002</v>
      </c>
      <c r="G3100" s="35">
        <v>9200</v>
      </c>
    </row>
    <row r="3101" spans="1:7" x14ac:dyDescent="0.25">
      <c r="A3101">
        <v>20221028</v>
      </c>
      <c r="B3101" t="s">
        <v>771</v>
      </c>
      <c r="C3101" t="s">
        <v>215</v>
      </c>
      <c r="D3101" t="s">
        <v>279</v>
      </c>
      <c r="E3101" s="35">
        <v>2.9990000000000001</v>
      </c>
      <c r="F3101" s="35">
        <v>3.9980000000000002</v>
      </c>
      <c r="G3101" s="35">
        <v>6700</v>
      </c>
    </row>
    <row r="3102" spans="1:7" x14ac:dyDescent="0.25">
      <c r="A3102">
        <v>20221028</v>
      </c>
      <c r="B3102" t="s">
        <v>771</v>
      </c>
      <c r="C3102" t="s">
        <v>215</v>
      </c>
      <c r="D3102" t="s">
        <v>285</v>
      </c>
      <c r="E3102" s="35">
        <v>2.9990000000000001</v>
      </c>
      <c r="F3102" s="35">
        <v>3.9980000000000002</v>
      </c>
      <c r="G3102" s="35">
        <v>2900</v>
      </c>
    </row>
    <row r="3103" spans="1:7" x14ac:dyDescent="0.25">
      <c r="A3103">
        <v>20221028</v>
      </c>
      <c r="B3103" t="s">
        <v>771</v>
      </c>
      <c r="C3103" t="s">
        <v>215</v>
      </c>
      <c r="D3103" t="s">
        <v>289</v>
      </c>
      <c r="E3103" s="35">
        <v>2.9990000000000001</v>
      </c>
      <c r="F3103" s="35">
        <v>3.9980000000000002</v>
      </c>
      <c r="G3103" s="35">
        <v>1500</v>
      </c>
    </row>
    <row r="3104" spans="1:7" x14ac:dyDescent="0.25">
      <c r="A3104">
        <v>20221028</v>
      </c>
      <c r="B3104" t="s">
        <v>771</v>
      </c>
      <c r="C3104" t="s">
        <v>249</v>
      </c>
      <c r="D3104" t="s">
        <v>187</v>
      </c>
      <c r="E3104" s="35">
        <v>2.9990000000000001</v>
      </c>
      <c r="F3104" s="35">
        <v>3.9980000000000002</v>
      </c>
      <c r="G3104" s="35">
        <v>24500</v>
      </c>
    </row>
    <row r="3105" spans="1:7" x14ac:dyDescent="0.25">
      <c r="A3105">
        <v>20221028</v>
      </c>
      <c r="B3105" t="s">
        <v>771</v>
      </c>
      <c r="C3105" t="s">
        <v>249</v>
      </c>
      <c r="D3105" t="s">
        <v>214</v>
      </c>
      <c r="E3105" s="35">
        <v>2.9990000000000001</v>
      </c>
      <c r="F3105" s="35">
        <v>3.9980000000000002</v>
      </c>
      <c r="G3105" s="35">
        <v>23000</v>
      </c>
    </row>
    <row r="3106" spans="1:7" x14ac:dyDescent="0.25">
      <c r="A3106">
        <v>20221028</v>
      </c>
      <c r="B3106" t="s">
        <v>771</v>
      </c>
      <c r="C3106" t="s">
        <v>249</v>
      </c>
      <c r="D3106" t="s">
        <v>233</v>
      </c>
      <c r="E3106" s="35">
        <v>2.9990000000000001</v>
      </c>
      <c r="F3106" s="35">
        <v>3.9980000000000002</v>
      </c>
      <c r="G3106" s="35">
        <v>21500</v>
      </c>
    </row>
    <row r="3107" spans="1:7" x14ac:dyDescent="0.25">
      <c r="A3107">
        <v>20221028</v>
      </c>
      <c r="B3107" t="s">
        <v>771</v>
      </c>
      <c r="C3107" t="s">
        <v>249</v>
      </c>
      <c r="D3107" t="s">
        <v>242</v>
      </c>
      <c r="E3107" s="35">
        <v>2.9990000000000001</v>
      </c>
      <c r="F3107" s="35">
        <v>3.9980000000000002</v>
      </c>
      <c r="G3107" s="35">
        <v>20000</v>
      </c>
    </row>
    <row r="3108" spans="1:7" x14ac:dyDescent="0.25">
      <c r="A3108">
        <v>20221028</v>
      </c>
      <c r="B3108" t="s">
        <v>771</v>
      </c>
      <c r="C3108" t="s">
        <v>249</v>
      </c>
      <c r="D3108" t="s">
        <v>250</v>
      </c>
      <c r="E3108" s="35">
        <v>2.9990000000000001</v>
      </c>
      <c r="F3108" s="35">
        <v>3.9980000000000002</v>
      </c>
      <c r="G3108" s="35">
        <v>18000</v>
      </c>
    </row>
    <row r="3109" spans="1:7" x14ac:dyDescent="0.25">
      <c r="A3109">
        <v>20221028</v>
      </c>
      <c r="B3109" t="s">
        <v>771</v>
      </c>
      <c r="C3109" t="s">
        <v>249</v>
      </c>
      <c r="D3109" t="s">
        <v>258</v>
      </c>
      <c r="E3109" s="35">
        <v>2.9990000000000001</v>
      </c>
      <c r="F3109" s="35">
        <v>3.9980000000000002</v>
      </c>
      <c r="G3109" s="35">
        <v>16000</v>
      </c>
    </row>
    <row r="3110" spans="1:7" x14ac:dyDescent="0.25">
      <c r="A3110">
        <v>20221028</v>
      </c>
      <c r="B3110" t="s">
        <v>771</v>
      </c>
      <c r="C3110" t="s">
        <v>249</v>
      </c>
      <c r="D3110" t="s">
        <v>265</v>
      </c>
      <c r="E3110" s="35">
        <v>2.9990000000000001</v>
      </c>
      <c r="F3110" s="35">
        <v>3.9980000000000002</v>
      </c>
      <c r="G3110" s="35">
        <v>13500</v>
      </c>
    </row>
    <row r="3111" spans="1:7" x14ac:dyDescent="0.25">
      <c r="A3111">
        <v>20221028</v>
      </c>
      <c r="B3111" t="s">
        <v>771</v>
      </c>
      <c r="C3111" t="s">
        <v>249</v>
      </c>
      <c r="D3111" t="s">
        <v>273</v>
      </c>
      <c r="E3111" s="35">
        <v>2.9990000000000001</v>
      </c>
      <c r="F3111" s="35">
        <v>3.9980000000000002</v>
      </c>
      <c r="G3111" s="35">
        <v>8500</v>
      </c>
    </row>
    <row r="3112" spans="1:7" x14ac:dyDescent="0.25">
      <c r="A3112">
        <v>20221028</v>
      </c>
      <c r="B3112" t="s">
        <v>771</v>
      </c>
      <c r="C3112" t="s">
        <v>249</v>
      </c>
      <c r="D3112" t="s">
        <v>279</v>
      </c>
      <c r="E3112" s="35">
        <v>2.9990000000000001</v>
      </c>
      <c r="F3112" s="35">
        <v>3.9980000000000002</v>
      </c>
      <c r="G3112" s="35">
        <v>6200</v>
      </c>
    </row>
    <row r="3113" spans="1:7" x14ac:dyDescent="0.25">
      <c r="A3113">
        <v>20221028</v>
      </c>
      <c r="B3113" t="s">
        <v>771</v>
      </c>
      <c r="C3113" t="s">
        <v>249</v>
      </c>
      <c r="D3113" t="s">
        <v>285</v>
      </c>
      <c r="E3113" s="35">
        <v>2.9990000000000001</v>
      </c>
      <c r="F3113" s="35">
        <v>3.9980000000000002</v>
      </c>
      <c r="G3113" s="35">
        <v>2700</v>
      </c>
    </row>
    <row r="3114" spans="1:7" x14ac:dyDescent="0.25">
      <c r="A3114">
        <v>20221028</v>
      </c>
      <c r="B3114" t="s">
        <v>771</v>
      </c>
      <c r="C3114" t="s">
        <v>249</v>
      </c>
      <c r="D3114" t="s">
        <v>289</v>
      </c>
      <c r="E3114" s="35">
        <v>2.9990000000000001</v>
      </c>
      <c r="F3114" s="35">
        <v>3.9980000000000002</v>
      </c>
      <c r="G3114" s="35">
        <v>1400</v>
      </c>
    </row>
    <row r="3115" spans="1:7" x14ac:dyDescent="0.25">
      <c r="A3115">
        <v>20221028</v>
      </c>
      <c r="B3115" t="s">
        <v>771</v>
      </c>
      <c r="C3115" t="s">
        <v>257</v>
      </c>
      <c r="D3115" t="s">
        <v>187</v>
      </c>
      <c r="E3115" s="35">
        <v>2.9990000000000001</v>
      </c>
      <c r="F3115" s="35">
        <v>3.9980000000000002</v>
      </c>
      <c r="G3115" s="35">
        <v>20000</v>
      </c>
    </row>
    <row r="3116" spans="1:7" x14ac:dyDescent="0.25">
      <c r="A3116">
        <v>20221028</v>
      </c>
      <c r="B3116" t="s">
        <v>771</v>
      </c>
      <c r="C3116" t="s">
        <v>257</v>
      </c>
      <c r="D3116" t="s">
        <v>214</v>
      </c>
      <c r="E3116" s="35">
        <v>2.9990000000000001</v>
      </c>
      <c r="F3116" s="35">
        <v>3.9980000000000002</v>
      </c>
      <c r="G3116" s="35">
        <v>19000</v>
      </c>
    </row>
    <row r="3117" spans="1:7" x14ac:dyDescent="0.25">
      <c r="A3117">
        <v>20221028</v>
      </c>
      <c r="B3117" t="s">
        <v>771</v>
      </c>
      <c r="C3117" t="s">
        <v>257</v>
      </c>
      <c r="D3117" t="s">
        <v>233</v>
      </c>
      <c r="E3117" s="35">
        <v>2.9990000000000001</v>
      </c>
      <c r="F3117" s="35">
        <v>3.9980000000000002</v>
      </c>
      <c r="G3117" s="35">
        <v>18000</v>
      </c>
    </row>
    <row r="3118" spans="1:7" x14ac:dyDescent="0.25">
      <c r="A3118">
        <v>20221028</v>
      </c>
      <c r="B3118" t="s">
        <v>771</v>
      </c>
      <c r="C3118" t="s">
        <v>257</v>
      </c>
      <c r="D3118" t="s">
        <v>242</v>
      </c>
      <c r="E3118" s="35">
        <v>2.9990000000000001</v>
      </c>
      <c r="F3118" s="35">
        <v>3.9980000000000002</v>
      </c>
      <c r="G3118" s="35">
        <v>17000</v>
      </c>
    </row>
    <row r="3119" spans="1:7" x14ac:dyDescent="0.25">
      <c r="A3119">
        <v>20221028</v>
      </c>
      <c r="B3119" t="s">
        <v>771</v>
      </c>
      <c r="C3119" t="s">
        <v>257</v>
      </c>
      <c r="D3119" t="s">
        <v>250</v>
      </c>
      <c r="E3119" s="35">
        <v>2.9990000000000001</v>
      </c>
      <c r="F3119" s="35">
        <v>3.9980000000000002</v>
      </c>
      <c r="G3119" s="35">
        <v>15500</v>
      </c>
    </row>
    <row r="3120" spans="1:7" x14ac:dyDescent="0.25">
      <c r="A3120">
        <v>20221028</v>
      </c>
      <c r="B3120" t="s">
        <v>771</v>
      </c>
      <c r="C3120" t="s">
        <v>257</v>
      </c>
      <c r="D3120" t="s">
        <v>258</v>
      </c>
      <c r="E3120" s="35">
        <v>2.9990000000000001</v>
      </c>
      <c r="F3120" s="35">
        <v>3.9980000000000002</v>
      </c>
      <c r="G3120" s="35">
        <v>14000</v>
      </c>
    </row>
    <row r="3121" spans="1:7" x14ac:dyDescent="0.25">
      <c r="A3121">
        <v>20221028</v>
      </c>
      <c r="B3121" t="s">
        <v>771</v>
      </c>
      <c r="C3121" t="s">
        <v>257</v>
      </c>
      <c r="D3121" t="s">
        <v>265</v>
      </c>
      <c r="E3121" s="35">
        <v>2.9990000000000001</v>
      </c>
      <c r="F3121" s="35">
        <v>3.9980000000000002</v>
      </c>
      <c r="G3121" s="35">
        <v>12000</v>
      </c>
    </row>
    <row r="3122" spans="1:7" x14ac:dyDescent="0.25">
      <c r="A3122">
        <v>20221028</v>
      </c>
      <c r="B3122" t="s">
        <v>771</v>
      </c>
      <c r="C3122" t="s">
        <v>257</v>
      </c>
      <c r="D3122" t="s">
        <v>273</v>
      </c>
      <c r="E3122" s="35">
        <v>2.9990000000000001</v>
      </c>
      <c r="F3122" s="35">
        <v>3.9980000000000002</v>
      </c>
      <c r="G3122" s="35">
        <v>7900</v>
      </c>
    </row>
    <row r="3123" spans="1:7" x14ac:dyDescent="0.25">
      <c r="A3123">
        <v>20221028</v>
      </c>
      <c r="B3123" t="s">
        <v>771</v>
      </c>
      <c r="C3123" t="s">
        <v>257</v>
      </c>
      <c r="D3123" t="s">
        <v>279</v>
      </c>
      <c r="E3123" s="35">
        <v>2.9990000000000001</v>
      </c>
      <c r="F3123" s="35">
        <v>3.9980000000000002</v>
      </c>
      <c r="G3123" s="35">
        <v>5700</v>
      </c>
    </row>
    <row r="3124" spans="1:7" x14ac:dyDescent="0.25">
      <c r="A3124">
        <v>20221028</v>
      </c>
      <c r="B3124" t="s">
        <v>771</v>
      </c>
      <c r="C3124" t="s">
        <v>257</v>
      </c>
      <c r="D3124" t="s">
        <v>285</v>
      </c>
      <c r="E3124" s="35">
        <v>2.9990000000000001</v>
      </c>
      <c r="F3124" s="35">
        <v>3.9980000000000002</v>
      </c>
      <c r="G3124" s="35">
        <v>2600</v>
      </c>
    </row>
    <row r="3125" spans="1:7" x14ac:dyDescent="0.25">
      <c r="A3125">
        <v>20221028</v>
      </c>
      <c r="B3125" t="s">
        <v>771</v>
      </c>
      <c r="C3125" t="s">
        <v>257</v>
      </c>
      <c r="D3125" t="s">
        <v>289</v>
      </c>
      <c r="E3125" s="35">
        <v>2.9990000000000001</v>
      </c>
      <c r="F3125" s="35">
        <v>3.9980000000000002</v>
      </c>
      <c r="G3125" s="35">
        <v>1400</v>
      </c>
    </row>
    <row r="3126" spans="1:7" x14ac:dyDescent="0.25">
      <c r="A3126">
        <v>20221028</v>
      </c>
      <c r="B3126" t="s">
        <v>771</v>
      </c>
      <c r="C3126" t="s">
        <v>264</v>
      </c>
      <c r="D3126" t="s">
        <v>187</v>
      </c>
      <c r="E3126" s="35">
        <v>2.9990000000000001</v>
      </c>
      <c r="F3126" s="35">
        <v>3.9980000000000002</v>
      </c>
      <c r="G3126" s="35">
        <v>15900</v>
      </c>
    </row>
    <row r="3127" spans="1:7" x14ac:dyDescent="0.25">
      <c r="A3127">
        <v>20221028</v>
      </c>
      <c r="B3127" t="s">
        <v>771</v>
      </c>
      <c r="C3127" t="s">
        <v>264</v>
      </c>
      <c r="D3127" t="s">
        <v>214</v>
      </c>
      <c r="E3127" s="35">
        <v>2.9990000000000001</v>
      </c>
      <c r="F3127" s="35">
        <v>3.9980000000000002</v>
      </c>
      <c r="G3127" s="35">
        <v>14600</v>
      </c>
    </row>
    <row r="3128" spans="1:7" x14ac:dyDescent="0.25">
      <c r="A3128">
        <v>20221028</v>
      </c>
      <c r="B3128" t="s">
        <v>771</v>
      </c>
      <c r="C3128" t="s">
        <v>264</v>
      </c>
      <c r="D3128" t="s">
        <v>233</v>
      </c>
      <c r="E3128" s="35">
        <v>2.9990000000000001</v>
      </c>
      <c r="F3128" s="35">
        <v>3.9980000000000002</v>
      </c>
      <c r="G3128" s="35">
        <v>13900</v>
      </c>
    </row>
    <row r="3129" spans="1:7" x14ac:dyDescent="0.25">
      <c r="A3129">
        <v>20221028</v>
      </c>
      <c r="B3129" t="s">
        <v>771</v>
      </c>
      <c r="C3129" t="s">
        <v>264</v>
      </c>
      <c r="D3129" t="s">
        <v>242</v>
      </c>
      <c r="E3129" s="35">
        <v>2.9990000000000001</v>
      </c>
      <c r="F3129" s="35">
        <v>3.9980000000000002</v>
      </c>
      <c r="G3129" s="35">
        <v>13100</v>
      </c>
    </row>
    <row r="3130" spans="1:7" x14ac:dyDescent="0.25">
      <c r="A3130">
        <v>20221028</v>
      </c>
      <c r="B3130" t="s">
        <v>771</v>
      </c>
      <c r="C3130" t="s">
        <v>264</v>
      </c>
      <c r="D3130" t="s">
        <v>250</v>
      </c>
      <c r="E3130" s="35">
        <v>2.9990000000000001</v>
      </c>
      <c r="F3130" s="35">
        <v>3.9980000000000002</v>
      </c>
      <c r="G3130" s="35">
        <v>12100</v>
      </c>
    </row>
    <row r="3131" spans="1:7" x14ac:dyDescent="0.25">
      <c r="A3131">
        <v>20221028</v>
      </c>
      <c r="B3131" t="s">
        <v>771</v>
      </c>
      <c r="C3131" t="s">
        <v>264</v>
      </c>
      <c r="D3131" t="s">
        <v>258</v>
      </c>
      <c r="E3131" s="35">
        <v>2.9990000000000001</v>
      </c>
      <c r="F3131" s="35">
        <v>3.9980000000000002</v>
      </c>
      <c r="G3131" s="35">
        <v>11100</v>
      </c>
    </row>
    <row r="3132" spans="1:7" x14ac:dyDescent="0.25">
      <c r="A3132">
        <v>20221028</v>
      </c>
      <c r="B3132" t="s">
        <v>771</v>
      </c>
      <c r="C3132" t="s">
        <v>264</v>
      </c>
      <c r="D3132" t="s">
        <v>265</v>
      </c>
      <c r="E3132" s="35">
        <v>2.9990000000000001</v>
      </c>
      <c r="F3132" s="35">
        <v>3.9980000000000002</v>
      </c>
      <c r="G3132" s="35">
        <v>10200</v>
      </c>
    </row>
    <row r="3133" spans="1:7" x14ac:dyDescent="0.25">
      <c r="A3133">
        <v>20221028</v>
      </c>
      <c r="B3133" t="s">
        <v>771</v>
      </c>
      <c r="C3133" t="s">
        <v>264</v>
      </c>
      <c r="D3133" t="s">
        <v>273</v>
      </c>
      <c r="E3133" s="35">
        <v>2.9990000000000001</v>
      </c>
      <c r="F3133" s="35">
        <v>3.9980000000000002</v>
      </c>
      <c r="G3133" s="35">
        <v>7100</v>
      </c>
    </row>
    <row r="3134" spans="1:7" x14ac:dyDescent="0.25">
      <c r="A3134">
        <v>20221028</v>
      </c>
      <c r="B3134" t="s">
        <v>771</v>
      </c>
      <c r="C3134" t="s">
        <v>264</v>
      </c>
      <c r="D3134" t="s">
        <v>279</v>
      </c>
      <c r="E3134" s="35">
        <v>2.9990000000000001</v>
      </c>
      <c r="F3134" s="35">
        <v>3.9980000000000002</v>
      </c>
      <c r="G3134" s="35">
        <v>5400</v>
      </c>
    </row>
    <row r="3135" spans="1:7" x14ac:dyDescent="0.25">
      <c r="A3135">
        <v>20221028</v>
      </c>
      <c r="B3135" t="s">
        <v>771</v>
      </c>
      <c r="C3135" t="s">
        <v>264</v>
      </c>
      <c r="D3135" t="s">
        <v>285</v>
      </c>
      <c r="E3135" s="35">
        <v>2.9990000000000001</v>
      </c>
      <c r="F3135" s="35">
        <v>3.9980000000000002</v>
      </c>
      <c r="G3135" s="35">
        <v>2500</v>
      </c>
    </row>
    <row r="3136" spans="1:7" x14ac:dyDescent="0.25">
      <c r="A3136">
        <v>20221028</v>
      </c>
      <c r="B3136" t="s">
        <v>771</v>
      </c>
      <c r="C3136" t="s">
        <v>264</v>
      </c>
      <c r="D3136" t="s">
        <v>289</v>
      </c>
      <c r="E3136" s="35">
        <v>2.9990000000000001</v>
      </c>
      <c r="F3136" s="35">
        <v>3.9980000000000002</v>
      </c>
      <c r="G3136" s="35">
        <v>1300</v>
      </c>
    </row>
    <row r="3137" spans="1:7" x14ac:dyDescent="0.25">
      <c r="A3137">
        <v>20221028</v>
      </c>
      <c r="B3137" t="s">
        <v>771</v>
      </c>
      <c r="C3137" t="s">
        <v>272</v>
      </c>
      <c r="D3137" t="s">
        <v>187</v>
      </c>
      <c r="E3137" s="35">
        <v>2.9990000000000001</v>
      </c>
      <c r="F3137" s="35">
        <v>3.9980000000000002</v>
      </c>
      <c r="G3137" s="35">
        <v>12300</v>
      </c>
    </row>
    <row r="3138" spans="1:7" x14ac:dyDescent="0.25">
      <c r="A3138">
        <v>20221028</v>
      </c>
      <c r="B3138" t="s">
        <v>771</v>
      </c>
      <c r="C3138" t="s">
        <v>272</v>
      </c>
      <c r="D3138" t="s">
        <v>214</v>
      </c>
      <c r="E3138" s="35">
        <v>2.9990000000000001</v>
      </c>
      <c r="F3138" s="35">
        <v>3.9980000000000002</v>
      </c>
      <c r="G3138" s="35">
        <v>11400</v>
      </c>
    </row>
    <row r="3139" spans="1:7" x14ac:dyDescent="0.25">
      <c r="A3139">
        <v>20221028</v>
      </c>
      <c r="B3139" t="s">
        <v>771</v>
      </c>
      <c r="C3139" t="s">
        <v>272</v>
      </c>
      <c r="D3139" t="s">
        <v>233</v>
      </c>
      <c r="E3139" s="35">
        <v>2.9990000000000001</v>
      </c>
      <c r="F3139" s="35">
        <v>3.9980000000000002</v>
      </c>
      <c r="G3139" s="35">
        <v>10800</v>
      </c>
    </row>
    <row r="3140" spans="1:7" x14ac:dyDescent="0.25">
      <c r="A3140">
        <v>20221028</v>
      </c>
      <c r="B3140" t="s">
        <v>771</v>
      </c>
      <c r="C3140" t="s">
        <v>272</v>
      </c>
      <c r="D3140" t="s">
        <v>242</v>
      </c>
      <c r="E3140" s="35">
        <v>2.9990000000000001</v>
      </c>
      <c r="F3140" s="35">
        <v>3.9980000000000002</v>
      </c>
      <c r="G3140" s="35">
        <v>10000</v>
      </c>
    </row>
    <row r="3141" spans="1:7" x14ac:dyDescent="0.25">
      <c r="A3141">
        <v>20221028</v>
      </c>
      <c r="B3141" t="s">
        <v>771</v>
      </c>
      <c r="C3141" t="s">
        <v>272</v>
      </c>
      <c r="D3141" t="s">
        <v>250</v>
      </c>
      <c r="E3141" s="35">
        <v>2.9990000000000001</v>
      </c>
      <c r="F3141" s="35">
        <v>3.9980000000000002</v>
      </c>
      <c r="G3141" s="35">
        <v>9400</v>
      </c>
    </row>
    <row r="3142" spans="1:7" x14ac:dyDescent="0.25">
      <c r="A3142">
        <v>20221028</v>
      </c>
      <c r="B3142" t="s">
        <v>771</v>
      </c>
      <c r="C3142" t="s">
        <v>272</v>
      </c>
      <c r="D3142" t="s">
        <v>258</v>
      </c>
      <c r="E3142" s="35">
        <v>2.9990000000000001</v>
      </c>
      <c r="F3142" s="35">
        <v>3.9980000000000002</v>
      </c>
      <c r="G3142" s="35">
        <v>8800</v>
      </c>
    </row>
    <row r="3143" spans="1:7" x14ac:dyDescent="0.25">
      <c r="A3143">
        <v>20221028</v>
      </c>
      <c r="B3143" t="s">
        <v>771</v>
      </c>
      <c r="C3143" t="s">
        <v>272</v>
      </c>
      <c r="D3143" t="s">
        <v>265</v>
      </c>
      <c r="E3143" s="35">
        <v>2.9990000000000001</v>
      </c>
      <c r="F3143" s="35">
        <v>3.9980000000000002</v>
      </c>
      <c r="G3143" s="35">
        <v>8200</v>
      </c>
    </row>
    <row r="3144" spans="1:7" x14ac:dyDescent="0.25">
      <c r="A3144">
        <v>20221028</v>
      </c>
      <c r="B3144" t="s">
        <v>771</v>
      </c>
      <c r="C3144" t="s">
        <v>272</v>
      </c>
      <c r="D3144" t="s">
        <v>273</v>
      </c>
      <c r="E3144" s="35">
        <v>2.9990000000000001</v>
      </c>
      <c r="F3144" s="35">
        <v>3.9980000000000002</v>
      </c>
      <c r="G3144" s="35">
        <v>6100</v>
      </c>
    </row>
    <row r="3145" spans="1:7" x14ac:dyDescent="0.25">
      <c r="A3145">
        <v>20221028</v>
      </c>
      <c r="B3145" t="s">
        <v>771</v>
      </c>
      <c r="C3145" t="s">
        <v>272</v>
      </c>
      <c r="D3145" t="s">
        <v>279</v>
      </c>
      <c r="E3145" s="35">
        <v>2.9990000000000001</v>
      </c>
      <c r="F3145" s="35">
        <v>3.9980000000000002</v>
      </c>
      <c r="G3145" s="35">
        <v>5000</v>
      </c>
    </row>
    <row r="3146" spans="1:7" x14ac:dyDescent="0.25">
      <c r="A3146">
        <v>20221028</v>
      </c>
      <c r="B3146" t="s">
        <v>771</v>
      </c>
      <c r="C3146" t="s">
        <v>272</v>
      </c>
      <c r="D3146" t="s">
        <v>285</v>
      </c>
      <c r="E3146" s="35">
        <v>2.9990000000000001</v>
      </c>
      <c r="F3146" s="35">
        <v>3.9980000000000002</v>
      </c>
      <c r="G3146" s="35">
        <v>2400</v>
      </c>
    </row>
    <row r="3147" spans="1:7" x14ac:dyDescent="0.25">
      <c r="A3147">
        <v>20221028</v>
      </c>
      <c r="B3147" t="s">
        <v>771</v>
      </c>
      <c r="C3147" t="s">
        <v>272</v>
      </c>
      <c r="D3147" t="s">
        <v>289</v>
      </c>
      <c r="E3147" s="35">
        <v>2.9990000000000001</v>
      </c>
      <c r="F3147" s="35">
        <v>3.9980000000000002</v>
      </c>
      <c r="G3147" s="35">
        <v>1300</v>
      </c>
    </row>
    <row r="3148" spans="1:7" x14ac:dyDescent="0.25">
      <c r="A3148">
        <v>20221028</v>
      </c>
      <c r="B3148" t="s">
        <v>771</v>
      </c>
      <c r="C3148" t="s">
        <v>278</v>
      </c>
      <c r="D3148" t="s">
        <v>187</v>
      </c>
      <c r="E3148" s="35">
        <v>2.9990000000000001</v>
      </c>
      <c r="F3148" s="35">
        <v>3.9980000000000002</v>
      </c>
      <c r="G3148" s="35">
        <v>9100</v>
      </c>
    </row>
    <row r="3149" spans="1:7" x14ac:dyDescent="0.25">
      <c r="A3149">
        <v>20221028</v>
      </c>
      <c r="B3149" t="s">
        <v>771</v>
      </c>
      <c r="C3149" t="s">
        <v>278</v>
      </c>
      <c r="D3149" t="s">
        <v>214</v>
      </c>
      <c r="E3149" s="35">
        <v>2.9990000000000001</v>
      </c>
      <c r="F3149" s="35">
        <v>3.9980000000000002</v>
      </c>
      <c r="G3149" s="35">
        <v>8500</v>
      </c>
    </row>
    <row r="3150" spans="1:7" x14ac:dyDescent="0.25">
      <c r="A3150">
        <v>20221028</v>
      </c>
      <c r="B3150" t="s">
        <v>771</v>
      </c>
      <c r="C3150" t="s">
        <v>278</v>
      </c>
      <c r="D3150" t="s">
        <v>233</v>
      </c>
      <c r="E3150" s="35">
        <v>2.9990000000000001</v>
      </c>
      <c r="F3150" s="35">
        <v>3.9980000000000002</v>
      </c>
      <c r="G3150" s="35">
        <v>8100</v>
      </c>
    </row>
    <row r="3151" spans="1:7" x14ac:dyDescent="0.25">
      <c r="A3151">
        <v>20221028</v>
      </c>
      <c r="B3151" t="s">
        <v>771</v>
      </c>
      <c r="C3151" t="s">
        <v>278</v>
      </c>
      <c r="D3151" t="s">
        <v>242</v>
      </c>
      <c r="E3151" s="35">
        <v>2.9990000000000001</v>
      </c>
      <c r="F3151" s="35">
        <v>3.9980000000000002</v>
      </c>
      <c r="G3151" s="35">
        <v>7600</v>
      </c>
    </row>
    <row r="3152" spans="1:7" x14ac:dyDescent="0.25">
      <c r="A3152">
        <v>20221028</v>
      </c>
      <c r="B3152" t="s">
        <v>771</v>
      </c>
      <c r="C3152" t="s">
        <v>278</v>
      </c>
      <c r="D3152" t="s">
        <v>250</v>
      </c>
      <c r="E3152" s="35">
        <v>2.9990000000000001</v>
      </c>
      <c r="F3152" s="35">
        <v>3.9980000000000002</v>
      </c>
      <c r="G3152" s="35">
        <v>7100</v>
      </c>
    </row>
    <row r="3153" spans="1:7" x14ac:dyDescent="0.25">
      <c r="A3153">
        <v>20221028</v>
      </c>
      <c r="B3153" t="s">
        <v>771</v>
      </c>
      <c r="C3153" t="s">
        <v>278</v>
      </c>
      <c r="D3153" t="s">
        <v>258</v>
      </c>
      <c r="E3153" s="35">
        <v>2.9990000000000001</v>
      </c>
      <c r="F3153" s="35">
        <v>3.9980000000000002</v>
      </c>
      <c r="G3153" s="35">
        <v>6600</v>
      </c>
    </row>
    <row r="3154" spans="1:7" x14ac:dyDescent="0.25">
      <c r="A3154">
        <v>20221028</v>
      </c>
      <c r="B3154" t="s">
        <v>771</v>
      </c>
      <c r="C3154" t="s">
        <v>278</v>
      </c>
      <c r="D3154" t="s">
        <v>265</v>
      </c>
      <c r="E3154" s="35">
        <v>2.9990000000000001</v>
      </c>
      <c r="F3154" s="35">
        <v>3.9980000000000002</v>
      </c>
      <c r="G3154" s="35">
        <v>6200</v>
      </c>
    </row>
    <row r="3155" spans="1:7" x14ac:dyDescent="0.25">
      <c r="A3155">
        <v>20221028</v>
      </c>
      <c r="B3155" t="s">
        <v>771</v>
      </c>
      <c r="C3155" t="s">
        <v>278</v>
      </c>
      <c r="D3155" t="s">
        <v>273</v>
      </c>
      <c r="E3155" s="35">
        <v>2.9990000000000001</v>
      </c>
      <c r="F3155" s="35">
        <v>3.9980000000000002</v>
      </c>
      <c r="G3155" s="35">
        <v>5300</v>
      </c>
    </row>
    <row r="3156" spans="1:7" x14ac:dyDescent="0.25">
      <c r="A3156">
        <v>20221028</v>
      </c>
      <c r="B3156" t="s">
        <v>771</v>
      </c>
      <c r="C3156" t="s">
        <v>278</v>
      </c>
      <c r="D3156" t="s">
        <v>279</v>
      </c>
      <c r="E3156" s="35">
        <v>2.9990000000000001</v>
      </c>
      <c r="F3156" s="35">
        <v>3.9980000000000002</v>
      </c>
      <c r="G3156" s="35">
        <v>4400</v>
      </c>
    </row>
    <row r="3157" spans="1:7" x14ac:dyDescent="0.25">
      <c r="A3157">
        <v>20221028</v>
      </c>
      <c r="B3157" t="s">
        <v>771</v>
      </c>
      <c r="C3157" t="s">
        <v>278</v>
      </c>
      <c r="D3157" t="s">
        <v>285</v>
      </c>
      <c r="E3157" s="35">
        <v>2.9990000000000001</v>
      </c>
      <c r="F3157" s="35">
        <v>3.9980000000000002</v>
      </c>
      <c r="G3157" s="35">
        <v>2300</v>
      </c>
    </row>
    <row r="3158" spans="1:7" x14ac:dyDescent="0.25">
      <c r="A3158">
        <v>20221028</v>
      </c>
      <c r="B3158" t="s">
        <v>771</v>
      </c>
      <c r="C3158" t="s">
        <v>278</v>
      </c>
      <c r="D3158" t="s">
        <v>289</v>
      </c>
      <c r="E3158" s="35">
        <v>2.9990000000000001</v>
      </c>
      <c r="F3158" s="35">
        <v>3.9980000000000002</v>
      </c>
      <c r="G3158" s="35">
        <v>1200</v>
      </c>
    </row>
    <row r="3159" spans="1:7" x14ac:dyDescent="0.25">
      <c r="A3159">
        <v>20221028</v>
      </c>
      <c r="B3159" t="s">
        <v>771</v>
      </c>
      <c r="C3159" t="s">
        <v>284</v>
      </c>
      <c r="D3159" t="s">
        <v>187</v>
      </c>
      <c r="E3159" s="35">
        <v>2.9990000000000001</v>
      </c>
      <c r="F3159" s="35">
        <v>3.9980000000000002</v>
      </c>
      <c r="G3159" s="35">
        <v>6700</v>
      </c>
    </row>
    <row r="3160" spans="1:7" x14ac:dyDescent="0.25">
      <c r="A3160">
        <v>20221028</v>
      </c>
      <c r="B3160" t="s">
        <v>771</v>
      </c>
      <c r="C3160" t="s">
        <v>284</v>
      </c>
      <c r="D3160" t="s">
        <v>214</v>
      </c>
      <c r="E3160" s="35">
        <v>2.9990000000000001</v>
      </c>
      <c r="F3160" s="35">
        <v>3.9980000000000002</v>
      </c>
      <c r="G3160" s="35">
        <v>6300</v>
      </c>
    </row>
    <row r="3161" spans="1:7" x14ac:dyDescent="0.25">
      <c r="A3161">
        <v>20221028</v>
      </c>
      <c r="B3161" t="s">
        <v>771</v>
      </c>
      <c r="C3161" t="s">
        <v>284</v>
      </c>
      <c r="D3161" t="s">
        <v>233</v>
      </c>
      <c r="E3161" s="35">
        <v>2.9990000000000001</v>
      </c>
      <c r="F3161" s="35">
        <v>3.9980000000000002</v>
      </c>
      <c r="G3161" s="35">
        <v>6000</v>
      </c>
    </row>
    <row r="3162" spans="1:7" x14ac:dyDescent="0.25">
      <c r="A3162">
        <v>20221028</v>
      </c>
      <c r="B3162" t="s">
        <v>771</v>
      </c>
      <c r="C3162" t="s">
        <v>284</v>
      </c>
      <c r="D3162" t="s">
        <v>242</v>
      </c>
      <c r="E3162" s="35">
        <v>2.9990000000000001</v>
      </c>
      <c r="F3162" s="35">
        <v>3.9980000000000002</v>
      </c>
      <c r="G3162" s="35">
        <v>5700</v>
      </c>
    </row>
    <row r="3163" spans="1:7" x14ac:dyDescent="0.25">
      <c r="A3163">
        <v>20221028</v>
      </c>
      <c r="B3163" t="s">
        <v>771</v>
      </c>
      <c r="C3163" t="s">
        <v>284</v>
      </c>
      <c r="D3163" t="s">
        <v>250</v>
      </c>
      <c r="E3163" s="35">
        <v>2.9990000000000001</v>
      </c>
      <c r="F3163" s="35">
        <v>3.9980000000000002</v>
      </c>
      <c r="G3163" s="35">
        <v>5400</v>
      </c>
    </row>
    <row r="3164" spans="1:7" x14ac:dyDescent="0.25">
      <c r="A3164">
        <v>20221028</v>
      </c>
      <c r="B3164" t="s">
        <v>771</v>
      </c>
      <c r="C3164" t="s">
        <v>284</v>
      </c>
      <c r="D3164" t="s">
        <v>258</v>
      </c>
      <c r="E3164" s="35">
        <v>2.9990000000000001</v>
      </c>
      <c r="F3164" s="35">
        <v>3.9980000000000002</v>
      </c>
      <c r="G3164" s="35">
        <v>4900</v>
      </c>
    </row>
    <row r="3165" spans="1:7" x14ac:dyDescent="0.25">
      <c r="A3165">
        <v>20221028</v>
      </c>
      <c r="B3165" t="s">
        <v>771</v>
      </c>
      <c r="C3165" t="s">
        <v>284</v>
      </c>
      <c r="D3165" t="s">
        <v>265</v>
      </c>
      <c r="E3165" s="35">
        <v>2.9990000000000001</v>
      </c>
      <c r="F3165" s="35">
        <v>3.9980000000000002</v>
      </c>
      <c r="G3165" s="35">
        <v>4600</v>
      </c>
    </row>
    <row r="3166" spans="1:7" x14ac:dyDescent="0.25">
      <c r="A3166">
        <v>20221028</v>
      </c>
      <c r="B3166" t="s">
        <v>771</v>
      </c>
      <c r="C3166" t="s">
        <v>284</v>
      </c>
      <c r="D3166" t="s">
        <v>273</v>
      </c>
      <c r="E3166" s="35">
        <v>2.9990000000000001</v>
      </c>
      <c r="F3166" s="35">
        <v>3.9980000000000002</v>
      </c>
      <c r="G3166" s="35">
        <v>4100</v>
      </c>
    </row>
    <row r="3167" spans="1:7" x14ac:dyDescent="0.25">
      <c r="A3167">
        <v>20221028</v>
      </c>
      <c r="B3167" t="s">
        <v>771</v>
      </c>
      <c r="C3167" t="s">
        <v>284</v>
      </c>
      <c r="D3167" t="s">
        <v>279</v>
      </c>
      <c r="E3167" s="35">
        <v>2.9990000000000001</v>
      </c>
      <c r="F3167" s="35">
        <v>3.9980000000000002</v>
      </c>
      <c r="G3167" s="35">
        <v>3600</v>
      </c>
    </row>
    <row r="3168" spans="1:7" x14ac:dyDescent="0.25">
      <c r="A3168">
        <v>20221028</v>
      </c>
      <c r="B3168" t="s">
        <v>771</v>
      </c>
      <c r="C3168" t="s">
        <v>284</v>
      </c>
      <c r="D3168" t="s">
        <v>285</v>
      </c>
      <c r="E3168" s="35">
        <v>2.9990000000000001</v>
      </c>
      <c r="F3168" s="35">
        <v>3.9980000000000002</v>
      </c>
      <c r="G3168" s="35">
        <v>2100</v>
      </c>
    </row>
    <row r="3169" spans="1:7" x14ac:dyDescent="0.25">
      <c r="A3169">
        <v>20221028</v>
      </c>
      <c r="B3169" t="s">
        <v>771</v>
      </c>
      <c r="C3169" t="s">
        <v>284</v>
      </c>
      <c r="D3169" t="s">
        <v>289</v>
      </c>
      <c r="E3169" s="35">
        <v>2.9990000000000001</v>
      </c>
      <c r="F3169" s="35">
        <v>3.9980000000000002</v>
      </c>
      <c r="G3169" s="35">
        <v>1100</v>
      </c>
    </row>
    <row r="3170" spans="1:7" x14ac:dyDescent="0.25">
      <c r="A3170">
        <v>20221028</v>
      </c>
      <c r="B3170" t="s">
        <v>771</v>
      </c>
      <c r="C3170" t="s">
        <v>186</v>
      </c>
      <c r="D3170" t="s">
        <v>187</v>
      </c>
      <c r="E3170" s="35">
        <v>3.9990000000000001</v>
      </c>
      <c r="F3170" s="35">
        <v>4.9980000000000002</v>
      </c>
      <c r="G3170" s="35">
        <v>56500</v>
      </c>
    </row>
    <row r="3171" spans="1:7" x14ac:dyDescent="0.25">
      <c r="A3171">
        <v>20221028</v>
      </c>
      <c r="B3171" t="s">
        <v>771</v>
      </c>
      <c r="C3171" t="s">
        <v>186</v>
      </c>
      <c r="D3171" t="s">
        <v>214</v>
      </c>
      <c r="E3171" s="35">
        <v>3.9990000000000001</v>
      </c>
      <c r="F3171" s="35">
        <v>4.9980000000000002</v>
      </c>
      <c r="G3171" s="35">
        <v>47500</v>
      </c>
    </row>
    <row r="3172" spans="1:7" x14ac:dyDescent="0.25">
      <c r="A3172">
        <v>20221028</v>
      </c>
      <c r="B3172" t="s">
        <v>771</v>
      </c>
      <c r="C3172" t="s">
        <v>186</v>
      </c>
      <c r="D3172" t="s">
        <v>233</v>
      </c>
      <c r="E3172" s="35">
        <v>3.9990000000000001</v>
      </c>
      <c r="F3172" s="35">
        <v>4.9980000000000002</v>
      </c>
      <c r="G3172" s="35">
        <v>45000</v>
      </c>
    </row>
    <row r="3173" spans="1:7" x14ac:dyDescent="0.25">
      <c r="A3173">
        <v>20221028</v>
      </c>
      <c r="B3173" t="s">
        <v>771</v>
      </c>
      <c r="C3173" t="s">
        <v>186</v>
      </c>
      <c r="D3173" t="s">
        <v>242</v>
      </c>
      <c r="E3173" s="35">
        <v>3.9990000000000001</v>
      </c>
      <c r="F3173" s="35">
        <v>4.9980000000000002</v>
      </c>
      <c r="G3173" s="35">
        <v>41500</v>
      </c>
    </row>
    <row r="3174" spans="1:7" x14ac:dyDescent="0.25">
      <c r="A3174">
        <v>20221028</v>
      </c>
      <c r="B3174" t="s">
        <v>771</v>
      </c>
      <c r="C3174" t="s">
        <v>186</v>
      </c>
      <c r="D3174" t="s">
        <v>250</v>
      </c>
      <c r="E3174" s="35">
        <v>3.9990000000000001</v>
      </c>
      <c r="F3174" s="35">
        <v>4.9980000000000002</v>
      </c>
      <c r="G3174" s="35">
        <v>37500</v>
      </c>
    </row>
    <row r="3175" spans="1:7" x14ac:dyDescent="0.25">
      <c r="A3175">
        <v>20221028</v>
      </c>
      <c r="B3175" t="s">
        <v>771</v>
      </c>
      <c r="C3175" t="s">
        <v>186</v>
      </c>
      <c r="D3175" t="s">
        <v>258</v>
      </c>
      <c r="E3175" s="35">
        <v>3.9990000000000001</v>
      </c>
      <c r="F3175" s="35">
        <v>4.9980000000000002</v>
      </c>
      <c r="G3175" s="35">
        <v>26500</v>
      </c>
    </row>
    <row r="3176" spans="1:7" x14ac:dyDescent="0.25">
      <c r="A3176">
        <v>20221028</v>
      </c>
      <c r="B3176" t="s">
        <v>771</v>
      </c>
      <c r="C3176" t="s">
        <v>186</v>
      </c>
      <c r="D3176" t="s">
        <v>265</v>
      </c>
      <c r="E3176" s="35">
        <v>3.9990000000000001</v>
      </c>
      <c r="F3176" s="35">
        <v>4.9980000000000002</v>
      </c>
      <c r="G3176" s="35">
        <v>19500</v>
      </c>
    </row>
    <row r="3177" spans="1:7" x14ac:dyDescent="0.25">
      <c r="A3177">
        <v>20221028</v>
      </c>
      <c r="B3177" t="s">
        <v>771</v>
      </c>
      <c r="C3177" t="s">
        <v>186</v>
      </c>
      <c r="D3177" t="s">
        <v>273</v>
      </c>
      <c r="E3177" s="35">
        <v>3.9990000000000001</v>
      </c>
      <c r="F3177" s="35">
        <v>4.9980000000000002</v>
      </c>
      <c r="G3177" s="35">
        <v>13000</v>
      </c>
    </row>
    <row r="3178" spans="1:7" x14ac:dyDescent="0.25">
      <c r="A3178">
        <v>20221028</v>
      </c>
      <c r="B3178" t="s">
        <v>771</v>
      </c>
      <c r="C3178" t="s">
        <v>186</v>
      </c>
      <c r="D3178" t="s">
        <v>279</v>
      </c>
      <c r="E3178" s="35">
        <v>3.9990000000000001</v>
      </c>
      <c r="F3178" s="35">
        <v>4.9980000000000002</v>
      </c>
      <c r="G3178" s="35">
        <v>9200</v>
      </c>
    </row>
    <row r="3179" spans="1:7" x14ac:dyDescent="0.25">
      <c r="A3179">
        <v>20221028</v>
      </c>
      <c r="B3179" t="s">
        <v>771</v>
      </c>
      <c r="C3179" t="s">
        <v>186</v>
      </c>
      <c r="D3179" t="s">
        <v>285</v>
      </c>
      <c r="E3179" s="35">
        <v>3.9990000000000001</v>
      </c>
      <c r="F3179" s="35">
        <v>4.9980000000000002</v>
      </c>
      <c r="G3179" s="35">
        <v>3900</v>
      </c>
    </row>
    <row r="3180" spans="1:7" x14ac:dyDescent="0.25">
      <c r="A3180">
        <v>20221028</v>
      </c>
      <c r="B3180" t="s">
        <v>771</v>
      </c>
      <c r="C3180" t="s">
        <v>186</v>
      </c>
      <c r="D3180" t="s">
        <v>289</v>
      </c>
      <c r="E3180" s="35">
        <v>3.9990000000000001</v>
      </c>
      <c r="F3180" s="35">
        <v>4.9980000000000002</v>
      </c>
      <c r="G3180" s="35">
        <v>1900</v>
      </c>
    </row>
    <row r="3181" spans="1:7" x14ac:dyDescent="0.25">
      <c r="A3181">
        <v>20221028</v>
      </c>
      <c r="B3181" t="s">
        <v>771</v>
      </c>
      <c r="C3181" t="s">
        <v>213</v>
      </c>
      <c r="D3181" t="s">
        <v>187</v>
      </c>
      <c r="E3181" s="35">
        <v>3.9990000000000001</v>
      </c>
      <c r="F3181" s="35">
        <v>4.9980000000000002</v>
      </c>
      <c r="G3181" s="35">
        <v>47500</v>
      </c>
    </row>
    <row r="3182" spans="1:7" x14ac:dyDescent="0.25">
      <c r="A3182">
        <v>20221028</v>
      </c>
      <c r="B3182" t="s">
        <v>771</v>
      </c>
      <c r="C3182" t="s">
        <v>213</v>
      </c>
      <c r="D3182" t="s">
        <v>214</v>
      </c>
      <c r="E3182" s="35">
        <v>3.9990000000000001</v>
      </c>
      <c r="F3182" s="35">
        <v>4.9980000000000002</v>
      </c>
      <c r="G3182" s="35">
        <v>43500</v>
      </c>
    </row>
    <row r="3183" spans="1:7" x14ac:dyDescent="0.25">
      <c r="A3183">
        <v>20221028</v>
      </c>
      <c r="B3183" t="s">
        <v>771</v>
      </c>
      <c r="C3183" t="s">
        <v>213</v>
      </c>
      <c r="D3183" t="s">
        <v>233</v>
      </c>
      <c r="E3183" s="35">
        <v>3.9990000000000001</v>
      </c>
      <c r="F3183" s="35">
        <v>4.9980000000000002</v>
      </c>
      <c r="G3183" s="35">
        <v>41000</v>
      </c>
    </row>
    <row r="3184" spans="1:7" x14ac:dyDescent="0.25">
      <c r="A3184">
        <v>20221028</v>
      </c>
      <c r="B3184" t="s">
        <v>771</v>
      </c>
      <c r="C3184" t="s">
        <v>213</v>
      </c>
      <c r="D3184" t="s">
        <v>242</v>
      </c>
      <c r="E3184" s="35">
        <v>3.9990000000000001</v>
      </c>
      <c r="F3184" s="35">
        <v>4.9980000000000002</v>
      </c>
      <c r="G3184" s="35">
        <v>38500</v>
      </c>
    </row>
    <row r="3185" spans="1:7" x14ac:dyDescent="0.25">
      <c r="A3185">
        <v>20221028</v>
      </c>
      <c r="B3185" t="s">
        <v>771</v>
      </c>
      <c r="C3185" t="s">
        <v>213</v>
      </c>
      <c r="D3185" t="s">
        <v>250</v>
      </c>
      <c r="E3185" s="35">
        <v>3.9990000000000001</v>
      </c>
      <c r="F3185" s="35">
        <v>4.9980000000000002</v>
      </c>
      <c r="G3185" s="35">
        <v>34500</v>
      </c>
    </row>
    <row r="3186" spans="1:7" x14ac:dyDescent="0.25">
      <c r="A3186">
        <v>20221028</v>
      </c>
      <c r="B3186" t="s">
        <v>771</v>
      </c>
      <c r="C3186" t="s">
        <v>213</v>
      </c>
      <c r="D3186" t="s">
        <v>258</v>
      </c>
      <c r="E3186" s="35">
        <v>3.9990000000000001</v>
      </c>
      <c r="F3186" s="35">
        <v>4.9980000000000002</v>
      </c>
      <c r="G3186" s="35">
        <v>24500</v>
      </c>
    </row>
    <row r="3187" spans="1:7" x14ac:dyDescent="0.25">
      <c r="A3187">
        <v>20221028</v>
      </c>
      <c r="B3187" t="s">
        <v>771</v>
      </c>
      <c r="C3187" t="s">
        <v>213</v>
      </c>
      <c r="D3187" t="s">
        <v>265</v>
      </c>
      <c r="E3187" s="35">
        <v>3.9990000000000001</v>
      </c>
      <c r="F3187" s="35">
        <v>4.9980000000000002</v>
      </c>
      <c r="G3187" s="35">
        <v>18500</v>
      </c>
    </row>
    <row r="3188" spans="1:7" x14ac:dyDescent="0.25">
      <c r="A3188">
        <v>20221028</v>
      </c>
      <c r="B3188" t="s">
        <v>771</v>
      </c>
      <c r="C3188" t="s">
        <v>213</v>
      </c>
      <c r="D3188" t="s">
        <v>273</v>
      </c>
      <c r="E3188" s="35">
        <v>3.9990000000000001</v>
      </c>
      <c r="F3188" s="35">
        <v>4.9980000000000002</v>
      </c>
      <c r="G3188" s="35">
        <v>12300</v>
      </c>
    </row>
    <row r="3189" spans="1:7" x14ac:dyDescent="0.25">
      <c r="A3189">
        <v>20221028</v>
      </c>
      <c r="B3189" t="s">
        <v>771</v>
      </c>
      <c r="C3189" t="s">
        <v>213</v>
      </c>
      <c r="D3189" t="s">
        <v>279</v>
      </c>
      <c r="E3189" s="35">
        <v>3.9990000000000001</v>
      </c>
      <c r="F3189" s="35">
        <v>4.9980000000000002</v>
      </c>
      <c r="G3189" s="35">
        <v>8800</v>
      </c>
    </row>
    <row r="3190" spans="1:7" x14ac:dyDescent="0.25">
      <c r="A3190">
        <v>20221028</v>
      </c>
      <c r="B3190" t="s">
        <v>771</v>
      </c>
      <c r="C3190" t="s">
        <v>213</v>
      </c>
      <c r="D3190" t="s">
        <v>285</v>
      </c>
      <c r="E3190" s="35">
        <v>3.9990000000000001</v>
      </c>
      <c r="F3190" s="35">
        <v>4.9980000000000002</v>
      </c>
      <c r="G3190" s="35">
        <v>3700</v>
      </c>
    </row>
    <row r="3191" spans="1:7" x14ac:dyDescent="0.25">
      <c r="A3191">
        <v>20221028</v>
      </c>
      <c r="B3191" t="s">
        <v>771</v>
      </c>
      <c r="C3191" t="s">
        <v>213</v>
      </c>
      <c r="D3191" t="s">
        <v>289</v>
      </c>
      <c r="E3191" s="35">
        <v>3.9990000000000001</v>
      </c>
      <c r="F3191" s="35">
        <v>4.9980000000000002</v>
      </c>
      <c r="G3191" s="35">
        <v>1700</v>
      </c>
    </row>
    <row r="3192" spans="1:7" x14ac:dyDescent="0.25">
      <c r="A3192">
        <v>20221028</v>
      </c>
      <c r="B3192" t="s">
        <v>771</v>
      </c>
      <c r="C3192" t="s">
        <v>232</v>
      </c>
      <c r="D3192" t="s">
        <v>187</v>
      </c>
      <c r="E3192" s="35">
        <v>3.9990000000000001</v>
      </c>
      <c r="F3192" s="35">
        <v>4.9980000000000002</v>
      </c>
      <c r="G3192" s="35">
        <v>43500</v>
      </c>
    </row>
    <row r="3193" spans="1:7" x14ac:dyDescent="0.25">
      <c r="A3193">
        <v>20221028</v>
      </c>
      <c r="B3193" t="s">
        <v>771</v>
      </c>
      <c r="C3193" t="s">
        <v>232</v>
      </c>
      <c r="D3193" t="s">
        <v>214</v>
      </c>
      <c r="E3193" s="35">
        <v>3.9990000000000001</v>
      </c>
      <c r="F3193" s="35">
        <v>4.9980000000000002</v>
      </c>
      <c r="G3193" s="35">
        <v>40000</v>
      </c>
    </row>
    <row r="3194" spans="1:7" x14ac:dyDescent="0.25">
      <c r="A3194">
        <v>20221028</v>
      </c>
      <c r="B3194" t="s">
        <v>771</v>
      </c>
      <c r="C3194" t="s">
        <v>232</v>
      </c>
      <c r="D3194" t="s">
        <v>233</v>
      </c>
      <c r="E3194" s="35">
        <v>3.9990000000000001</v>
      </c>
      <c r="F3194" s="35">
        <v>4.9980000000000002</v>
      </c>
      <c r="G3194" s="35">
        <v>38000</v>
      </c>
    </row>
    <row r="3195" spans="1:7" x14ac:dyDescent="0.25">
      <c r="A3195">
        <v>20221028</v>
      </c>
      <c r="B3195" t="s">
        <v>771</v>
      </c>
      <c r="C3195" t="s">
        <v>232</v>
      </c>
      <c r="D3195" t="s">
        <v>242</v>
      </c>
      <c r="E3195" s="35">
        <v>3.9990000000000001</v>
      </c>
      <c r="F3195" s="35">
        <v>4.9980000000000002</v>
      </c>
      <c r="G3195" s="35">
        <v>35500</v>
      </c>
    </row>
    <row r="3196" spans="1:7" x14ac:dyDescent="0.25">
      <c r="A3196">
        <v>20221028</v>
      </c>
      <c r="B3196" t="s">
        <v>771</v>
      </c>
      <c r="C3196" t="s">
        <v>232</v>
      </c>
      <c r="D3196" t="s">
        <v>250</v>
      </c>
      <c r="E3196" s="35">
        <v>3.9990000000000001</v>
      </c>
      <c r="F3196" s="35">
        <v>4.9980000000000002</v>
      </c>
      <c r="G3196" s="35">
        <v>31500</v>
      </c>
    </row>
    <row r="3197" spans="1:7" x14ac:dyDescent="0.25">
      <c r="A3197">
        <v>20221028</v>
      </c>
      <c r="B3197" t="s">
        <v>771</v>
      </c>
      <c r="C3197" t="s">
        <v>232</v>
      </c>
      <c r="D3197" t="s">
        <v>258</v>
      </c>
      <c r="E3197" s="35">
        <v>3.9990000000000001</v>
      </c>
      <c r="F3197" s="35">
        <v>4.9980000000000002</v>
      </c>
      <c r="G3197" s="35">
        <v>23000</v>
      </c>
    </row>
    <row r="3198" spans="1:7" x14ac:dyDescent="0.25">
      <c r="A3198">
        <v>20221028</v>
      </c>
      <c r="B3198" t="s">
        <v>771</v>
      </c>
      <c r="C3198" t="s">
        <v>232</v>
      </c>
      <c r="D3198" t="s">
        <v>265</v>
      </c>
      <c r="E3198" s="35">
        <v>3.9990000000000001</v>
      </c>
      <c r="F3198" s="35">
        <v>4.9980000000000002</v>
      </c>
      <c r="G3198" s="35">
        <v>17500</v>
      </c>
    </row>
    <row r="3199" spans="1:7" x14ac:dyDescent="0.25">
      <c r="A3199">
        <v>20221028</v>
      </c>
      <c r="B3199" t="s">
        <v>771</v>
      </c>
      <c r="C3199" t="s">
        <v>232</v>
      </c>
      <c r="D3199" t="s">
        <v>273</v>
      </c>
      <c r="E3199" s="35">
        <v>3.9990000000000001</v>
      </c>
      <c r="F3199" s="35">
        <v>4.9980000000000002</v>
      </c>
      <c r="G3199" s="35">
        <v>11300</v>
      </c>
    </row>
    <row r="3200" spans="1:7" x14ac:dyDescent="0.25">
      <c r="A3200">
        <v>20221028</v>
      </c>
      <c r="B3200" t="s">
        <v>771</v>
      </c>
      <c r="C3200" t="s">
        <v>232</v>
      </c>
      <c r="D3200" t="s">
        <v>279</v>
      </c>
      <c r="E3200" s="35">
        <v>3.9990000000000001</v>
      </c>
      <c r="F3200" s="35">
        <v>4.9980000000000002</v>
      </c>
      <c r="G3200" s="35">
        <v>8200</v>
      </c>
    </row>
    <row r="3201" spans="1:7" x14ac:dyDescent="0.25">
      <c r="A3201">
        <v>20221028</v>
      </c>
      <c r="B3201" t="s">
        <v>771</v>
      </c>
      <c r="C3201" t="s">
        <v>232</v>
      </c>
      <c r="D3201" t="s">
        <v>285</v>
      </c>
      <c r="E3201" s="35">
        <v>3.9990000000000001</v>
      </c>
      <c r="F3201" s="35">
        <v>4.9980000000000002</v>
      </c>
      <c r="G3201" s="35">
        <v>3500</v>
      </c>
    </row>
    <row r="3202" spans="1:7" x14ac:dyDescent="0.25">
      <c r="A3202">
        <v>20221028</v>
      </c>
      <c r="B3202" t="s">
        <v>771</v>
      </c>
      <c r="C3202" t="s">
        <v>232</v>
      </c>
      <c r="D3202" t="s">
        <v>289</v>
      </c>
      <c r="E3202" s="35">
        <v>3.9990000000000001</v>
      </c>
      <c r="F3202" s="35">
        <v>4.9980000000000002</v>
      </c>
      <c r="G3202" s="35">
        <v>1600</v>
      </c>
    </row>
    <row r="3203" spans="1:7" x14ac:dyDescent="0.25">
      <c r="A3203">
        <v>20221028</v>
      </c>
      <c r="B3203" t="s">
        <v>771</v>
      </c>
      <c r="C3203" t="s">
        <v>215</v>
      </c>
      <c r="D3203" t="s">
        <v>187</v>
      </c>
      <c r="E3203" s="35">
        <v>3.9990000000000001</v>
      </c>
      <c r="F3203" s="35">
        <v>4.9980000000000002</v>
      </c>
      <c r="G3203" s="35">
        <v>38500</v>
      </c>
    </row>
    <row r="3204" spans="1:7" x14ac:dyDescent="0.25">
      <c r="A3204">
        <v>20221028</v>
      </c>
      <c r="B3204" t="s">
        <v>771</v>
      </c>
      <c r="C3204" t="s">
        <v>215</v>
      </c>
      <c r="D3204" t="s">
        <v>214</v>
      </c>
      <c r="E3204" s="35">
        <v>3.9990000000000001</v>
      </c>
      <c r="F3204" s="35">
        <v>4.9980000000000002</v>
      </c>
      <c r="G3204" s="35">
        <v>35000</v>
      </c>
    </row>
    <row r="3205" spans="1:7" x14ac:dyDescent="0.25">
      <c r="A3205">
        <v>20221028</v>
      </c>
      <c r="B3205" t="s">
        <v>771</v>
      </c>
      <c r="C3205" t="s">
        <v>215</v>
      </c>
      <c r="D3205" t="s">
        <v>233</v>
      </c>
      <c r="E3205" s="35">
        <v>3.9990000000000001</v>
      </c>
      <c r="F3205" s="35">
        <v>4.9980000000000002</v>
      </c>
      <c r="G3205" s="35">
        <v>33000</v>
      </c>
    </row>
    <row r="3206" spans="1:7" x14ac:dyDescent="0.25">
      <c r="A3206">
        <v>20221028</v>
      </c>
      <c r="B3206" t="s">
        <v>771</v>
      </c>
      <c r="C3206" t="s">
        <v>215</v>
      </c>
      <c r="D3206" t="s">
        <v>242</v>
      </c>
      <c r="E3206" s="35">
        <v>3.9990000000000001</v>
      </c>
      <c r="F3206" s="35">
        <v>4.9980000000000002</v>
      </c>
      <c r="G3206" s="35">
        <v>31000</v>
      </c>
    </row>
    <row r="3207" spans="1:7" x14ac:dyDescent="0.25">
      <c r="A3207">
        <v>20221028</v>
      </c>
      <c r="B3207" t="s">
        <v>771</v>
      </c>
      <c r="C3207" t="s">
        <v>215</v>
      </c>
      <c r="D3207" t="s">
        <v>250</v>
      </c>
      <c r="E3207" s="35">
        <v>3.9990000000000001</v>
      </c>
      <c r="F3207" s="35">
        <v>4.9980000000000002</v>
      </c>
      <c r="G3207" s="35">
        <v>27500</v>
      </c>
    </row>
    <row r="3208" spans="1:7" x14ac:dyDescent="0.25">
      <c r="A3208">
        <v>20221028</v>
      </c>
      <c r="B3208" t="s">
        <v>771</v>
      </c>
      <c r="C3208" t="s">
        <v>215</v>
      </c>
      <c r="D3208" t="s">
        <v>258</v>
      </c>
      <c r="E3208" s="35">
        <v>3.9990000000000001</v>
      </c>
      <c r="F3208" s="35">
        <v>4.9980000000000002</v>
      </c>
      <c r="G3208" s="35">
        <v>21500</v>
      </c>
    </row>
    <row r="3209" spans="1:7" x14ac:dyDescent="0.25">
      <c r="A3209">
        <v>20221028</v>
      </c>
      <c r="B3209" t="s">
        <v>771</v>
      </c>
      <c r="C3209" t="s">
        <v>215</v>
      </c>
      <c r="D3209" t="s">
        <v>265</v>
      </c>
      <c r="E3209" s="35">
        <v>3.9990000000000001</v>
      </c>
      <c r="F3209" s="35">
        <v>4.9980000000000002</v>
      </c>
      <c r="G3209" s="35">
        <v>16500</v>
      </c>
    </row>
    <row r="3210" spans="1:7" x14ac:dyDescent="0.25">
      <c r="A3210">
        <v>20221028</v>
      </c>
      <c r="B3210" t="s">
        <v>771</v>
      </c>
      <c r="C3210" t="s">
        <v>215</v>
      </c>
      <c r="D3210" t="s">
        <v>273</v>
      </c>
      <c r="E3210" s="35">
        <v>3.9990000000000001</v>
      </c>
      <c r="F3210" s="35">
        <v>4.9980000000000002</v>
      </c>
      <c r="G3210" s="35">
        <v>10400</v>
      </c>
    </row>
    <row r="3211" spans="1:7" x14ac:dyDescent="0.25">
      <c r="A3211">
        <v>20221028</v>
      </c>
      <c r="B3211" t="s">
        <v>771</v>
      </c>
      <c r="C3211" t="s">
        <v>215</v>
      </c>
      <c r="D3211" t="s">
        <v>279</v>
      </c>
      <c r="E3211" s="35">
        <v>3.9990000000000001</v>
      </c>
      <c r="F3211" s="35">
        <v>4.9980000000000002</v>
      </c>
      <c r="G3211" s="35">
        <v>7700</v>
      </c>
    </row>
    <row r="3212" spans="1:7" x14ac:dyDescent="0.25">
      <c r="A3212">
        <v>20221028</v>
      </c>
      <c r="B3212" t="s">
        <v>771</v>
      </c>
      <c r="C3212" t="s">
        <v>215</v>
      </c>
      <c r="D3212" t="s">
        <v>285</v>
      </c>
      <c r="E3212" s="35">
        <v>3.9990000000000001</v>
      </c>
      <c r="F3212" s="35">
        <v>4.9980000000000002</v>
      </c>
      <c r="G3212" s="35">
        <v>3200</v>
      </c>
    </row>
    <row r="3213" spans="1:7" x14ac:dyDescent="0.25">
      <c r="A3213">
        <v>20221028</v>
      </c>
      <c r="B3213" t="s">
        <v>771</v>
      </c>
      <c r="C3213" t="s">
        <v>215</v>
      </c>
      <c r="D3213" t="s">
        <v>289</v>
      </c>
      <c r="E3213" s="35">
        <v>3.9990000000000001</v>
      </c>
      <c r="F3213" s="35">
        <v>4.9980000000000002</v>
      </c>
      <c r="G3213" s="35">
        <v>1600</v>
      </c>
    </row>
    <row r="3214" spans="1:7" x14ac:dyDescent="0.25">
      <c r="A3214">
        <v>20221028</v>
      </c>
      <c r="B3214" t="s">
        <v>771</v>
      </c>
      <c r="C3214" t="s">
        <v>249</v>
      </c>
      <c r="D3214" t="s">
        <v>187</v>
      </c>
      <c r="E3214" s="35">
        <v>3.9990000000000001</v>
      </c>
      <c r="F3214" s="35">
        <v>4.9980000000000002</v>
      </c>
      <c r="G3214" s="35">
        <v>31500</v>
      </c>
    </row>
    <row r="3215" spans="1:7" x14ac:dyDescent="0.25">
      <c r="A3215">
        <v>20221028</v>
      </c>
      <c r="B3215" t="s">
        <v>771</v>
      </c>
      <c r="C3215" t="s">
        <v>249</v>
      </c>
      <c r="D3215" t="s">
        <v>214</v>
      </c>
      <c r="E3215" s="35">
        <v>3.9990000000000001</v>
      </c>
      <c r="F3215" s="35">
        <v>4.9980000000000002</v>
      </c>
      <c r="G3215" s="35">
        <v>29500</v>
      </c>
    </row>
    <row r="3216" spans="1:7" x14ac:dyDescent="0.25">
      <c r="A3216">
        <v>20221028</v>
      </c>
      <c r="B3216" t="s">
        <v>771</v>
      </c>
      <c r="C3216" t="s">
        <v>249</v>
      </c>
      <c r="D3216" t="s">
        <v>233</v>
      </c>
      <c r="E3216" s="35">
        <v>3.9990000000000001</v>
      </c>
      <c r="F3216" s="35">
        <v>4.9980000000000002</v>
      </c>
      <c r="G3216" s="35">
        <v>28000</v>
      </c>
    </row>
    <row r="3217" spans="1:7" x14ac:dyDescent="0.25">
      <c r="A3217">
        <v>20221028</v>
      </c>
      <c r="B3217" t="s">
        <v>771</v>
      </c>
      <c r="C3217" t="s">
        <v>249</v>
      </c>
      <c r="D3217" t="s">
        <v>242</v>
      </c>
      <c r="E3217" s="35">
        <v>3.9990000000000001</v>
      </c>
      <c r="F3217" s="35">
        <v>4.9980000000000002</v>
      </c>
      <c r="G3217" s="35">
        <v>26500</v>
      </c>
    </row>
    <row r="3218" spans="1:7" x14ac:dyDescent="0.25">
      <c r="A3218">
        <v>20221028</v>
      </c>
      <c r="B3218" t="s">
        <v>771</v>
      </c>
      <c r="C3218" t="s">
        <v>249</v>
      </c>
      <c r="D3218" t="s">
        <v>250</v>
      </c>
      <c r="E3218" s="35">
        <v>3.9990000000000001</v>
      </c>
      <c r="F3218" s="35">
        <v>4.9980000000000002</v>
      </c>
      <c r="G3218" s="35">
        <v>23500</v>
      </c>
    </row>
    <row r="3219" spans="1:7" x14ac:dyDescent="0.25">
      <c r="A3219">
        <v>20221028</v>
      </c>
      <c r="B3219" t="s">
        <v>771</v>
      </c>
      <c r="C3219" t="s">
        <v>249</v>
      </c>
      <c r="D3219" t="s">
        <v>258</v>
      </c>
      <c r="E3219" s="35">
        <v>3.9990000000000001</v>
      </c>
      <c r="F3219" s="35">
        <v>4.9980000000000002</v>
      </c>
      <c r="G3219" s="35">
        <v>19000</v>
      </c>
    </row>
    <row r="3220" spans="1:7" x14ac:dyDescent="0.25">
      <c r="A3220">
        <v>20221028</v>
      </c>
      <c r="B3220" t="s">
        <v>771</v>
      </c>
      <c r="C3220" t="s">
        <v>249</v>
      </c>
      <c r="D3220" t="s">
        <v>265</v>
      </c>
      <c r="E3220" s="35">
        <v>3.9990000000000001</v>
      </c>
      <c r="F3220" s="35">
        <v>4.9980000000000002</v>
      </c>
      <c r="G3220" s="35">
        <v>15500</v>
      </c>
    </row>
    <row r="3221" spans="1:7" x14ac:dyDescent="0.25">
      <c r="A3221">
        <v>20221028</v>
      </c>
      <c r="B3221" t="s">
        <v>771</v>
      </c>
      <c r="C3221" t="s">
        <v>249</v>
      </c>
      <c r="D3221" t="s">
        <v>273</v>
      </c>
      <c r="E3221" s="35">
        <v>3.9990000000000001</v>
      </c>
      <c r="F3221" s="35">
        <v>4.9980000000000002</v>
      </c>
      <c r="G3221" s="35">
        <v>9800</v>
      </c>
    </row>
    <row r="3222" spans="1:7" x14ac:dyDescent="0.25">
      <c r="A3222">
        <v>20221028</v>
      </c>
      <c r="B3222" t="s">
        <v>771</v>
      </c>
      <c r="C3222" t="s">
        <v>249</v>
      </c>
      <c r="D3222" t="s">
        <v>279</v>
      </c>
      <c r="E3222" s="35">
        <v>3.9990000000000001</v>
      </c>
      <c r="F3222" s="35">
        <v>4.9980000000000002</v>
      </c>
      <c r="G3222" s="35">
        <v>7200</v>
      </c>
    </row>
    <row r="3223" spans="1:7" x14ac:dyDescent="0.25">
      <c r="A3223">
        <v>20221028</v>
      </c>
      <c r="B3223" t="s">
        <v>771</v>
      </c>
      <c r="C3223" t="s">
        <v>249</v>
      </c>
      <c r="D3223" t="s">
        <v>285</v>
      </c>
      <c r="E3223" s="35">
        <v>3.9990000000000001</v>
      </c>
      <c r="F3223" s="35">
        <v>4.9980000000000002</v>
      </c>
      <c r="G3223" s="35">
        <v>2900</v>
      </c>
    </row>
    <row r="3224" spans="1:7" x14ac:dyDescent="0.25">
      <c r="A3224">
        <v>20221028</v>
      </c>
      <c r="B3224" t="s">
        <v>771</v>
      </c>
      <c r="C3224" t="s">
        <v>249</v>
      </c>
      <c r="D3224" t="s">
        <v>289</v>
      </c>
      <c r="E3224" s="35">
        <v>3.9990000000000001</v>
      </c>
      <c r="F3224" s="35">
        <v>4.9980000000000002</v>
      </c>
      <c r="G3224" s="35">
        <v>1500</v>
      </c>
    </row>
    <row r="3225" spans="1:7" x14ac:dyDescent="0.25">
      <c r="A3225">
        <v>20221028</v>
      </c>
      <c r="B3225" t="s">
        <v>771</v>
      </c>
      <c r="C3225" t="s">
        <v>257</v>
      </c>
      <c r="D3225" t="s">
        <v>187</v>
      </c>
      <c r="E3225" s="35">
        <v>3.9990000000000001</v>
      </c>
      <c r="F3225" s="35">
        <v>4.9980000000000002</v>
      </c>
      <c r="G3225" s="35">
        <v>25000</v>
      </c>
    </row>
    <row r="3226" spans="1:7" x14ac:dyDescent="0.25">
      <c r="A3226">
        <v>20221028</v>
      </c>
      <c r="B3226" t="s">
        <v>771</v>
      </c>
      <c r="C3226" t="s">
        <v>257</v>
      </c>
      <c r="D3226" t="s">
        <v>214</v>
      </c>
      <c r="E3226" s="35">
        <v>3.9990000000000001</v>
      </c>
      <c r="F3226" s="35">
        <v>4.9980000000000002</v>
      </c>
      <c r="G3226" s="35">
        <v>23500</v>
      </c>
    </row>
    <row r="3227" spans="1:7" x14ac:dyDescent="0.25">
      <c r="A3227">
        <v>20221028</v>
      </c>
      <c r="B3227" t="s">
        <v>771</v>
      </c>
      <c r="C3227" t="s">
        <v>257</v>
      </c>
      <c r="D3227" t="s">
        <v>233</v>
      </c>
      <c r="E3227" s="35">
        <v>3.9990000000000001</v>
      </c>
      <c r="F3227" s="35">
        <v>4.9980000000000002</v>
      </c>
      <c r="G3227" s="35">
        <v>22000</v>
      </c>
    </row>
    <row r="3228" spans="1:7" x14ac:dyDescent="0.25">
      <c r="A3228">
        <v>20221028</v>
      </c>
      <c r="B3228" t="s">
        <v>771</v>
      </c>
      <c r="C3228" t="s">
        <v>257</v>
      </c>
      <c r="D3228" t="s">
        <v>242</v>
      </c>
      <c r="E3228" s="35">
        <v>3.9990000000000001</v>
      </c>
      <c r="F3228" s="35">
        <v>4.9980000000000002</v>
      </c>
      <c r="G3228" s="35">
        <v>20500</v>
      </c>
    </row>
    <row r="3229" spans="1:7" x14ac:dyDescent="0.25">
      <c r="A3229">
        <v>20221028</v>
      </c>
      <c r="B3229" t="s">
        <v>771</v>
      </c>
      <c r="C3229" t="s">
        <v>257</v>
      </c>
      <c r="D3229" t="s">
        <v>250</v>
      </c>
      <c r="E3229" s="35">
        <v>3.9990000000000001</v>
      </c>
      <c r="F3229" s="35">
        <v>4.9980000000000002</v>
      </c>
      <c r="G3229" s="35">
        <v>19000</v>
      </c>
    </row>
    <row r="3230" spans="1:7" x14ac:dyDescent="0.25">
      <c r="A3230">
        <v>20221028</v>
      </c>
      <c r="B3230" t="s">
        <v>771</v>
      </c>
      <c r="C3230" t="s">
        <v>257</v>
      </c>
      <c r="D3230" t="s">
        <v>258</v>
      </c>
      <c r="E3230" s="35">
        <v>3.9990000000000001</v>
      </c>
      <c r="F3230" s="35">
        <v>4.9980000000000002</v>
      </c>
      <c r="G3230" s="35">
        <v>16500</v>
      </c>
    </row>
    <row r="3231" spans="1:7" x14ac:dyDescent="0.25">
      <c r="A3231">
        <v>20221028</v>
      </c>
      <c r="B3231" t="s">
        <v>771</v>
      </c>
      <c r="C3231" t="s">
        <v>257</v>
      </c>
      <c r="D3231" t="s">
        <v>265</v>
      </c>
      <c r="E3231" s="35">
        <v>3.9990000000000001</v>
      </c>
      <c r="F3231" s="35">
        <v>4.9980000000000002</v>
      </c>
      <c r="G3231" s="35">
        <v>14000</v>
      </c>
    </row>
    <row r="3232" spans="1:7" x14ac:dyDescent="0.25">
      <c r="A3232">
        <v>20221028</v>
      </c>
      <c r="B3232" t="s">
        <v>771</v>
      </c>
      <c r="C3232" t="s">
        <v>257</v>
      </c>
      <c r="D3232" t="s">
        <v>273</v>
      </c>
      <c r="E3232" s="35">
        <v>3.9990000000000001</v>
      </c>
      <c r="F3232" s="35">
        <v>4.9980000000000002</v>
      </c>
      <c r="G3232" s="35">
        <v>9000</v>
      </c>
    </row>
    <row r="3233" spans="1:7" x14ac:dyDescent="0.25">
      <c r="A3233">
        <v>20221028</v>
      </c>
      <c r="B3233" t="s">
        <v>771</v>
      </c>
      <c r="C3233" t="s">
        <v>257</v>
      </c>
      <c r="D3233" t="s">
        <v>279</v>
      </c>
      <c r="E3233" s="35">
        <v>3.9990000000000001</v>
      </c>
      <c r="F3233" s="35">
        <v>4.9980000000000002</v>
      </c>
      <c r="G3233" s="35">
        <v>6600</v>
      </c>
    </row>
    <row r="3234" spans="1:7" x14ac:dyDescent="0.25">
      <c r="A3234">
        <v>20221028</v>
      </c>
      <c r="B3234" t="s">
        <v>771</v>
      </c>
      <c r="C3234" t="s">
        <v>257</v>
      </c>
      <c r="D3234" t="s">
        <v>285</v>
      </c>
      <c r="E3234" s="35">
        <v>3.9990000000000001</v>
      </c>
      <c r="F3234" s="35">
        <v>4.9980000000000002</v>
      </c>
      <c r="G3234" s="35">
        <v>2800</v>
      </c>
    </row>
    <row r="3235" spans="1:7" x14ac:dyDescent="0.25">
      <c r="A3235">
        <v>20221028</v>
      </c>
      <c r="B3235" t="s">
        <v>771</v>
      </c>
      <c r="C3235" t="s">
        <v>257</v>
      </c>
      <c r="D3235" t="s">
        <v>289</v>
      </c>
      <c r="E3235" s="35">
        <v>3.9990000000000001</v>
      </c>
      <c r="F3235" s="35">
        <v>4.9980000000000002</v>
      </c>
      <c r="G3235" s="35">
        <v>1500</v>
      </c>
    </row>
    <row r="3236" spans="1:7" x14ac:dyDescent="0.25">
      <c r="A3236">
        <v>20221028</v>
      </c>
      <c r="B3236" t="s">
        <v>771</v>
      </c>
      <c r="C3236" t="s">
        <v>264</v>
      </c>
      <c r="D3236" t="s">
        <v>187</v>
      </c>
      <c r="E3236" s="35">
        <v>3.9990000000000001</v>
      </c>
      <c r="F3236" s="35">
        <v>4.9980000000000002</v>
      </c>
      <c r="G3236" s="35">
        <v>19500</v>
      </c>
    </row>
    <row r="3237" spans="1:7" x14ac:dyDescent="0.25">
      <c r="A3237">
        <v>20221028</v>
      </c>
      <c r="B3237" t="s">
        <v>771</v>
      </c>
      <c r="C3237" t="s">
        <v>264</v>
      </c>
      <c r="D3237" t="s">
        <v>214</v>
      </c>
      <c r="E3237" s="35">
        <v>3.9990000000000001</v>
      </c>
      <c r="F3237" s="35">
        <v>4.9980000000000002</v>
      </c>
      <c r="G3237" s="35">
        <v>18500</v>
      </c>
    </row>
    <row r="3238" spans="1:7" x14ac:dyDescent="0.25">
      <c r="A3238">
        <v>20221028</v>
      </c>
      <c r="B3238" t="s">
        <v>771</v>
      </c>
      <c r="C3238" t="s">
        <v>264</v>
      </c>
      <c r="D3238" t="s">
        <v>233</v>
      </c>
      <c r="E3238" s="35">
        <v>3.9990000000000001</v>
      </c>
      <c r="F3238" s="35">
        <v>4.9980000000000002</v>
      </c>
      <c r="G3238" s="35">
        <v>17500</v>
      </c>
    </row>
    <row r="3239" spans="1:7" x14ac:dyDescent="0.25">
      <c r="A3239">
        <v>20221028</v>
      </c>
      <c r="B3239" t="s">
        <v>771</v>
      </c>
      <c r="C3239" t="s">
        <v>264</v>
      </c>
      <c r="D3239" t="s">
        <v>242</v>
      </c>
      <c r="E3239" s="35">
        <v>3.9990000000000001</v>
      </c>
      <c r="F3239" s="35">
        <v>4.9980000000000002</v>
      </c>
      <c r="G3239" s="35">
        <v>16500</v>
      </c>
    </row>
    <row r="3240" spans="1:7" x14ac:dyDescent="0.25">
      <c r="A3240">
        <v>20221028</v>
      </c>
      <c r="B3240" t="s">
        <v>771</v>
      </c>
      <c r="C3240" t="s">
        <v>264</v>
      </c>
      <c r="D3240" t="s">
        <v>250</v>
      </c>
      <c r="E3240" s="35">
        <v>3.9990000000000001</v>
      </c>
      <c r="F3240" s="35">
        <v>4.9980000000000002</v>
      </c>
      <c r="G3240" s="35">
        <v>15500</v>
      </c>
    </row>
    <row r="3241" spans="1:7" x14ac:dyDescent="0.25">
      <c r="A3241">
        <v>20221028</v>
      </c>
      <c r="B3241" t="s">
        <v>771</v>
      </c>
      <c r="C3241" t="s">
        <v>264</v>
      </c>
      <c r="D3241" t="s">
        <v>258</v>
      </c>
      <c r="E3241" s="35">
        <v>3.9990000000000001</v>
      </c>
      <c r="F3241" s="35">
        <v>4.9980000000000002</v>
      </c>
      <c r="G3241" s="35">
        <v>14000</v>
      </c>
    </row>
    <row r="3242" spans="1:7" x14ac:dyDescent="0.25">
      <c r="A3242">
        <v>20221028</v>
      </c>
      <c r="B3242" t="s">
        <v>771</v>
      </c>
      <c r="C3242" t="s">
        <v>264</v>
      </c>
      <c r="D3242" t="s">
        <v>265</v>
      </c>
      <c r="E3242" s="35">
        <v>3.9990000000000001</v>
      </c>
      <c r="F3242" s="35">
        <v>4.9980000000000002</v>
      </c>
      <c r="G3242" s="35">
        <v>12500</v>
      </c>
    </row>
    <row r="3243" spans="1:7" x14ac:dyDescent="0.25">
      <c r="A3243">
        <v>20221028</v>
      </c>
      <c r="B3243" t="s">
        <v>771</v>
      </c>
      <c r="C3243" t="s">
        <v>264</v>
      </c>
      <c r="D3243" t="s">
        <v>273</v>
      </c>
      <c r="E3243" s="35">
        <v>3.9990000000000001</v>
      </c>
      <c r="F3243" s="35">
        <v>4.9980000000000002</v>
      </c>
      <c r="G3243" s="35">
        <v>8100</v>
      </c>
    </row>
    <row r="3244" spans="1:7" x14ac:dyDescent="0.25">
      <c r="A3244">
        <v>20221028</v>
      </c>
      <c r="B3244" t="s">
        <v>771</v>
      </c>
      <c r="C3244" t="s">
        <v>264</v>
      </c>
      <c r="D3244" t="s">
        <v>279</v>
      </c>
      <c r="E3244" s="35">
        <v>3.9990000000000001</v>
      </c>
      <c r="F3244" s="35">
        <v>4.9980000000000002</v>
      </c>
      <c r="G3244" s="35">
        <v>6100</v>
      </c>
    </row>
    <row r="3245" spans="1:7" x14ac:dyDescent="0.25">
      <c r="A3245">
        <v>20221028</v>
      </c>
      <c r="B3245" t="s">
        <v>771</v>
      </c>
      <c r="C3245" t="s">
        <v>264</v>
      </c>
      <c r="D3245" t="s">
        <v>285</v>
      </c>
      <c r="E3245" s="35">
        <v>3.9990000000000001</v>
      </c>
      <c r="F3245" s="35">
        <v>4.9980000000000002</v>
      </c>
      <c r="G3245" s="35">
        <v>2600</v>
      </c>
    </row>
    <row r="3246" spans="1:7" x14ac:dyDescent="0.25">
      <c r="A3246">
        <v>20221028</v>
      </c>
      <c r="B3246" t="s">
        <v>771</v>
      </c>
      <c r="C3246" t="s">
        <v>264</v>
      </c>
      <c r="D3246" t="s">
        <v>289</v>
      </c>
      <c r="E3246" s="35">
        <v>3.9990000000000001</v>
      </c>
      <c r="F3246" s="35">
        <v>4.9980000000000002</v>
      </c>
      <c r="G3246" s="35">
        <v>1400</v>
      </c>
    </row>
    <row r="3247" spans="1:7" x14ac:dyDescent="0.25">
      <c r="A3247">
        <v>20221028</v>
      </c>
      <c r="B3247" t="s">
        <v>771</v>
      </c>
      <c r="C3247" t="s">
        <v>272</v>
      </c>
      <c r="D3247" t="s">
        <v>187</v>
      </c>
      <c r="E3247" s="35">
        <v>3.9990000000000001</v>
      </c>
      <c r="F3247" s="35">
        <v>4.9980000000000002</v>
      </c>
      <c r="G3247" s="35">
        <v>15800</v>
      </c>
    </row>
    <row r="3248" spans="1:7" x14ac:dyDescent="0.25">
      <c r="A3248">
        <v>20221028</v>
      </c>
      <c r="B3248" t="s">
        <v>771</v>
      </c>
      <c r="C3248" t="s">
        <v>272</v>
      </c>
      <c r="D3248" t="s">
        <v>214</v>
      </c>
      <c r="E3248" s="35">
        <v>3.9990000000000001</v>
      </c>
      <c r="F3248" s="35">
        <v>4.9980000000000002</v>
      </c>
      <c r="G3248" s="35">
        <v>14800</v>
      </c>
    </row>
    <row r="3249" spans="1:7" x14ac:dyDescent="0.25">
      <c r="A3249">
        <v>20221028</v>
      </c>
      <c r="B3249" t="s">
        <v>771</v>
      </c>
      <c r="C3249" t="s">
        <v>272</v>
      </c>
      <c r="D3249" t="s">
        <v>233</v>
      </c>
      <c r="E3249" s="35">
        <v>3.9990000000000001</v>
      </c>
      <c r="F3249" s="35">
        <v>4.9980000000000002</v>
      </c>
      <c r="G3249" s="35">
        <v>13900</v>
      </c>
    </row>
    <row r="3250" spans="1:7" x14ac:dyDescent="0.25">
      <c r="A3250">
        <v>20221028</v>
      </c>
      <c r="B3250" t="s">
        <v>771</v>
      </c>
      <c r="C3250" t="s">
        <v>272</v>
      </c>
      <c r="D3250" t="s">
        <v>242</v>
      </c>
      <c r="E3250" s="35">
        <v>3.9990000000000001</v>
      </c>
      <c r="F3250" s="35">
        <v>4.9980000000000002</v>
      </c>
      <c r="G3250" s="35">
        <v>13200</v>
      </c>
    </row>
    <row r="3251" spans="1:7" x14ac:dyDescent="0.25">
      <c r="A3251">
        <v>20221028</v>
      </c>
      <c r="B3251" t="s">
        <v>771</v>
      </c>
      <c r="C3251" t="s">
        <v>272</v>
      </c>
      <c r="D3251" t="s">
        <v>250</v>
      </c>
      <c r="E3251" s="35">
        <v>3.9990000000000001</v>
      </c>
      <c r="F3251" s="35">
        <v>4.9980000000000002</v>
      </c>
      <c r="G3251" s="35">
        <v>12300</v>
      </c>
    </row>
    <row r="3252" spans="1:7" x14ac:dyDescent="0.25">
      <c r="A3252">
        <v>20221028</v>
      </c>
      <c r="B3252" t="s">
        <v>771</v>
      </c>
      <c r="C3252" t="s">
        <v>272</v>
      </c>
      <c r="D3252" t="s">
        <v>258</v>
      </c>
      <c r="E3252" s="35">
        <v>3.9990000000000001</v>
      </c>
      <c r="F3252" s="35">
        <v>4.9980000000000002</v>
      </c>
      <c r="G3252" s="35">
        <v>11500</v>
      </c>
    </row>
    <row r="3253" spans="1:7" x14ac:dyDescent="0.25">
      <c r="A3253">
        <v>20221028</v>
      </c>
      <c r="B3253" t="s">
        <v>771</v>
      </c>
      <c r="C3253" t="s">
        <v>272</v>
      </c>
      <c r="D3253" t="s">
        <v>265</v>
      </c>
      <c r="E3253" s="35">
        <v>3.9990000000000001</v>
      </c>
      <c r="F3253" s="35">
        <v>4.9980000000000002</v>
      </c>
      <c r="G3253" s="35">
        <v>10500</v>
      </c>
    </row>
    <row r="3254" spans="1:7" x14ac:dyDescent="0.25">
      <c r="A3254">
        <v>20221028</v>
      </c>
      <c r="B3254" t="s">
        <v>771</v>
      </c>
      <c r="C3254" t="s">
        <v>272</v>
      </c>
      <c r="D3254" t="s">
        <v>273</v>
      </c>
      <c r="E3254" s="35">
        <v>3.9990000000000001</v>
      </c>
      <c r="F3254" s="35">
        <v>4.9980000000000002</v>
      </c>
      <c r="G3254" s="35">
        <v>7000</v>
      </c>
    </row>
    <row r="3255" spans="1:7" x14ac:dyDescent="0.25">
      <c r="A3255">
        <v>20221028</v>
      </c>
      <c r="B3255" t="s">
        <v>771</v>
      </c>
      <c r="C3255" t="s">
        <v>272</v>
      </c>
      <c r="D3255" t="s">
        <v>279</v>
      </c>
      <c r="E3255" s="35">
        <v>3.9990000000000001</v>
      </c>
      <c r="F3255" s="35">
        <v>4.9980000000000002</v>
      </c>
      <c r="G3255" s="35">
        <v>5600</v>
      </c>
    </row>
    <row r="3256" spans="1:7" x14ac:dyDescent="0.25">
      <c r="A3256">
        <v>20221028</v>
      </c>
      <c r="B3256" t="s">
        <v>771</v>
      </c>
      <c r="C3256" t="s">
        <v>272</v>
      </c>
      <c r="D3256" t="s">
        <v>285</v>
      </c>
      <c r="E3256" s="35">
        <v>3.9990000000000001</v>
      </c>
      <c r="F3256" s="35">
        <v>4.9980000000000002</v>
      </c>
      <c r="G3256" s="35">
        <v>2500</v>
      </c>
    </row>
    <row r="3257" spans="1:7" x14ac:dyDescent="0.25">
      <c r="A3257">
        <v>20221028</v>
      </c>
      <c r="B3257" t="s">
        <v>771</v>
      </c>
      <c r="C3257" t="s">
        <v>272</v>
      </c>
      <c r="D3257" t="s">
        <v>289</v>
      </c>
      <c r="E3257" s="35">
        <v>3.9990000000000001</v>
      </c>
      <c r="F3257" s="35">
        <v>4.9980000000000002</v>
      </c>
      <c r="G3257" s="35">
        <v>1400</v>
      </c>
    </row>
    <row r="3258" spans="1:7" x14ac:dyDescent="0.25">
      <c r="A3258">
        <v>20221028</v>
      </c>
      <c r="B3258" t="s">
        <v>771</v>
      </c>
      <c r="C3258" t="s">
        <v>278</v>
      </c>
      <c r="D3258" t="s">
        <v>187</v>
      </c>
      <c r="E3258" s="35">
        <v>3.9990000000000001</v>
      </c>
      <c r="F3258" s="35">
        <v>4.9980000000000002</v>
      </c>
      <c r="G3258" s="35">
        <v>11300</v>
      </c>
    </row>
    <row r="3259" spans="1:7" x14ac:dyDescent="0.25">
      <c r="A3259">
        <v>20221028</v>
      </c>
      <c r="B3259" t="s">
        <v>771</v>
      </c>
      <c r="C3259" t="s">
        <v>278</v>
      </c>
      <c r="D3259" t="s">
        <v>214</v>
      </c>
      <c r="E3259" s="35">
        <v>3.9990000000000001</v>
      </c>
      <c r="F3259" s="35">
        <v>4.9980000000000002</v>
      </c>
      <c r="G3259" s="35">
        <v>10600</v>
      </c>
    </row>
    <row r="3260" spans="1:7" x14ac:dyDescent="0.25">
      <c r="A3260">
        <v>20221028</v>
      </c>
      <c r="B3260" t="s">
        <v>771</v>
      </c>
      <c r="C3260" t="s">
        <v>278</v>
      </c>
      <c r="D3260" t="s">
        <v>233</v>
      </c>
      <c r="E3260" s="35">
        <v>3.9990000000000001</v>
      </c>
      <c r="F3260" s="35">
        <v>4.9980000000000002</v>
      </c>
      <c r="G3260" s="35">
        <v>10000</v>
      </c>
    </row>
    <row r="3261" spans="1:7" x14ac:dyDescent="0.25">
      <c r="A3261">
        <v>20221028</v>
      </c>
      <c r="B3261" t="s">
        <v>771</v>
      </c>
      <c r="C3261" t="s">
        <v>278</v>
      </c>
      <c r="D3261" t="s">
        <v>242</v>
      </c>
      <c r="E3261" s="35">
        <v>3.9990000000000001</v>
      </c>
      <c r="F3261" s="35">
        <v>4.9980000000000002</v>
      </c>
      <c r="G3261" s="35">
        <v>9500</v>
      </c>
    </row>
    <row r="3262" spans="1:7" x14ac:dyDescent="0.25">
      <c r="A3262">
        <v>20221028</v>
      </c>
      <c r="B3262" t="s">
        <v>771</v>
      </c>
      <c r="C3262" t="s">
        <v>278</v>
      </c>
      <c r="D3262" t="s">
        <v>250</v>
      </c>
      <c r="E3262" s="35">
        <v>3.9990000000000001</v>
      </c>
      <c r="F3262" s="35">
        <v>4.9980000000000002</v>
      </c>
      <c r="G3262" s="35">
        <v>9000</v>
      </c>
    </row>
    <row r="3263" spans="1:7" x14ac:dyDescent="0.25">
      <c r="A3263">
        <v>20221028</v>
      </c>
      <c r="B3263" t="s">
        <v>771</v>
      </c>
      <c r="C3263" t="s">
        <v>278</v>
      </c>
      <c r="D3263" t="s">
        <v>258</v>
      </c>
      <c r="E3263" s="35">
        <v>3.9990000000000001</v>
      </c>
      <c r="F3263" s="35">
        <v>4.9980000000000002</v>
      </c>
      <c r="G3263" s="35">
        <v>8400</v>
      </c>
    </row>
    <row r="3264" spans="1:7" x14ac:dyDescent="0.25">
      <c r="A3264">
        <v>20221028</v>
      </c>
      <c r="B3264" t="s">
        <v>771</v>
      </c>
      <c r="C3264" t="s">
        <v>278</v>
      </c>
      <c r="D3264" t="s">
        <v>265</v>
      </c>
      <c r="E3264" s="35">
        <v>3.9990000000000001</v>
      </c>
      <c r="F3264" s="35">
        <v>4.9980000000000002</v>
      </c>
      <c r="G3264" s="35">
        <v>7700</v>
      </c>
    </row>
    <row r="3265" spans="1:7" x14ac:dyDescent="0.25">
      <c r="A3265">
        <v>20221028</v>
      </c>
      <c r="B3265" t="s">
        <v>771</v>
      </c>
      <c r="C3265" t="s">
        <v>278</v>
      </c>
      <c r="D3265" t="s">
        <v>273</v>
      </c>
      <c r="E3265" s="35">
        <v>3.9990000000000001</v>
      </c>
      <c r="F3265" s="35">
        <v>4.9980000000000002</v>
      </c>
      <c r="G3265" s="35">
        <v>5800</v>
      </c>
    </row>
    <row r="3266" spans="1:7" x14ac:dyDescent="0.25">
      <c r="A3266">
        <v>20221028</v>
      </c>
      <c r="B3266" t="s">
        <v>771</v>
      </c>
      <c r="C3266" t="s">
        <v>278</v>
      </c>
      <c r="D3266" t="s">
        <v>279</v>
      </c>
      <c r="E3266" s="35">
        <v>3.9990000000000001</v>
      </c>
      <c r="F3266" s="35">
        <v>4.9980000000000002</v>
      </c>
      <c r="G3266" s="35">
        <v>4800</v>
      </c>
    </row>
    <row r="3267" spans="1:7" x14ac:dyDescent="0.25">
      <c r="A3267">
        <v>20221028</v>
      </c>
      <c r="B3267" t="s">
        <v>771</v>
      </c>
      <c r="C3267" t="s">
        <v>278</v>
      </c>
      <c r="D3267" t="s">
        <v>285</v>
      </c>
      <c r="E3267" s="35">
        <v>3.9990000000000001</v>
      </c>
      <c r="F3267" s="35">
        <v>4.9980000000000002</v>
      </c>
      <c r="G3267" s="35">
        <v>2400</v>
      </c>
    </row>
    <row r="3268" spans="1:7" x14ac:dyDescent="0.25">
      <c r="A3268">
        <v>20221028</v>
      </c>
      <c r="B3268" t="s">
        <v>771</v>
      </c>
      <c r="C3268" t="s">
        <v>278</v>
      </c>
      <c r="D3268" t="s">
        <v>289</v>
      </c>
      <c r="E3268" s="35">
        <v>3.9990000000000001</v>
      </c>
      <c r="F3268" s="35">
        <v>4.9980000000000002</v>
      </c>
      <c r="G3268" s="35">
        <v>1300</v>
      </c>
    </row>
    <row r="3269" spans="1:7" x14ac:dyDescent="0.25">
      <c r="A3269">
        <v>20221028</v>
      </c>
      <c r="B3269" t="s">
        <v>771</v>
      </c>
      <c r="C3269" t="s">
        <v>284</v>
      </c>
      <c r="D3269" t="s">
        <v>187</v>
      </c>
      <c r="E3269" s="35">
        <v>3.9990000000000001</v>
      </c>
      <c r="F3269" s="35">
        <v>4.9980000000000002</v>
      </c>
      <c r="G3269" s="35">
        <v>8100</v>
      </c>
    </row>
    <row r="3270" spans="1:7" x14ac:dyDescent="0.25">
      <c r="A3270">
        <v>20221028</v>
      </c>
      <c r="B3270" t="s">
        <v>771</v>
      </c>
      <c r="C3270" t="s">
        <v>284</v>
      </c>
      <c r="D3270" t="s">
        <v>214</v>
      </c>
      <c r="E3270" s="35">
        <v>3.9990000000000001</v>
      </c>
      <c r="F3270" s="35">
        <v>4.9980000000000002</v>
      </c>
      <c r="G3270" s="35">
        <v>7700</v>
      </c>
    </row>
    <row r="3271" spans="1:7" x14ac:dyDescent="0.25">
      <c r="A3271">
        <v>20221028</v>
      </c>
      <c r="B3271" t="s">
        <v>771</v>
      </c>
      <c r="C3271" t="s">
        <v>284</v>
      </c>
      <c r="D3271" t="s">
        <v>233</v>
      </c>
      <c r="E3271" s="35">
        <v>3.9990000000000001</v>
      </c>
      <c r="F3271" s="35">
        <v>4.9980000000000002</v>
      </c>
      <c r="G3271" s="35">
        <v>7400</v>
      </c>
    </row>
    <row r="3272" spans="1:7" x14ac:dyDescent="0.25">
      <c r="A3272">
        <v>20221028</v>
      </c>
      <c r="B3272" t="s">
        <v>771</v>
      </c>
      <c r="C3272" t="s">
        <v>284</v>
      </c>
      <c r="D3272" t="s">
        <v>242</v>
      </c>
      <c r="E3272" s="35">
        <v>3.9990000000000001</v>
      </c>
      <c r="F3272" s="35">
        <v>4.9980000000000002</v>
      </c>
      <c r="G3272" s="35">
        <v>7100</v>
      </c>
    </row>
    <row r="3273" spans="1:7" x14ac:dyDescent="0.25">
      <c r="A3273">
        <v>20221028</v>
      </c>
      <c r="B3273" t="s">
        <v>771</v>
      </c>
      <c r="C3273" t="s">
        <v>284</v>
      </c>
      <c r="D3273" t="s">
        <v>250</v>
      </c>
      <c r="E3273" s="35">
        <v>3.9990000000000001</v>
      </c>
      <c r="F3273" s="35">
        <v>4.9980000000000002</v>
      </c>
      <c r="G3273" s="35">
        <v>6800</v>
      </c>
    </row>
    <row r="3274" spans="1:7" x14ac:dyDescent="0.25">
      <c r="A3274">
        <v>20221028</v>
      </c>
      <c r="B3274" t="s">
        <v>771</v>
      </c>
      <c r="C3274" t="s">
        <v>284</v>
      </c>
      <c r="D3274" t="s">
        <v>258</v>
      </c>
      <c r="E3274" s="35">
        <v>3.9990000000000001</v>
      </c>
      <c r="F3274" s="35">
        <v>4.9980000000000002</v>
      </c>
      <c r="G3274" s="35">
        <v>6400</v>
      </c>
    </row>
    <row r="3275" spans="1:7" x14ac:dyDescent="0.25">
      <c r="A3275">
        <v>20221028</v>
      </c>
      <c r="B3275" t="s">
        <v>771</v>
      </c>
      <c r="C3275" t="s">
        <v>284</v>
      </c>
      <c r="D3275" t="s">
        <v>265</v>
      </c>
      <c r="E3275" s="35">
        <v>3.9990000000000001</v>
      </c>
      <c r="F3275" s="35">
        <v>4.9980000000000002</v>
      </c>
      <c r="G3275" s="35">
        <v>6100</v>
      </c>
    </row>
    <row r="3276" spans="1:7" x14ac:dyDescent="0.25">
      <c r="A3276">
        <v>20221028</v>
      </c>
      <c r="B3276" t="s">
        <v>771</v>
      </c>
      <c r="C3276" t="s">
        <v>284</v>
      </c>
      <c r="D3276" t="s">
        <v>273</v>
      </c>
      <c r="E3276" s="35">
        <v>3.9990000000000001</v>
      </c>
      <c r="F3276" s="35">
        <v>4.9980000000000002</v>
      </c>
      <c r="G3276" s="35">
        <v>4700</v>
      </c>
    </row>
    <row r="3277" spans="1:7" x14ac:dyDescent="0.25">
      <c r="A3277">
        <v>20221028</v>
      </c>
      <c r="B3277" t="s">
        <v>771</v>
      </c>
      <c r="C3277" t="s">
        <v>284</v>
      </c>
      <c r="D3277" t="s">
        <v>279</v>
      </c>
      <c r="E3277" s="35">
        <v>3.9990000000000001</v>
      </c>
      <c r="F3277" s="35">
        <v>4.9980000000000002</v>
      </c>
      <c r="G3277" s="35">
        <v>3900</v>
      </c>
    </row>
    <row r="3278" spans="1:7" x14ac:dyDescent="0.25">
      <c r="A3278">
        <v>20221028</v>
      </c>
      <c r="B3278" t="s">
        <v>771</v>
      </c>
      <c r="C3278" t="s">
        <v>284</v>
      </c>
      <c r="D3278" t="s">
        <v>285</v>
      </c>
      <c r="E3278" s="35">
        <v>3.9990000000000001</v>
      </c>
      <c r="F3278" s="35">
        <v>4.9980000000000002</v>
      </c>
      <c r="G3278" s="35">
        <v>2200</v>
      </c>
    </row>
    <row r="3279" spans="1:7" x14ac:dyDescent="0.25">
      <c r="A3279">
        <v>20221028</v>
      </c>
      <c r="B3279" t="s">
        <v>771</v>
      </c>
      <c r="C3279" t="s">
        <v>284</v>
      </c>
      <c r="D3279" t="s">
        <v>289</v>
      </c>
      <c r="E3279" s="35">
        <v>3.9990000000000001</v>
      </c>
      <c r="F3279" s="35">
        <v>4.9980000000000002</v>
      </c>
      <c r="G3279" s="35">
        <v>1200</v>
      </c>
    </row>
    <row r="3280" spans="1:7" x14ac:dyDescent="0.25">
      <c r="A3280">
        <v>20221028</v>
      </c>
      <c r="B3280" t="s">
        <v>771</v>
      </c>
      <c r="C3280" t="s">
        <v>186</v>
      </c>
      <c r="D3280" t="s">
        <v>187</v>
      </c>
      <c r="E3280" s="35">
        <v>4.9989999999999997</v>
      </c>
      <c r="F3280" s="35">
        <v>19.998000000000001</v>
      </c>
      <c r="G3280" s="35">
        <v>85000</v>
      </c>
    </row>
    <row r="3281" spans="1:7" x14ac:dyDescent="0.25">
      <c r="A3281">
        <v>20221028</v>
      </c>
      <c r="B3281" t="s">
        <v>771</v>
      </c>
      <c r="C3281" t="s">
        <v>186</v>
      </c>
      <c r="D3281" t="s">
        <v>214</v>
      </c>
      <c r="E3281" s="35">
        <v>4.9989999999999997</v>
      </c>
      <c r="F3281" s="35">
        <v>19.998000000000001</v>
      </c>
      <c r="G3281" s="35">
        <v>68500</v>
      </c>
    </row>
    <row r="3282" spans="1:7" x14ac:dyDescent="0.25">
      <c r="A3282">
        <v>20221028</v>
      </c>
      <c r="B3282" t="s">
        <v>771</v>
      </c>
      <c r="C3282" t="s">
        <v>186</v>
      </c>
      <c r="D3282" t="s">
        <v>233</v>
      </c>
      <c r="E3282" s="35">
        <v>4.9989999999999997</v>
      </c>
      <c r="F3282" s="35">
        <v>19.998000000000001</v>
      </c>
      <c r="G3282" s="35">
        <v>64000</v>
      </c>
    </row>
    <row r="3283" spans="1:7" x14ac:dyDescent="0.25">
      <c r="A3283">
        <v>20221028</v>
      </c>
      <c r="B3283" t="s">
        <v>771</v>
      </c>
      <c r="C3283" t="s">
        <v>186</v>
      </c>
      <c r="D3283" t="s">
        <v>242</v>
      </c>
      <c r="E3283" s="35">
        <v>4.9989999999999997</v>
      </c>
      <c r="F3283" s="35">
        <v>19.998000000000001</v>
      </c>
      <c r="G3283" s="35">
        <v>60500</v>
      </c>
    </row>
    <row r="3284" spans="1:7" x14ac:dyDescent="0.25">
      <c r="A3284">
        <v>20221028</v>
      </c>
      <c r="B3284" t="s">
        <v>771</v>
      </c>
      <c r="C3284" t="s">
        <v>186</v>
      </c>
      <c r="D3284" t="s">
        <v>250</v>
      </c>
      <c r="E3284" s="35">
        <v>4.9989999999999997</v>
      </c>
      <c r="F3284" s="35">
        <v>19.998000000000001</v>
      </c>
      <c r="G3284" s="35">
        <v>51500</v>
      </c>
    </row>
    <row r="3285" spans="1:7" x14ac:dyDescent="0.25">
      <c r="A3285">
        <v>20221028</v>
      </c>
      <c r="B3285" t="s">
        <v>771</v>
      </c>
      <c r="C3285" t="s">
        <v>186</v>
      </c>
      <c r="D3285" t="s">
        <v>258</v>
      </c>
      <c r="E3285" s="35">
        <v>4.9989999999999997</v>
      </c>
      <c r="F3285" s="35">
        <v>19.998000000000001</v>
      </c>
      <c r="G3285" s="35">
        <v>37500</v>
      </c>
    </row>
    <row r="3286" spans="1:7" x14ac:dyDescent="0.25">
      <c r="A3286">
        <v>20221028</v>
      </c>
      <c r="B3286" t="s">
        <v>771</v>
      </c>
      <c r="C3286" t="s">
        <v>186</v>
      </c>
      <c r="D3286" t="s">
        <v>265</v>
      </c>
      <c r="E3286" s="35">
        <v>4.9989999999999997</v>
      </c>
      <c r="F3286" s="35">
        <v>19.998000000000001</v>
      </c>
      <c r="G3286" s="35">
        <v>27000</v>
      </c>
    </row>
    <row r="3287" spans="1:7" x14ac:dyDescent="0.25">
      <c r="A3287">
        <v>20221028</v>
      </c>
      <c r="B3287" t="s">
        <v>771</v>
      </c>
      <c r="C3287" t="s">
        <v>186</v>
      </c>
      <c r="D3287" t="s">
        <v>273</v>
      </c>
      <c r="E3287" s="35">
        <v>4.9989999999999997</v>
      </c>
      <c r="F3287" s="35">
        <v>19.998000000000001</v>
      </c>
      <c r="G3287" s="35">
        <v>14600</v>
      </c>
    </row>
    <row r="3288" spans="1:7" x14ac:dyDescent="0.25">
      <c r="A3288">
        <v>20221028</v>
      </c>
      <c r="B3288" t="s">
        <v>771</v>
      </c>
      <c r="C3288" t="s">
        <v>186</v>
      </c>
      <c r="D3288" t="s">
        <v>279</v>
      </c>
      <c r="E3288" s="35">
        <v>4.9989999999999997</v>
      </c>
      <c r="F3288" s="35">
        <v>19.998000000000001</v>
      </c>
      <c r="G3288" s="35">
        <v>10500</v>
      </c>
    </row>
    <row r="3289" spans="1:7" x14ac:dyDescent="0.25">
      <c r="A3289">
        <v>20221028</v>
      </c>
      <c r="B3289" t="s">
        <v>771</v>
      </c>
      <c r="C3289" t="s">
        <v>186</v>
      </c>
      <c r="D3289" t="s">
        <v>285</v>
      </c>
      <c r="E3289" s="35">
        <v>4.9989999999999997</v>
      </c>
      <c r="F3289" s="35">
        <v>19.998000000000001</v>
      </c>
      <c r="G3289" s="35">
        <v>4300</v>
      </c>
    </row>
    <row r="3290" spans="1:7" x14ac:dyDescent="0.25">
      <c r="A3290">
        <v>20221028</v>
      </c>
      <c r="B3290" t="s">
        <v>771</v>
      </c>
      <c r="C3290" t="s">
        <v>186</v>
      </c>
      <c r="D3290" t="s">
        <v>289</v>
      </c>
      <c r="E3290" s="35">
        <v>4.9989999999999997</v>
      </c>
      <c r="F3290" s="35">
        <v>19.998000000000001</v>
      </c>
      <c r="G3290" s="35">
        <v>2000</v>
      </c>
    </row>
    <row r="3291" spans="1:7" x14ac:dyDescent="0.25">
      <c r="A3291">
        <v>20221028</v>
      </c>
      <c r="B3291" t="s">
        <v>771</v>
      </c>
      <c r="C3291" t="s">
        <v>213</v>
      </c>
      <c r="D3291" t="s">
        <v>187</v>
      </c>
      <c r="E3291" s="35">
        <v>4.9989999999999997</v>
      </c>
      <c r="F3291" s="35">
        <v>19.998000000000001</v>
      </c>
      <c r="G3291" s="35">
        <v>67500</v>
      </c>
    </row>
    <row r="3292" spans="1:7" x14ac:dyDescent="0.25">
      <c r="A3292">
        <v>20221028</v>
      </c>
      <c r="B3292" t="s">
        <v>771</v>
      </c>
      <c r="C3292" t="s">
        <v>213</v>
      </c>
      <c r="D3292" t="s">
        <v>214</v>
      </c>
      <c r="E3292" s="35">
        <v>4.9989999999999997</v>
      </c>
      <c r="F3292" s="35">
        <v>19.998000000000001</v>
      </c>
      <c r="G3292" s="35">
        <v>62500</v>
      </c>
    </row>
    <row r="3293" spans="1:7" x14ac:dyDescent="0.25">
      <c r="A3293">
        <v>20221028</v>
      </c>
      <c r="B3293" t="s">
        <v>771</v>
      </c>
      <c r="C3293" t="s">
        <v>213</v>
      </c>
      <c r="D3293" t="s">
        <v>233</v>
      </c>
      <c r="E3293" s="35">
        <v>4.9989999999999997</v>
      </c>
      <c r="F3293" s="35">
        <v>19.998000000000001</v>
      </c>
      <c r="G3293" s="35">
        <v>59000</v>
      </c>
    </row>
    <row r="3294" spans="1:7" x14ac:dyDescent="0.25">
      <c r="A3294">
        <v>20221028</v>
      </c>
      <c r="B3294" t="s">
        <v>771</v>
      </c>
      <c r="C3294" t="s">
        <v>213</v>
      </c>
      <c r="D3294" t="s">
        <v>242</v>
      </c>
      <c r="E3294" s="35">
        <v>4.9989999999999997</v>
      </c>
      <c r="F3294" s="35">
        <v>19.998000000000001</v>
      </c>
      <c r="G3294" s="35">
        <v>56000</v>
      </c>
    </row>
    <row r="3295" spans="1:7" x14ac:dyDescent="0.25">
      <c r="A3295">
        <v>20221028</v>
      </c>
      <c r="B3295" t="s">
        <v>771</v>
      </c>
      <c r="C3295" t="s">
        <v>213</v>
      </c>
      <c r="D3295" t="s">
        <v>250</v>
      </c>
      <c r="E3295" s="35">
        <v>4.9989999999999997</v>
      </c>
      <c r="F3295" s="35">
        <v>19.998000000000001</v>
      </c>
      <c r="G3295" s="35">
        <v>48000</v>
      </c>
    </row>
    <row r="3296" spans="1:7" x14ac:dyDescent="0.25">
      <c r="A3296">
        <v>20221028</v>
      </c>
      <c r="B3296" t="s">
        <v>771</v>
      </c>
      <c r="C3296" t="s">
        <v>213</v>
      </c>
      <c r="D3296" t="s">
        <v>258</v>
      </c>
      <c r="E3296" s="35">
        <v>4.9989999999999997</v>
      </c>
      <c r="F3296" s="35">
        <v>19.998000000000001</v>
      </c>
      <c r="G3296" s="35">
        <v>35000</v>
      </c>
    </row>
    <row r="3297" spans="1:7" x14ac:dyDescent="0.25">
      <c r="A3297">
        <v>20221028</v>
      </c>
      <c r="B3297" t="s">
        <v>771</v>
      </c>
      <c r="C3297" t="s">
        <v>213</v>
      </c>
      <c r="D3297" t="s">
        <v>265</v>
      </c>
      <c r="E3297" s="35">
        <v>4.9989999999999997</v>
      </c>
      <c r="F3297" s="35">
        <v>19.998000000000001</v>
      </c>
      <c r="G3297" s="35">
        <v>25000</v>
      </c>
    </row>
    <row r="3298" spans="1:7" x14ac:dyDescent="0.25">
      <c r="A3298">
        <v>20221028</v>
      </c>
      <c r="B3298" t="s">
        <v>771</v>
      </c>
      <c r="C3298" t="s">
        <v>213</v>
      </c>
      <c r="D3298" t="s">
        <v>273</v>
      </c>
      <c r="E3298" s="35">
        <v>4.9989999999999997</v>
      </c>
      <c r="F3298" s="35">
        <v>19.998000000000001</v>
      </c>
      <c r="G3298" s="35">
        <v>13900</v>
      </c>
    </row>
    <row r="3299" spans="1:7" x14ac:dyDescent="0.25">
      <c r="A3299">
        <v>20221028</v>
      </c>
      <c r="B3299" t="s">
        <v>771</v>
      </c>
      <c r="C3299" t="s">
        <v>213</v>
      </c>
      <c r="D3299" t="s">
        <v>279</v>
      </c>
      <c r="E3299" s="35">
        <v>4.9989999999999997</v>
      </c>
      <c r="F3299" s="35">
        <v>19.998000000000001</v>
      </c>
      <c r="G3299" s="35">
        <v>9500</v>
      </c>
    </row>
    <row r="3300" spans="1:7" x14ac:dyDescent="0.25">
      <c r="A3300">
        <v>20221028</v>
      </c>
      <c r="B3300" t="s">
        <v>771</v>
      </c>
      <c r="C3300" t="s">
        <v>213</v>
      </c>
      <c r="D3300" t="s">
        <v>285</v>
      </c>
      <c r="E3300" s="35">
        <v>4.9989999999999997</v>
      </c>
      <c r="F3300" s="35">
        <v>19.998000000000001</v>
      </c>
      <c r="G3300" s="35">
        <v>4000</v>
      </c>
    </row>
    <row r="3301" spans="1:7" x14ac:dyDescent="0.25">
      <c r="A3301">
        <v>20221028</v>
      </c>
      <c r="B3301" t="s">
        <v>771</v>
      </c>
      <c r="C3301" t="s">
        <v>213</v>
      </c>
      <c r="D3301" t="s">
        <v>289</v>
      </c>
      <c r="E3301" s="35">
        <v>4.9989999999999997</v>
      </c>
      <c r="F3301" s="35">
        <v>19.998000000000001</v>
      </c>
      <c r="G3301" s="35">
        <v>1800</v>
      </c>
    </row>
    <row r="3302" spans="1:7" x14ac:dyDescent="0.25">
      <c r="A3302">
        <v>20221028</v>
      </c>
      <c r="B3302" t="s">
        <v>771</v>
      </c>
      <c r="C3302" t="s">
        <v>232</v>
      </c>
      <c r="D3302" t="s">
        <v>187</v>
      </c>
      <c r="E3302" s="35">
        <v>4.9989999999999997</v>
      </c>
      <c r="F3302" s="35">
        <v>19.998000000000001</v>
      </c>
      <c r="G3302" s="35">
        <v>60500</v>
      </c>
    </row>
    <row r="3303" spans="1:7" x14ac:dyDescent="0.25">
      <c r="A3303">
        <v>20221028</v>
      </c>
      <c r="B3303" t="s">
        <v>771</v>
      </c>
      <c r="C3303" t="s">
        <v>232</v>
      </c>
      <c r="D3303" t="s">
        <v>214</v>
      </c>
      <c r="E3303" s="35">
        <v>4.9989999999999997</v>
      </c>
      <c r="F3303" s="35">
        <v>19.998000000000001</v>
      </c>
      <c r="G3303" s="35">
        <v>57500</v>
      </c>
    </row>
    <row r="3304" spans="1:7" x14ac:dyDescent="0.25">
      <c r="A3304">
        <v>20221028</v>
      </c>
      <c r="B3304" t="s">
        <v>771</v>
      </c>
      <c r="C3304" t="s">
        <v>232</v>
      </c>
      <c r="D3304" t="s">
        <v>233</v>
      </c>
      <c r="E3304" s="35">
        <v>4.9989999999999997</v>
      </c>
      <c r="F3304" s="35">
        <v>19.998000000000001</v>
      </c>
      <c r="G3304" s="35">
        <v>54500</v>
      </c>
    </row>
    <row r="3305" spans="1:7" x14ac:dyDescent="0.25">
      <c r="A3305">
        <v>20221028</v>
      </c>
      <c r="B3305" t="s">
        <v>771</v>
      </c>
      <c r="C3305" t="s">
        <v>232</v>
      </c>
      <c r="D3305" t="s">
        <v>242</v>
      </c>
      <c r="E3305" s="35">
        <v>4.9989999999999997</v>
      </c>
      <c r="F3305" s="35">
        <v>19.998000000000001</v>
      </c>
      <c r="G3305" s="35">
        <v>51500</v>
      </c>
    </row>
    <row r="3306" spans="1:7" x14ac:dyDescent="0.25">
      <c r="A3306">
        <v>20221028</v>
      </c>
      <c r="B3306" t="s">
        <v>771</v>
      </c>
      <c r="C3306" t="s">
        <v>232</v>
      </c>
      <c r="D3306" t="s">
        <v>250</v>
      </c>
      <c r="E3306" s="35">
        <v>4.9989999999999997</v>
      </c>
      <c r="F3306" s="35">
        <v>19.998000000000001</v>
      </c>
      <c r="G3306" s="35">
        <v>45000</v>
      </c>
    </row>
    <row r="3307" spans="1:7" x14ac:dyDescent="0.25">
      <c r="A3307">
        <v>20221028</v>
      </c>
      <c r="B3307" t="s">
        <v>771</v>
      </c>
      <c r="C3307" t="s">
        <v>232</v>
      </c>
      <c r="D3307" t="s">
        <v>258</v>
      </c>
      <c r="E3307" s="35">
        <v>4.9989999999999997</v>
      </c>
      <c r="F3307" s="35">
        <v>19.998000000000001</v>
      </c>
      <c r="G3307" s="35">
        <v>32000</v>
      </c>
    </row>
    <row r="3308" spans="1:7" x14ac:dyDescent="0.25">
      <c r="A3308">
        <v>20221028</v>
      </c>
      <c r="B3308" t="s">
        <v>771</v>
      </c>
      <c r="C3308" t="s">
        <v>232</v>
      </c>
      <c r="D3308" t="s">
        <v>265</v>
      </c>
      <c r="E3308" s="35">
        <v>4.9989999999999997</v>
      </c>
      <c r="F3308" s="35">
        <v>19.998000000000001</v>
      </c>
      <c r="G3308" s="35">
        <v>23500</v>
      </c>
    </row>
    <row r="3309" spans="1:7" x14ac:dyDescent="0.25">
      <c r="A3309">
        <v>20221028</v>
      </c>
      <c r="B3309" t="s">
        <v>771</v>
      </c>
      <c r="C3309" t="s">
        <v>232</v>
      </c>
      <c r="D3309" t="s">
        <v>273</v>
      </c>
      <c r="E3309" s="35">
        <v>4.9989999999999997</v>
      </c>
      <c r="F3309" s="35">
        <v>19.998000000000001</v>
      </c>
      <c r="G3309" s="35">
        <v>12900</v>
      </c>
    </row>
    <row r="3310" spans="1:7" x14ac:dyDescent="0.25">
      <c r="A3310">
        <v>20221028</v>
      </c>
      <c r="B3310" t="s">
        <v>771</v>
      </c>
      <c r="C3310" t="s">
        <v>232</v>
      </c>
      <c r="D3310" t="s">
        <v>279</v>
      </c>
      <c r="E3310" s="35">
        <v>4.9989999999999997</v>
      </c>
      <c r="F3310" s="35">
        <v>19.998000000000001</v>
      </c>
      <c r="G3310" s="35">
        <v>8900</v>
      </c>
    </row>
    <row r="3311" spans="1:7" x14ac:dyDescent="0.25">
      <c r="A3311">
        <v>20221028</v>
      </c>
      <c r="B3311" t="s">
        <v>771</v>
      </c>
      <c r="C3311" t="s">
        <v>232</v>
      </c>
      <c r="D3311" t="s">
        <v>285</v>
      </c>
      <c r="E3311" s="35">
        <v>4.9989999999999997</v>
      </c>
      <c r="F3311" s="35">
        <v>19.998000000000001</v>
      </c>
      <c r="G3311" s="35">
        <v>3800</v>
      </c>
    </row>
    <row r="3312" spans="1:7" x14ac:dyDescent="0.25">
      <c r="A3312">
        <v>20221028</v>
      </c>
      <c r="B3312" t="s">
        <v>771</v>
      </c>
      <c r="C3312" t="s">
        <v>232</v>
      </c>
      <c r="D3312" t="s">
        <v>289</v>
      </c>
      <c r="E3312" s="35">
        <v>4.9989999999999997</v>
      </c>
      <c r="F3312" s="35">
        <v>19.998000000000001</v>
      </c>
      <c r="G3312" s="35">
        <v>1700</v>
      </c>
    </row>
    <row r="3313" spans="1:7" x14ac:dyDescent="0.25">
      <c r="A3313">
        <v>20221028</v>
      </c>
      <c r="B3313" t="s">
        <v>771</v>
      </c>
      <c r="C3313" t="s">
        <v>215</v>
      </c>
      <c r="D3313" t="s">
        <v>187</v>
      </c>
      <c r="E3313" s="35">
        <v>4.9989999999999997</v>
      </c>
      <c r="F3313" s="35">
        <v>19.998000000000001</v>
      </c>
      <c r="G3313" s="35">
        <v>53500</v>
      </c>
    </row>
    <row r="3314" spans="1:7" x14ac:dyDescent="0.25">
      <c r="A3314">
        <v>20221028</v>
      </c>
      <c r="B3314" t="s">
        <v>771</v>
      </c>
      <c r="C3314" t="s">
        <v>215</v>
      </c>
      <c r="D3314" t="s">
        <v>214</v>
      </c>
      <c r="E3314" s="35">
        <v>4.9989999999999997</v>
      </c>
      <c r="F3314" s="35">
        <v>19.998000000000001</v>
      </c>
      <c r="G3314" s="35">
        <v>50500</v>
      </c>
    </row>
    <row r="3315" spans="1:7" x14ac:dyDescent="0.25">
      <c r="A3315">
        <v>20221028</v>
      </c>
      <c r="B3315" t="s">
        <v>771</v>
      </c>
      <c r="C3315" t="s">
        <v>215</v>
      </c>
      <c r="D3315" t="s">
        <v>233</v>
      </c>
      <c r="E3315" s="35">
        <v>4.9989999999999997</v>
      </c>
      <c r="F3315" s="35">
        <v>19.998000000000001</v>
      </c>
      <c r="G3315" s="35">
        <v>47500</v>
      </c>
    </row>
    <row r="3316" spans="1:7" x14ac:dyDescent="0.25">
      <c r="A3316">
        <v>20221028</v>
      </c>
      <c r="B3316" t="s">
        <v>771</v>
      </c>
      <c r="C3316" t="s">
        <v>215</v>
      </c>
      <c r="D3316" t="s">
        <v>242</v>
      </c>
      <c r="E3316" s="35">
        <v>4.9989999999999997</v>
      </c>
      <c r="F3316" s="35">
        <v>19.998000000000001</v>
      </c>
      <c r="G3316" s="35">
        <v>45000</v>
      </c>
    </row>
    <row r="3317" spans="1:7" x14ac:dyDescent="0.25">
      <c r="A3317">
        <v>20221028</v>
      </c>
      <c r="B3317" t="s">
        <v>771</v>
      </c>
      <c r="C3317" t="s">
        <v>215</v>
      </c>
      <c r="D3317" t="s">
        <v>250</v>
      </c>
      <c r="E3317" s="35">
        <v>4.9989999999999997</v>
      </c>
      <c r="F3317" s="35">
        <v>19.998000000000001</v>
      </c>
      <c r="G3317" s="35">
        <v>38500</v>
      </c>
    </row>
    <row r="3318" spans="1:7" x14ac:dyDescent="0.25">
      <c r="A3318">
        <v>20221028</v>
      </c>
      <c r="B3318" t="s">
        <v>771</v>
      </c>
      <c r="C3318" t="s">
        <v>215</v>
      </c>
      <c r="D3318" t="s">
        <v>258</v>
      </c>
      <c r="E3318" s="35">
        <v>4.9989999999999997</v>
      </c>
      <c r="F3318" s="35">
        <v>19.998000000000001</v>
      </c>
      <c r="G3318" s="35">
        <v>29500</v>
      </c>
    </row>
    <row r="3319" spans="1:7" x14ac:dyDescent="0.25">
      <c r="A3319">
        <v>20221028</v>
      </c>
      <c r="B3319" t="s">
        <v>771</v>
      </c>
      <c r="C3319" t="s">
        <v>215</v>
      </c>
      <c r="D3319" t="s">
        <v>265</v>
      </c>
      <c r="E3319" s="35">
        <v>4.9989999999999997</v>
      </c>
      <c r="F3319" s="35">
        <v>19.998000000000001</v>
      </c>
      <c r="G3319" s="35">
        <v>22000</v>
      </c>
    </row>
    <row r="3320" spans="1:7" x14ac:dyDescent="0.25">
      <c r="A3320">
        <v>20221028</v>
      </c>
      <c r="B3320" t="s">
        <v>771</v>
      </c>
      <c r="C3320" t="s">
        <v>215</v>
      </c>
      <c r="D3320" t="s">
        <v>273</v>
      </c>
      <c r="E3320" s="35">
        <v>4.9989999999999997</v>
      </c>
      <c r="F3320" s="35">
        <v>19.998000000000001</v>
      </c>
      <c r="G3320" s="35">
        <v>12400</v>
      </c>
    </row>
    <row r="3321" spans="1:7" x14ac:dyDescent="0.25">
      <c r="A3321">
        <v>20221028</v>
      </c>
      <c r="B3321" t="s">
        <v>771</v>
      </c>
      <c r="C3321" t="s">
        <v>215</v>
      </c>
      <c r="D3321" t="s">
        <v>279</v>
      </c>
      <c r="E3321" s="35">
        <v>4.9989999999999997</v>
      </c>
      <c r="F3321" s="35">
        <v>19.998000000000001</v>
      </c>
      <c r="G3321" s="35">
        <v>8400</v>
      </c>
    </row>
    <row r="3322" spans="1:7" x14ac:dyDescent="0.25">
      <c r="A3322">
        <v>20221028</v>
      </c>
      <c r="B3322" t="s">
        <v>771</v>
      </c>
      <c r="C3322" t="s">
        <v>215</v>
      </c>
      <c r="D3322" t="s">
        <v>285</v>
      </c>
      <c r="E3322" s="35">
        <v>4.9989999999999997</v>
      </c>
      <c r="F3322" s="35">
        <v>19.998000000000001</v>
      </c>
      <c r="G3322" s="35">
        <v>3600</v>
      </c>
    </row>
    <row r="3323" spans="1:7" x14ac:dyDescent="0.25">
      <c r="A3323">
        <v>20221028</v>
      </c>
      <c r="B3323" t="s">
        <v>771</v>
      </c>
      <c r="C3323" t="s">
        <v>215</v>
      </c>
      <c r="D3323" t="s">
        <v>289</v>
      </c>
      <c r="E3323" s="35">
        <v>4.9989999999999997</v>
      </c>
      <c r="F3323" s="35">
        <v>19.998000000000001</v>
      </c>
      <c r="G3323" s="35">
        <v>1700</v>
      </c>
    </row>
    <row r="3324" spans="1:7" x14ac:dyDescent="0.25">
      <c r="A3324">
        <v>20221028</v>
      </c>
      <c r="B3324" t="s">
        <v>771</v>
      </c>
      <c r="C3324" t="s">
        <v>249</v>
      </c>
      <c r="D3324" t="s">
        <v>187</v>
      </c>
      <c r="E3324" s="35">
        <v>4.9989999999999997</v>
      </c>
      <c r="F3324" s="35">
        <v>19.998000000000001</v>
      </c>
      <c r="G3324" s="35">
        <v>45000</v>
      </c>
    </row>
    <row r="3325" spans="1:7" x14ac:dyDescent="0.25">
      <c r="A3325">
        <v>20221028</v>
      </c>
      <c r="B3325" t="s">
        <v>771</v>
      </c>
      <c r="C3325" t="s">
        <v>249</v>
      </c>
      <c r="D3325" t="s">
        <v>214</v>
      </c>
      <c r="E3325" s="35">
        <v>4.9989999999999997</v>
      </c>
      <c r="F3325" s="35">
        <v>19.998000000000001</v>
      </c>
      <c r="G3325" s="35">
        <v>41500</v>
      </c>
    </row>
    <row r="3326" spans="1:7" x14ac:dyDescent="0.25">
      <c r="A3326">
        <v>20221028</v>
      </c>
      <c r="B3326" t="s">
        <v>771</v>
      </c>
      <c r="C3326" t="s">
        <v>249</v>
      </c>
      <c r="D3326" t="s">
        <v>233</v>
      </c>
      <c r="E3326" s="35">
        <v>4.9989999999999997</v>
      </c>
      <c r="F3326" s="35">
        <v>19.998000000000001</v>
      </c>
      <c r="G3326" s="35">
        <v>39000</v>
      </c>
    </row>
    <row r="3327" spans="1:7" x14ac:dyDescent="0.25">
      <c r="A3327">
        <v>20221028</v>
      </c>
      <c r="B3327" t="s">
        <v>771</v>
      </c>
      <c r="C3327" t="s">
        <v>249</v>
      </c>
      <c r="D3327" t="s">
        <v>242</v>
      </c>
      <c r="E3327" s="35">
        <v>4.9989999999999997</v>
      </c>
      <c r="F3327" s="35">
        <v>19.998000000000001</v>
      </c>
      <c r="G3327" s="35">
        <v>35500</v>
      </c>
    </row>
    <row r="3328" spans="1:7" x14ac:dyDescent="0.25">
      <c r="A3328">
        <v>20221028</v>
      </c>
      <c r="B3328" t="s">
        <v>771</v>
      </c>
      <c r="C3328" t="s">
        <v>249</v>
      </c>
      <c r="D3328" t="s">
        <v>250</v>
      </c>
      <c r="E3328" s="35">
        <v>4.9989999999999997</v>
      </c>
      <c r="F3328" s="35">
        <v>19.998000000000001</v>
      </c>
      <c r="G3328" s="35">
        <v>31500</v>
      </c>
    </row>
    <row r="3329" spans="1:7" x14ac:dyDescent="0.25">
      <c r="A3329">
        <v>20221028</v>
      </c>
      <c r="B3329" t="s">
        <v>771</v>
      </c>
      <c r="C3329" t="s">
        <v>249</v>
      </c>
      <c r="D3329" t="s">
        <v>258</v>
      </c>
      <c r="E3329" s="35">
        <v>4.9989999999999997</v>
      </c>
      <c r="F3329" s="35">
        <v>19.998000000000001</v>
      </c>
      <c r="G3329" s="35">
        <v>25000</v>
      </c>
    </row>
    <row r="3330" spans="1:7" x14ac:dyDescent="0.25">
      <c r="A3330">
        <v>20221028</v>
      </c>
      <c r="B3330" t="s">
        <v>771</v>
      </c>
      <c r="C3330" t="s">
        <v>249</v>
      </c>
      <c r="D3330" t="s">
        <v>265</v>
      </c>
      <c r="E3330" s="35">
        <v>4.9989999999999997</v>
      </c>
      <c r="F3330" s="35">
        <v>19.998000000000001</v>
      </c>
      <c r="G3330" s="35">
        <v>20500</v>
      </c>
    </row>
    <row r="3331" spans="1:7" x14ac:dyDescent="0.25">
      <c r="A3331">
        <v>20221028</v>
      </c>
      <c r="B3331" t="s">
        <v>771</v>
      </c>
      <c r="C3331" t="s">
        <v>249</v>
      </c>
      <c r="D3331" t="s">
        <v>273</v>
      </c>
      <c r="E3331" s="35">
        <v>4.9989999999999997</v>
      </c>
      <c r="F3331" s="35">
        <v>19.998000000000001</v>
      </c>
      <c r="G3331" s="35">
        <v>11800</v>
      </c>
    </row>
    <row r="3332" spans="1:7" x14ac:dyDescent="0.25">
      <c r="A3332">
        <v>20221028</v>
      </c>
      <c r="B3332" t="s">
        <v>771</v>
      </c>
      <c r="C3332" t="s">
        <v>249</v>
      </c>
      <c r="D3332" t="s">
        <v>279</v>
      </c>
      <c r="E3332" s="35">
        <v>4.9989999999999997</v>
      </c>
      <c r="F3332" s="35">
        <v>19.998000000000001</v>
      </c>
      <c r="G3332" s="35">
        <v>8100</v>
      </c>
    </row>
    <row r="3333" spans="1:7" x14ac:dyDescent="0.25">
      <c r="A3333">
        <v>20221028</v>
      </c>
      <c r="B3333" t="s">
        <v>771</v>
      </c>
      <c r="C3333" t="s">
        <v>249</v>
      </c>
      <c r="D3333" t="s">
        <v>285</v>
      </c>
      <c r="E3333" s="35">
        <v>4.9989999999999997</v>
      </c>
      <c r="F3333" s="35">
        <v>19.998000000000001</v>
      </c>
      <c r="G3333" s="35">
        <v>3300</v>
      </c>
    </row>
    <row r="3334" spans="1:7" x14ac:dyDescent="0.25">
      <c r="A3334">
        <v>20221028</v>
      </c>
      <c r="B3334" t="s">
        <v>771</v>
      </c>
      <c r="C3334" t="s">
        <v>249</v>
      </c>
      <c r="D3334" t="s">
        <v>289</v>
      </c>
      <c r="E3334" s="35">
        <v>4.9989999999999997</v>
      </c>
      <c r="F3334" s="35">
        <v>19.998000000000001</v>
      </c>
      <c r="G3334" s="35">
        <v>1600</v>
      </c>
    </row>
    <row r="3335" spans="1:7" x14ac:dyDescent="0.25">
      <c r="A3335">
        <v>20221028</v>
      </c>
      <c r="B3335" t="s">
        <v>771</v>
      </c>
      <c r="C3335" t="s">
        <v>257</v>
      </c>
      <c r="D3335" t="s">
        <v>187</v>
      </c>
      <c r="E3335" s="35">
        <v>4.9989999999999997</v>
      </c>
      <c r="F3335" s="35">
        <v>19.998000000000001</v>
      </c>
      <c r="G3335" s="35">
        <v>34500</v>
      </c>
    </row>
    <row r="3336" spans="1:7" x14ac:dyDescent="0.25">
      <c r="A3336">
        <v>20221028</v>
      </c>
      <c r="B3336" t="s">
        <v>771</v>
      </c>
      <c r="C3336" t="s">
        <v>257</v>
      </c>
      <c r="D3336" t="s">
        <v>214</v>
      </c>
      <c r="E3336" s="35">
        <v>4.9989999999999997</v>
      </c>
      <c r="F3336" s="35">
        <v>19.998000000000001</v>
      </c>
      <c r="G3336" s="35">
        <v>32000</v>
      </c>
    </row>
    <row r="3337" spans="1:7" x14ac:dyDescent="0.25">
      <c r="A3337">
        <v>20221028</v>
      </c>
      <c r="B3337" t="s">
        <v>771</v>
      </c>
      <c r="C3337" t="s">
        <v>257</v>
      </c>
      <c r="D3337" t="s">
        <v>233</v>
      </c>
      <c r="E3337" s="35">
        <v>4.9989999999999997</v>
      </c>
      <c r="F3337" s="35">
        <v>19.998000000000001</v>
      </c>
      <c r="G3337" s="35">
        <v>29500</v>
      </c>
    </row>
    <row r="3338" spans="1:7" x14ac:dyDescent="0.25">
      <c r="A3338">
        <v>20221028</v>
      </c>
      <c r="B3338" t="s">
        <v>771</v>
      </c>
      <c r="C3338" t="s">
        <v>257</v>
      </c>
      <c r="D3338" t="s">
        <v>242</v>
      </c>
      <c r="E3338" s="35">
        <v>4.9989999999999997</v>
      </c>
      <c r="F3338" s="35">
        <v>19.998000000000001</v>
      </c>
      <c r="G3338" s="35">
        <v>27000</v>
      </c>
    </row>
    <row r="3339" spans="1:7" x14ac:dyDescent="0.25">
      <c r="A3339">
        <v>20221028</v>
      </c>
      <c r="B3339" t="s">
        <v>771</v>
      </c>
      <c r="C3339" t="s">
        <v>257</v>
      </c>
      <c r="D3339" t="s">
        <v>250</v>
      </c>
      <c r="E3339" s="35">
        <v>4.9989999999999997</v>
      </c>
      <c r="F3339" s="35">
        <v>19.998000000000001</v>
      </c>
      <c r="G3339" s="35">
        <v>24500</v>
      </c>
    </row>
    <row r="3340" spans="1:7" x14ac:dyDescent="0.25">
      <c r="A3340">
        <v>20221028</v>
      </c>
      <c r="B3340" t="s">
        <v>771</v>
      </c>
      <c r="C3340" t="s">
        <v>257</v>
      </c>
      <c r="D3340" t="s">
        <v>258</v>
      </c>
      <c r="E3340" s="35">
        <v>4.9989999999999997</v>
      </c>
      <c r="F3340" s="35">
        <v>19.998000000000001</v>
      </c>
      <c r="G3340" s="35">
        <v>21500</v>
      </c>
    </row>
    <row r="3341" spans="1:7" x14ac:dyDescent="0.25">
      <c r="A3341">
        <v>20221028</v>
      </c>
      <c r="B3341" t="s">
        <v>771</v>
      </c>
      <c r="C3341" t="s">
        <v>257</v>
      </c>
      <c r="D3341" t="s">
        <v>265</v>
      </c>
      <c r="E3341" s="35">
        <v>4.9989999999999997</v>
      </c>
      <c r="F3341" s="35">
        <v>19.998000000000001</v>
      </c>
      <c r="G3341" s="35">
        <v>18000</v>
      </c>
    </row>
    <row r="3342" spans="1:7" x14ac:dyDescent="0.25">
      <c r="A3342">
        <v>20221028</v>
      </c>
      <c r="B3342" t="s">
        <v>771</v>
      </c>
      <c r="C3342" t="s">
        <v>257</v>
      </c>
      <c r="D3342" t="s">
        <v>273</v>
      </c>
      <c r="E3342" s="35">
        <v>4.9989999999999997</v>
      </c>
      <c r="F3342" s="35">
        <v>19.998000000000001</v>
      </c>
      <c r="G3342" s="35">
        <v>10700</v>
      </c>
    </row>
    <row r="3343" spans="1:7" x14ac:dyDescent="0.25">
      <c r="A3343">
        <v>20221028</v>
      </c>
      <c r="B3343" t="s">
        <v>771</v>
      </c>
      <c r="C3343" t="s">
        <v>257</v>
      </c>
      <c r="D3343" t="s">
        <v>279</v>
      </c>
      <c r="E3343" s="35">
        <v>4.9989999999999997</v>
      </c>
      <c r="F3343" s="35">
        <v>19.998000000000001</v>
      </c>
      <c r="G3343" s="35">
        <v>7700</v>
      </c>
    </row>
    <row r="3344" spans="1:7" x14ac:dyDescent="0.25">
      <c r="A3344">
        <v>20221028</v>
      </c>
      <c r="B3344" t="s">
        <v>771</v>
      </c>
      <c r="C3344" t="s">
        <v>257</v>
      </c>
      <c r="D3344" t="s">
        <v>285</v>
      </c>
      <c r="E3344" s="35">
        <v>4.9989999999999997</v>
      </c>
      <c r="F3344" s="35">
        <v>19.998000000000001</v>
      </c>
      <c r="G3344" s="35">
        <v>3000</v>
      </c>
    </row>
    <row r="3345" spans="1:7" x14ac:dyDescent="0.25">
      <c r="A3345">
        <v>20221028</v>
      </c>
      <c r="B3345" t="s">
        <v>771</v>
      </c>
      <c r="C3345" t="s">
        <v>257</v>
      </c>
      <c r="D3345" t="s">
        <v>289</v>
      </c>
      <c r="E3345" s="35">
        <v>4.9989999999999997</v>
      </c>
      <c r="F3345" s="35">
        <v>19.998000000000001</v>
      </c>
      <c r="G3345" s="35">
        <v>1600</v>
      </c>
    </row>
    <row r="3346" spans="1:7" x14ac:dyDescent="0.25">
      <c r="A3346">
        <v>20221028</v>
      </c>
      <c r="B3346" t="s">
        <v>771</v>
      </c>
      <c r="C3346" t="s">
        <v>264</v>
      </c>
      <c r="D3346" t="s">
        <v>187</v>
      </c>
      <c r="E3346" s="35">
        <v>4.9989999999999997</v>
      </c>
      <c r="F3346" s="35">
        <v>19.998000000000001</v>
      </c>
      <c r="G3346" s="35">
        <v>26000</v>
      </c>
    </row>
    <row r="3347" spans="1:7" x14ac:dyDescent="0.25">
      <c r="A3347">
        <v>20221028</v>
      </c>
      <c r="B3347" t="s">
        <v>771</v>
      </c>
      <c r="C3347" t="s">
        <v>264</v>
      </c>
      <c r="D3347" t="s">
        <v>214</v>
      </c>
      <c r="E3347" s="35">
        <v>4.9989999999999997</v>
      </c>
      <c r="F3347" s="35">
        <v>19.998000000000001</v>
      </c>
      <c r="G3347" s="35">
        <v>24000</v>
      </c>
    </row>
    <row r="3348" spans="1:7" x14ac:dyDescent="0.25">
      <c r="A3348">
        <v>20221028</v>
      </c>
      <c r="B3348" t="s">
        <v>771</v>
      </c>
      <c r="C3348" t="s">
        <v>264</v>
      </c>
      <c r="D3348" t="s">
        <v>233</v>
      </c>
      <c r="E3348" s="35">
        <v>4.9989999999999997</v>
      </c>
      <c r="F3348" s="35">
        <v>19.998000000000001</v>
      </c>
      <c r="G3348" s="35">
        <v>22500</v>
      </c>
    </row>
    <row r="3349" spans="1:7" x14ac:dyDescent="0.25">
      <c r="A3349">
        <v>20221028</v>
      </c>
      <c r="B3349" t="s">
        <v>771</v>
      </c>
      <c r="C3349" t="s">
        <v>264</v>
      </c>
      <c r="D3349" t="s">
        <v>242</v>
      </c>
      <c r="E3349" s="35">
        <v>4.9989999999999997</v>
      </c>
      <c r="F3349" s="35">
        <v>19.998000000000001</v>
      </c>
      <c r="G3349" s="35">
        <v>21000</v>
      </c>
    </row>
    <row r="3350" spans="1:7" x14ac:dyDescent="0.25">
      <c r="A3350">
        <v>20221028</v>
      </c>
      <c r="B3350" t="s">
        <v>771</v>
      </c>
      <c r="C3350" t="s">
        <v>264</v>
      </c>
      <c r="D3350" t="s">
        <v>250</v>
      </c>
      <c r="E3350" s="35">
        <v>4.9989999999999997</v>
      </c>
      <c r="F3350" s="35">
        <v>19.998000000000001</v>
      </c>
      <c r="G3350" s="35">
        <v>19500</v>
      </c>
    </row>
    <row r="3351" spans="1:7" x14ac:dyDescent="0.25">
      <c r="A3351">
        <v>20221028</v>
      </c>
      <c r="B3351" t="s">
        <v>771</v>
      </c>
      <c r="C3351" t="s">
        <v>264</v>
      </c>
      <c r="D3351" t="s">
        <v>258</v>
      </c>
      <c r="E3351" s="35">
        <v>4.9989999999999997</v>
      </c>
      <c r="F3351" s="35">
        <v>19.998000000000001</v>
      </c>
      <c r="G3351" s="35">
        <v>18000</v>
      </c>
    </row>
    <row r="3352" spans="1:7" x14ac:dyDescent="0.25">
      <c r="A3352">
        <v>20221028</v>
      </c>
      <c r="B3352" t="s">
        <v>771</v>
      </c>
      <c r="C3352" t="s">
        <v>264</v>
      </c>
      <c r="D3352" t="s">
        <v>265</v>
      </c>
      <c r="E3352" s="35">
        <v>4.9989999999999997</v>
      </c>
      <c r="F3352" s="35">
        <v>19.998000000000001</v>
      </c>
      <c r="G3352" s="35">
        <v>16000</v>
      </c>
    </row>
    <row r="3353" spans="1:7" x14ac:dyDescent="0.25">
      <c r="A3353">
        <v>20221028</v>
      </c>
      <c r="B3353" t="s">
        <v>771</v>
      </c>
      <c r="C3353" t="s">
        <v>264</v>
      </c>
      <c r="D3353" t="s">
        <v>273</v>
      </c>
      <c r="E3353" s="35">
        <v>4.9989999999999997</v>
      </c>
      <c r="F3353" s="35">
        <v>19.998000000000001</v>
      </c>
      <c r="G3353" s="35">
        <v>9700</v>
      </c>
    </row>
    <row r="3354" spans="1:7" x14ac:dyDescent="0.25">
      <c r="A3354">
        <v>20221028</v>
      </c>
      <c r="B3354" t="s">
        <v>771</v>
      </c>
      <c r="C3354" t="s">
        <v>264</v>
      </c>
      <c r="D3354" t="s">
        <v>279</v>
      </c>
      <c r="E3354" s="35">
        <v>4.9989999999999997</v>
      </c>
      <c r="F3354" s="35">
        <v>19.998000000000001</v>
      </c>
      <c r="G3354" s="35">
        <v>7000</v>
      </c>
    </row>
    <row r="3355" spans="1:7" x14ac:dyDescent="0.25">
      <c r="A3355">
        <v>20221028</v>
      </c>
      <c r="B3355" t="s">
        <v>771</v>
      </c>
      <c r="C3355" t="s">
        <v>264</v>
      </c>
      <c r="D3355" t="s">
        <v>285</v>
      </c>
      <c r="E3355" s="35">
        <v>4.9989999999999997</v>
      </c>
      <c r="F3355" s="35">
        <v>19.998000000000001</v>
      </c>
      <c r="G3355" s="35">
        <v>2800</v>
      </c>
    </row>
    <row r="3356" spans="1:7" x14ac:dyDescent="0.25">
      <c r="A3356">
        <v>20221028</v>
      </c>
      <c r="B3356" t="s">
        <v>771</v>
      </c>
      <c r="C3356" t="s">
        <v>264</v>
      </c>
      <c r="D3356" t="s">
        <v>289</v>
      </c>
      <c r="E3356" s="35">
        <v>4.9989999999999997</v>
      </c>
      <c r="F3356" s="35">
        <v>19.998000000000001</v>
      </c>
      <c r="G3356" s="35">
        <v>1500</v>
      </c>
    </row>
    <row r="3357" spans="1:7" x14ac:dyDescent="0.25">
      <c r="A3357">
        <v>20221028</v>
      </c>
      <c r="B3357" t="s">
        <v>771</v>
      </c>
      <c r="C3357" t="s">
        <v>272</v>
      </c>
      <c r="D3357" t="s">
        <v>187</v>
      </c>
      <c r="E3357" s="35">
        <v>4.9989999999999997</v>
      </c>
      <c r="F3357" s="35">
        <v>19.998000000000001</v>
      </c>
      <c r="G3357" s="35">
        <v>19500</v>
      </c>
    </row>
    <row r="3358" spans="1:7" x14ac:dyDescent="0.25">
      <c r="A3358">
        <v>20221028</v>
      </c>
      <c r="B3358" t="s">
        <v>771</v>
      </c>
      <c r="C3358" t="s">
        <v>272</v>
      </c>
      <c r="D3358" t="s">
        <v>214</v>
      </c>
      <c r="E3358" s="35">
        <v>4.9989999999999997</v>
      </c>
      <c r="F3358" s="35">
        <v>19.998000000000001</v>
      </c>
      <c r="G3358" s="35">
        <v>18500</v>
      </c>
    </row>
    <row r="3359" spans="1:7" x14ac:dyDescent="0.25">
      <c r="A3359">
        <v>20221028</v>
      </c>
      <c r="B3359" t="s">
        <v>771</v>
      </c>
      <c r="C3359" t="s">
        <v>272</v>
      </c>
      <c r="D3359" t="s">
        <v>233</v>
      </c>
      <c r="E3359" s="35">
        <v>4.9989999999999997</v>
      </c>
      <c r="F3359" s="35">
        <v>19.998000000000001</v>
      </c>
      <c r="G3359" s="35">
        <v>17500</v>
      </c>
    </row>
    <row r="3360" spans="1:7" x14ac:dyDescent="0.25">
      <c r="A3360">
        <v>20221028</v>
      </c>
      <c r="B3360" t="s">
        <v>771</v>
      </c>
      <c r="C3360" t="s">
        <v>272</v>
      </c>
      <c r="D3360" t="s">
        <v>242</v>
      </c>
      <c r="E3360" s="35">
        <v>4.9989999999999997</v>
      </c>
      <c r="F3360" s="35">
        <v>19.998000000000001</v>
      </c>
      <c r="G3360" s="35">
        <v>17000</v>
      </c>
    </row>
    <row r="3361" spans="1:7" x14ac:dyDescent="0.25">
      <c r="A3361">
        <v>20221028</v>
      </c>
      <c r="B3361" t="s">
        <v>771</v>
      </c>
      <c r="C3361" t="s">
        <v>272</v>
      </c>
      <c r="D3361" t="s">
        <v>250</v>
      </c>
      <c r="E3361" s="35">
        <v>4.9989999999999997</v>
      </c>
      <c r="F3361" s="35">
        <v>19.998000000000001</v>
      </c>
      <c r="G3361" s="35">
        <v>16000</v>
      </c>
    </row>
    <row r="3362" spans="1:7" x14ac:dyDescent="0.25">
      <c r="A3362">
        <v>20221028</v>
      </c>
      <c r="B3362" t="s">
        <v>771</v>
      </c>
      <c r="C3362" t="s">
        <v>272</v>
      </c>
      <c r="D3362" t="s">
        <v>258</v>
      </c>
      <c r="E3362" s="35">
        <v>4.9989999999999997</v>
      </c>
      <c r="F3362" s="35">
        <v>19.998000000000001</v>
      </c>
      <c r="G3362" s="35">
        <v>15000</v>
      </c>
    </row>
    <row r="3363" spans="1:7" x14ac:dyDescent="0.25">
      <c r="A3363">
        <v>20221028</v>
      </c>
      <c r="B3363" t="s">
        <v>771</v>
      </c>
      <c r="C3363" t="s">
        <v>272</v>
      </c>
      <c r="D3363" t="s">
        <v>265</v>
      </c>
      <c r="E3363" s="35">
        <v>4.9989999999999997</v>
      </c>
      <c r="F3363" s="35">
        <v>19.998000000000001</v>
      </c>
      <c r="G3363" s="35">
        <v>13500</v>
      </c>
    </row>
    <row r="3364" spans="1:7" x14ac:dyDescent="0.25">
      <c r="A3364">
        <v>20221028</v>
      </c>
      <c r="B3364" t="s">
        <v>771</v>
      </c>
      <c r="C3364" t="s">
        <v>272</v>
      </c>
      <c r="D3364" t="s">
        <v>273</v>
      </c>
      <c r="E3364" s="35">
        <v>4.9989999999999997</v>
      </c>
      <c r="F3364" s="35">
        <v>19.998000000000001</v>
      </c>
      <c r="G3364" s="35">
        <v>8800</v>
      </c>
    </row>
    <row r="3365" spans="1:7" x14ac:dyDescent="0.25">
      <c r="A3365">
        <v>20221028</v>
      </c>
      <c r="B3365" t="s">
        <v>771</v>
      </c>
      <c r="C3365" t="s">
        <v>272</v>
      </c>
      <c r="D3365" t="s">
        <v>279</v>
      </c>
      <c r="E3365" s="35">
        <v>4.9989999999999997</v>
      </c>
      <c r="F3365" s="35">
        <v>19.998000000000001</v>
      </c>
      <c r="G3365" s="35">
        <v>6500</v>
      </c>
    </row>
    <row r="3366" spans="1:7" x14ac:dyDescent="0.25">
      <c r="A3366">
        <v>20221028</v>
      </c>
      <c r="B3366" t="s">
        <v>771</v>
      </c>
      <c r="C3366" t="s">
        <v>272</v>
      </c>
      <c r="D3366" t="s">
        <v>285</v>
      </c>
      <c r="E3366" s="35">
        <v>4.9989999999999997</v>
      </c>
      <c r="F3366" s="35">
        <v>19.998000000000001</v>
      </c>
      <c r="G3366" s="35">
        <v>2700</v>
      </c>
    </row>
    <row r="3367" spans="1:7" x14ac:dyDescent="0.25">
      <c r="A3367">
        <v>20221028</v>
      </c>
      <c r="B3367" t="s">
        <v>771</v>
      </c>
      <c r="C3367" t="s">
        <v>272</v>
      </c>
      <c r="D3367" t="s">
        <v>289</v>
      </c>
      <c r="E3367" s="35">
        <v>4.9989999999999997</v>
      </c>
      <c r="F3367" s="35">
        <v>19.998000000000001</v>
      </c>
      <c r="G3367" s="35">
        <v>1500</v>
      </c>
    </row>
    <row r="3368" spans="1:7" x14ac:dyDescent="0.25">
      <c r="A3368">
        <v>20221028</v>
      </c>
      <c r="B3368" t="s">
        <v>771</v>
      </c>
      <c r="C3368" t="s">
        <v>278</v>
      </c>
      <c r="D3368" t="s">
        <v>187</v>
      </c>
      <c r="E3368" s="35">
        <v>4.9989999999999997</v>
      </c>
      <c r="F3368" s="35">
        <v>19.998000000000001</v>
      </c>
      <c r="G3368" s="35">
        <v>15000</v>
      </c>
    </row>
    <row r="3369" spans="1:7" x14ac:dyDescent="0.25">
      <c r="A3369">
        <v>20221028</v>
      </c>
      <c r="B3369" t="s">
        <v>771</v>
      </c>
      <c r="C3369" t="s">
        <v>278</v>
      </c>
      <c r="D3369" t="s">
        <v>214</v>
      </c>
      <c r="E3369" s="35">
        <v>4.9989999999999997</v>
      </c>
      <c r="F3369" s="35">
        <v>19.998000000000001</v>
      </c>
      <c r="G3369" s="35">
        <v>14000</v>
      </c>
    </row>
    <row r="3370" spans="1:7" x14ac:dyDescent="0.25">
      <c r="A3370">
        <v>20221028</v>
      </c>
      <c r="B3370" t="s">
        <v>771</v>
      </c>
      <c r="C3370" t="s">
        <v>278</v>
      </c>
      <c r="D3370" t="s">
        <v>233</v>
      </c>
      <c r="E3370" s="35">
        <v>4.9989999999999997</v>
      </c>
      <c r="F3370" s="35">
        <v>19.998000000000001</v>
      </c>
      <c r="G3370" s="35">
        <v>13500</v>
      </c>
    </row>
    <row r="3371" spans="1:7" x14ac:dyDescent="0.25">
      <c r="A3371">
        <v>20221028</v>
      </c>
      <c r="B3371" t="s">
        <v>771</v>
      </c>
      <c r="C3371" t="s">
        <v>278</v>
      </c>
      <c r="D3371" t="s">
        <v>242</v>
      </c>
      <c r="E3371" s="35">
        <v>4.9989999999999997</v>
      </c>
      <c r="F3371" s="35">
        <v>19.998000000000001</v>
      </c>
      <c r="G3371" s="35">
        <v>13000</v>
      </c>
    </row>
    <row r="3372" spans="1:7" x14ac:dyDescent="0.25">
      <c r="A3372">
        <v>20221028</v>
      </c>
      <c r="B3372" t="s">
        <v>771</v>
      </c>
      <c r="C3372" t="s">
        <v>278</v>
      </c>
      <c r="D3372" t="s">
        <v>250</v>
      </c>
      <c r="E3372" s="35">
        <v>4.9989999999999997</v>
      </c>
      <c r="F3372" s="35">
        <v>19.998000000000001</v>
      </c>
      <c r="G3372" s="35">
        <v>12500</v>
      </c>
    </row>
    <row r="3373" spans="1:7" x14ac:dyDescent="0.25">
      <c r="A3373">
        <v>20221028</v>
      </c>
      <c r="B3373" t="s">
        <v>771</v>
      </c>
      <c r="C3373" t="s">
        <v>278</v>
      </c>
      <c r="D3373" t="s">
        <v>258</v>
      </c>
      <c r="E3373" s="35">
        <v>4.9989999999999997</v>
      </c>
      <c r="F3373" s="35">
        <v>19.998000000000001</v>
      </c>
      <c r="G3373" s="35">
        <v>12000</v>
      </c>
    </row>
    <row r="3374" spans="1:7" x14ac:dyDescent="0.25">
      <c r="A3374">
        <v>20221028</v>
      </c>
      <c r="B3374" t="s">
        <v>771</v>
      </c>
      <c r="C3374" t="s">
        <v>278</v>
      </c>
      <c r="D3374" t="s">
        <v>265</v>
      </c>
      <c r="E3374" s="35">
        <v>4.9989999999999997</v>
      </c>
      <c r="F3374" s="35">
        <v>19.998000000000001</v>
      </c>
      <c r="G3374" s="35">
        <v>11000</v>
      </c>
    </row>
    <row r="3375" spans="1:7" x14ac:dyDescent="0.25">
      <c r="A3375">
        <v>20221028</v>
      </c>
      <c r="B3375" t="s">
        <v>771</v>
      </c>
      <c r="C3375" t="s">
        <v>278</v>
      </c>
      <c r="D3375" t="s">
        <v>273</v>
      </c>
      <c r="E3375" s="35">
        <v>4.9989999999999997</v>
      </c>
      <c r="F3375" s="35">
        <v>19.998000000000001</v>
      </c>
      <c r="G3375" s="35">
        <v>7100</v>
      </c>
    </row>
    <row r="3376" spans="1:7" x14ac:dyDescent="0.25">
      <c r="A3376">
        <v>20221028</v>
      </c>
      <c r="B3376" t="s">
        <v>771</v>
      </c>
      <c r="C3376" t="s">
        <v>278</v>
      </c>
      <c r="D3376" t="s">
        <v>279</v>
      </c>
      <c r="E3376" s="35">
        <v>4.9989999999999997</v>
      </c>
      <c r="F3376" s="35">
        <v>19.998000000000001</v>
      </c>
      <c r="G3376" s="35">
        <v>5600</v>
      </c>
    </row>
    <row r="3377" spans="1:7" x14ac:dyDescent="0.25">
      <c r="A3377">
        <v>20221028</v>
      </c>
      <c r="B3377" t="s">
        <v>771</v>
      </c>
      <c r="C3377" t="s">
        <v>278</v>
      </c>
      <c r="D3377" t="s">
        <v>285</v>
      </c>
      <c r="E3377" s="35">
        <v>4.9989999999999997</v>
      </c>
      <c r="F3377" s="35">
        <v>19.998000000000001</v>
      </c>
      <c r="G3377" s="35">
        <v>2400</v>
      </c>
    </row>
    <row r="3378" spans="1:7" x14ac:dyDescent="0.25">
      <c r="A3378">
        <v>20221028</v>
      </c>
      <c r="B3378" t="s">
        <v>771</v>
      </c>
      <c r="C3378" t="s">
        <v>278</v>
      </c>
      <c r="D3378" t="s">
        <v>289</v>
      </c>
      <c r="E3378" s="35">
        <v>4.9989999999999997</v>
      </c>
      <c r="F3378" s="35">
        <v>19.998000000000001</v>
      </c>
      <c r="G3378" s="35">
        <v>1400</v>
      </c>
    </row>
    <row r="3379" spans="1:7" x14ac:dyDescent="0.25">
      <c r="A3379">
        <v>20221028</v>
      </c>
      <c r="B3379" t="s">
        <v>771</v>
      </c>
      <c r="C3379" t="s">
        <v>284</v>
      </c>
      <c r="D3379" t="s">
        <v>187</v>
      </c>
      <c r="E3379" s="35">
        <v>4.9989999999999997</v>
      </c>
      <c r="F3379" s="35">
        <v>19.998000000000001</v>
      </c>
      <c r="G3379" s="35">
        <v>11500</v>
      </c>
    </row>
    <row r="3380" spans="1:7" x14ac:dyDescent="0.25">
      <c r="A3380">
        <v>20221028</v>
      </c>
      <c r="B3380" t="s">
        <v>771</v>
      </c>
      <c r="C3380" t="s">
        <v>284</v>
      </c>
      <c r="D3380" t="s">
        <v>214</v>
      </c>
      <c r="E3380" s="35">
        <v>4.9989999999999997</v>
      </c>
      <c r="F3380" s="35">
        <v>19.998000000000001</v>
      </c>
      <c r="G3380" s="35">
        <v>11000</v>
      </c>
    </row>
    <row r="3381" spans="1:7" x14ac:dyDescent="0.25">
      <c r="A3381">
        <v>20221028</v>
      </c>
      <c r="B3381" t="s">
        <v>771</v>
      </c>
      <c r="C3381" t="s">
        <v>284</v>
      </c>
      <c r="D3381" t="s">
        <v>233</v>
      </c>
      <c r="E3381" s="35">
        <v>4.9989999999999997</v>
      </c>
      <c r="F3381" s="35">
        <v>19.998000000000001</v>
      </c>
      <c r="G3381" s="35">
        <v>10500</v>
      </c>
    </row>
    <row r="3382" spans="1:7" x14ac:dyDescent="0.25">
      <c r="A3382">
        <v>20221028</v>
      </c>
      <c r="B3382" t="s">
        <v>771</v>
      </c>
      <c r="C3382" t="s">
        <v>284</v>
      </c>
      <c r="D3382" t="s">
        <v>242</v>
      </c>
      <c r="E3382" s="35">
        <v>4.9989999999999997</v>
      </c>
      <c r="F3382" s="35">
        <v>19.998000000000001</v>
      </c>
      <c r="G3382" s="35">
        <v>9500</v>
      </c>
    </row>
    <row r="3383" spans="1:7" x14ac:dyDescent="0.25">
      <c r="A3383">
        <v>20221028</v>
      </c>
      <c r="B3383" t="s">
        <v>771</v>
      </c>
      <c r="C3383" t="s">
        <v>284</v>
      </c>
      <c r="D3383" t="s">
        <v>250</v>
      </c>
      <c r="E3383" s="35">
        <v>4.9989999999999997</v>
      </c>
      <c r="F3383" s="35">
        <v>19.998000000000001</v>
      </c>
      <c r="G3383" s="35">
        <v>9000</v>
      </c>
    </row>
    <row r="3384" spans="1:7" x14ac:dyDescent="0.25">
      <c r="A3384">
        <v>20221028</v>
      </c>
      <c r="B3384" t="s">
        <v>771</v>
      </c>
      <c r="C3384" t="s">
        <v>284</v>
      </c>
      <c r="D3384" t="s">
        <v>258</v>
      </c>
      <c r="E3384" s="35">
        <v>4.9989999999999997</v>
      </c>
      <c r="F3384" s="35">
        <v>19.998000000000001</v>
      </c>
      <c r="G3384" s="35">
        <v>8500</v>
      </c>
    </row>
    <row r="3385" spans="1:7" x14ac:dyDescent="0.25">
      <c r="A3385">
        <v>20221028</v>
      </c>
      <c r="B3385" t="s">
        <v>771</v>
      </c>
      <c r="C3385" t="s">
        <v>284</v>
      </c>
      <c r="D3385" t="s">
        <v>265</v>
      </c>
      <c r="E3385" s="35">
        <v>4.9989999999999997</v>
      </c>
      <c r="F3385" s="35">
        <v>19.998000000000001</v>
      </c>
      <c r="G3385" s="35">
        <v>8000</v>
      </c>
    </row>
    <row r="3386" spans="1:7" x14ac:dyDescent="0.25">
      <c r="A3386">
        <v>20221028</v>
      </c>
      <c r="B3386" t="s">
        <v>771</v>
      </c>
      <c r="C3386" t="s">
        <v>284</v>
      </c>
      <c r="D3386" t="s">
        <v>273</v>
      </c>
      <c r="E3386" s="35">
        <v>4.9989999999999997</v>
      </c>
      <c r="F3386" s="35">
        <v>19.998000000000001</v>
      </c>
      <c r="G3386" s="35">
        <v>6100</v>
      </c>
    </row>
    <row r="3387" spans="1:7" x14ac:dyDescent="0.25">
      <c r="A3387">
        <v>20221028</v>
      </c>
      <c r="B3387" t="s">
        <v>771</v>
      </c>
      <c r="C3387" t="s">
        <v>284</v>
      </c>
      <c r="D3387" t="s">
        <v>279</v>
      </c>
      <c r="E3387" s="35">
        <v>4.9989999999999997</v>
      </c>
      <c r="F3387" s="35">
        <v>19.998000000000001</v>
      </c>
      <c r="G3387" s="35">
        <v>4600</v>
      </c>
    </row>
    <row r="3388" spans="1:7" x14ac:dyDescent="0.25">
      <c r="A3388">
        <v>20221028</v>
      </c>
      <c r="B3388" t="s">
        <v>771</v>
      </c>
      <c r="C3388" t="s">
        <v>284</v>
      </c>
      <c r="D3388" t="s">
        <v>285</v>
      </c>
      <c r="E3388" s="35">
        <v>4.9989999999999997</v>
      </c>
      <c r="F3388" s="35">
        <v>19.998000000000001</v>
      </c>
      <c r="G3388" s="35">
        <v>2300</v>
      </c>
    </row>
    <row r="3389" spans="1:7" x14ac:dyDescent="0.25">
      <c r="A3389">
        <v>20221028</v>
      </c>
      <c r="B3389" t="s">
        <v>771</v>
      </c>
      <c r="C3389" t="s">
        <v>284</v>
      </c>
      <c r="D3389" t="s">
        <v>289</v>
      </c>
      <c r="E3389" s="35">
        <v>4.9989999999999997</v>
      </c>
      <c r="F3389" s="35">
        <v>19.998000000000001</v>
      </c>
      <c r="G3389" s="35">
        <v>1300</v>
      </c>
    </row>
  </sheetData>
  <sheetProtection algorithmName="SHA-512" hashValue="I3ZWawldPhICIVDmnaBElUJ2fsQ8Oxuek0nJTi3OOEfDdwwZdVlm1ftfoEz3DUDrjiw1EEVfkcaUae25AuQRzg==" saltValue="RltgOThDBgfFRy7kVEA8QQ==" spinCount="100000" sheet="1" objects="1" scenarios="1" autoFilter="0"/>
  <autoFilter ref="A1:G3389"/>
  <sortState ref="A2:G3389">
    <sortCondition ref="B2:B3389"/>
    <sortCondition ref="C2:C3389"/>
    <sortCondition ref="D2:D3389"/>
    <sortCondition ref="E2:E3389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772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-37</v>
      </c>
      <c r="C4" s="183">
        <v>-34</v>
      </c>
      <c r="D4" s="183">
        <v>-34</v>
      </c>
      <c r="E4" s="183">
        <v>-40</v>
      </c>
      <c r="F4" s="183">
        <v>-42</v>
      </c>
      <c r="G4" s="183">
        <v>-42</v>
      </c>
      <c r="H4" s="183">
        <v>-41</v>
      </c>
      <c r="I4" s="183">
        <v>-43</v>
      </c>
      <c r="J4" s="183">
        <v>-38</v>
      </c>
      <c r="K4" s="184">
        <v>-38</v>
      </c>
      <c r="L4" s="217"/>
      <c r="M4" s="182" t="s">
        <v>187</v>
      </c>
      <c r="N4" s="185">
        <v>-44</v>
      </c>
      <c r="O4" s="186">
        <v>-39</v>
      </c>
      <c r="P4" s="186">
        <v>-39</v>
      </c>
      <c r="Q4" s="186">
        <v>-44</v>
      </c>
      <c r="R4" s="186">
        <v>-46</v>
      </c>
      <c r="S4" s="186">
        <v>-45</v>
      </c>
      <c r="T4" s="186">
        <v>-44</v>
      </c>
      <c r="U4" s="186">
        <v>-45</v>
      </c>
      <c r="V4" s="186">
        <v>-40</v>
      </c>
      <c r="W4" s="187">
        <v>-40</v>
      </c>
      <c r="X4" s="217"/>
      <c r="Y4" s="188" t="s">
        <v>187</v>
      </c>
      <c r="Z4" s="189">
        <v>-49</v>
      </c>
      <c r="AA4" s="190">
        <v>-44</v>
      </c>
      <c r="AB4" s="190">
        <v>-43</v>
      </c>
      <c r="AC4" s="190">
        <v>-49</v>
      </c>
      <c r="AD4" s="190">
        <v>-49</v>
      </c>
      <c r="AE4" s="190">
        <v>-48</v>
      </c>
      <c r="AF4" s="190">
        <v>-47</v>
      </c>
      <c r="AG4" s="190">
        <v>-47</v>
      </c>
      <c r="AH4" s="190">
        <v>-42</v>
      </c>
      <c r="AI4" s="191">
        <v>-42</v>
      </c>
      <c r="AJ4" s="217"/>
      <c r="AK4" s="188" t="s">
        <v>187</v>
      </c>
      <c r="AL4" s="189">
        <v>-52</v>
      </c>
      <c r="AM4" s="190">
        <v>-47</v>
      </c>
      <c r="AN4" s="190">
        <v>-46</v>
      </c>
      <c r="AO4" s="190">
        <v>-51</v>
      </c>
      <c r="AP4" s="190">
        <v>-53</v>
      </c>
      <c r="AQ4" s="190">
        <v>-53</v>
      </c>
      <c r="AR4" s="190">
        <v>-52</v>
      </c>
      <c r="AS4" s="190">
        <v>-52</v>
      </c>
      <c r="AT4" s="190">
        <v>-47</v>
      </c>
      <c r="AU4" s="191">
        <v>-47</v>
      </c>
      <c r="AW4" s="188" t="s">
        <v>187</v>
      </c>
      <c r="AX4" s="192">
        <f>AL4-5</f>
        <v>-57</v>
      </c>
      <c r="AY4" s="193">
        <f t="shared" ref="AY4:BG10" si="0">AM4-5</f>
        <v>-52</v>
      </c>
      <c r="AZ4" s="193">
        <f t="shared" si="0"/>
        <v>-51</v>
      </c>
      <c r="BA4" s="193">
        <f t="shared" si="0"/>
        <v>-56</v>
      </c>
      <c r="BB4" s="193">
        <f t="shared" si="0"/>
        <v>-58</v>
      </c>
      <c r="BC4" s="193">
        <f t="shared" si="0"/>
        <v>-58</v>
      </c>
      <c r="BD4" s="193">
        <f t="shared" si="0"/>
        <v>-57</v>
      </c>
      <c r="BE4" s="193">
        <f t="shared" si="0"/>
        <v>-57</v>
      </c>
      <c r="BF4" s="193">
        <f t="shared" si="0"/>
        <v>-52</v>
      </c>
      <c r="BG4" s="194">
        <f t="shared" si="0"/>
        <v>-52</v>
      </c>
    </row>
    <row r="5" spans="1:59" ht="14.45" x14ac:dyDescent="0.3">
      <c r="A5" s="195" t="s">
        <v>214</v>
      </c>
      <c r="B5" s="183">
        <v>-34</v>
      </c>
      <c r="C5" s="183">
        <v>-32</v>
      </c>
      <c r="D5" s="183">
        <v>-32</v>
      </c>
      <c r="E5" s="183">
        <v>-37</v>
      </c>
      <c r="F5" s="183">
        <v>-40</v>
      </c>
      <c r="G5" s="183">
        <v>-40</v>
      </c>
      <c r="H5" s="183">
        <v>-40</v>
      </c>
      <c r="I5" s="183">
        <v>-41</v>
      </c>
      <c r="J5" s="183">
        <v>-37</v>
      </c>
      <c r="K5" s="184">
        <v>-43</v>
      </c>
      <c r="L5" s="217"/>
      <c r="M5" s="195" t="s">
        <v>214</v>
      </c>
      <c r="N5" s="196">
        <v>-41</v>
      </c>
      <c r="O5" s="183">
        <v>-37</v>
      </c>
      <c r="P5" s="183">
        <v>-37</v>
      </c>
      <c r="Q5" s="183">
        <v>-41</v>
      </c>
      <c r="R5" s="183">
        <v>-44</v>
      </c>
      <c r="S5" s="183">
        <v>-43</v>
      </c>
      <c r="T5" s="183">
        <v>-43</v>
      </c>
      <c r="U5" s="183">
        <v>-43</v>
      </c>
      <c r="V5" s="183">
        <v>-39</v>
      </c>
      <c r="W5" s="184">
        <v>-45</v>
      </c>
      <c r="X5" s="217"/>
      <c r="Y5" s="197" t="s">
        <v>214</v>
      </c>
      <c r="Z5" s="198">
        <v>-46</v>
      </c>
      <c r="AA5" s="199">
        <v>-42</v>
      </c>
      <c r="AB5" s="199">
        <v>-41</v>
      </c>
      <c r="AC5" s="199">
        <v>-46</v>
      </c>
      <c r="AD5" s="199">
        <v>-47</v>
      </c>
      <c r="AE5" s="199">
        <v>-46</v>
      </c>
      <c r="AF5" s="199">
        <v>-46</v>
      </c>
      <c r="AG5" s="199">
        <v>-45</v>
      </c>
      <c r="AH5" s="199">
        <v>-41</v>
      </c>
      <c r="AI5" s="200">
        <v>-47</v>
      </c>
      <c r="AJ5" s="217"/>
      <c r="AK5" s="197" t="s">
        <v>214</v>
      </c>
      <c r="AL5" s="198">
        <v>-49</v>
      </c>
      <c r="AM5" s="199">
        <v>-45</v>
      </c>
      <c r="AN5" s="199">
        <v>-44</v>
      </c>
      <c r="AO5" s="199">
        <v>-48</v>
      </c>
      <c r="AP5" s="199">
        <v>-51</v>
      </c>
      <c r="AQ5" s="199">
        <v>-51</v>
      </c>
      <c r="AR5" s="199">
        <v>-51</v>
      </c>
      <c r="AS5" s="199">
        <v>-50</v>
      </c>
      <c r="AT5" s="199">
        <v>-46</v>
      </c>
      <c r="AU5" s="200">
        <v>-52</v>
      </c>
      <c r="AW5" s="197" t="s">
        <v>214</v>
      </c>
      <c r="AX5" s="201">
        <f t="shared" ref="AX5:AX10" si="1">AL5-5</f>
        <v>-54</v>
      </c>
      <c r="AY5" s="202">
        <f t="shared" si="0"/>
        <v>-50</v>
      </c>
      <c r="AZ5" s="202">
        <f t="shared" si="0"/>
        <v>-49</v>
      </c>
      <c r="BA5" s="202">
        <f t="shared" si="0"/>
        <v>-53</v>
      </c>
      <c r="BB5" s="202">
        <f t="shared" si="0"/>
        <v>-56</v>
      </c>
      <c r="BC5" s="202">
        <f t="shared" si="0"/>
        <v>-56</v>
      </c>
      <c r="BD5" s="202">
        <f t="shared" si="0"/>
        <v>-56</v>
      </c>
      <c r="BE5" s="202">
        <f t="shared" si="0"/>
        <v>-55</v>
      </c>
      <c r="BF5" s="202">
        <f t="shared" si="0"/>
        <v>-51</v>
      </c>
      <c r="BG5" s="203">
        <f t="shared" si="0"/>
        <v>-57</v>
      </c>
    </row>
    <row r="6" spans="1:59" ht="14.45" x14ac:dyDescent="0.3">
      <c r="A6" s="195" t="s">
        <v>233</v>
      </c>
      <c r="B6" s="183">
        <v>-35</v>
      </c>
      <c r="C6" s="183">
        <v>-36</v>
      </c>
      <c r="D6" s="183">
        <v>-36</v>
      </c>
      <c r="E6" s="183">
        <v>-37</v>
      </c>
      <c r="F6" s="183">
        <v>-39</v>
      </c>
      <c r="G6" s="183">
        <v>-41</v>
      </c>
      <c r="H6" s="183">
        <v>-41</v>
      </c>
      <c r="I6" s="183">
        <v>-40</v>
      </c>
      <c r="J6" s="183">
        <v>-37</v>
      </c>
      <c r="K6" s="184">
        <v>-41</v>
      </c>
      <c r="L6" s="217"/>
      <c r="M6" s="195" t="s">
        <v>233</v>
      </c>
      <c r="N6" s="196">
        <v>-42</v>
      </c>
      <c r="O6" s="183">
        <v>-41</v>
      </c>
      <c r="P6" s="183">
        <v>-41</v>
      </c>
      <c r="Q6" s="183">
        <v>-41</v>
      </c>
      <c r="R6" s="183">
        <v>-43</v>
      </c>
      <c r="S6" s="183">
        <v>-44</v>
      </c>
      <c r="T6" s="183">
        <v>-44</v>
      </c>
      <c r="U6" s="183">
        <v>-42</v>
      </c>
      <c r="V6" s="183">
        <v>-39</v>
      </c>
      <c r="W6" s="184">
        <v>-43</v>
      </c>
      <c r="X6" s="217"/>
      <c r="Y6" s="197" t="s">
        <v>233</v>
      </c>
      <c r="Z6" s="198">
        <v>-47</v>
      </c>
      <c r="AA6" s="199">
        <v>-46</v>
      </c>
      <c r="AB6" s="199">
        <v>-45</v>
      </c>
      <c r="AC6" s="199">
        <v>-46</v>
      </c>
      <c r="AD6" s="199">
        <v>-46</v>
      </c>
      <c r="AE6" s="199">
        <v>-47</v>
      </c>
      <c r="AF6" s="199">
        <v>-47</v>
      </c>
      <c r="AG6" s="199">
        <v>-44</v>
      </c>
      <c r="AH6" s="199">
        <v>-41</v>
      </c>
      <c r="AI6" s="200">
        <v>-45</v>
      </c>
      <c r="AJ6" s="217"/>
      <c r="AK6" s="197" t="s">
        <v>233</v>
      </c>
      <c r="AL6" s="198">
        <v>-50</v>
      </c>
      <c r="AM6" s="199">
        <v>-49</v>
      </c>
      <c r="AN6" s="199">
        <v>-48</v>
      </c>
      <c r="AO6" s="199">
        <v>-48</v>
      </c>
      <c r="AP6" s="199">
        <v>-50</v>
      </c>
      <c r="AQ6" s="199">
        <v>-52</v>
      </c>
      <c r="AR6" s="199">
        <v>-52</v>
      </c>
      <c r="AS6" s="199">
        <v>-49</v>
      </c>
      <c r="AT6" s="199">
        <v>-46</v>
      </c>
      <c r="AU6" s="200">
        <v>-50</v>
      </c>
      <c r="AW6" s="197" t="s">
        <v>233</v>
      </c>
      <c r="AX6" s="201">
        <f t="shared" si="1"/>
        <v>-55</v>
      </c>
      <c r="AY6" s="202">
        <f t="shared" si="0"/>
        <v>-54</v>
      </c>
      <c r="AZ6" s="202">
        <f t="shared" si="0"/>
        <v>-53</v>
      </c>
      <c r="BA6" s="202">
        <f t="shared" si="0"/>
        <v>-53</v>
      </c>
      <c r="BB6" s="202">
        <f t="shared" si="0"/>
        <v>-55</v>
      </c>
      <c r="BC6" s="202">
        <f t="shared" si="0"/>
        <v>-57</v>
      </c>
      <c r="BD6" s="202">
        <f t="shared" si="0"/>
        <v>-57</v>
      </c>
      <c r="BE6" s="202">
        <f t="shared" si="0"/>
        <v>-54</v>
      </c>
      <c r="BF6" s="202">
        <f t="shared" si="0"/>
        <v>-51</v>
      </c>
      <c r="BG6" s="203">
        <f t="shared" si="0"/>
        <v>-55</v>
      </c>
    </row>
    <row r="7" spans="1:59" ht="14.45" x14ac:dyDescent="0.3">
      <c r="A7" s="195" t="s">
        <v>242</v>
      </c>
      <c r="B7" s="183">
        <v>-35</v>
      </c>
      <c r="C7" s="183">
        <v>-40</v>
      </c>
      <c r="D7" s="183">
        <v>-38</v>
      </c>
      <c r="E7" s="183">
        <v>-37</v>
      </c>
      <c r="F7" s="183">
        <v>-38</v>
      </c>
      <c r="G7" s="183">
        <v>-40</v>
      </c>
      <c r="H7" s="183">
        <v>-39</v>
      </c>
      <c r="I7" s="183">
        <v>-38</v>
      </c>
      <c r="J7" s="183">
        <v>-37</v>
      </c>
      <c r="K7" s="184">
        <v>-37</v>
      </c>
      <c r="L7" s="217"/>
      <c r="M7" s="195" t="s">
        <v>242</v>
      </c>
      <c r="N7" s="196">
        <v>-42</v>
      </c>
      <c r="O7" s="183">
        <v>-45</v>
      </c>
      <c r="P7" s="183">
        <v>-43</v>
      </c>
      <c r="Q7" s="183">
        <v>-41</v>
      </c>
      <c r="R7" s="183">
        <v>-42</v>
      </c>
      <c r="S7" s="183">
        <v>-43</v>
      </c>
      <c r="T7" s="183">
        <v>-42</v>
      </c>
      <c r="U7" s="183">
        <v>-40</v>
      </c>
      <c r="V7" s="183">
        <v>-39</v>
      </c>
      <c r="W7" s="184">
        <v>-39</v>
      </c>
      <c r="X7" s="217"/>
      <c r="Y7" s="197" t="s">
        <v>242</v>
      </c>
      <c r="Z7" s="198">
        <v>-45</v>
      </c>
      <c r="AA7" s="199">
        <v>-48</v>
      </c>
      <c r="AB7" s="199">
        <v>-45</v>
      </c>
      <c r="AC7" s="199">
        <v>-43</v>
      </c>
      <c r="AD7" s="199">
        <v>-44</v>
      </c>
      <c r="AE7" s="199">
        <v>-45</v>
      </c>
      <c r="AF7" s="199">
        <v>-44</v>
      </c>
      <c r="AG7" s="199">
        <v>-41</v>
      </c>
      <c r="AH7" s="199">
        <v>-40</v>
      </c>
      <c r="AI7" s="200">
        <v>-40</v>
      </c>
      <c r="AJ7" s="217"/>
      <c r="AK7" s="197" t="s">
        <v>242</v>
      </c>
      <c r="AL7" s="198">
        <v>-48</v>
      </c>
      <c r="AM7" s="199">
        <v>-51</v>
      </c>
      <c r="AN7" s="199">
        <v>-49</v>
      </c>
      <c r="AO7" s="199">
        <v>-47</v>
      </c>
      <c r="AP7" s="199">
        <v>-47</v>
      </c>
      <c r="AQ7" s="199">
        <v>-49</v>
      </c>
      <c r="AR7" s="199">
        <v>-48</v>
      </c>
      <c r="AS7" s="199">
        <v>-46</v>
      </c>
      <c r="AT7" s="199">
        <v>-45</v>
      </c>
      <c r="AU7" s="200">
        <v>-45</v>
      </c>
      <c r="AW7" s="197" t="s">
        <v>242</v>
      </c>
      <c r="AX7" s="201">
        <f t="shared" si="1"/>
        <v>-53</v>
      </c>
      <c r="AY7" s="202">
        <f t="shared" si="0"/>
        <v>-56</v>
      </c>
      <c r="AZ7" s="202">
        <f t="shared" si="0"/>
        <v>-54</v>
      </c>
      <c r="BA7" s="202">
        <f t="shared" si="0"/>
        <v>-52</v>
      </c>
      <c r="BB7" s="202">
        <f t="shared" si="0"/>
        <v>-52</v>
      </c>
      <c r="BC7" s="202">
        <f t="shared" si="0"/>
        <v>-54</v>
      </c>
      <c r="BD7" s="202">
        <f t="shared" si="0"/>
        <v>-53</v>
      </c>
      <c r="BE7" s="202">
        <f t="shared" si="0"/>
        <v>-51</v>
      </c>
      <c r="BF7" s="202">
        <f t="shared" si="0"/>
        <v>-50</v>
      </c>
      <c r="BG7" s="203">
        <f t="shared" si="0"/>
        <v>-50</v>
      </c>
    </row>
    <row r="8" spans="1:59" ht="14.45" x14ac:dyDescent="0.3">
      <c r="A8" s="195" t="s">
        <v>250</v>
      </c>
      <c r="B8" s="183">
        <v>-39</v>
      </c>
      <c r="C8" s="183">
        <v>-41</v>
      </c>
      <c r="D8" s="183">
        <v>-39</v>
      </c>
      <c r="E8" s="183">
        <v>-37</v>
      </c>
      <c r="F8" s="183">
        <v>-37</v>
      </c>
      <c r="G8" s="183">
        <v>-41</v>
      </c>
      <c r="H8" s="183">
        <v>-39</v>
      </c>
      <c r="I8" s="183">
        <v>-37</v>
      </c>
      <c r="J8" s="183">
        <v>-38</v>
      </c>
      <c r="K8" s="184">
        <v>-36</v>
      </c>
      <c r="L8" s="217"/>
      <c r="M8" s="195" t="s">
        <v>250</v>
      </c>
      <c r="N8" s="196">
        <v>-46</v>
      </c>
      <c r="O8" s="183">
        <v>-46</v>
      </c>
      <c r="P8" s="183">
        <v>-44</v>
      </c>
      <c r="Q8" s="183">
        <v>-41</v>
      </c>
      <c r="R8" s="183">
        <v>-41</v>
      </c>
      <c r="S8" s="183">
        <v>-44</v>
      </c>
      <c r="T8" s="183">
        <v>-42</v>
      </c>
      <c r="U8" s="183">
        <v>-39</v>
      </c>
      <c r="V8" s="183">
        <v>-40</v>
      </c>
      <c r="W8" s="184">
        <v>-38</v>
      </c>
      <c r="X8" s="217"/>
      <c r="Y8" s="197" t="s">
        <v>250</v>
      </c>
      <c r="Z8" s="198">
        <v>-49</v>
      </c>
      <c r="AA8" s="199">
        <v>-49</v>
      </c>
      <c r="AB8" s="199">
        <v>-46</v>
      </c>
      <c r="AC8" s="199">
        <v>-43</v>
      </c>
      <c r="AD8" s="199">
        <v>-43</v>
      </c>
      <c r="AE8" s="199">
        <v>-46</v>
      </c>
      <c r="AF8" s="199">
        <v>-44</v>
      </c>
      <c r="AG8" s="199">
        <v>-40</v>
      </c>
      <c r="AH8" s="199">
        <v>-41</v>
      </c>
      <c r="AI8" s="200">
        <v>-39</v>
      </c>
      <c r="AJ8" s="217"/>
      <c r="AK8" s="197" t="s">
        <v>250</v>
      </c>
      <c r="AL8" s="198">
        <v>-52</v>
      </c>
      <c r="AM8" s="199">
        <v>-52</v>
      </c>
      <c r="AN8" s="199">
        <v>-50</v>
      </c>
      <c r="AO8" s="199">
        <v>-47</v>
      </c>
      <c r="AP8" s="199">
        <v>-46</v>
      </c>
      <c r="AQ8" s="199">
        <v>-50</v>
      </c>
      <c r="AR8" s="199">
        <v>-48</v>
      </c>
      <c r="AS8" s="199">
        <v>-45</v>
      </c>
      <c r="AT8" s="199">
        <v>-46</v>
      </c>
      <c r="AU8" s="200">
        <v>-44</v>
      </c>
      <c r="AW8" s="197" t="s">
        <v>250</v>
      </c>
      <c r="AX8" s="201">
        <f t="shared" si="1"/>
        <v>-57</v>
      </c>
      <c r="AY8" s="202">
        <f t="shared" si="0"/>
        <v>-57</v>
      </c>
      <c r="AZ8" s="202">
        <f t="shared" si="0"/>
        <v>-55</v>
      </c>
      <c r="BA8" s="202">
        <f t="shared" si="0"/>
        <v>-52</v>
      </c>
      <c r="BB8" s="202">
        <f t="shared" si="0"/>
        <v>-51</v>
      </c>
      <c r="BC8" s="202">
        <f t="shared" si="0"/>
        <v>-55</v>
      </c>
      <c r="BD8" s="202">
        <f t="shared" si="0"/>
        <v>-53</v>
      </c>
      <c r="BE8" s="202">
        <f t="shared" si="0"/>
        <v>-50</v>
      </c>
      <c r="BF8" s="202">
        <f t="shared" si="0"/>
        <v>-51</v>
      </c>
      <c r="BG8" s="203">
        <f t="shared" si="0"/>
        <v>-49</v>
      </c>
    </row>
    <row r="9" spans="1:59" ht="14.45" x14ac:dyDescent="0.3">
      <c r="A9" s="195" t="s">
        <v>258</v>
      </c>
      <c r="B9" s="183">
        <v>-39</v>
      </c>
      <c r="C9" s="183">
        <v>-42</v>
      </c>
      <c r="D9" s="183">
        <v>-41</v>
      </c>
      <c r="E9" s="183">
        <v>-39</v>
      </c>
      <c r="F9" s="183">
        <v>-37</v>
      </c>
      <c r="G9" s="183">
        <v>-38</v>
      </c>
      <c r="H9" s="183">
        <v>-38</v>
      </c>
      <c r="I9" s="183">
        <v>-38</v>
      </c>
      <c r="J9" s="183">
        <v>-36</v>
      </c>
      <c r="K9" s="184">
        <v>-34</v>
      </c>
      <c r="L9" s="217"/>
      <c r="M9" s="195" t="s">
        <v>258</v>
      </c>
      <c r="N9" s="196">
        <v>-45</v>
      </c>
      <c r="O9" s="183">
        <v>-46</v>
      </c>
      <c r="P9" s="183">
        <v>-45</v>
      </c>
      <c r="Q9" s="183">
        <v>-42</v>
      </c>
      <c r="R9" s="183">
        <v>-40</v>
      </c>
      <c r="S9" s="183">
        <v>-40</v>
      </c>
      <c r="T9" s="183">
        <v>-40</v>
      </c>
      <c r="U9" s="183">
        <v>-40</v>
      </c>
      <c r="V9" s="183">
        <v>-38</v>
      </c>
      <c r="W9" s="184">
        <v>-36</v>
      </c>
      <c r="X9" s="217"/>
      <c r="Y9" s="197" t="s">
        <v>258</v>
      </c>
      <c r="Z9" s="198">
        <v>-49</v>
      </c>
      <c r="AA9" s="199">
        <v>-50</v>
      </c>
      <c r="AB9" s="199">
        <v>-48</v>
      </c>
      <c r="AC9" s="199">
        <v>-44</v>
      </c>
      <c r="AD9" s="199">
        <v>-41</v>
      </c>
      <c r="AE9" s="199">
        <v>-42</v>
      </c>
      <c r="AF9" s="199">
        <v>-41</v>
      </c>
      <c r="AG9" s="199">
        <v>-41</v>
      </c>
      <c r="AH9" s="199">
        <v>-39</v>
      </c>
      <c r="AI9" s="200">
        <v>-37</v>
      </c>
      <c r="AJ9" s="217"/>
      <c r="AK9" s="197" t="s">
        <v>258</v>
      </c>
      <c r="AL9" s="198">
        <v>-52</v>
      </c>
      <c r="AM9" s="199">
        <v>-53</v>
      </c>
      <c r="AN9" s="199">
        <v>-52</v>
      </c>
      <c r="AO9" s="199">
        <v>-49</v>
      </c>
      <c r="AP9" s="199">
        <v>-45</v>
      </c>
      <c r="AQ9" s="199">
        <v>-46</v>
      </c>
      <c r="AR9" s="199">
        <v>-45</v>
      </c>
      <c r="AS9" s="199">
        <v>-45</v>
      </c>
      <c r="AT9" s="199">
        <v>-43</v>
      </c>
      <c r="AU9" s="200">
        <v>-41</v>
      </c>
      <c r="AW9" s="197" t="s">
        <v>258</v>
      </c>
      <c r="AX9" s="201">
        <f t="shared" si="1"/>
        <v>-57</v>
      </c>
      <c r="AY9" s="202">
        <f t="shared" si="0"/>
        <v>-58</v>
      </c>
      <c r="AZ9" s="202">
        <f t="shared" si="0"/>
        <v>-57</v>
      </c>
      <c r="BA9" s="202">
        <f t="shared" si="0"/>
        <v>-54</v>
      </c>
      <c r="BB9" s="202">
        <f t="shared" si="0"/>
        <v>-50</v>
      </c>
      <c r="BC9" s="202">
        <f t="shared" si="0"/>
        <v>-51</v>
      </c>
      <c r="BD9" s="202">
        <f t="shared" si="0"/>
        <v>-50</v>
      </c>
      <c r="BE9" s="202">
        <f t="shared" si="0"/>
        <v>-50</v>
      </c>
      <c r="BF9" s="202">
        <f t="shared" si="0"/>
        <v>-48</v>
      </c>
      <c r="BG9" s="203">
        <f t="shared" si="0"/>
        <v>-46</v>
      </c>
    </row>
    <row r="10" spans="1:59" thickBot="1" x14ac:dyDescent="0.35">
      <c r="A10" s="204" t="s">
        <v>265</v>
      </c>
      <c r="B10" s="205">
        <v>-39</v>
      </c>
      <c r="C10" s="205">
        <v>-43</v>
      </c>
      <c r="D10" s="205">
        <v>-40</v>
      </c>
      <c r="E10" s="205">
        <v>-37</v>
      </c>
      <c r="F10" s="205">
        <v>-37</v>
      </c>
      <c r="G10" s="205">
        <v>-39</v>
      </c>
      <c r="H10" s="205">
        <v>-36</v>
      </c>
      <c r="I10" s="205">
        <v>-40</v>
      </c>
      <c r="J10" s="205">
        <v>-38</v>
      </c>
      <c r="K10" s="206">
        <v>-34</v>
      </c>
      <c r="L10" s="217"/>
      <c r="M10" s="204" t="s">
        <v>265</v>
      </c>
      <c r="N10" s="207">
        <v>-45</v>
      </c>
      <c r="O10" s="205">
        <v>-47</v>
      </c>
      <c r="P10" s="205">
        <v>-44</v>
      </c>
      <c r="Q10" s="205">
        <v>-40</v>
      </c>
      <c r="R10" s="205">
        <v>-40</v>
      </c>
      <c r="S10" s="205">
        <v>-41</v>
      </c>
      <c r="T10" s="205">
        <v>-38</v>
      </c>
      <c r="U10" s="205">
        <v>-42</v>
      </c>
      <c r="V10" s="205">
        <v>-40</v>
      </c>
      <c r="W10" s="206">
        <v>-36</v>
      </c>
      <c r="X10" s="217"/>
      <c r="Y10" s="208" t="s">
        <v>265</v>
      </c>
      <c r="Z10" s="209">
        <v>-49</v>
      </c>
      <c r="AA10" s="210">
        <v>-51</v>
      </c>
      <c r="AB10" s="210">
        <v>-47</v>
      </c>
      <c r="AC10" s="210">
        <v>-42</v>
      </c>
      <c r="AD10" s="210">
        <v>-41</v>
      </c>
      <c r="AE10" s="210">
        <v>-43</v>
      </c>
      <c r="AF10" s="210">
        <v>-39</v>
      </c>
      <c r="AG10" s="210">
        <v>-43</v>
      </c>
      <c r="AH10" s="210">
        <v>-41</v>
      </c>
      <c r="AI10" s="211">
        <v>-37</v>
      </c>
      <c r="AJ10" s="217"/>
      <c r="AK10" s="208" t="s">
        <v>265</v>
      </c>
      <c r="AL10" s="209">
        <v>-52</v>
      </c>
      <c r="AM10" s="210">
        <v>-54</v>
      </c>
      <c r="AN10" s="210">
        <v>-51</v>
      </c>
      <c r="AO10" s="210">
        <v>-47</v>
      </c>
      <c r="AP10" s="210">
        <v>-45</v>
      </c>
      <c r="AQ10" s="210">
        <v>-47</v>
      </c>
      <c r="AR10" s="210">
        <v>-43</v>
      </c>
      <c r="AS10" s="210">
        <v>-47</v>
      </c>
      <c r="AT10" s="210">
        <v>-45</v>
      </c>
      <c r="AU10" s="211">
        <v>-41</v>
      </c>
      <c r="AW10" s="208" t="s">
        <v>265</v>
      </c>
      <c r="AX10" s="212">
        <f t="shared" si="1"/>
        <v>-57</v>
      </c>
      <c r="AY10" s="213">
        <f t="shared" si="0"/>
        <v>-59</v>
      </c>
      <c r="AZ10" s="213">
        <f t="shared" si="0"/>
        <v>-56</v>
      </c>
      <c r="BA10" s="213">
        <f t="shared" si="0"/>
        <v>-52</v>
      </c>
      <c r="BB10" s="213">
        <f t="shared" si="0"/>
        <v>-50</v>
      </c>
      <c r="BC10" s="213">
        <f t="shared" si="0"/>
        <v>-52</v>
      </c>
      <c r="BD10" s="213">
        <f t="shared" si="0"/>
        <v>-48</v>
      </c>
      <c r="BE10" s="213">
        <f t="shared" si="0"/>
        <v>-52</v>
      </c>
      <c r="BF10" s="213">
        <f t="shared" si="0"/>
        <v>-50</v>
      </c>
      <c r="BG10" s="214">
        <f t="shared" si="0"/>
        <v>-46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-44</v>
      </c>
      <c r="C15" s="186">
        <v>-41</v>
      </c>
      <c r="D15" s="186">
        <v>-41</v>
      </c>
      <c r="E15" s="186">
        <v>-45</v>
      </c>
      <c r="F15" s="186">
        <v>-46</v>
      </c>
      <c r="G15" s="186">
        <v>-45</v>
      </c>
      <c r="H15" s="186">
        <v>-44</v>
      </c>
      <c r="I15" s="186">
        <v>-46</v>
      </c>
      <c r="J15" s="186">
        <v>-41</v>
      </c>
      <c r="K15" s="187">
        <v>-41</v>
      </c>
      <c r="L15" s="217"/>
      <c r="M15" s="182" t="s">
        <v>187</v>
      </c>
      <c r="N15" s="185">
        <v>-51</v>
      </c>
      <c r="O15" s="186">
        <v>-46</v>
      </c>
      <c r="P15" s="186">
        <v>-46</v>
      </c>
      <c r="Q15" s="186">
        <v>-49</v>
      </c>
      <c r="R15" s="186">
        <v>-50</v>
      </c>
      <c r="S15" s="186">
        <v>-48</v>
      </c>
      <c r="T15" s="186">
        <v>-47</v>
      </c>
      <c r="U15" s="186">
        <v>-48</v>
      </c>
      <c r="V15" s="186">
        <v>-43</v>
      </c>
      <c r="W15" s="187">
        <v>-43</v>
      </c>
      <c r="X15" s="217"/>
      <c r="Y15" s="182" t="s">
        <v>187</v>
      </c>
      <c r="Z15" s="218">
        <v>-56</v>
      </c>
      <c r="AA15" s="219">
        <v>-51</v>
      </c>
      <c r="AB15" s="219">
        <v>-50</v>
      </c>
      <c r="AC15" s="219">
        <v>-54</v>
      </c>
      <c r="AD15" s="219">
        <v>-53</v>
      </c>
      <c r="AE15" s="219">
        <v>-51</v>
      </c>
      <c r="AF15" s="219">
        <v>-50</v>
      </c>
      <c r="AG15" s="219">
        <v>-50</v>
      </c>
      <c r="AH15" s="219">
        <v>-45</v>
      </c>
      <c r="AI15" s="220">
        <v>-45</v>
      </c>
      <c r="AJ15" s="217"/>
      <c r="AK15" s="188" t="s">
        <v>187</v>
      </c>
      <c r="AL15" s="189">
        <v>-59</v>
      </c>
      <c r="AM15" s="190">
        <v>-54</v>
      </c>
      <c r="AN15" s="190">
        <v>-53</v>
      </c>
      <c r="AO15" s="190">
        <v>-56</v>
      </c>
      <c r="AP15" s="190">
        <v>-57</v>
      </c>
      <c r="AQ15" s="190">
        <v>-56</v>
      </c>
      <c r="AR15" s="190">
        <v>-55</v>
      </c>
      <c r="AS15" s="190">
        <v>-55</v>
      </c>
      <c r="AT15" s="190">
        <v>-50</v>
      </c>
      <c r="AU15" s="191">
        <v>-50</v>
      </c>
      <c r="AW15" s="188" t="s">
        <v>187</v>
      </c>
      <c r="AX15" s="192">
        <f>AL15-5</f>
        <v>-64</v>
      </c>
      <c r="AY15" s="193">
        <f t="shared" ref="AY15:BG21" si="2">AM15-5</f>
        <v>-59</v>
      </c>
      <c r="AZ15" s="193">
        <f t="shared" si="2"/>
        <v>-58</v>
      </c>
      <c r="BA15" s="193">
        <f t="shared" si="2"/>
        <v>-61</v>
      </c>
      <c r="BB15" s="193">
        <f t="shared" si="2"/>
        <v>-62</v>
      </c>
      <c r="BC15" s="193">
        <f t="shared" si="2"/>
        <v>-61</v>
      </c>
      <c r="BD15" s="193">
        <f t="shared" si="2"/>
        <v>-60</v>
      </c>
      <c r="BE15" s="193">
        <f t="shared" si="2"/>
        <v>-60</v>
      </c>
      <c r="BF15" s="193">
        <f t="shared" si="2"/>
        <v>-55</v>
      </c>
      <c r="BG15" s="194">
        <f t="shared" si="2"/>
        <v>-55</v>
      </c>
    </row>
    <row r="16" spans="1:59" ht="14.45" x14ac:dyDescent="0.3">
      <c r="A16" s="195" t="s">
        <v>214</v>
      </c>
      <c r="B16" s="196">
        <v>-41</v>
      </c>
      <c r="C16" s="183">
        <v>-39</v>
      </c>
      <c r="D16" s="183">
        <v>-39</v>
      </c>
      <c r="E16" s="183">
        <v>-42</v>
      </c>
      <c r="F16" s="183">
        <v>-44</v>
      </c>
      <c r="G16" s="183">
        <v>-43</v>
      </c>
      <c r="H16" s="183">
        <v>-43</v>
      </c>
      <c r="I16" s="183">
        <v>-44</v>
      </c>
      <c r="J16" s="183">
        <v>-40</v>
      </c>
      <c r="K16" s="184">
        <v>-46</v>
      </c>
      <c r="L16" s="217"/>
      <c r="M16" s="195" t="s">
        <v>214</v>
      </c>
      <c r="N16" s="196">
        <v>-48</v>
      </c>
      <c r="O16" s="183">
        <v>-44</v>
      </c>
      <c r="P16" s="183">
        <v>-44</v>
      </c>
      <c r="Q16" s="183">
        <v>-46</v>
      </c>
      <c r="R16" s="183">
        <v>-48</v>
      </c>
      <c r="S16" s="183">
        <v>-46</v>
      </c>
      <c r="T16" s="183">
        <v>-46</v>
      </c>
      <c r="U16" s="183">
        <v>-46</v>
      </c>
      <c r="V16" s="183">
        <v>-42</v>
      </c>
      <c r="W16" s="184">
        <v>-48</v>
      </c>
      <c r="X16" s="217"/>
      <c r="Y16" s="195" t="s">
        <v>214</v>
      </c>
      <c r="Z16" s="221">
        <v>-53</v>
      </c>
      <c r="AA16" s="222">
        <v>-49</v>
      </c>
      <c r="AB16" s="222">
        <v>-48</v>
      </c>
      <c r="AC16" s="222">
        <v>-51</v>
      </c>
      <c r="AD16" s="222">
        <v>-51</v>
      </c>
      <c r="AE16" s="222">
        <v>-49</v>
      </c>
      <c r="AF16" s="222">
        <v>-49</v>
      </c>
      <c r="AG16" s="222">
        <v>-48</v>
      </c>
      <c r="AH16" s="222">
        <v>-44</v>
      </c>
      <c r="AI16" s="223">
        <v>-50</v>
      </c>
      <c r="AJ16" s="217"/>
      <c r="AK16" s="197" t="s">
        <v>214</v>
      </c>
      <c r="AL16" s="198">
        <v>-56</v>
      </c>
      <c r="AM16" s="199">
        <v>-52</v>
      </c>
      <c r="AN16" s="199">
        <v>-51</v>
      </c>
      <c r="AO16" s="199">
        <v>-53</v>
      </c>
      <c r="AP16" s="199">
        <v>-55</v>
      </c>
      <c r="AQ16" s="199">
        <v>-54</v>
      </c>
      <c r="AR16" s="199">
        <v>-54</v>
      </c>
      <c r="AS16" s="199">
        <v>-53</v>
      </c>
      <c r="AT16" s="199">
        <v>-49</v>
      </c>
      <c r="AU16" s="200">
        <v>-55</v>
      </c>
      <c r="AW16" s="197" t="s">
        <v>214</v>
      </c>
      <c r="AX16" s="201">
        <f t="shared" ref="AX16:AX21" si="3">AL16-5</f>
        <v>-61</v>
      </c>
      <c r="AY16" s="202">
        <f t="shared" si="2"/>
        <v>-57</v>
      </c>
      <c r="AZ16" s="202">
        <f t="shared" si="2"/>
        <v>-56</v>
      </c>
      <c r="BA16" s="202">
        <f t="shared" si="2"/>
        <v>-58</v>
      </c>
      <c r="BB16" s="202">
        <f t="shared" si="2"/>
        <v>-60</v>
      </c>
      <c r="BC16" s="202">
        <f t="shared" si="2"/>
        <v>-59</v>
      </c>
      <c r="BD16" s="202">
        <f t="shared" si="2"/>
        <v>-59</v>
      </c>
      <c r="BE16" s="202">
        <f t="shared" si="2"/>
        <v>-58</v>
      </c>
      <c r="BF16" s="202">
        <f t="shared" si="2"/>
        <v>-54</v>
      </c>
      <c r="BG16" s="203">
        <f t="shared" si="2"/>
        <v>-60</v>
      </c>
    </row>
    <row r="17" spans="1:59" ht="14.45" x14ac:dyDescent="0.3">
      <c r="A17" s="195" t="s">
        <v>233</v>
      </c>
      <c r="B17" s="196">
        <v>-42</v>
      </c>
      <c r="C17" s="183">
        <v>-43</v>
      </c>
      <c r="D17" s="183">
        <v>-43</v>
      </c>
      <c r="E17" s="183">
        <v>-42</v>
      </c>
      <c r="F17" s="183">
        <v>-43</v>
      </c>
      <c r="G17" s="183">
        <v>-44</v>
      </c>
      <c r="H17" s="183">
        <v>-44</v>
      </c>
      <c r="I17" s="183">
        <v>-43</v>
      </c>
      <c r="J17" s="183">
        <v>-40</v>
      </c>
      <c r="K17" s="184">
        <v>-44</v>
      </c>
      <c r="L17" s="217"/>
      <c r="M17" s="195" t="s">
        <v>233</v>
      </c>
      <c r="N17" s="196">
        <v>-49</v>
      </c>
      <c r="O17" s="183">
        <v>-48</v>
      </c>
      <c r="P17" s="183">
        <v>-48</v>
      </c>
      <c r="Q17" s="183">
        <v>-46</v>
      </c>
      <c r="R17" s="183">
        <v>-47</v>
      </c>
      <c r="S17" s="183">
        <v>-47</v>
      </c>
      <c r="T17" s="183">
        <v>-47</v>
      </c>
      <c r="U17" s="183">
        <v>-45</v>
      </c>
      <c r="V17" s="183">
        <v>-42</v>
      </c>
      <c r="W17" s="184">
        <v>-46</v>
      </c>
      <c r="X17" s="217"/>
      <c r="Y17" s="195" t="s">
        <v>233</v>
      </c>
      <c r="Z17" s="221">
        <v>-54</v>
      </c>
      <c r="AA17" s="222">
        <v>-53</v>
      </c>
      <c r="AB17" s="222">
        <v>-52</v>
      </c>
      <c r="AC17" s="222">
        <v>-51</v>
      </c>
      <c r="AD17" s="222">
        <v>-50</v>
      </c>
      <c r="AE17" s="222">
        <v>-50</v>
      </c>
      <c r="AF17" s="222">
        <v>-50</v>
      </c>
      <c r="AG17" s="222">
        <v>-47</v>
      </c>
      <c r="AH17" s="222">
        <v>-44</v>
      </c>
      <c r="AI17" s="223">
        <v>-48</v>
      </c>
      <c r="AJ17" s="217"/>
      <c r="AK17" s="197" t="s">
        <v>233</v>
      </c>
      <c r="AL17" s="198">
        <v>-57</v>
      </c>
      <c r="AM17" s="199">
        <v>-56</v>
      </c>
      <c r="AN17" s="199">
        <v>-55</v>
      </c>
      <c r="AO17" s="199">
        <v>-53</v>
      </c>
      <c r="AP17" s="199">
        <v>-54</v>
      </c>
      <c r="AQ17" s="199">
        <v>-55</v>
      </c>
      <c r="AR17" s="199">
        <v>-55</v>
      </c>
      <c r="AS17" s="199">
        <v>-52</v>
      </c>
      <c r="AT17" s="199">
        <v>-49</v>
      </c>
      <c r="AU17" s="200">
        <v>-53</v>
      </c>
      <c r="AW17" s="197" t="s">
        <v>233</v>
      </c>
      <c r="AX17" s="201">
        <f t="shared" si="3"/>
        <v>-62</v>
      </c>
      <c r="AY17" s="202">
        <f t="shared" si="2"/>
        <v>-61</v>
      </c>
      <c r="AZ17" s="202">
        <f t="shared" si="2"/>
        <v>-60</v>
      </c>
      <c r="BA17" s="202">
        <f t="shared" si="2"/>
        <v>-58</v>
      </c>
      <c r="BB17" s="202">
        <f t="shared" si="2"/>
        <v>-59</v>
      </c>
      <c r="BC17" s="202">
        <f t="shared" si="2"/>
        <v>-60</v>
      </c>
      <c r="BD17" s="202">
        <f t="shared" si="2"/>
        <v>-60</v>
      </c>
      <c r="BE17" s="202">
        <f t="shared" si="2"/>
        <v>-57</v>
      </c>
      <c r="BF17" s="202">
        <f t="shared" si="2"/>
        <v>-54</v>
      </c>
      <c r="BG17" s="203">
        <f t="shared" si="2"/>
        <v>-58</v>
      </c>
    </row>
    <row r="18" spans="1:59" ht="14.45" x14ac:dyDescent="0.3">
      <c r="A18" s="195" t="s">
        <v>242</v>
      </c>
      <c r="B18" s="196">
        <v>-40</v>
      </c>
      <c r="C18" s="183">
        <v>-45</v>
      </c>
      <c r="D18" s="183">
        <v>-43</v>
      </c>
      <c r="E18" s="183">
        <v>-41</v>
      </c>
      <c r="F18" s="183">
        <v>-41</v>
      </c>
      <c r="G18" s="183">
        <v>-42</v>
      </c>
      <c r="H18" s="183">
        <v>-41</v>
      </c>
      <c r="I18" s="183">
        <v>-40</v>
      </c>
      <c r="J18" s="183">
        <v>-39</v>
      </c>
      <c r="K18" s="184">
        <v>-39</v>
      </c>
      <c r="L18" s="217"/>
      <c r="M18" s="195" t="s">
        <v>242</v>
      </c>
      <c r="N18" s="196">
        <v>-47</v>
      </c>
      <c r="O18" s="183">
        <v>-50</v>
      </c>
      <c r="P18" s="183">
        <v>-48</v>
      </c>
      <c r="Q18" s="183">
        <v>-45</v>
      </c>
      <c r="R18" s="183">
        <v>-45</v>
      </c>
      <c r="S18" s="183">
        <v>-45</v>
      </c>
      <c r="T18" s="183">
        <v>-44</v>
      </c>
      <c r="U18" s="183">
        <v>-42</v>
      </c>
      <c r="V18" s="183">
        <v>-41</v>
      </c>
      <c r="W18" s="184">
        <v>-41</v>
      </c>
      <c r="X18" s="217"/>
      <c r="Y18" s="195" t="s">
        <v>242</v>
      </c>
      <c r="Z18" s="221">
        <v>-50</v>
      </c>
      <c r="AA18" s="222">
        <v>-53</v>
      </c>
      <c r="AB18" s="222">
        <v>-50</v>
      </c>
      <c r="AC18" s="222">
        <v>-47</v>
      </c>
      <c r="AD18" s="222">
        <v>-47</v>
      </c>
      <c r="AE18" s="222">
        <v>-47</v>
      </c>
      <c r="AF18" s="222">
        <v>-46</v>
      </c>
      <c r="AG18" s="222">
        <v>-43</v>
      </c>
      <c r="AH18" s="222">
        <v>-42</v>
      </c>
      <c r="AI18" s="223">
        <v>-42</v>
      </c>
      <c r="AJ18" s="217"/>
      <c r="AK18" s="197" t="s">
        <v>242</v>
      </c>
      <c r="AL18" s="198">
        <v>-53</v>
      </c>
      <c r="AM18" s="199">
        <v>-56</v>
      </c>
      <c r="AN18" s="199">
        <v>-54</v>
      </c>
      <c r="AO18" s="199">
        <v>-51</v>
      </c>
      <c r="AP18" s="199">
        <v>-50</v>
      </c>
      <c r="AQ18" s="199">
        <v>-51</v>
      </c>
      <c r="AR18" s="199">
        <v>-50</v>
      </c>
      <c r="AS18" s="199">
        <v>-48</v>
      </c>
      <c r="AT18" s="199">
        <v>-47</v>
      </c>
      <c r="AU18" s="200">
        <v>-47</v>
      </c>
      <c r="AW18" s="197" t="s">
        <v>242</v>
      </c>
      <c r="AX18" s="201">
        <f t="shared" si="3"/>
        <v>-58</v>
      </c>
      <c r="AY18" s="202">
        <f t="shared" si="2"/>
        <v>-61</v>
      </c>
      <c r="AZ18" s="202">
        <f t="shared" si="2"/>
        <v>-59</v>
      </c>
      <c r="BA18" s="202">
        <f t="shared" si="2"/>
        <v>-56</v>
      </c>
      <c r="BB18" s="202">
        <f t="shared" si="2"/>
        <v>-55</v>
      </c>
      <c r="BC18" s="202">
        <f t="shared" si="2"/>
        <v>-56</v>
      </c>
      <c r="BD18" s="202">
        <f t="shared" si="2"/>
        <v>-55</v>
      </c>
      <c r="BE18" s="202">
        <f t="shared" si="2"/>
        <v>-53</v>
      </c>
      <c r="BF18" s="202">
        <f t="shared" si="2"/>
        <v>-52</v>
      </c>
      <c r="BG18" s="203">
        <f t="shared" si="2"/>
        <v>-52</v>
      </c>
    </row>
    <row r="19" spans="1:59" ht="14.45" x14ac:dyDescent="0.3">
      <c r="A19" s="195" t="s">
        <v>250</v>
      </c>
      <c r="B19" s="196">
        <v>-44</v>
      </c>
      <c r="C19" s="183">
        <v>-46</v>
      </c>
      <c r="D19" s="183">
        <v>-44</v>
      </c>
      <c r="E19" s="183">
        <v>-41</v>
      </c>
      <c r="F19" s="183">
        <v>-40</v>
      </c>
      <c r="G19" s="183">
        <v>-43</v>
      </c>
      <c r="H19" s="183">
        <v>-41</v>
      </c>
      <c r="I19" s="183">
        <v>-39</v>
      </c>
      <c r="J19" s="183">
        <v>-40</v>
      </c>
      <c r="K19" s="184">
        <v>-38</v>
      </c>
      <c r="L19" s="217"/>
      <c r="M19" s="195" t="s">
        <v>250</v>
      </c>
      <c r="N19" s="196">
        <v>-51</v>
      </c>
      <c r="O19" s="183">
        <v>-51</v>
      </c>
      <c r="P19" s="183">
        <v>-49</v>
      </c>
      <c r="Q19" s="183">
        <v>-45</v>
      </c>
      <c r="R19" s="183">
        <v>-44</v>
      </c>
      <c r="S19" s="183">
        <v>-46</v>
      </c>
      <c r="T19" s="183">
        <v>-44</v>
      </c>
      <c r="U19" s="183">
        <v>-41</v>
      </c>
      <c r="V19" s="183">
        <v>-42</v>
      </c>
      <c r="W19" s="184">
        <v>-40</v>
      </c>
      <c r="X19" s="217"/>
      <c r="Y19" s="195" t="s">
        <v>250</v>
      </c>
      <c r="Z19" s="221">
        <v>-54</v>
      </c>
      <c r="AA19" s="222">
        <v>-54</v>
      </c>
      <c r="AB19" s="222">
        <v>-51</v>
      </c>
      <c r="AC19" s="222">
        <v>-47</v>
      </c>
      <c r="AD19" s="222">
        <v>-46</v>
      </c>
      <c r="AE19" s="222">
        <v>-48</v>
      </c>
      <c r="AF19" s="222">
        <v>-46</v>
      </c>
      <c r="AG19" s="222">
        <v>-42</v>
      </c>
      <c r="AH19" s="222">
        <v>-43</v>
      </c>
      <c r="AI19" s="223">
        <v>-41</v>
      </c>
      <c r="AJ19" s="217"/>
      <c r="AK19" s="197" t="s">
        <v>250</v>
      </c>
      <c r="AL19" s="198">
        <v>-57</v>
      </c>
      <c r="AM19" s="199">
        <v>-57</v>
      </c>
      <c r="AN19" s="199">
        <v>-55</v>
      </c>
      <c r="AO19" s="199">
        <v>-51</v>
      </c>
      <c r="AP19" s="199">
        <v>-49</v>
      </c>
      <c r="AQ19" s="199">
        <v>-52</v>
      </c>
      <c r="AR19" s="199">
        <v>-50</v>
      </c>
      <c r="AS19" s="199">
        <v>-47</v>
      </c>
      <c r="AT19" s="199">
        <v>-48</v>
      </c>
      <c r="AU19" s="200">
        <v>-46</v>
      </c>
      <c r="AW19" s="197" t="s">
        <v>250</v>
      </c>
      <c r="AX19" s="201">
        <f t="shared" si="3"/>
        <v>-62</v>
      </c>
      <c r="AY19" s="202">
        <f t="shared" si="2"/>
        <v>-62</v>
      </c>
      <c r="AZ19" s="202">
        <f t="shared" si="2"/>
        <v>-60</v>
      </c>
      <c r="BA19" s="202">
        <f t="shared" si="2"/>
        <v>-56</v>
      </c>
      <c r="BB19" s="202">
        <f t="shared" si="2"/>
        <v>-54</v>
      </c>
      <c r="BC19" s="202">
        <f t="shared" si="2"/>
        <v>-57</v>
      </c>
      <c r="BD19" s="202">
        <f t="shared" si="2"/>
        <v>-55</v>
      </c>
      <c r="BE19" s="202">
        <f t="shared" si="2"/>
        <v>-52</v>
      </c>
      <c r="BF19" s="202">
        <f t="shared" si="2"/>
        <v>-53</v>
      </c>
      <c r="BG19" s="203">
        <f t="shared" si="2"/>
        <v>-51</v>
      </c>
    </row>
    <row r="20" spans="1:59" ht="14.45" x14ac:dyDescent="0.3">
      <c r="A20" s="195" t="s">
        <v>258</v>
      </c>
      <c r="B20" s="196">
        <v>-43</v>
      </c>
      <c r="C20" s="183">
        <v>-46</v>
      </c>
      <c r="D20" s="183">
        <v>-45</v>
      </c>
      <c r="E20" s="183">
        <v>-41</v>
      </c>
      <c r="F20" s="183">
        <v>-39</v>
      </c>
      <c r="G20" s="183">
        <v>-40</v>
      </c>
      <c r="H20" s="183">
        <v>-40</v>
      </c>
      <c r="I20" s="183">
        <v>-40</v>
      </c>
      <c r="J20" s="183">
        <v>-38</v>
      </c>
      <c r="K20" s="184">
        <v>-36</v>
      </c>
      <c r="L20" s="217"/>
      <c r="M20" s="195" t="s">
        <v>258</v>
      </c>
      <c r="N20" s="196">
        <v>-49</v>
      </c>
      <c r="O20" s="183">
        <v>-50</v>
      </c>
      <c r="P20" s="183">
        <v>-49</v>
      </c>
      <c r="Q20" s="183">
        <v>-44</v>
      </c>
      <c r="R20" s="183">
        <v>-42</v>
      </c>
      <c r="S20" s="183">
        <v>-42</v>
      </c>
      <c r="T20" s="183">
        <v>-42</v>
      </c>
      <c r="U20" s="183">
        <v>-42</v>
      </c>
      <c r="V20" s="183">
        <v>-40</v>
      </c>
      <c r="W20" s="184">
        <v>-38</v>
      </c>
      <c r="X20" s="217"/>
      <c r="Y20" s="195" t="s">
        <v>258</v>
      </c>
      <c r="Z20" s="221">
        <v>-53</v>
      </c>
      <c r="AA20" s="222">
        <v>-54</v>
      </c>
      <c r="AB20" s="222">
        <v>-52</v>
      </c>
      <c r="AC20" s="222">
        <v>-46</v>
      </c>
      <c r="AD20" s="222">
        <v>-43</v>
      </c>
      <c r="AE20" s="222">
        <v>-44</v>
      </c>
      <c r="AF20" s="222">
        <v>-43</v>
      </c>
      <c r="AG20" s="222">
        <v>-43</v>
      </c>
      <c r="AH20" s="222">
        <v>-41</v>
      </c>
      <c r="AI20" s="223">
        <v>-39</v>
      </c>
      <c r="AJ20" s="217"/>
      <c r="AK20" s="197" t="s">
        <v>258</v>
      </c>
      <c r="AL20" s="198">
        <v>-56</v>
      </c>
      <c r="AM20" s="199">
        <v>-57</v>
      </c>
      <c r="AN20" s="199">
        <v>-56</v>
      </c>
      <c r="AO20" s="199">
        <v>-51</v>
      </c>
      <c r="AP20" s="199">
        <v>-47</v>
      </c>
      <c r="AQ20" s="199">
        <v>-48</v>
      </c>
      <c r="AR20" s="199">
        <v>-47</v>
      </c>
      <c r="AS20" s="199">
        <v>-47</v>
      </c>
      <c r="AT20" s="199">
        <v>-45</v>
      </c>
      <c r="AU20" s="200">
        <v>-43</v>
      </c>
      <c r="AW20" s="197" t="s">
        <v>258</v>
      </c>
      <c r="AX20" s="201">
        <f t="shared" si="3"/>
        <v>-61</v>
      </c>
      <c r="AY20" s="202">
        <f t="shared" si="2"/>
        <v>-62</v>
      </c>
      <c r="AZ20" s="202">
        <f t="shared" si="2"/>
        <v>-61</v>
      </c>
      <c r="BA20" s="202">
        <f t="shared" si="2"/>
        <v>-56</v>
      </c>
      <c r="BB20" s="202">
        <f t="shared" si="2"/>
        <v>-52</v>
      </c>
      <c r="BC20" s="202">
        <f t="shared" si="2"/>
        <v>-53</v>
      </c>
      <c r="BD20" s="202">
        <f t="shared" si="2"/>
        <v>-52</v>
      </c>
      <c r="BE20" s="202">
        <f t="shared" si="2"/>
        <v>-52</v>
      </c>
      <c r="BF20" s="202">
        <f t="shared" si="2"/>
        <v>-50</v>
      </c>
      <c r="BG20" s="203">
        <f t="shared" si="2"/>
        <v>-48</v>
      </c>
    </row>
    <row r="21" spans="1:59" thickBot="1" x14ac:dyDescent="0.35">
      <c r="A21" s="204" t="s">
        <v>265</v>
      </c>
      <c r="B21" s="207">
        <v>-43</v>
      </c>
      <c r="C21" s="205">
        <v>-47</v>
      </c>
      <c r="D21" s="205">
        <v>-44</v>
      </c>
      <c r="E21" s="205">
        <v>-39</v>
      </c>
      <c r="F21" s="205">
        <v>-39</v>
      </c>
      <c r="G21" s="205">
        <v>-41</v>
      </c>
      <c r="H21" s="205">
        <v>-38</v>
      </c>
      <c r="I21" s="205">
        <v>-42</v>
      </c>
      <c r="J21" s="205">
        <v>-40</v>
      </c>
      <c r="K21" s="206">
        <v>-36</v>
      </c>
      <c r="L21" s="217"/>
      <c r="M21" s="204" t="s">
        <v>265</v>
      </c>
      <c r="N21" s="207">
        <v>-49</v>
      </c>
      <c r="O21" s="205">
        <v>-51</v>
      </c>
      <c r="P21" s="205">
        <v>-48</v>
      </c>
      <c r="Q21" s="205">
        <v>-42</v>
      </c>
      <c r="R21" s="205">
        <v>-42</v>
      </c>
      <c r="S21" s="205">
        <v>-43</v>
      </c>
      <c r="T21" s="205">
        <v>-40</v>
      </c>
      <c r="U21" s="205">
        <v>-44</v>
      </c>
      <c r="V21" s="205">
        <v>-42</v>
      </c>
      <c r="W21" s="206">
        <v>-38</v>
      </c>
      <c r="X21" s="217"/>
      <c r="Y21" s="204" t="s">
        <v>265</v>
      </c>
      <c r="Z21" s="224">
        <v>-53</v>
      </c>
      <c r="AA21" s="225">
        <v>-55</v>
      </c>
      <c r="AB21" s="225">
        <v>-51</v>
      </c>
      <c r="AC21" s="225">
        <v>-44</v>
      </c>
      <c r="AD21" s="225">
        <v>-43</v>
      </c>
      <c r="AE21" s="225">
        <v>-45</v>
      </c>
      <c r="AF21" s="225">
        <v>-41</v>
      </c>
      <c r="AG21" s="225">
        <v>-45</v>
      </c>
      <c r="AH21" s="225">
        <v>-43</v>
      </c>
      <c r="AI21" s="226">
        <v>-39</v>
      </c>
      <c r="AJ21" s="217"/>
      <c r="AK21" s="208" t="s">
        <v>265</v>
      </c>
      <c r="AL21" s="209">
        <v>-56</v>
      </c>
      <c r="AM21" s="210">
        <v>-58</v>
      </c>
      <c r="AN21" s="210">
        <v>-55</v>
      </c>
      <c r="AO21" s="210">
        <v>-49</v>
      </c>
      <c r="AP21" s="210">
        <v>-47</v>
      </c>
      <c r="AQ21" s="210">
        <v>-49</v>
      </c>
      <c r="AR21" s="210">
        <v>-45</v>
      </c>
      <c r="AS21" s="210">
        <v>-49</v>
      </c>
      <c r="AT21" s="210">
        <v>-47</v>
      </c>
      <c r="AU21" s="211">
        <v>-43</v>
      </c>
      <c r="AW21" s="208" t="s">
        <v>265</v>
      </c>
      <c r="AX21" s="212">
        <f t="shared" si="3"/>
        <v>-61</v>
      </c>
      <c r="AY21" s="213">
        <f t="shared" si="2"/>
        <v>-63</v>
      </c>
      <c r="AZ21" s="213">
        <f t="shared" si="2"/>
        <v>-60</v>
      </c>
      <c r="BA21" s="213">
        <f t="shared" si="2"/>
        <v>-54</v>
      </c>
      <c r="BB21" s="213">
        <f t="shared" si="2"/>
        <v>-52</v>
      </c>
      <c r="BC21" s="213">
        <f t="shared" si="2"/>
        <v>-54</v>
      </c>
      <c r="BD21" s="213">
        <f t="shared" si="2"/>
        <v>-50</v>
      </c>
      <c r="BE21" s="213">
        <f t="shared" si="2"/>
        <v>-54</v>
      </c>
      <c r="BF21" s="213">
        <f t="shared" si="2"/>
        <v>-52</v>
      </c>
      <c r="BG21" s="214">
        <f t="shared" si="2"/>
        <v>-48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-52</v>
      </c>
      <c r="C26" s="186">
        <v>-48</v>
      </c>
      <c r="D26" s="186">
        <v>-47</v>
      </c>
      <c r="E26" s="186">
        <v>-51</v>
      </c>
      <c r="F26" s="186">
        <v>-52</v>
      </c>
      <c r="G26" s="186">
        <v>-51</v>
      </c>
      <c r="H26" s="186">
        <v>-50</v>
      </c>
      <c r="I26" s="186">
        <v>-51</v>
      </c>
      <c r="J26" s="186">
        <v>-46</v>
      </c>
      <c r="K26" s="187">
        <v>-46</v>
      </c>
      <c r="L26" s="217"/>
      <c r="M26" s="182" t="s">
        <v>187</v>
      </c>
      <c r="N26" s="185">
        <v>-59</v>
      </c>
      <c r="O26" s="186">
        <v>-53</v>
      </c>
      <c r="P26" s="186">
        <v>-52</v>
      </c>
      <c r="Q26" s="186">
        <v>-55</v>
      </c>
      <c r="R26" s="186">
        <v>-56</v>
      </c>
      <c r="S26" s="186">
        <v>-54</v>
      </c>
      <c r="T26" s="186">
        <v>-53</v>
      </c>
      <c r="U26" s="186">
        <v>-53</v>
      </c>
      <c r="V26" s="186">
        <v>-48</v>
      </c>
      <c r="W26" s="187">
        <v>-48</v>
      </c>
      <c r="X26" s="217"/>
      <c r="Y26" s="188" t="s">
        <v>187</v>
      </c>
      <c r="Z26" s="227">
        <v>-64</v>
      </c>
      <c r="AA26" s="228">
        <v>-58</v>
      </c>
      <c r="AB26" s="228">
        <v>-56</v>
      </c>
      <c r="AC26" s="228">
        <v>-60</v>
      </c>
      <c r="AD26" s="228">
        <v>-59</v>
      </c>
      <c r="AE26" s="228">
        <v>-57</v>
      </c>
      <c r="AF26" s="228">
        <v>-56</v>
      </c>
      <c r="AG26" s="228">
        <v>-55</v>
      </c>
      <c r="AH26" s="228">
        <v>-50</v>
      </c>
      <c r="AI26" s="229">
        <v>-50</v>
      </c>
      <c r="AJ26" s="217"/>
      <c r="AK26" s="188" t="s">
        <v>187</v>
      </c>
      <c r="AL26" s="189">
        <v>-67</v>
      </c>
      <c r="AM26" s="190">
        <v>-61</v>
      </c>
      <c r="AN26" s="190">
        <v>-59</v>
      </c>
      <c r="AO26" s="190">
        <v>-62</v>
      </c>
      <c r="AP26" s="190">
        <v>-63</v>
      </c>
      <c r="AQ26" s="190">
        <v>-62</v>
      </c>
      <c r="AR26" s="190">
        <v>-61</v>
      </c>
      <c r="AS26" s="190">
        <v>-60</v>
      </c>
      <c r="AT26" s="190">
        <v>-55</v>
      </c>
      <c r="AU26" s="191">
        <v>-55</v>
      </c>
      <c r="AW26" s="188" t="s">
        <v>187</v>
      </c>
      <c r="AX26" s="192">
        <f>AL26-5</f>
        <v>-72</v>
      </c>
      <c r="AY26" s="193">
        <f t="shared" ref="AY26:BG32" si="4">AM26-5</f>
        <v>-66</v>
      </c>
      <c r="AZ26" s="193">
        <f t="shared" si="4"/>
        <v>-64</v>
      </c>
      <c r="BA26" s="193">
        <f t="shared" si="4"/>
        <v>-67</v>
      </c>
      <c r="BB26" s="193">
        <f t="shared" si="4"/>
        <v>-68</v>
      </c>
      <c r="BC26" s="193">
        <f t="shared" si="4"/>
        <v>-67</v>
      </c>
      <c r="BD26" s="193">
        <f t="shared" si="4"/>
        <v>-66</v>
      </c>
      <c r="BE26" s="193">
        <f t="shared" si="4"/>
        <v>-65</v>
      </c>
      <c r="BF26" s="193">
        <f t="shared" si="4"/>
        <v>-60</v>
      </c>
      <c r="BG26" s="194">
        <f t="shared" si="4"/>
        <v>-60</v>
      </c>
    </row>
    <row r="27" spans="1:59" x14ac:dyDescent="0.25">
      <c r="A27" s="195" t="s">
        <v>214</v>
      </c>
      <c r="B27" s="196">
        <v>-49</v>
      </c>
      <c r="C27" s="183">
        <v>-46</v>
      </c>
      <c r="D27" s="183">
        <v>-45</v>
      </c>
      <c r="E27" s="183">
        <v>-48</v>
      </c>
      <c r="F27" s="183">
        <v>-50</v>
      </c>
      <c r="G27" s="183">
        <v>-49</v>
      </c>
      <c r="H27" s="183">
        <v>-49</v>
      </c>
      <c r="I27" s="183">
        <v>-49</v>
      </c>
      <c r="J27" s="183">
        <v>-45</v>
      </c>
      <c r="K27" s="184">
        <v>-51</v>
      </c>
      <c r="L27" s="217"/>
      <c r="M27" s="195" t="s">
        <v>214</v>
      </c>
      <c r="N27" s="196">
        <v>-56</v>
      </c>
      <c r="O27" s="183">
        <v>-51</v>
      </c>
      <c r="P27" s="183">
        <v>-50</v>
      </c>
      <c r="Q27" s="183">
        <v>-52</v>
      </c>
      <c r="R27" s="183">
        <v>-54</v>
      </c>
      <c r="S27" s="183">
        <v>-52</v>
      </c>
      <c r="T27" s="183">
        <v>-52</v>
      </c>
      <c r="U27" s="183">
        <v>-51</v>
      </c>
      <c r="V27" s="183">
        <v>-47</v>
      </c>
      <c r="W27" s="184">
        <v>-53</v>
      </c>
      <c r="X27" s="217"/>
      <c r="Y27" s="197" t="s">
        <v>214</v>
      </c>
      <c r="Z27" s="230">
        <v>-61</v>
      </c>
      <c r="AA27" s="231">
        <v>-56</v>
      </c>
      <c r="AB27" s="231">
        <v>-54</v>
      </c>
      <c r="AC27" s="231">
        <v>-57</v>
      </c>
      <c r="AD27" s="231">
        <v>-57</v>
      </c>
      <c r="AE27" s="231">
        <v>-55</v>
      </c>
      <c r="AF27" s="231">
        <v>-55</v>
      </c>
      <c r="AG27" s="231">
        <v>-53</v>
      </c>
      <c r="AH27" s="231">
        <v>-49</v>
      </c>
      <c r="AI27" s="232">
        <v>-55</v>
      </c>
      <c r="AJ27" s="217"/>
      <c r="AK27" s="197" t="s">
        <v>214</v>
      </c>
      <c r="AL27" s="198">
        <v>-64</v>
      </c>
      <c r="AM27" s="199">
        <v>-59</v>
      </c>
      <c r="AN27" s="199">
        <v>-57</v>
      </c>
      <c r="AO27" s="199">
        <v>-59</v>
      </c>
      <c r="AP27" s="199">
        <v>-61</v>
      </c>
      <c r="AQ27" s="199">
        <v>-60</v>
      </c>
      <c r="AR27" s="199">
        <v>-60</v>
      </c>
      <c r="AS27" s="199">
        <v>-58</v>
      </c>
      <c r="AT27" s="199">
        <v>-54</v>
      </c>
      <c r="AU27" s="200">
        <v>-60</v>
      </c>
      <c r="AW27" s="197" t="s">
        <v>214</v>
      </c>
      <c r="AX27" s="201">
        <f t="shared" ref="AX27:AX32" si="5">AL27-5</f>
        <v>-69</v>
      </c>
      <c r="AY27" s="202">
        <f t="shared" si="4"/>
        <v>-64</v>
      </c>
      <c r="AZ27" s="202">
        <f t="shared" si="4"/>
        <v>-62</v>
      </c>
      <c r="BA27" s="202">
        <f t="shared" si="4"/>
        <v>-64</v>
      </c>
      <c r="BB27" s="202">
        <f t="shared" si="4"/>
        <v>-66</v>
      </c>
      <c r="BC27" s="202">
        <f t="shared" si="4"/>
        <v>-65</v>
      </c>
      <c r="BD27" s="202">
        <f t="shared" si="4"/>
        <v>-65</v>
      </c>
      <c r="BE27" s="202">
        <f t="shared" si="4"/>
        <v>-63</v>
      </c>
      <c r="BF27" s="202">
        <f t="shared" si="4"/>
        <v>-59</v>
      </c>
      <c r="BG27" s="203">
        <f t="shared" si="4"/>
        <v>-65</v>
      </c>
    </row>
    <row r="28" spans="1:59" x14ac:dyDescent="0.25">
      <c r="A28" s="195" t="s">
        <v>233</v>
      </c>
      <c r="B28" s="196">
        <v>-50</v>
      </c>
      <c r="C28" s="183">
        <v>-50</v>
      </c>
      <c r="D28" s="183">
        <v>-49</v>
      </c>
      <c r="E28" s="183">
        <v>-48</v>
      </c>
      <c r="F28" s="183">
        <v>-49</v>
      </c>
      <c r="G28" s="183">
        <v>-50</v>
      </c>
      <c r="H28" s="183">
        <v>-50</v>
      </c>
      <c r="I28" s="183">
        <v>-48</v>
      </c>
      <c r="J28" s="183">
        <v>-45</v>
      </c>
      <c r="K28" s="184">
        <v>-49</v>
      </c>
      <c r="L28" s="217"/>
      <c r="M28" s="195" t="s">
        <v>233</v>
      </c>
      <c r="N28" s="196">
        <v>-57</v>
      </c>
      <c r="O28" s="183">
        <v>-55</v>
      </c>
      <c r="P28" s="183">
        <v>-54</v>
      </c>
      <c r="Q28" s="183">
        <v>-52</v>
      </c>
      <c r="R28" s="183">
        <v>-53</v>
      </c>
      <c r="S28" s="183">
        <v>-53</v>
      </c>
      <c r="T28" s="183">
        <v>-53</v>
      </c>
      <c r="U28" s="183">
        <v>-50</v>
      </c>
      <c r="V28" s="183">
        <v>-47</v>
      </c>
      <c r="W28" s="184">
        <v>-51</v>
      </c>
      <c r="X28" s="217"/>
      <c r="Y28" s="197" t="s">
        <v>233</v>
      </c>
      <c r="Z28" s="230">
        <v>-62</v>
      </c>
      <c r="AA28" s="231">
        <v>-60</v>
      </c>
      <c r="AB28" s="231">
        <v>-58</v>
      </c>
      <c r="AC28" s="231">
        <v>-57</v>
      </c>
      <c r="AD28" s="231">
        <v>-56</v>
      </c>
      <c r="AE28" s="231">
        <v>-56</v>
      </c>
      <c r="AF28" s="231">
        <v>-56</v>
      </c>
      <c r="AG28" s="231">
        <v>-52</v>
      </c>
      <c r="AH28" s="231">
        <v>-49</v>
      </c>
      <c r="AI28" s="232">
        <v>-53</v>
      </c>
      <c r="AJ28" s="217"/>
      <c r="AK28" s="197" t="s">
        <v>233</v>
      </c>
      <c r="AL28" s="198">
        <v>-65</v>
      </c>
      <c r="AM28" s="199">
        <v>-63</v>
      </c>
      <c r="AN28" s="199">
        <v>-61</v>
      </c>
      <c r="AO28" s="199">
        <v>-59</v>
      </c>
      <c r="AP28" s="199">
        <v>-60</v>
      </c>
      <c r="AQ28" s="199">
        <v>-61</v>
      </c>
      <c r="AR28" s="199">
        <v>-61</v>
      </c>
      <c r="AS28" s="199">
        <v>-57</v>
      </c>
      <c r="AT28" s="199">
        <v>-54</v>
      </c>
      <c r="AU28" s="200">
        <v>-58</v>
      </c>
      <c r="AW28" s="197" t="s">
        <v>233</v>
      </c>
      <c r="AX28" s="201">
        <f t="shared" si="5"/>
        <v>-70</v>
      </c>
      <c r="AY28" s="202">
        <f t="shared" si="4"/>
        <v>-68</v>
      </c>
      <c r="AZ28" s="202">
        <f t="shared" si="4"/>
        <v>-66</v>
      </c>
      <c r="BA28" s="202">
        <f t="shared" si="4"/>
        <v>-64</v>
      </c>
      <c r="BB28" s="202">
        <f t="shared" si="4"/>
        <v>-65</v>
      </c>
      <c r="BC28" s="202">
        <f t="shared" si="4"/>
        <v>-66</v>
      </c>
      <c r="BD28" s="202">
        <f t="shared" si="4"/>
        <v>-66</v>
      </c>
      <c r="BE28" s="202">
        <f t="shared" si="4"/>
        <v>-62</v>
      </c>
      <c r="BF28" s="202">
        <f t="shared" si="4"/>
        <v>-59</v>
      </c>
      <c r="BG28" s="203">
        <f t="shared" si="4"/>
        <v>-63</v>
      </c>
    </row>
    <row r="29" spans="1:59" x14ac:dyDescent="0.25">
      <c r="A29" s="195" t="s">
        <v>242</v>
      </c>
      <c r="B29" s="196">
        <v>-46</v>
      </c>
      <c r="C29" s="183">
        <v>-51</v>
      </c>
      <c r="D29" s="183">
        <v>-49</v>
      </c>
      <c r="E29" s="183">
        <v>-47</v>
      </c>
      <c r="F29" s="183">
        <v>-47</v>
      </c>
      <c r="G29" s="183">
        <v>-48</v>
      </c>
      <c r="H29" s="183">
        <v>-47</v>
      </c>
      <c r="I29" s="183">
        <v>-45</v>
      </c>
      <c r="J29" s="183">
        <v>-44</v>
      </c>
      <c r="K29" s="184">
        <v>-44</v>
      </c>
      <c r="L29" s="217"/>
      <c r="M29" s="195" t="s">
        <v>242</v>
      </c>
      <c r="N29" s="196">
        <v>-53</v>
      </c>
      <c r="O29" s="183">
        <v>-56</v>
      </c>
      <c r="P29" s="183">
        <v>-54</v>
      </c>
      <c r="Q29" s="183">
        <v>-51</v>
      </c>
      <c r="R29" s="183">
        <v>-51</v>
      </c>
      <c r="S29" s="183">
        <v>-51</v>
      </c>
      <c r="T29" s="183">
        <v>-50</v>
      </c>
      <c r="U29" s="183">
        <v>-47</v>
      </c>
      <c r="V29" s="183">
        <v>-46</v>
      </c>
      <c r="W29" s="184">
        <v>-46</v>
      </c>
      <c r="X29" s="217"/>
      <c r="Y29" s="197" t="s">
        <v>242</v>
      </c>
      <c r="Z29" s="230">
        <v>-56</v>
      </c>
      <c r="AA29" s="231">
        <v>-59</v>
      </c>
      <c r="AB29" s="231">
        <v>-56</v>
      </c>
      <c r="AC29" s="231">
        <v>-53</v>
      </c>
      <c r="AD29" s="231">
        <v>-53</v>
      </c>
      <c r="AE29" s="231">
        <v>-53</v>
      </c>
      <c r="AF29" s="231">
        <v>-52</v>
      </c>
      <c r="AG29" s="231">
        <v>-48</v>
      </c>
      <c r="AH29" s="231">
        <v>-47</v>
      </c>
      <c r="AI29" s="232">
        <v>-47</v>
      </c>
      <c r="AJ29" s="217"/>
      <c r="AK29" s="197" t="s">
        <v>242</v>
      </c>
      <c r="AL29" s="198">
        <v>-59</v>
      </c>
      <c r="AM29" s="199">
        <v>-62</v>
      </c>
      <c r="AN29" s="199">
        <v>-60</v>
      </c>
      <c r="AO29" s="199">
        <v>-57</v>
      </c>
      <c r="AP29" s="199">
        <v>-56</v>
      </c>
      <c r="AQ29" s="199">
        <v>-57</v>
      </c>
      <c r="AR29" s="199">
        <v>-56</v>
      </c>
      <c r="AS29" s="199">
        <v>-53</v>
      </c>
      <c r="AT29" s="199">
        <v>-52</v>
      </c>
      <c r="AU29" s="200">
        <v>-52</v>
      </c>
      <c r="AW29" s="197" t="s">
        <v>242</v>
      </c>
      <c r="AX29" s="201">
        <f t="shared" si="5"/>
        <v>-64</v>
      </c>
      <c r="AY29" s="202">
        <f t="shared" si="4"/>
        <v>-67</v>
      </c>
      <c r="AZ29" s="202">
        <f t="shared" si="4"/>
        <v>-65</v>
      </c>
      <c r="BA29" s="202">
        <f t="shared" si="4"/>
        <v>-62</v>
      </c>
      <c r="BB29" s="202">
        <f t="shared" si="4"/>
        <v>-61</v>
      </c>
      <c r="BC29" s="202">
        <f t="shared" si="4"/>
        <v>-62</v>
      </c>
      <c r="BD29" s="202">
        <f t="shared" si="4"/>
        <v>-61</v>
      </c>
      <c r="BE29" s="202">
        <f t="shared" si="4"/>
        <v>-58</v>
      </c>
      <c r="BF29" s="202">
        <f t="shared" si="4"/>
        <v>-57</v>
      </c>
      <c r="BG29" s="203">
        <f t="shared" si="4"/>
        <v>-57</v>
      </c>
    </row>
    <row r="30" spans="1:59" x14ac:dyDescent="0.25">
      <c r="A30" s="195" t="s">
        <v>250</v>
      </c>
      <c r="B30" s="196">
        <v>-50</v>
      </c>
      <c r="C30" s="183">
        <v>-52</v>
      </c>
      <c r="D30" s="183">
        <v>-50</v>
      </c>
      <c r="E30" s="183">
        <v>-47</v>
      </c>
      <c r="F30" s="183">
        <v>-46</v>
      </c>
      <c r="G30" s="183">
        <v>-49</v>
      </c>
      <c r="H30" s="183">
        <v>-47</v>
      </c>
      <c r="I30" s="183">
        <v>-44</v>
      </c>
      <c r="J30" s="183">
        <v>-45</v>
      </c>
      <c r="K30" s="184">
        <v>-43</v>
      </c>
      <c r="L30" s="217"/>
      <c r="M30" s="195" t="s">
        <v>250</v>
      </c>
      <c r="N30" s="196">
        <v>-57</v>
      </c>
      <c r="O30" s="183">
        <v>-57</v>
      </c>
      <c r="P30" s="183">
        <v>-55</v>
      </c>
      <c r="Q30" s="183">
        <v>-51</v>
      </c>
      <c r="R30" s="183">
        <v>-50</v>
      </c>
      <c r="S30" s="183">
        <v>-52</v>
      </c>
      <c r="T30" s="183">
        <v>-50</v>
      </c>
      <c r="U30" s="183">
        <v>-46</v>
      </c>
      <c r="V30" s="183">
        <v>-47</v>
      </c>
      <c r="W30" s="184">
        <v>-45</v>
      </c>
      <c r="X30" s="217"/>
      <c r="Y30" s="197" t="s">
        <v>250</v>
      </c>
      <c r="Z30" s="230">
        <v>-60</v>
      </c>
      <c r="AA30" s="231">
        <v>-60</v>
      </c>
      <c r="AB30" s="231">
        <v>-57</v>
      </c>
      <c r="AC30" s="231">
        <v>-53</v>
      </c>
      <c r="AD30" s="231">
        <v>-52</v>
      </c>
      <c r="AE30" s="231">
        <v>-54</v>
      </c>
      <c r="AF30" s="231">
        <v>-52</v>
      </c>
      <c r="AG30" s="231">
        <v>-47</v>
      </c>
      <c r="AH30" s="231">
        <v>-48</v>
      </c>
      <c r="AI30" s="232">
        <v>-46</v>
      </c>
      <c r="AJ30" s="217"/>
      <c r="AK30" s="197" t="s">
        <v>250</v>
      </c>
      <c r="AL30" s="198">
        <v>-63</v>
      </c>
      <c r="AM30" s="199">
        <v>-63</v>
      </c>
      <c r="AN30" s="199">
        <v>-61</v>
      </c>
      <c r="AO30" s="199">
        <v>-57</v>
      </c>
      <c r="AP30" s="199">
        <v>-55</v>
      </c>
      <c r="AQ30" s="199">
        <v>-58</v>
      </c>
      <c r="AR30" s="199">
        <v>-56</v>
      </c>
      <c r="AS30" s="199">
        <v>-52</v>
      </c>
      <c r="AT30" s="199">
        <v>-53</v>
      </c>
      <c r="AU30" s="200">
        <v>-51</v>
      </c>
      <c r="AW30" s="197" t="s">
        <v>250</v>
      </c>
      <c r="AX30" s="201">
        <f t="shared" si="5"/>
        <v>-68</v>
      </c>
      <c r="AY30" s="202">
        <f t="shared" si="4"/>
        <v>-68</v>
      </c>
      <c r="AZ30" s="202">
        <f t="shared" si="4"/>
        <v>-66</v>
      </c>
      <c r="BA30" s="202">
        <f t="shared" si="4"/>
        <v>-62</v>
      </c>
      <c r="BB30" s="202">
        <f t="shared" si="4"/>
        <v>-60</v>
      </c>
      <c r="BC30" s="202">
        <f t="shared" si="4"/>
        <v>-63</v>
      </c>
      <c r="BD30" s="202">
        <f t="shared" si="4"/>
        <v>-61</v>
      </c>
      <c r="BE30" s="202">
        <f t="shared" si="4"/>
        <v>-57</v>
      </c>
      <c r="BF30" s="202">
        <f t="shared" si="4"/>
        <v>-58</v>
      </c>
      <c r="BG30" s="203">
        <f t="shared" si="4"/>
        <v>-56</v>
      </c>
    </row>
    <row r="31" spans="1:59" x14ac:dyDescent="0.25">
      <c r="A31" s="195" t="s">
        <v>258</v>
      </c>
      <c r="B31" s="196">
        <v>-49</v>
      </c>
      <c r="C31" s="183">
        <v>-52</v>
      </c>
      <c r="D31" s="183">
        <v>-51</v>
      </c>
      <c r="E31" s="183">
        <v>-47</v>
      </c>
      <c r="F31" s="183">
        <v>-45</v>
      </c>
      <c r="G31" s="183">
        <v>-46</v>
      </c>
      <c r="H31" s="183">
        <v>-46</v>
      </c>
      <c r="I31" s="183">
        <v>-45</v>
      </c>
      <c r="J31" s="183">
        <v>-43</v>
      </c>
      <c r="K31" s="184">
        <v>-41</v>
      </c>
      <c r="L31" s="217"/>
      <c r="M31" s="195" t="s">
        <v>258</v>
      </c>
      <c r="N31" s="196">
        <v>-55</v>
      </c>
      <c r="O31" s="183">
        <v>-56</v>
      </c>
      <c r="P31" s="183">
        <v>-55</v>
      </c>
      <c r="Q31" s="183">
        <v>-50</v>
      </c>
      <c r="R31" s="183">
        <v>-48</v>
      </c>
      <c r="S31" s="183">
        <v>-48</v>
      </c>
      <c r="T31" s="183">
        <v>-48</v>
      </c>
      <c r="U31" s="183">
        <v>-47</v>
      </c>
      <c r="V31" s="183">
        <v>-45</v>
      </c>
      <c r="W31" s="184">
        <v>-43</v>
      </c>
      <c r="X31" s="217"/>
      <c r="Y31" s="197" t="s">
        <v>258</v>
      </c>
      <c r="Z31" s="230">
        <v>-59</v>
      </c>
      <c r="AA31" s="231">
        <v>-60</v>
      </c>
      <c r="AB31" s="231">
        <v>-58</v>
      </c>
      <c r="AC31" s="231">
        <v>-52</v>
      </c>
      <c r="AD31" s="231">
        <v>-49</v>
      </c>
      <c r="AE31" s="231">
        <v>-50</v>
      </c>
      <c r="AF31" s="231">
        <v>-49</v>
      </c>
      <c r="AG31" s="231">
        <v>-48</v>
      </c>
      <c r="AH31" s="231">
        <v>-46</v>
      </c>
      <c r="AI31" s="232">
        <v>-44</v>
      </c>
      <c r="AJ31" s="217"/>
      <c r="AK31" s="197" t="s">
        <v>258</v>
      </c>
      <c r="AL31" s="198">
        <v>-62</v>
      </c>
      <c r="AM31" s="199">
        <v>-63</v>
      </c>
      <c r="AN31" s="199">
        <v>-62</v>
      </c>
      <c r="AO31" s="199">
        <v>-57</v>
      </c>
      <c r="AP31" s="199">
        <v>-53</v>
      </c>
      <c r="AQ31" s="199">
        <v>-54</v>
      </c>
      <c r="AR31" s="199">
        <v>-53</v>
      </c>
      <c r="AS31" s="199">
        <v>-52</v>
      </c>
      <c r="AT31" s="199">
        <v>-50</v>
      </c>
      <c r="AU31" s="200">
        <v>-48</v>
      </c>
      <c r="AW31" s="197" t="s">
        <v>258</v>
      </c>
      <c r="AX31" s="201">
        <f t="shared" si="5"/>
        <v>-67</v>
      </c>
      <c r="AY31" s="202">
        <f t="shared" si="4"/>
        <v>-68</v>
      </c>
      <c r="AZ31" s="202">
        <f t="shared" si="4"/>
        <v>-67</v>
      </c>
      <c r="BA31" s="202">
        <f t="shared" si="4"/>
        <v>-62</v>
      </c>
      <c r="BB31" s="202">
        <f t="shared" si="4"/>
        <v>-58</v>
      </c>
      <c r="BC31" s="202">
        <f t="shared" si="4"/>
        <v>-59</v>
      </c>
      <c r="BD31" s="202">
        <f t="shared" si="4"/>
        <v>-58</v>
      </c>
      <c r="BE31" s="202">
        <f t="shared" si="4"/>
        <v>-57</v>
      </c>
      <c r="BF31" s="202">
        <f t="shared" si="4"/>
        <v>-55</v>
      </c>
      <c r="BG31" s="203">
        <f t="shared" si="4"/>
        <v>-53</v>
      </c>
    </row>
    <row r="32" spans="1:59" ht="15.75" thickBot="1" x14ac:dyDescent="0.3">
      <c r="A32" s="204" t="s">
        <v>265</v>
      </c>
      <c r="B32" s="207">
        <v>-49</v>
      </c>
      <c r="C32" s="205">
        <v>-53</v>
      </c>
      <c r="D32" s="205">
        <v>-50</v>
      </c>
      <c r="E32" s="205">
        <v>-45</v>
      </c>
      <c r="F32" s="205">
        <v>-45</v>
      </c>
      <c r="G32" s="205">
        <v>-47</v>
      </c>
      <c r="H32" s="205">
        <v>-44</v>
      </c>
      <c r="I32" s="205">
        <v>-47</v>
      </c>
      <c r="J32" s="205">
        <v>-45</v>
      </c>
      <c r="K32" s="206">
        <v>-41</v>
      </c>
      <c r="L32" s="217"/>
      <c r="M32" s="204" t="s">
        <v>265</v>
      </c>
      <c r="N32" s="207">
        <v>-55</v>
      </c>
      <c r="O32" s="205">
        <v>-57</v>
      </c>
      <c r="P32" s="205">
        <v>-54</v>
      </c>
      <c r="Q32" s="205">
        <v>-48</v>
      </c>
      <c r="R32" s="205">
        <v>-48</v>
      </c>
      <c r="S32" s="205">
        <v>-49</v>
      </c>
      <c r="T32" s="205">
        <v>-46</v>
      </c>
      <c r="U32" s="205">
        <v>-49</v>
      </c>
      <c r="V32" s="205">
        <v>-47</v>
      </c>
      <c r="W32" s="206">
        <v>-43</v>
      </c>
      <c r="X32" s="217"/>
      <c r="Y32" s="208" t="s">
        <v>265</v>
      </c>
      <c r="Z32" s="233">
        <v>-59</v>
      </c>
      <c r="AA32" s="234">
        <v>-61</v>
      </c>
      <c r="AB32" s="234">
        <v>-57</v>
      </c>
      <c r="AC32" s="234">
        <v>-50</v>
      </c>
      <c r="AD32" s="234">
        <v>-49</v>
      </c>
      <c r="AE32" s="234">
        <v>-51</v>
      </c>
      <c r="AF32" s="234">
        <v>-47</v>
      </c>
      <c r="AG32" s="234">
        <v>-50</v>
      </c>
      <c r="AH32" s="234">
        <v>-48</v>
      </c>
      <c r="AI32" s="235">
        <v>-44</v>
      </c>
      <c r="AJ32" s="217"/>
      <c r="AK32" s="208" t="s">
        <v>265</v>
      </c>
      <c r="AL32" s="209">
        <v>-62</v>
      </c>
      <c r="AM32" s="210">
        <v>-64</v>
      </c>
      <c r="AN32" s="210">
        <v>-61</v>
      </c>
      <c r="AO32" s="210">
        <v>-55</v>
      </c>
      <c r="AP32" s="210">
        <v>-53</v>
      </c>
      <c r="AQ32" s="210">
        <v>-55</v>
      </c>
      <c r="AR32" s="210">
        <v>-51</v>
      </c>
      <c r="AS32" s="210">
        <v>-54</v>
      </c>
      <c r="AT32" s="210">
        <v>-52</v>
      </c>
      <c r="AU32" s="211">
        <v>-48</v>
      </c>
      <c r="AW32" s="208" t="s">
        <v>265</v>
      </c>
      <c r="AX32" s="212">
        <f t="shared" si="5"/>
        <v>-67</v>
      </c>
      <c r="AY32" s="213">
        <f t="shared" si="4"/>
        <v>-69</v>
      </c>
      <c r="AZ32" s="213">
        <f t="shared" si="4"/>
        <v>-66</v>
      </c>
      <c r="BA32" s="213">
        <f t="shared" si="4"/>
        <v>-60</v>
      </c>
      <c r="BB32" s="213">
        <f t="shared" si="4"/>
        <v>-58</v>
      </c>
      <c r="BC32" s="213">
        <f t="shared" si="4"/>
        <v>-60</v>
      </c>
      <c r="BD32" s="213">
        <f t="shared" si="4"/>
        <v>-56</v>
      </c>
      <c r="BE32" s="213">
        <f t="shared" si="4"/>
        <v>-59</v>
      </c>
      <c r="BF32" s="213">
        <f t="shared" si="4"/>
        <v>-57</v>
      </c>
      <c r="BG32" s="214">
        <f t="shared" si="4"/>
        <v>-53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-58</v>
      </c>
      <c r="C37" s="186">
        <v>-55</v>
      </c>
      <c r="D37" s="186">
        <v>-54</v>
      </c>
      <c r="E37" s="186">
        <v>-57</v>
      </c>
      <c r="F37" s="186">
        <v>-57</v>
      </c>
      <c r="G37" s="186">
        <v>-56</v>
      </c>
      <c r="H37" s="186">
        <v>-55</v>
      </c>
      <c r="I37" s="186">
        <v>-56</v>
      </c>
      <c r="J37" s="186">
        <v>-51</v>
      </c>
      <c r="K37" s="187">
        <v>-51</v>
      </c>
      <c r="L37" s="217"/>
      <c r="M37" s="236" t="s">
        <v>187</v>
      </c>
      <c r="N37" s="185">
        <v>-62</v>
      </c>
      <c r="O37" s="186">
        <v>-57</v>
      </c>
      <c r="P37" s="186">
        <v>-56</v>
      </c>
      <c r="Q37" s="186">
        <v>-59</v>
      </c>
      <c r="R37" s="186">
        <v>-59</v>
      </c>
      <c r="S37" s="186">
        <v>-58</v>
      </c>
      <c r="T37" s="186">
        <v>-57</v>
      </c>
      <c r="U37" s="186">
        <v>-57</v>
      </c>
      <c r="V37" s="186">
        <v>-52</v>
      </c>
      <c r="W37" s="187">
        <v>-52</v>
      </c>
      <c r="X37" s="217"/>
      <c r="Y37" s="237" t="s">
        <v>187</v>
      </c>
      <c r="Z37" s="227">
        <v>-69</v>
      </c>
      <c r="AA37" s="228">
        <v>-65</v>
      </c>
      <c r="AB37" s="228">
        <v>-63</v>
      </c>
      <c r="AC37" s="228">
        <v>-66</v>
      </c>
      <c r="AD37" s="228">
        <v>-64</v>
      </c>
      <c r="AE37" s="228">
        <v>-62</v>
      </c>
      <c r="AF37" s="228">
        <v>-61</v>
      </c>
      <c r="AG37" s="228">
        <v>-60</v>
      </c>
      <c r="AH37" s="228">
        <v>-55</v>
      </c>
      <c r="AI37" s="229">
        <v>-55</v>
      </c>
      <c r="AJ37" s="217"/>
      <c r="AK37" s="237" t="s">
        <v>187</v>
      </c>
      <c r="AL37" s="189">
        <v>-71</v>
      </c>
      <c r="AM37" s="190">
        <v>-68</v>
      </c>
      <c r="AN37" s="190">
        <v>-66</v>
      </c>
      <c r="AO37" s="190">
        <v>-68</v>
      </c>
      <c r="AP37" s="190">
        <v>-68</v>
      </c>
      <c r="AQ37" s="190">
        <v>-67</v>
      </c>
      <c r="AR37" s="190">
        <v>-66</v>
      </c>
      <c r="AS37" s="190">
        <v>-65</v>
      </c>
      <c r="AT37" s="190">
        <v>-60</v>
      </c>
      <c r="AU37" s="191">
        <v>-60</v>
      </c>
      <c r="AW37" s="237" t="s">
        <v>187</v>
      </c>
      <c r="AX37" s="192">
        <f>AL37-5</f>
        <v>-76</v>
      </c>
      <c r="AY37" s="193">
        <f t="shared" ref="AY37:BG43" si="6">AM37-5</f>
        <v>-73</v>
      </c>
      <c r="AZ37" s="193">
        <f t="shared" si="6"/>
        <v>-71</v>
      </c>
      <c r="BA37" s="193">
        <f t="shared" si="6"/>
        <v>-73</v>
      </c>
      <c r="BB37" s="193">
        <f t="shared" si="6"/>
        <v>-73</v>
      </c>
      <c r="BC37" s="193">
        <f t="shared" si="6"/>
        <v>-72</v>
      </c>
      <c r="BD37" s="193">
        <f t="shared" si="6"/>
        <v>-71</v>
      </c>
      <c r="BE37" s="193">
        <f t="shared" si="6"/>
        <v>-70</v>
      </c>
      <c r="BF37" s="193">
        <f t="shared" si="6"/>
        <v>-65</v>
      </c>
      <c r="BG37" s="194">
        <f t="shared" si="6"/>
        <v>-65</v>
      </c>
    </row>
    <row r="38" spans="1:59" x14ac:dyDescent="0.25">
      <c r="A38" s="195" t="s">
        <v>214</v>
      </c>
      <c r="B38" s="196">
        <v>-55</v>
      </c>
      <c r="C38" s="183">
        <v>-53</v>
      </c>
      <c r="D38" s="183">
        <v>-52</v>
      </c>
      <c r="E38" s="183">
        <v>-54</v>
      </c>
      <c r="F38" s="183">
        <v>-55</v>
      </c>
      <c r="G38" s="183">
        <v>-54</v>
      </c>
      <c r="H38" s="183">
        <v>-54</v>
      </c>
      <c r="I38" s="183">
        <v>-54</v>
      </c>
      <c r="J38" s="183">
        <v>-50</v>
      </c>
      <c r="K38" s="184">
        <v>-56</v>
      </c>
      <c r="L38" s="217"/>
      <c r="M38" s="195" t="s">
        <v>214</v>
      </c>
      <c r="N38" s="196">
        <v>-59</v>
      </c>
      <c r="O38" s="183">
        <v>-55</v>
      </c>
      <c r="P38" s="183">
        <v>-54</v>
      </c>
      <c r="Q38" s="183">
        <v>-56</v>
      </c>
      <c r="R38" s="183">
        <v>-57</v>
      </c>
      <c r="S38" s="183">
        <v>-56</v>
      </c>
      <c r="T38" s="183">
        <v>-56</v>
      </c>
      <c r="U38" s="183">
        <v>-55</v>
      </c>
      <c r="V38" s="183">
        <v>-51</v>
      </c>
      <c r="W38" s="184">
        <v>-57</v>
      </c>
      <c r="X38" s="217"/>
      <c r="Y38" s="197" t="s">
        <v>214</v>
      </c>
      <c r="Z38" s="230">
        <v>-67</v>
      </c>
      <c r="AA38" s="231">
        <v>-63</v>
      </c>
      <c r="AB38" s="231">
        <v>-61</v>
      </c>
      <c r="AC38" s="231">
        <v>-63</v>
      </c>
      <c r="AD38" s="231">
        <v>-62</v>
      </c>
      <c r="AE38" s="231">
        <v>-60</v>
      </c>
      <c r="AF38" s="231">
        <v>-60</v>
      </c>
      <c r="AG38" s="231">
        <v>-58</v>
      </c>
      <c r="AH38" s="231">
        <v>-54</v>
      </c>
      <c r="AI38" s="232">
        <v>-60</v>
      </c>
      <c r="AJ38" s="217"/>
      <c r="AK38" s="197" t="s">
        <v>214</v>
      </c>
      <c r="AL38" s="198">
        <v>-70</v>
      </c>
      <c r="AM38" s="199">
        <v>-66</v>
      </c>
      <c r="AN38" s="199">
        <v>-64</v>
      </c>
      <c r="AO38" s="199">
        <v>-65</v>
      </c>
      <c r="AP38" s="199">
        <v>-66</v>
      </c>
      <c r="AQ38" s="199">
        <v>-65</v>
      </c>
      <c r="AR38" s="199">
        <v>-65</v>
      </c>
      <c r="AS38" s="199">
        <v>-63</v>
      </c>
      <c r="AT38" s="199">
        <v>-59</v>
      </c>
      <c r="AU38" s="200">
        <v>-65</v>
      </c>
      <c r="AW38" s="197" t="s">
        <v>214</v>
      </c>
      <c r="AX38" s="201">
        <f t="shared" ref="AX38:AX43" si="7">AL38-5</f>
        <v>-75</v>
      </c>
      <c r="AY38" s="202">
        <f t="shared" si="6"/>
        <v>-71</v>
      </c>
      <c r="AZ38" s="202">
        <f t="shared" si="6"/>
        <v>-69</v>
      </c>
      <c r="BA38" s="202">
        <f t="shared" si="6"/>
        <v>-70</v>
      </c>
      <c r="BB38" s="202">
        <f t="shared" si="6"/>
        <v>-71</v>
      </c>
      <c r="BC38" s="202">
        <f t="shared" si="6"/>
        <v>-70</v>
      </c>
      <c r="BD38" s="202">
        <f t="shared" si="6"/>
        <v>-70</v>
      </c>
      <c r="BE38" s="202">
        <f t="shared" si="6"/>
        <v>-68</v>
      </c>
      <c r="BF38" s="202">
        <f t="shared" si="6"/>
        <v>-64</v>
      </c>
      <c r="BG38" s="203">
        <f t="shared" si="6"/>
        <v>-70</v>
      </c>
    </row>
    <row r="39" spans="1:59" x14ac:dyDescent="0.25">
      <c r="A39" s="195" t="s">
        <v>233</v>
      </c>
      <c r="B39" s="196">
        <v>-56</v>
      </c>
      <c r="C39" s="183">
        <v>-57</v>
      </c>
      <c r="D39" s="183">
        <v>-56</v>
      </c>
      <c r="E39" s="183">
        <v>-54</v>
      </c>
      <c r="F39" s="183">
        <v>-54</v>
      </c>
      <c r="G39" s="183">
        <v>-55</v>
      </c>
      <c r="H39" s="183">
        <v>-55</v>
      </c>
      <c r="I39" s="183">
        <v>-53</v>
      </c>
      <c r="J39" s="183">
        <v>-50</v>
      </c>
      <c r="K39" s="184">
        <v>-54</v>
      </c>
      <c r="L39" s="217"/>
      <c r="M39" s="195" t="s">
        <v>233</v>
      </c>
      <c r="N39" s="196">
        <v>-60</v>
      </c>
      <c r="O39" s="183">
        <v>-59</v>
      </c>
      <c r="P39" s="183">
        <v>-58</v>
      </c>
      <c r="Q39" s="183">
        <v>-56</v>
      </c>
      <c r="R39" s="183">
        <v>-56</v>
      </c>
      <c r="S39" s="183">
        <v>-57</v>
      </c>
      <c r="T39" s="183">
        <v>-57</v>
      </c>
      <c r="U39" s="183">
        <v>-54</v>
      </c>
      <c r="V39" s="183">
        <v>-51</v>
      </c>
      <c r="W39" s="184">
        <v>-55</v>
      </c>
      <c r="X39" s="217"/>
      <c r="Y39" s="197" t="s">
        <v>233</v>
      </c>
      <c r="Z39" s="230">
        <v>-68</v>
      </c>
      <c r="AA39" s="231">
        <v>-67</v>
      </c>
      <c r="AB39" s="231">
        <v>-65</v>
      </c>
      <c r="AC39" s="231">
        <v>-63</v>
      </c>
      <c r="AD39" s="231">
        <v>-61</v>
      </c>
      <c r="AE39" s="231">
        <v>-61</v>
      </c>
      <c r="AF39" s="231">
        <v>-61</v>
      </c>
      <c r="AG39" s="231">
        <v>-57</v>
      </c>
      <c r="AH39" s="231">
        <v>-54</v>
      </c>
      <c r="AI39" s="232">
        <v>-58</v>
      </c>
      <c r="AJ39" s="217"/>
      <c r="AK39" s="197" t="s">
        <v>233</v>
      </c>
      <c r="AL39" s="198">
        <v>-71</v>
      </c>
      <c r="AM39" s="199">
        <v>-70</v>
      </c>
      <c r="AN39" s="199">
        <v>-68</v>
      </c>
      <c r="AO39" s="199">
        <v>-65</v>
      </c>
      <c r="AP39" s="199">
        <v>-65</v>
      </c>
      <c r="AQ39" s="199">
        <v>-66</v>
      </c>
      <c r="AR39" s="199">
        <v>-66</v>
      </c>
      <c r="AS39" s="199">
        <v>-62</v>
      </c>
      <c r="AT39" s="199">
        <v>-59</v>
      </c>
      <c r="AU39" s="200">
        <v>-63</v>
      </c>
      <c r="AW39" s="197" t="s">
        <v>233</v>
      </c>
      <c r="AX39" s="201">
        <f t="shared" si="7"/>
        <v>-76</v>
      </c>
      <c r="AY39" s="202">
        <f t="shared" si="6"/>
        <v>-75</v>
      </c>
      <c r="AZ39" s="202">
        <f t="shared" si="6"/>
        <v>-73</v>
      </c>
      <c r="BA39" s="202">
        <f t="shared" si="6"/>
        <v>-70</v>
      </c>
      <c r="BB39" s="202">
        <f t="shared" si="6"/>
        <v>-70</v>
      </c>
      <c r="BC39" s="202">
        <f t="shared" si="6"/>
        <v>-71</v>
      </c>
      <c r="BD39" s="202">
        <f t="shared" si="6"/>
        <v>-71</v>
      </c>
      <c r="BE39" s="202">
        <f t="shared" si="6"/>
        <v>-67</v>
      </c>
      <c r="BF39" s="202">
        <f t="shared" si="6"/>
        <v>-64</v>
      </c>
      <c r="BG39" s="203">
        <f t="shared" si="6"/>
        <v>-68</v>
      </c>
    </row>
    <row r="40" spans="1:59" x14ac:dyDescent="0.25">
      <c r="A40" s="195" t="s">
        <v>242</v>
      </c>
      <c r="B40" s="196">
        <v>-52</v>
      </c>
      <c r="C40" s="183">
        <v>-56</v>
      </c>
      <c r="D40" s="183">
        <v>-54</v>
      </c>
      <c r="E40" s="183">
        <v>-52</v>
      </c>
      <c r="F40" s="183">
        <v>-53</v>
      </c>
      <c r="G40" s="183">
        <v>-53</v>
      </c>
      <c r="H40" s="183">
        <v>-52</v>
      </c>
      <c r="I40" s="183">
        <v>-51</v>
      </c>
      <c r="J40" s="183">
        <v>-50</v>
      </c>
      <c r="K40" s="184">
        <v>-50</v>
      </c>
      <c r="L40" s="217"/>
      <c r="M40" s="195" t="s">
        <v>242</v>
      </c>
      <c r="N40" s="196">
        <v>-56</v>
      </c>
      <c r="O40" s="183">
        <v>-58</v>
      </c>
      <c r="P40" s="183">
        <v>-56</v>
      </c>
      <c r="Q40" s="183">
        <v>-54</v>
      </c>
      <c r="R40" s="183">
        <v>-55</v>
      </c>
      <c r="S40" s="183">
        <v>-55</v>
      </c>
      <c r="T40" s="183">
        <v>-54</v>
      </c>
      <c r="U40" s="183">
        <v>-52</v>
      </c>
      <c r="V40" s="183">
        <v>-51</v>
      </c>
      <c r="W40" s="184">
        <v>-51</v>
      </c>
      <c r="X40" s="217"/>
      <c r="Y40" s="197" t="s">
        <v>242</v>
      </c>
      <c r="Z40" s="230">
        <v>-62</v>
      </c>
      <c r="AA40" s="231">
        <v>-64</v>
      </c>
      <c r="AB40" s="231">
        <v>-61</v>
      </c>
      <c r="AC40" s="231">
        <v>-58</v>
      </c>
      <c r="AD40" s="231">
        <v>-59</v>
      </c>
      <c r="AE40" s="231">
        <v>-58</v>
      </c>
      <c r="AF40" s="231">
        <v>-57</v>
      </c>
      <c r="AG40" s="231">
        <v>-54</v>
      </c>
      <c r="AH40" s="231">
        <v>-53</v>
      </c>
      <c r="AI40" s="232">
        <v>-53</v>
      </c>
      <c r="AJ40" s="217"/>
      <c r="AK40" s="197" t="s">
        <v>242</v>
      </c>
      <c r="AL40" s="198">
        <v>-65</v>
      </c>
      <c r="AM40" s="199">
        <v>-67</v>
      </c>
      <c r="AN40" s="199">
        <v>-65</v>
      </c>
      <c r="AO40" s="199">
        <v>-62</v>
      </c>
      <c r="AP40" s="199">
        <v>-62</v>
      </c>
      <c r="AQ40" s="199">
        <v>-62</v>
      </c>
      <c r="AR40" s="199">
        <v>-61</v>
      </c>
      <c r="AS40" s="199">
        <v>-59</v>
      </c>
      <c r="AT40" s="199">
        <v>-58</v>
      </c>
      <c r="AU40" s="200">
        <v>-58</v>
      </c>
      <c r="AW40" s="197" t="s">
        <v>242</v>
      </c>
      <c r="AX40" s="201">
        <f t="shared" si="7"/>
        <v>-70</v>
      </c>
      <c r="AY40" s="202">
        <f t="shared" si="6"/>
        <v>-72</v>
      </c>
      <c r="AZ40" s="202">
        <f t="shared" si="6"/>
        <v>-70</v>
      </c>
      <c r="BA40" s="202">
        <f t="shared" si="6"/>
        <v>-67</v>
      </c>
      <c r="BB40" s="202">
        <f t="shared" si="6"/>
        <v>-67</v>
      </c>
      <c r="BC40" s="202">
        <f t="shared" si="6"/>
        <v>-67</v>
      </c>
      <c r="BD40" s="202">
        <f t="shared" si="6"/>
        <v>-66</v>
      </c>
      <c r="BE40" s="202">
        <f t="shared" si="6"/>
        <v>-64</v>
      </c>
      <c r="BF40" s="202">
        <f t="shared" si="6"/>
        <v>-63</v>
      </c>
      <c r="BG40" s="203">
        <f t="shared" si="6"/>
        <v>-63</v>
      </c>
    </row>
    <row r="41" spans="1:59" x14ac:dyDescent="0.25">
      <c r="A41" s="195" t="s">
        <v>250</v>
      </c>
      <c r="B41" s="196">
        <v>-56</v>
      </c>
      <c r="C41" s="183">
        <v>-57</v>
      </c>
      <c r="D41" s="183">
        <v>-55</v>
      </c>
      <c r="E41" s="183">
        <v>-52</v>
      </c>
      <c r="F41" s="183">
        <v>-52</v>
      </c>
      <c r="G41" s="183">
        <v>-54</v>
      </c>
      <c r="H41" s="183">
        <v>-52</v>
      </c>
      <c r="I41" s="183">
        <v>-50</v>
      </c>
      <c r="J41" s="183">
        <v>-51</v>
      </c>
      <c r="K41" s="184">
        <v>-49</v>
      </c>
      <c r="L41" s="217"/>
      <c r="M41" s="195" t="s">
        <v>250</v>
      </c>
      <c r="N41" s="196">
        <v>-60</v>
      </c>
      <c r="O41" s="183">
        <v>-59</v>
      </c>
      <c r="P41" s="183">
        <v>-57</v>
      </c>
      <c r="Q41" s="183">
        <v>-54</v>
      </c>
      <c r="R41" s="183">
        <v>-54</v>
      </c>
      <c r="S41" s="183">
        <v>-56</v>
      </c>
      <c r="T41" s="183">
        <v>-54</v>
      </c>
      <c r="U41" s="183">
        <v>-51</v>
      </c>
      <c r="V41" s="183">
        <v>-52</v>
      </c>
      <c r="W41" s="184">
        <v>-50</v>
      </c>
      <c r="X41" s="217"/>
      <c r="Y41" s="197" t="s">
        <v>250</v>
      </c>
      <c r="Z41" s="230">
        <v>-66</v>
      </c>
      <c r="AA41" s="231">
        <v>-65</v>
      </c>
      <c r="AB41" s="231">
        <v>-62</v>
      </c>
      <c r="AC41" s="231">
        <v>-58</v>
      </c>
      <c r="AD41" s="231">
        <v>-58</v>
      </c>
      <c r="AE41" s="231">
        <v>-59</v>
      </c>
      <c r="AF41" s="231">
        <v>-57</v>
      </c>
      <c r="AG41" s="231">
        <v>-53</v>
      </c>
      <c r="AH41" s="231">
        <v>-54</v>
      </c>
      <c r="AI41" s="232">
        <v>-52</v>
      </c>
      <c r="AJ41" s="217"/>
      <c r="AK41" s="197" t="s">
        <v>250</v>
      </c>
      <c r="AL41" s="198">
        <v>-69</v>
      </c>
      <c r="AM41" s="199">
        <v>-68</v>
      </c>
      <c r="AN41" s="199">
        <v>-66</v>
      </c>
      <c r="AO41" s="199">
        <v>-62</v>
      </c>
      <c r="AP41" s="199">
        <v>-61</v>
      </c>
      <c r="AQ41" s="199">
        <v>-63</v>
      </c>
      <c r="AR41" s="199">
        <v>-61</v>
      </c>
      <c r="AS41" s="199">
        <v>-58</v>
      </c>
      <c r="AT41" s="199">
        <v>-59</v>
      </c>
      <c r="AU41" s="200">
        <v>-57</v>
      </c>
      <c r="AW41" s="197" t="s">
        <v>250</v>
      </c>
      <c r="AX41" s="201">
        <f t="shared" si="7"/>
        <v>-74</v>
      </c>
      <c r="AY41" s="202">
        <f t="shared" si="6"/>
        <v>-73</v>
      </c>
      <c r="AZ41" s="202">
        <f t="shared" si="6"/>
        <v>-71</v>
      </c>
      <c r="BA41" s="202">
        <f t="shared" si="6"/>
        <v>-67</v>
      </c>
      <c r="BB41" s="202">
        <f t="shared" si="6"/>
        <v>-66</v>
      </c>
      <c r="BC41" s="202">
        <f t="shared" si="6"/>
        <v>-68</v>
      </c>
      <c r="BD41" s="202">
        <f t="shared" si="6"/>
        <v>-66</v>
      </c>
      <c r="BE41" s="202">
        <f t="shared" si="6"/>
        <v>-63</v>
      </c>
      <c r="BF41" s="202">
        <f t="shared" si="6"/>
        <v>-64</v>
      </c>
      <c r="BG41" s="203">
        <f t="shared" si="6"/>
        <v>-62</v>
      </c>
    </row>
    <row r="42" spans="1:59" x14ac:dyDescent="0.25">
      <c r="A42" s="195" t="s">
        <v>258</v>
      </c>
      <c r="B42" s="196">
        <v>-55</v>
      </c>
      <c r="C42" s="183">
        <v>-58</v>
      </c>
      <c r="D42" s="183">
        <v>-56</v>
      </c>
      <c r="E42" s="183">
        <v>-52</v>
      </c>
      <c r="F42" s="183">
        <v>-49</v>
      </c>
      <c r="G42" s="183">
        <v>-50</v>
      </c>
      <c r="H42" s="183">
        <v>-50</v>
      </c>
      <c r="I42" s="183">
        <v>-50</v>
      </c>
      <c r="J42" s="183">
        <v>-48</v>
      </c>
      <c r="K42" s="184">
        <v>-46</v>
      </c>
      <c r="L42" s="217"/>
      <c r="M42" s="195" t="s">
        <v>258</v>
      </c>
      <c r="N42" s="196">
        <v>-59</v>
      </c>
      <c r="O42" s="183">
        <v>-60</v>
      </c>
      <c r="P42" s="183">
        <v>-58</v>
      </c>
      <c r="Q42" s="183">
        <v>-54</v>
      </c>
      <c r="R42" s="183">
        <v>-51</v>
      </c>
      <c r="S42" s="183">
        <v>-52</v>
      </c>
      <c r="T42" s="183">
        <v>-52</v>
      </c>
      <c r="U42" s="183">
        <v>-51</v>
      </c>
      <c r="V42" s="183">
        <v>-49</v>
      </c>
      <c r="W42" s="184">
        <v>-47</v>
      </c>
      <c r="X42" s="217"/>
      <c r="Y42" s="197" t="s">
        <v>258</v>
      </c>
      <c r="Z42" s="230">
        <v>-64</v>
      </c>
      <c r="AA42" s="231">
        <v>-65</v>
      </c>
      <c r="AB42" s="231">
        <v>-63</v>
      </c>
      <c r="AC42" s="231">
        <v>-57</v>
      </c>
      <c r="AD42" s="231">
        <v>-53</v>
      </c>
      <c r="AE42" s="231">
        <v>-54</v>
      </c>
      <c r="AF42" s="231">
        <v>-53</v>
      </c>
      <c r="AG42" s="231">
        <v>-53</v>
      </c>
      <c r="AH42" s="231">
        <v>-51</v>
      </c>
      <c r="AI42" s="232">
        <v>-49</v>
      </c>
      <c r="AJ42" s="217"/>
      <c r="AK42" s="197" t="s">
        <v>258</v>
      </c>
      <c r="AL42" s="198">
        <v>-68</v>
      </c>
      <c r="AM42" s="199">
        <v>-69</v>
      </c>
      <c r="AN42" s="199">
        <v>-67</v>
      </c>
      <c r="AO42" s="199">
        <v>-62</v>
      </c>
      <c r="AP42" s="199">
        <v>-57</v>
      </c>
      <c r="AQ42" s="199">
        <v>-58</v>
      </c>
      <c r="AR42" s="199">
        <v>-57</v>
      </c>
      <c r="AS42" s="199">
        <v>-57</v>
      </c>
      <c r="AT42" s="199">
        <v>-55</v>
      </c>
      <c r="AU42" s="200">
        <v>-53</v>
      </c>
      <c r="AW42" s="197" t="s">
        <v>258</v>
      </c>
      <c r="AX42" s="201">
        <f t="shared" si="7"/>
        <v>-73</v>
      </c>
      <c r="AY42" s="202">
        <f t="shared" si="6"/>
        <v>-74</v>
      </c>
      <c r="AZ42" s="202">
        <f t="shared" si="6"/>
        <v>-72</v>
      </c>
      <c r="BA42" s="202">
        <f t="shared" si="6"/>
        <v>-67</v>
      </c>
      <c r="BB42" s="202">
        <f t="shared" si="6"/>
        <v>-62</v>
      </c>
      <c r="BC42" s="202">
        <f t="shared" si="6"/>
        <v>-63</v>
      </c>
      <c r="BD42" s="202">
        <f t="shared" si="6"/>
        <v>-62</v>
      </c>
      <c r="BE42" s="202">
        <f t="shared" si="6"/>
        <v>-62</v>
      </c>
      <c r="BF42" s="202">
        <f t="shared" si="6"/>
        <v>-60</v>
      </c>
      <c r="BG42" s="203">
        <f t="shared" si="6"/>
        <v>-58</v>
      </c>
    </row>
    <row r="43" spans="1:59" ht="15.75" thickBot="1" x14ac:dyDescent="0.3">
      <c r="A43" s="204" t="s">
        <v>265</v>
      </c>
      <c r="B43" s="207">
        <v>-55</v>
      </c>
      <c r="C43" s="205">
        <v>-59</v>
      </c>
      <c r="D43" s="205">
        <v>-55</v>
      </c>
      <c r="E43" s="205">
        <v>-50</v>
      </c>
      <c r="F43" s="205">
        <v>-49</v>
      </c>
      <c r="G43" s="205">
        <v>-51</v>
      </c>
      <c r="H43" s="205">
        <v>-48</v>
      </c>
      <c r="I43" s="205">
        <v>-52</v>
      </c>
      <c r="J43" s="205">
        <v>-50</v>
      </c>
      <c r="K43" s="206">
        <v>-46</v>
      </c>
      <c r="L43" s="217"/>
      <c r="M43" s="204" t="s">
        <v>265</v>
      </c>
      <c r="N43" s="207">
        <v>-59</v>
      </c>
      <c r="O43" s="205">
        <v>-61</v>
      </c>
      <c r="P43" s="205">
        <v>-57</v>
      </c>
      <c r="Q43" s="205">
        <v>-52</v>
      </c>
      <c r="R43" s="205">
        <v>-51</v>
      </c>
      <c r="S43" s="205">
        <v>-53</v>
      </c>
      <c r="T43" s="205">
        <v>-50</v>
      </c>
      <c r="U43" s="205">
        <v>-53</v>
      </c>
      <c r="V43" s="205">
        <v>-51</v>
      </c>
      <c r="W43" s="206">
        <v>-47</v>
      </c>
      <c r="X43" s="217"/>
      <c r="Y43" s="208" t="s">
        <v>265</v>
      </c>
      <c r="Z43" s="233">
        <v>-64</v>
      </c>
      <c r="AA43" s="234">
        <v>-66</v>
      </c>
      <c r="AB43" s="234">
        <v>-62</v>
      </c>
      <c r="AC43" s="234">
        <v>-55</v>
      </c>
      <c r="AD43" s="234">
        <v>-53</v>
      </c>
      <c r="AE43" s="234">
        <v>-55</v>
      </c>
      <c r="AF43" s="234">
        <v>-51</v>
      </c>
      <c r="AG43" s="234">
        <v>-55</v>
      </c>
      <c r="AH43" s="234">
        <v>-53</v>
      </c>
      <c r="AI43" s="235">
        <v>-49</v>
      </c>
      <c r="AJ43" s="217"/>
      <c r="AK43" s="208" t="s">
        <v>265</v>
      </c>
      <c r="AL43" s="209">
        <v>-68</v>
      </c>
      <c r="AM43" s="210">
        <v>-70</v>
      </c>
      <c r="AN43" s="210">
        <v>-66</v>
      </c>
      <c r="AO43" s="210">
        <v>-60</v>
      </c>
      <c r="AP43" s="210">
        <v>-57</v>
      </c>
      <c r="AQ43" s="210">
        <v>-59</v>
      </c>
      <c r="AR43" s="210">
        <v>-55</v>
      </c>
      <c r="AS43" s="210">
        <v>-59</v>
      </c>
      <c r="AT43" s="210">
        <v>-57</v>
      </c>
      <c r="AU43" s="211">
        <v>-53</v>
      </c>
      <c r="AW43" s="208" t="s">
        <v>265</v>
      </c>
      <c r="AX43" s="212">
        <f t="shared" si="7"/>
        <v>-73</v>
      </c>
      <c r="AY43" s="213">
        <f t="shared" si="6"/>
        <v>-75</v>
      </c>
      <c r="AZ43" s="213">
        <f t="shared" si="6"/>
        <v>-71</v>
      </c>
      <c r="BA43" s="213">
        <f t="shared" si="6"/>
        <v>-65</v>
      </c>
      <c r="BB43" s="213">
        <f t="shared" si="6"/>
        <v>-62</v>
      </c>
      <c r="BC43" s="213">
        <f t="shared" si="6"/>
        <v>-64</v>
      </c>
      <c r="BD43" s="213">
        <f t="shared" si="6"/>
        <v>-60</v>
      </c>
      <c r="BE43" s="213">
        <f t="shared" si="6"/>
        <v>-64</v>
      </c>
      <c r="BF43" s="213">
        <f t="shared" si="6"/>
        <v>-62</v>
      </c>
      <c r="BG43" s="214">
        <f t="shared" si="6"/>
        <v>-58</v>
      </c>
    </row>
  </sheetData>
  <sheetProtection algorithmName="SHA-512" hashValue="f5V/lQ0UMB0xz1oX+nE2CFHIe9bKE7CcyUm1fuNZ7PJm+1BWIy4EWm+36UmBpB2fv4Rq6soSawjasqUn0Ov0zA==" saltValue="xsyz3+6D90kMKcHuHWGjH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  <pageSetup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793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-23</v>
      </c>
      <c r="C4" s="183">
        <v>-10</v>
      </c>
      <c r="D4" s="183">
        <v>-15</v>
      </c>
      <c r="E4" s="183">
        <v>-31</v>
      </c>
      <c r="F4" s="183">
        <v>-33</v>
      </c>
      <c r="G4" s="183">
        <v>-38</v>
      </c>
      <c r="H4" s="183">
        <v>-38</v>
      </c>
      <c r="I4" s="183">
        <v>-39</v>
      </c>
      <c r="J4" s="183">
        <v>-37</v>
      </c>
      <c r="K4" s="184">
        <v>-31</v>
      </c>
      <c r="L4" s="217"/>
      <c r="M4" s="182" t="s">
        <v>187</v>
      </c>
      <c r="N4" s="185">
        <v>-30</v>
      </c>
      <c r="O4" s="186">
        <v>-15</v>
      </c>
      <c r="P4" s="186">
        <v>-20</v>
      </c>
      <c r="Q4" s="186">
        <v>-36</v>
      </c>
      <c r="R4" s="186">
        <v>-37</v>
      </c>
      <c r="S4" s="186">
        <v>-41</v>
      </c>
      <c r="T4" s="186">
        <v>-41</v>
      </c>
      <c r="U4" s="186">
        <v>-41</v>
      </c>
      <c r="V4" s="186">
        <v>-39</v>
      </c>
      <c r="W4" s="187">
        <v>-33</v>
      </c>
      <c r="X4" s="217"/>
      <c r="Y4" s="188" t="s">
        <v>187</v>
      </c>
      <c r="Z4" s="189">
        <v>-35</v>
      </c>
      <c r="AA4" s="190">
        <v>-20</v>
      </c>
      <c r="AB4" s="190">
        <v>-24</v>
      </c>
      <c r="AC4" s="190">
        <v>-40</v>
      </c>
      <c r="AD4" s="190">
        <v>-41</v>
      </c>
      <c r="AE4" s="190">
        <v>-45</v>
      </c>
      <c r="AF4" s="190">
        <v>-44</v>
      </c>
      <c r="AG4" s="190">
        <v>-44</v>
      </c>
      <c r="AH4" s="190">
        <v>-42</v>
      </c>
      <c r="AI4" s="191">
        <v>-36</v>
      </c>
      <c r="AJ4" s="217"/>
      <c r="AK4" s="188" t="s">
        <v>187</v>
      </c>
      <c r="AL4" s="189">
        <v>-40</v>
      </c>
      <c r="AM4" s="190">
        <v>-25</v>
      </c>
      <c r="AN4" s="190">
        <v>-29</v>
      </c>
      <c r="AO4" s="190">
        <v>-45</v>
      </c>
      <c r="AP4" s="190">
        <v>-46</v>
      </c>
      <c r="AQ4" s="190">
        <v>-50</v>
      </c>
      <c r="AR4" s="190">
        <v>-49</v>
      </c>
      <c r="AS4" s="190">
        <v>-49</v>
      </c>
      <c r="AT4" s="190">
        <v>-47</v>
      </c>
      <c r="AU4" s="191">
        <v>-41</v>
      </c>
      <c r="AW4" s="188" t="s">
        <v>187</v>
      </c>
      <c r="AX4" s="192">
        <f>AL4-5</f>
        <v>-45</v>
      </c>
      <c r="AY4" s="193">
        <f t="shared" ref="AY4:BG10" si="0">AM4-5</f>
        <v>-30</v>
      </c>
      <c r="AZ4" s="193">
        <f t="shared" si="0"/>
        <v>-34</v>
      </c>
      <c r="BA4" s="193">
        <f t="shared" si="0"/>
        <v>-50</v>
      </c>
      <c r="BB4" s="193">
        <f t="shared" si="0"/>
        <v>-51</v>
      </c>
      <c r="BC4" s="193">
        <f t="shared" si="0"/>
        <v>-55</v>
      </c>
      <c r="BD4" s="193">
        <f t="shared" si="0"/>
        <v>-54</v>
      </c>
      <c r="BE4" s="193">
        <f t="shared" si="0"/>
        <v>-54</v>
      </c>
      <c r="BF4" s="193">
        <f t="shared" si="0"/>
        <v>-52</v>
      </c>
      <c r="BG4" s="194">
        <f t="shared" si="0"/>
        <v>-46</v>
      </c>
    </row>
    <row r="5" spans="1:59" ht="14.45" x14ac:dyDescent="0.3">
      <c r="A5" s="195" t="s">
        <v>214</v>
      </c>
      <c r="B5" s="183">
        <v>-20</v>
      </c>
      <c r="C5" s="183">
        <v>-21</v>
      </c>
      <c r="D5" s="183">
        <v>-21</v>
      </c>
      <c r="E5" s="183">
        <v>-31</v>
      </c>
      <c r="F5" s="183">
        <v>-32</v>
      </c>
      <c r="G5" s="183">
        <v>-37</v>
      </c>
      <c r="H5" s="183">
        <v>-35</v>
      </c>
      <c r="I5" s="183">
        <v>-38</v>
      </c>
      <c r="J5" s="183">
        <v>-36</v>
      </c>
      <c r="K5" s="184">
        <v>-30</v>
      </c>
      <c r="L5" s="217"/>
      <c r="M5" s="195" t="s">
        <v>214</v>
      </c>
      <c r="N5" s="196">
        <v>-27</v>
      </c>
      <c r="O5" s="183">
        <v>-26</v>
      </c>
      <c r="P5" s="183">
        <v>-26</v>
      </c>
      <c r="Q5" s="183">
        <v>-36</v>
      </c>
      <c r="R5" s="183">
        <v>-36</v>
      </c>
      <c r="S5" s="183">
        <v>-40</v>
      </c>
      <c r="T5" s="183">
        <v>-38</v>
      </c>
      <c r="U5" s="183">
        <v>-40</v>
      </c>
      <c r="V5" s="183">
        <v>-38</v>
      </c>
      <c r="W5" s="184">
        <v>-32</v>
      </c>
      <c r="X5" s="217"/>
      <c r="Y5" s="197" t="s">
        <v>214</v>
      </c>
      <c r="Z5" s="198">
        <v>-32</v>
      </c>
      <c r="AA5" s="199">
        <v>-31</v>
      </c>
      <c r="AB5" s="199">
        <v>-30</v>
      </c>
      <c r="AC5" s="199">
        <v>-40</v>
      </c>
      <c r="AD5" s="199">
        <v>-40</v>
      </c>
      <c r="AE5" s="199">
        <v>-44</v>
      </c>
      <c r="AF5" s="199">
        <v>-41</v>
      </c>
      <c r="AG5" s="199">
        <v>-43</v>
      </c>
      <c r="AH5" s="199">
        <v>-41</v>
      </c>
      <c r="AI5" s="200">
        <v>-35</v>
      </c>
      <c r="AJ5" s="217"/>
      <c r="AK5" s="197" t="s">
        <v>214</v>
      </c>
      <c r="AL5" s="198">
        <v>-37</v>
      </c>
      <c r="AM5" s="199">
        <v>-36</v>
      </c>
      <c r="AN5" s="199">
        <v>-35</v>
      </c>
      <c r="AO5" s="199">
        <v>-45</v>
      </c>
      <c r="AP5" s="199">
        <v>-45</v>
      </c>
      <c r="AQ5" s="199">
        <v>-49</v>
      </c>
      <c r="AR5" s="199">
        <v>-46</v>
      </c>
      <c r="AS5" s="199">
        <v>-48</v>
      </c>
      <c r="AT5" s="199">
        <v>-46</v>
      </c>
      <c r="AU5" s="200">
        <v>-40</v>
      </c>
      <c r="AW5" s="197" t="s">
        <v>214</v>
      </c>
      <c r="AX5" s="201">
        <f t="shared" ref="AX5:AX10" si="1">AL5-5</f>
        <v>-42</v>
      </c>
      <c r="AY5" s="202">
        <f t="shared" si="0"/>
        <v>-41</v>
      </c>
      <c r="AZ5" s="202">
        <f t="shared" si="0"/>
        <v>-40</v>
      </c>
      <c r="BA5" s="202">
        <f t="shared" si="0"/>
        <v>-50</v>
      </c>
      <c r="BB5" s="202">
        <f t="shared" si="0"/>
        <v>-50</v>
      </c>
      <c r="BC5" s="202">
        <f t="shared" si="0"/>
        <v>-54</v>
      </c>
      <c r="BD5" s="202">
        <f t="shared" si="0"/>
        <v>-51</v>
      </c>
      <c r="BE5" s="202">
        <f t="shared" si="0"/>
        <v>-53</v>
      </c>
      <c r="BF5" s="202">
        <f t="shared" si="0"/>
        <v>-51</v>
      </c>
      <c r="BG5" s="203">
        <f t="shared" si="0"/>
        <v>-45</v>
      </c>
    </row>
    <row r="6" spans="1:59" ht="14.45" x14ac:dyDescent="0.3">
      <c r="A6" s="195" t="s">
        <v>233</v>
      </c>
      <c r="B6" s="183">
        <v>-32</v>
      </c>
      <c r="C6" s="183">
        <v>-30</v>
      </c>
      <c r="D6" s="183">
        <v>-31</v>
      </c>
      <c r="E6" s="183">
        <v>-30</v>
      </c>
      <c r="F6" s="183">
        <v>-35</v>
      </c>
      <c r="G6" s="183">
        <v>-38</v>
      </c>
      <c r="H6" s="183">
        <v>-34</v>
      </c>
      <c r="I6" s="183">
        <v>-38</v>
      </c>
      <c r="J6" s="183">
        <v>-35</v>
      </c>
      <c r="K6" s="184">
        <v>-37</v>
      </c>
      <c r="L6" s="217"/>
      <c r="M6" s="195" t="s">
        <v>233</v>
      </c>
      <c r="N6" s="196">
        <v>-39</v>
      </c>
      <c r="O6" s="183">
        <v>-35</v>
      </c>
      <c r="P6" s="183">
        <v>-36</v>
      </c>
      <c r="Q6" s="183">
        <v>-35</v>
      </c>
      <c r="R6" s="183">
        <v>-39</v>
      </c>
      <c r="S6" s="183">
        <v>-41</v>
      </c>
      <c r="T6" s="183">
        <v>-37</v>
      </c>
      <c r="U6" s="183">
        <v>-40</v>
      </c>
      <c r="V6" s="183">
        <v>-37</v>
      </c>
      <c r="W6" s="184">
        <v>-39</v>
      </c>
      <c r="X6" s="217"/>
      <c r="Y6" s="197" t="s">
        <v>233</v>
      </c>
      <c r="Z6" s="198">
        <v>-44</v>
      </c>
      <c r="AA6" s="199">
        <v>-40</v>
      </c>
      <c r="AB6" s="199">
        <v>-40</v>
      </c>
      <c r="AC6" s="199">
        <v>-39</v>
      </c>
      <c r="AD6" s="199">
        <v>-43</v>
      </c>
      <c r="AE6" s="199">
        <v>-45</v>
      </c>
      <c r="AF6" s="199">
        <v>-40</v>
      </c>
      <c r="AG6" s="199">
        <v>-43</v>
      </c>
      <c r="AH6" s="199">
        <v>-40</v>
      </c>
      <c r="AI6" s="200">
        <v>-42</v>
      </c>
      <c r="AJ6" s="217"/>
      <c r="AK6" s="197" t="s">
        <v>233</v>
      </c>
      <c r="AL6" s="198">
        <v>-49</v>
      </c>
      <c r="AM6" s="199">
        <v>-45</v>
      </c>
      <c r="AN6" s="199">
        <v>-45</v>
      </c>
      <c r="AO6" s="199">
        <v>-44</v>
      </c>
      <c r="AP6" s="199">
        <v>-48</v>
      </c>
      <c r="AQ6" s="199">
        <v>-50</v>
      </c>
      <c r="AR6" s="199">
        <v>-45</v>
      </c>
      <c r="AS6" s="199">
        <v>-48</v>
      </c>
      <c r="AT6" s="199">
        <v>-45</v>
      </c>
      <c r="AU6" s="200">
        <v>-47</v>
      </c>
      <c r="AW6" s="197" t="s">
        <v>233</v>
      </c>
      <c r="AX6" s="201">
        <f t="shared" si="1"/>
        <v>-54</v>
      </c>
      <c r="AY6" s="202">
        <f t="shared" si="0"/>
        <v>-50</v>
      </c>
      <c r="AZ6" s="202">
        <f t="shared" si="0"/>
        <v>-50</v>
      </c>
      <c r="BA6" s="202">
        <f t="shared" si="0"/>
        <v>-49</v>
      </c>
      <c r="BB6" s="202">
        <f t="shared" si="0"/>
        <v>-53</v>
      </c>
      <c r="BC6" s="202">
        <f t="shared" si="0"/>
        <v>-55</v>
      </c>
      <c r="BD6" s="202">
        <f t="shared" si="0"/>
        <v>-50</v>
      </c>
      <c r="BE6" s="202">
        <f t="shared" si="0"/>
        <v>-53</v>
      </c>
      <c r="BF6" s="202">
        <f t="shared" si="0"/>
        <v>-50</v>
      </c>
      <c r="BG6" s="203">
        <f t="shared" si="0"/>
        <v>-52</v>
      </c>
    </row>
    <row r="7" spans="1:59" ht="14.45" x14ac:dyDescent="0.3">
      <c r="A7" s="195" t="s">
        <v>242</v>
      </c>
      <c r="B7" s="183">
        <v>-32</v>
      </c>
      <c r="C7" s="183">
        <v>-34</v>
      </c>
      <c r="D7" s="183">
        <v>-33</v>
      </c>
      <c r="E7" s="183">
        <v>-34</v>
      </c>
      <c r="F7" s="183">
        <v>-34</v>
      </c>
      <c r="G7" s="183">
        <v>-36</v>
      </c>
      <c r="H7" s="183">
        <v>-32</v>
      </c>
      <c r="I7" s="183">
        <v>-36</v>
      </c>
      <c r="J7" s="183">
        <v>-33</v>
      </c>
      <c r="K7" s="184">
        <v>-33</v>
      </c>
      <c r="L7" s="217"/>
      <c r="M7" s="195" t="s">
        <v>242</v>
      </c>
      <c r="N7" s="196">
        <v>-38</v>
      </c>
      <c r="O7" s="183">
        <v>-38</v>
      </c>
      <c r="P7" s="183">
        <v>-37</v>
      </c>
      <c r="Q7" s="183">
        <v>-38</v>
      </c>
      <c r="R7" s="183">
        <v>-38</v>
      </c>
      <c r="S7" s="183">
        <v>-38</v>
      </c>
      <c r="T7" s="183">
        <v>-34</v>
      </c>
      <c r="U7" s="183">
        <v>-38</v>
      </c>
      <c r="V7" s="183">
        <v>-35</v>
      </c>
      <c r="W7" s="184">
        <v>-35</v>
      </c>
      <c r="X7" s="217"/>
      <c r="Y7" s="197" t="s">
        <v>242</v>
      </c>
      <c r="Z7" s="198">
        <v>-42</v>
      </c>
      <c r="AA7" s="199">
        <v>-42</v>
      </c>
      <c r="AB7" s="199">
        <v>-41</v>
      </c>
      <c r="AC7" s="199">
        <v>-41</v>
      </c>
      <c r="AD7" s="199">
        <v>-41</v>
      </c>
      <c r="AE7" s="199">
        <v>-42</v>
      </c>
      <c r="AF7" s="199">
        <v>-37</v>
      </c>
      <c r="AG7" s="199">
        <v>-40</v>
      </c>
      <c r="AH7" s="199">
        <v>-37</v>
      </c>
      <c r="AI7" s="200">
        <v>-37</v>
      </c>
      <c r="AJ7" s="217"/>
      <c r="AK7" s="197" t="s">
        <v>242</v>
      </c>
      <c r="AL7" s="198">
        <v>-47</v>
      </c>
      <c r="AM7" s="199">
        <v>-47</v>
      </c>
      <c r="AN7" s="199">
        <v>-46</v>
      </c>
      <c r="AO7" s="199">
        <v>-46</v>
      </c>
      <c r="AP7" s="199">
        <v>-46</v>
      </c>
      <c r="AQ7" s="199">
        <v>-47</v>
      </c>
      <c r="AR7" s="199">
        <v>-42</v>
      </c>
      <c r="AS7" s="199">
        <v>-45</v>
      </c>
      <c r="AT7" s="199">
        <v>-42</v>
      </c>
      <c r="AU7" s="200">
        <v>-42</v>
      </c>
      <c r="AW7" s="197" t="s">
        <v>242</v>
      </c>
      <c r="AX7" s="201">
        <f t="shared" si="1"/>
        <v>-52</v>
      </c>
      <c r="AY7" s="202">
        <f t="shared" si="0"/>
        <v>-52</v>
      </c>
      <c r="AZ7" s="202">
        <f t="shared" si="0"/>
        <v>-51</v>
      </c>
      <c r="BA7" s="202">
        <f t="shared" si="0"/>
        <v>-51</v>
      </c>
      <c r="BB7" s="202">
        <f t="shared" si="0"/>
        <v>-51</v>
      </c>
      <c r="BC7" s="202">
        <f t="shared" si="0"/>
        <v>-52</v>
      </c>
      <c r="BD7" s="202">
        <f t="shared" si="0"/>
        <v>-47</v>
      </c>
      <c r="BE7" s="202">
        <f t="shared" si="0"/>
        <v>-50</v>
      </c>
      <c r="BF7" s="202">
        <f t="shared" si="0"/>
        <v>-47</v>
      </c>
      <c r="BG7" s="203">
        <f t="shared" si="0"/>
        <v>-47</v>
      </c>
    </row>
    <row r="8" spans="1:59" ht="14.45" x14ac:dyDescent="0.3">
      <c r="A8" s="195" t="s">
        <v>250</v>
      </c>
      <c r="B8" s="183">
        <v>-34</v>
      </c>
      <c r="C8" s="183">
        <v>-39</v>
      </c>
      <c r="D8" s="183">
        <v>-38</v>
      </c>
      <c r="E8" s="183">
        <v>-36</v>
      </c>
      <c r="F8" s="183">
        <v>-34</v>
      </c>
      <c r="G8" s="183">
        <v>-36</v>
      </c>
      <c r="H8" s="183">
        <v>-30</v>
      </c>
      <c r="I8" s="183">
        <v>-34</v>
      </c>
      <c r="J8" s="183">
        <v>-34</v>
      </c>
      <c r="K8" s="184">
        <v>-34</v>
      </c>
      <c r="L8" s="217"/>
      <c r="M8" s="195" t="s">
        <v>250</v>
      </c>
      <c r="N8" s="196">
        <v>-40</v>
      </c>
      <c r="O8" s="183">
        <v>-43</v>
      </c>
      <c r="P8" s="183">
        <v>-42</v>
      </c>
      <c r="Q8" s="183">
        <v>-40</v>
      </c>
      <c r="R8" s="183">
        <v>-38</v>
      </c>
      <c r="S8" s="183">
        <v>-38</v>
      </c>
      <c r="T8" s="183">
        <v>-32</v>
      </c>
      <c r="U8" s="183">
        <v>-36</v>
      </c>
      <c r="V8" s="183">
        <v>-36</v>
      </c>
      <c r="W8" s="184">
        <v>-36</v>
      </c>
      <c r="X8" s="217"/>
      <c r="Y8" s="197" t="s">
        <v>250</v>
      </c>
      <c r="Z8" s="198">
        <v>-44</v>
      </c>
      <c r="AA8" s="199">
        <v>-47</v>
      </c>
      <c r="AB8" s="199">
        <v>-46</v>
      </c>
      <c r="AC8" s="199">
        <v>-43</v>
      </c>
      <c r="AD8" s="199">
        <v>-41</v>
      </c>
      <c r="AE8" s="199">
        <v>-42</v>
      </c>
      <c r="AF8" s="199">
        <v>-35</v>
      </c>
      <c r="AG8" s="199">
        <v>-38</v>
      </c>
      <c r="AH8" s="199">
        <v>-38</v>
      </c>
      <c r="AI8" s="200">
        <v>-38</v>
      </c>
      <c r="AJ8" s="217"/>
      <c r="AK8" s="197" t="s">
        <v>250</v>
      </c>
      <c r="AL8" s="198">
        <v>-49</v>
      </c>
      <c r="AM8" s="199">
        <v>-52</v>
      </c>
      <c r="AN8" s="199">
        <v>-51</v>
      </c>
      <c r="AO8" s="199">
        <v>-48</v>
      </c>
      <c r="AP8" s="199">
        <v>-46</v>
      </c>
      <c r="AQ8" s="199">
        <v>-47</v>
      </c>
      <c r="AR8" s="199">
        <v>-40</v>
      </c>
      <c r="AS8" s="199">
        <v>-43</v>
      </c>
      <c r="AT8" s="199">
        <v>-43</v>
      </c>
      <c r="AU8" s="200">
        <v>-43</v>
      </c>
      <c r="AW8" s="197" t="s">
        <v>250</v>
      </c>
      <c r="AX8" s="201">
        <f t="shared" si="1"/>
        <v>-54</v>
      </c>
      <c r="AY8" s="202">
        <f t="shared" si="0"/>
        <v>-57</v>
      </c>
      <c r="AZ8" s="202">
        <f t="shared" si="0"/>
        <v>-56</v>
      </c>
      <c r="BA8" s="202">
        <f t="shared" si="0"/>
        <v>-53</v>
      </c>
      <c r="BB8" s="202">
        <f t="shared" si="0"/>
        <v>-51</v>
      </c>
      <c r="BC8" s="202">
        <f t="shared" si="0"/>
        <v>-52</v>
      </c>
      <c r="BD8" s="202">
        <f t="shared" si="0"/>
        <v>-45</v>
      </c>
      <c r="BE8" s="202">
        <f t="shared" si="0"/>
        <v>-48</v>
      </c>
      <c r="BF8" s="202">
        <f t="shared" si="0"/>
        <v>-48</v>
      </c>
      <c r="BG8" s="203">
        <f t="shared" si="0"/>
        <v>-48</v>
      </c>
    </row>
    <row r="9" spans="1:59" ht="14.45" x14ac:dyDescent="0.3">
      <c r="A9" s="195" t="s">
        <v>258</v>
      </c>
      <c r="B9" s="183">
        <v>-35</v>
      </c>
      <c r="C9" s="183">
        <v>-37</v>
      </c>
      <c r="D9" s="183">
        <v>-36</v>
      </c>
      <c r="E9" s="183">
        <v>-33</v>
      </c>
      <c r="F9" s="183">
        <v>-36</v>
      </c>
      <c r="G9" s="183">
        <v>-31</v>
      </c>
      <c r="H9" s="183">
        <v>-27</v>
      </c>
      <c r="I9" s="183">
        <v>-34</v>
      </c>
      <c r="J9" s="183">
        <v>-30</v>
      </c>
      <c r="K9" s="184">
        <v>-32</v>
      </c>
      <c r="L9" s="217"/>
      <c r="M9" s="195" t="s">
        <v>258</v>
      </c>
      <c r="N9" s="196">
        <v>-40</v>
      </c>
      <c r="O9" s="183">
        <v>-40</v>
      </c>
      <c r="P9" s="183">
        <v>-39</v>
      </c>
      <c r="Q9" s="183">
        <v>-36</v>
      </c>
      <c r="R9" s="183">
        <v>-39</v>
      </c>
      <c r="S9" s="183">
        <v>-33</v>
      </c>
      <c r="T9" s="183">
        <v>-29</v>
      </c>
      <c r="U9" s="183">
        <v>-36</v>
      </c>
      <c r="V9" s="183">
        <v>-32</v>
      </c>
      <c r="W9" s="184">
        <v>-34</v>
      </c>
      <c r="X9" s="217"/>
      <c r="Y9" s="197" t="s">
        <v>258</v>
      </c>
      <c r="Z9" s="198">
        <v>-45</v>
      </c>
      <c r="AA9" s="199">
        <v>-45</v>
      </c>
      <c r="AB9" s="199">
        <v>-43</v>
      </c>
      <c r="AC9" s="199">
        <v>-39</v>
      </c>
      <c r="AD9" s="199">
        <v>-42</v>
      </c>
      <c r="AE9" s="199">
        <v>-37</v>
      </c>
      <c r="AF9" s="199">
        <v>-31</v>
      </c>
      <c r="AG9" s="199">
        <v>-38</v>
      </c>
      <c r="AH9" s="199">
        <v>-34</v>
      </c>
      <c r="AI9" s="200">
        <v>-36</v>
      </c>
      <c r="AJ9" s="217"/>
      <c r="AK9" s="197" t="s">
        <v>258</v>
      </c>
      <c r="AL9" s="198">
        <v>-50</v>
      </c>
      <c r="AM9" s="199">
        <v>-50</v>
      </c>
      <c r="AN9" s="199">
        <v>-48</v>
      </c>
      <c r="AO9" s="199">
        <v>-44</v>
      </c>
      <c r="AP9" s="199">
        <v>-47</v>
      </c>
      <c r="AQ9" s="199">
        <v>-42</v>
      </c>
      <c r="AR9" s="199">
        <v>-36</v>
      </c>
      <c r="AS9" s="199">
        <v>-43</v>
      </c>
      <c r="AT9" s="199">
        <v>-39</v>
      </c>
      <c r="AU9" s="200">
        <v>-41</v>
      </c>
      <c r="AW9" s="197" t="s">
        <v>258</v>
      </c>
      <c r="AX9" s="201">
        <f t="shared" si="1"/>
        <v>-55</v>
      </c>
      <c r="AY9" s="202">
        <f t="shared" si="0"/>
        <v>-55</v>
      </c>
      <c r="AZ9" s="202">
        <f t="shared" si="0"/>
        <v>-53</v>
      </c>
      <c r="BA9" s="202">
        <f t="shared" si="0"/>
        <v>-49</v>
      </c>
      <c r="BB9" s="202">
        <f t="shared" si="0"/>
        <v>-52</v>
      </c>
      <c r="BC9" s="202">
        <f t="shared" si="0"/>
        <v>-47</v>
      </c>
      <c r="BD9" s="202">
        <f t="shared" si="0"/>
        <v>-41</v>
      </c>
      <c r="BE9" s="202">
        <f t="shared" si="0"/>
        <v>-48</v>
      </c>
      <c r="BF9" s="202">
        <f t="shared" si="0"/>
        <v>-44</v>
      </c>
      <c r="BG9" s="203">
        <f t="shared" si="0"/>
        <v>-46</v>
      </c>
    </row>
    <row r="10" spans="1:59" thickBot="1" x14ac:dyDescent="0.35">
      <c r="A10" s="204" t="s">
        <v>265</v>
      </c>
      <c r="B10" s="205">
        <v>-37</v>
      </c>
      <c r="C10" s="205">
        <v>-39</v>
      </c>
      <c r="D10" s="205">
        <v>-36</v>
      </c>
      <c r="E10" s="205">
        <v>-34</v>
      </c>
      <c r="F10" s="205">
        <v>-36</v>
      </c>
      <c r="G10" s="205">
        <v>-33</v>
      </c>
      <c r="H10" s="205">
        <v>-32</v>
      </c>
      <c r="I10" s="205">
        <v>-38</v>
      </c>
      <c r="J10" s="205">
        <v>-34</v>
      </c>
      <c r="K10" s="206">
        <v>-30</v>
      </c>
      <c r="L10" s="217"/>
      <c r="M10" s="204" t="s">
        <v>265</v>
      </c>
      <c r="N10" s="207">
        <v>-42</v>
      </c>
      <c r="O10" s="205">
        <v>-42</v>
      </c>
      <c r="P10" s="205">
        <v>-39</v>
      </c>
      <c r="Q10" s="205">
        <v>-37</v>
      </c>
      <c r="R10" s="205">
        <v>-39</v>
      </c>
      <c r="S10" s="205">
        <v>-35</v>
      </c>
      <c r="T10" s="205">
        <v>-34</v>
      </c>
      <c r="U10" s="205">
        <v>-40</v>
      </c>
      <c r="V10" s="205">
        <v>-36</v>
      </c>
      <c r="W10" s="206">
        <v>-32</v>
      </c>
      <c r="X10" s="217"/>
      <c r="Y10" s="208" t="s">
        <v>265</v>
      </c>
      <c r="Z10" s="209">
        <v>-47</v>
      </c>
      <c r="AA10" s="210">
        <v>-47</v>
      </c>
      <c r="AB10" s="210">
        <v>-43</v>
      </c>
      <c r="AC10" s="210">
        <v>-40</v>
      </c>
      <c r="AD10" s="210">
        <v>-42</v>
      </c>
      <c r="AE10" s="210">
        <v>-39</v>
      </c>
      <c r="AF10" s="210">
        <v>-36</v>
      </c>
      <c r="AG10" s="210">
        <v>-42</v>
      </c>
      <c r="AH10" s="210">
        <v>-38</v>
      </c>
      <c r="AI10" s="211">
        <v>-34</v>
      </c>
      <c r="AJ10" s="217"/>
      <c r="AK10" s="208" t="s">
        <v>265</v>
      </c>
      <c r="AL10" s="209">
        <v>-52</v>
      </c>
      <c r="AM10" s="210">
        <v>-52</v>
      </c>
      <c r="AN10" s="210">
        <v>-48</v>
      </c>
      <c r="AO10" s="210">
        <v>-45</v>
      </c>
      <c r="AP10" s="210">
        <v>-47</v>
      </c>
      <c r="AQ10" s="210">
        <v>-44</v>
      </c>
      <c r="AR10" s="210">
        <v>-41</v>
      </c>
      <c r="AS10" s="210">
        <v>-47</v>
      </c>
      <c r="AT10" s="210">
        <v>-43</v>
      </c>
      <c r="AU10" s="211">
        <v>-39</v>
      </c>
      <c r="AW10" s="208" t="s">
        <v>265</v>
      </c>
      <c r="AX10" s="212">
        <f t="shared" si="1"/>
        <v>-57</v>
      </c>
      <c r="AY10" s="213">
        <f t="shared" si="0"/>
        <v>-57</v>
      </c>
      <c r="AZ10" s="213">
        <f t="shared" si="0"/>
        <v>-53</v>
      </c>
      <c r="BA10" s="213">
        <f t="shared" si="0"/>
        <v>-50</v>
      </c>
      <c r="BB10" s="213">
        <f t="shared" si="0"/>
        <v>-52</v>
      </c>
      <c r="BC10" s="213">
        <f t="shared" si="0"/>
        <v>-49</v>
      </c>
      <c r="BD10" s="213">
        <f t="shared" si="0"/>
        <v>-46</v>
      </c>
      <c r="BE10" s="213">
        <f t="shared" si="0"/>
        <v>-52</v>
      </c>
      <c r="BF10" s="213">
        <f t="shared" si="0"/>
        <v>-48</v>
      </c>
      <c r="BG10" s="214">
        <f t="shared" si="0"/>
        <v>-44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-29</v>
      </c>
      <c r="C15" s="186">
        <v>-16</v>
      </c>
      <c r="D15" s="186">
        <v>-21</v>
      </c>
      <c r="E15" s="186">
        <v>-36</v>
      </c>
      <c r="F15" s="186">
        <v>-36</v>
      </c>
      <c r="G15" s="186">
        <v>-41</v>
      </c>
      <c r="H15" s="186">
        <v>-41</v>
      </c>
      <c r="I15" s="186">
        <v>-42</v>
      </c>
      <c r="J15" s="186">
        <v>-40</v>
      </c>
      <c r="K15" s="187">
        <v>-34</v>
      </c>
      <c r="L15" s="217"/>
      <c r="M15" s="182" t="s">
        <v>187</v>
      </c>
      <c r="N15" s="185">
        <v>-36</v>
      </c>
      <c r="O15" s="186">
        <v>-21</v>
      </c>
      <c r="P15" s="186">
        <v>-26</v>
      </c>
      <c r="Q15" s="186">
        <v>-41</v>
      </c>
      <c r="R15" s="186">
        <v>-40</v>
      </c>
      <c r="S15" s="186">
        <v>-44</v>
      </c>
      <c r="T15" s="186">
        <v>-44</v>
      </c>
      <c r="U15" s="186">
        <v>-44</v>
      </c>
      <c r="V15" s="186">
        <v>-42</v>
      </c>
      <c r="W15" s="187">
        <v>-36</v>
      </c>
      <c r="X15" s="217"/>
      <c r="Y15" s="182" t="s">
        <v>187</v>
      </c>
      <c r="Z15" s="218">
        <v>-41</v>
      </c>
      <c r="AA15" s="219">
        <v>-26</v>
      </c>
      <c r="AB15" s="219">
        <v>-30</v>
      </c>
      <c r="AC15" s="219">
        <v>-45</v>
      </c>
      <c r="AD15" s="219">
        <v>-44</v>
      </c>
      <c r="AE15" s="219">
        <v>-48</v>
      </c>
      <c r="AF15" s="219">
        <v>-47</v>
      </c>
      <c r="AG15" s="219">
        <v>-47</v>
      </c>
      <c r="AH15" s="219">
        <v>-45</v>
      </c>
      <c r="AI15" s="220">
        <v>-39</v>
      </c>
      <c r="AJ15" s="217"/>
      <c r="AK15" s="188" t="s">
        <v>187</v>
      </c>
      <c r="AL15" s="189">
        <v>-46</v>
      </c>
      <c r="AM15" s="190">
        <v>-31</v>
      </c>
      <c r="AN15" s="190">
        <v>-35</v>
      </c>
      <c r="AO15" s="190">
        <v>-50</v>
      </c>
      <c r="AP15" s="190">
        <v>-49</v>
      </c>
      <c r="AQ15" s="190">
        <v>-53</v>
      </c>
      <c r="AR15" s="190">
        <v>-52</v>
      </c>
      <c r="AS15" s="190">
        <v>-52</v>
      </c>
      <c r="AT15" s="190">
        <v>-50</v>
      </c>
      <c r="AU15" s="191">
        <v>-44</v>
      </c>
      <c r="AW15" s="188" t="s">
        <v>187</v>
      </c>
      <c r="AX15" s="192">
        <f>AL15-5</f>
        <v>-51</v>
      </c>
      <c r="AY15" s="193">
        <f t="shared" ref="AY15:BG21" si="2">AM15-5</f>
        <v>-36</v>
      </c>
      <c r="AZ15" s="193">
        <f t="shared" si="2"/>
        <v>-40</v>
      </c>
      <c r="BA15" s="193">
        <f t="shared" si="2"/>
        <v>-55</v>
      </c>
      <c r="BB15" s="193">
        <f t="shared" si="2"/>
        <v>-54</v>
      </c>
      <c r="BC15" s="193">
        <f t="shared" si="2"/>
        <v>-58</v>
      </c>
      <c r="BD15" s="193">
        <f t="shared" si="2"/>
        <v>-57</v>
      </c>
      <c r="BE15" s="193">
        <f t="shared" si="2"/>
        <v>-57</v>
      </c>
      <c r="BF15" s="193">
        <f t="shared" si="2"/>
        <v>-55</v>
      </c>
      <c r="BG15" s="194">
        <f t="shared" si="2"/>
        <v>-49</v>
      </c>
    </row>
    <row r="16" spans="1:59" ht="14.45" x14ac:dyDescent="0.3">
      <c r="A16" s="195" t="s">
        <v>214</v>
      </c>
      <c r="B16" s="196">
        <v>-26</v>
      </c>
      <c r="C16" s="183">
        <v>-27</v>
      </c>
      <c r="D16" s="183">
        <v>-27</v>
      </c>
      <c r="E16" s="183">
        <v>-36</v>
      </c>
      <c r="F16" s="183">
        <v>-35</v>
      </c>
      <c r="G16" s="183">
        <v>-40</v>
      </c>
      <c r="H16" s="183">
        <v>-38</v>
      </c>
      <c r="I16" s="183">
        <v>-41</v>
      </c>
      <c r="J16" s="183">
        <v>-39</v>
      </c>
      <c r="K16" s="184">
        <v>-33</v>
      </c>
      <c r="L16" s="217"/>
      <c r="M16" s="195" t="s">
        <v>214</v>
      </c>
      <c r="N16" s="196">
        <v>-33</v>
      </c>
      <c r="O16" s="183">
        <v>-32</v>
      </c>
      <c r="P16" s="183">
        <v>-32</v>
      </c>
      <c r="Q16" s="183">
        <v>-41</v>
      </c>
      <c r="R16" s="183">
        <v>-39</v>
      </c>
      <c r="S16" s="183">
        <v>-43</v>
      </c>
      <c r="T16" s="183">
        <v>-41</v>
      </c>
      <c r="U16" s="183">
        <v>-43</v>
      </c>
      <c r="V16" s="183">
        <v>-41</v>
      </c>
      <c r="W16" s="184">
        <v>-35</v>
      </c>
      <c r="X16" s="217"/>
      <c r="Y16" s="195" t="s">
        <v>214</v>
      </c>
      <c r="Z16" s="221">
        <v>-38</v>
      </c>
      <c r="AA16" s="222">
        <v>-37</v>
      </c>
      <c r="AB16" s="222">
        <v>-36</v>
      </c>
      <c r="AC16" s="222">
        <v>-45</v>
      </c>
      <c r="AD16" s="222">
        <v>-43</v>
      </c>
      <c r="AE16" s="222">
        <v>-47</v>
      </c>
      <c r="AF16" s="222">
        <v>-44</v>
      </c>
      <c r="AG16" s="222">
        <v>-46</v>
      </c>
      <c r="AH16" s="222">
        <v>-44</v>
      </c>
      <c r="AI16" s="223">
        <v>-38</v>
      </c>
      <c r="AJ16" s="217"/>
      <c r="AK16" s="197" t="s">
        <v>214</v>
      </c>
      <c r="AL16" s="198">
        <v>-43</v>
      </c>
      <c r="AM16" s="199">
        <v>-42</v>
      </c>
      <c r="AN16" s="199">
        <v>-41</v>
      </c>
      <c r="AO16" s="199">
        <v>-50</v>
      </c>
      <c r="AP16" s="199">
        <v>-48</v>
      </c>
      <c r="AQ16" s="199">
        <v>-52</v>
      </c>
      <c r="AR16" s="199">
        <v>-49</v>
      </c>
      <c r="AS16" s="199">
        <v>-51</v>
      </c>
      <c r="AT16" s="199">
        <v>-49</v>
      </c>
      <c r="AU16" s="200">
        <v>-43</v>
      </c>
      <c r="AW16" s="197" t="s">
        <v>214</v>
      </c>
      <c r="AX16" s="201">
        <f t="shared" ref="AX16:AX21" si="3">AL16-5</f>
        <v>-48</v>
      </c>
      <c r="AY16" s="202">
        <f t="shared" si="2"/>
        <v>-47</v>
      </c>
      <c r="AZ16" s="202">
        <f t="shared" si="2"/>
        <v>-46</v>
      </c>
      <c r="BA16" s="202">
        <f t="shared" si="2"/>
        <v>-55</v>
      </c>
      <c r="BB16" s="202">
        <f t="shared" si="2"/>
        <v>-53</v>
      </c>
      <c r="BC16" s="202">
        <f t="shared" si="2"/>
        <v>-57</v>
      </c>
      <c r="BD16" s="202">
        <f t="shared" si="2"/>
        <v>-54</v>
      </c>
      <c r="BE16" s="202">
        <f t="shared" si="2"/>
        <v>-56</v>
      </c>
      <c r="BF16" s="202">
        <f t="shared" si="2"/>
        <v>-54</v>
      </c>
      <c r="BG16" s="203">
        <f t="shared" si="2"/>
        <v>-48</v>
      </c>
    </row>
    <row r="17" spans="1:59" ht="14.45" x14ac:dyDescent="0.3">
      <c r="A17" s="195" t="s">
        <v>233</v>
      </c>
      <c r="B17" s="196">
        <v>-38</v>
      </c>
      <c r="C17" s="183">
        <v>-36</v>
      </c>
      <c r="D17" s="183">
        <v>-37</v>
      </c>
      <c r="E17" s="183">
        <v>-35</v>
      </c>
      <c r="F17" s="183">
        <v>-38</v>
      </c>
      <c r="G17" s="183">
        <v>-41</v>
      </c>
      <c r="H17" s="183">
        <v>-37</v>
      </c>
      <c r="I17" s="183">
        <v>-41</v>
      </c>
      <c r="J17" s="183">
        <v>-38</v>
      </c>
      <c r="K17" s="184">
        <v>-40</v>
      </c>
      <c r="L17" s="217"/>
      <c r="M17" s="195" t="s">
        <v>233</v>
      </c>
      <c r="N17" s="196">
        <v>-45</v>
      </c>
      <c r="O17" s="183">
        <v>-41</v>
      </c>
      <c r="P17" s="183">
        <v>-42</v>
      </c>
      <c r="Q17" s="183">
        <v>-40</v>
      </c>
      <c r="R17" s="183">
        <v>-42</v>
      </c>
      <c r="S17" s="183">
        <v>-44</v>
      </c>
      <c r="T17" s="183">
        <v>-40</v>
      </c>
      <c r="U17" s="183">
        <v>-43</v>
      </c>
      <c r="V17" s="183">
        <v>-40</v>
      </c>
      <c r="W17" s="184">
        <v>-42</v>
      </c>
      <c r="X17" s="217"/>
      <c r="Y17" s="195" t="s">
        <v>233</v>
      </c>
      <c r="Z17" s="221">
        <v>-50</v>
      </c>
      <c r="AA17" s="222">
        <v>-46</v>
      </c>
      <c r="AB17" s="222">
        <v>-46</v>
      </c>
      <c r="AC17" s="222">
        <v>-44</v>
      </c>
      <c r="AD17" s="222">
        <v>-46</v>
      </c>
      <c r="AE17" s="222">
        <v>-48</v>
      </c>
      <c r="AF17" s="222">
        <v>-43</v>
      </c>
      <c r="AG17" s="222">
        <v>-46</v>
      </c>
      <c r="AH17" s="222">
        <v>-43</v>
      </c>
      <c r="AI17" s="223">
        <v>-45</v>
      </c>
      <c r="AJ17" s="217"/>
      <c r="AK17" s="197" t="s">
        <v>233</v>
      </c>
      <c r="AL17" s="198">
        <v>-55</v>
      </c>
      <c r="AM17" s="199">
        <v>-51</v>
      </c>
      <c r="AN17" s="199">
        <v>-51</v>
      </c>
      <c r="AO17" s="199">
        <v>-49</v>
      </c>
      <c r="AP17" s="199">
        <v>-51</v>
      </c>
      <c r="AQ17" s="199">
        <v>-53</v>
      </c>
      <c r="AR17" s="199">
        <v>-48</v>
      </c>
      <c r="AS17" s="199">
        <v>-51</v>
      </c>
      <c r="AT17" s="199">
        <v>-48</v>
      </c>
      <c r="AU17" s="200">
        <v>-50</v>
      </c>
      <c r="AW17" s="197" t="s">
        <v>233</v>
      </c>
      <c r="AX17" s="201">
        <f t="shared" si="3"/>
        <v>-60</v>
      </c>
      <c r="AY17" s="202">
        <f t="shared" si="2"/>
        <v>-56</v>
      </c>
      <c r="AZ17" s="202">
        <f t="shared" si="2"/>
        <v>-56</v>
      </c>
      <c r="BA17" s="202">
        <f t="shared" si="2"/>
        <v>-54</v>
      </c>
      <c r="BB17" s="202">
        <f t="shared" si="2"/>
        <v>-56</v>
      </c>
      <c r="BC17" s="202">
        <f t="shared" si="2"/>
        <v>-58</v>
      </c>
      <c r="BD17" s="202">
        <f t="shared" si="2"/>
        <v>-53</v>
      </c>
      <c r="BE17" s="202">
        <f t="shared" si="2"/>
        <v>-56</v>
      </c>
      <c r="BF17" s="202">
        <f t="shared" si="2"/>
        <v>-53</v>
      </c>
      <c r="BG17" s="203">
        <f t="shared" si="2"/>
        <v>-55</v>
      </c>
    </row>
    <row r="18" spans="1:59" ht="14.45" x14ac:dyDescent="0.3">
      <c r="A18" s="195" t="s">
        <v>242</v>
      </c>
      <c r="B18" s="196">
        <v>-37</v>
      </c>
      <c r="C18" s="183">
        <v>-39</v>
      </c>
      <c r="D18" s="183">
        <v>-38</v>
      </c>
      <c r="E18" s="183">
        <v>-38</v>
      </c>
      <c r="F18" s="183">
        <v>-37</v>
      </c>
      <c r="G18" s="183">
        <v>-39</v>
      </c>
      <c r="H18" s="183">
        <v>-34</v>
      </c>
      <c r="I18" s="183">
        <v>-38</v>
      </c>
      <c r="J18" s="183">
        <v>-35</v>
      </c>
      <c r="K18" s="184">
        <v>-35</v>
      </c>
      <c r="L18" s="217"/>
      <c r="M18" s="195" t="s">
        <v>242</v>
      </c>
      <c r="N18" s="196">
        <v>-43</v>
      </c>
      <c r="O18" s="183">
        <v>-43</v>
      </c>
      <c r="P18" s="183">
        <v>-42</v>
      </c>
      <c r="Q18" s="183">
        <v>-42</v>
      </c>
      <c r="R18" s="183">
        <v>-41</v>
      </c>
      <c r="S18" s="183">
        <v>-41</v>
      </c>
      <c r="T18" s="183">
        <v>-36</v>
      </c>
      <c r="U18" s="183">
        <v>-40</v>
      </c>
      <c r="V18" s="183">
        <v>-37</v>
      </c>
      <c r="W18" s="184">
        <v>-37</v>
      </c>
      <c r="X18" s="217"/>
      <c r="Y18" s="195" t="s">
        <v>242</v>
      </c>
      <c r="Z18" s="221">
        <v>-47</v>
      </c>
      <c r="AA18" s="222">
        <v>-47</v>
      </c>
      <c r="AB18" s="222">
        <v>-46</v>
      </c>
      <c r="AC18" s="222">
        <v>-45</v>
      </c>
      <c r="AD18" s="222">
        <v>-44</v>
      </c>
      <c r="AE18" s="222">
        <v>-45</v>
      </c>
      <c r="AF18" s="222">
        <v>-39</v>
      </c>
      <c r="AG18" s="222">
        <v>-42</v>
      </c>
      <c r="AH18" s="222">
        <v>-39</v>
      </c>
      <c r="AI18" s="223">
        <v>-39</v>
      </c>
      <c r="AJ18" s="217"/>
      <c r="AK18" s="197" t="s">
        <v>242</v>
      </c>
      <c r="AL18" s="198">
        <v>-52</v>
      </c>
      <c r="AM18" s="199">
        <v>-52</v>
      </c>
      <c r="AN18" s="199">
        <v>-51</v>
      </c>
      <c r="AO18" s="199">
        <v>-50</v>
      </c>
      <c r="AP18" s="199">
        <v>-49</v>
      </c>
      <c r="AQ18" s="199">
        <v>-50</v>
      </c>
      <c r="AR18" s="199">
        <v>-44</v>
      </c>
      <c r="AS18" s="199">
        <v>-47</v>
      </c>
      <c r="AT18" s="199">
        <v>-44</v>
      </c>
      <c r="AU18" s="200">
        <v>-44</v>
      </c>
      <c r="AW18" s="197" t="s">
        <v>242</v>
      </c>
      <c r="AX18" s="201">
        <f t="shared" si="3"/>
        <v>-57</v>
      </c>
      <c r="AY18" s="202">
        <f t="shared" si="2"/>
        <v>-57</v>
      </c>
      <c r="AZ18" s="202">
        <f t="shared" si="2"/>
        <v>-56</v>
      </c>
      <c r="BA18" s="202">
        <f t="shared" si="2"/>
        <v>-55</v>
      </c>
      <c r="BB18" s="202">
        <f t="shared" si="2"/>
        <v>-54</v>
      </c>
      <c r="BC18" s="202">
        <f t="shared" si="2"/>
        <v>-55</v>
      </c>
      <c r="BD18" s="202">
        <f t="shared" si="2"/>
        <v>-49</v>
      </c>
      <c r="BE18" s="202">
        <f t="shared" si="2"/>
        <v>-52</v>
      </c>
      <c r="BF18" s="202">
        <f t="shared" si="2"/>
        <v>-49</v>
      </c>
      <c r="BG18" s="203">
        <f t="shared" si="2"/>
        <v>-49</v>
      </c>
    </row>
    <row r="19" spans="1:59" ht="14.45" x14ac:dyDescent="0.3">
      <c r="A19" s="195" t="s">
        <v>250</v>
      </c>
      <c r="B19" s="196">
        <v>-39</v>
      </c>
      <c r="C19" s="183">
        <v>-44</v>
      </c>
      <c r="D19" s="183">
        <v>-43</v>
      </c>
      <c r="E19" s="183">
        <v>-40</v>
      </c>
      <c r="F19" s="183">
        <v>-37</v>
      </c>
      <c r="G19" s="183">
        <v>-39</v>
      </c>
      <c r="H19" s="183">
        <v>-32</v>
      </c>
      <c r="I19" s="183">
        <v>-36</v>
      </c>
      <c r="J19" s="183">
        <v>-36</v>
      </c>
      <c r="K19" s="184">
        <v>-36</v>
      </c>
      <c r="L19" s="217"/>
      <c r="M19" s="195" t="s">
        <v>250</v>
      </c>
      <c r="N19" s="196">
        <v>-45</v>
      </c>
      <c r="O19" s="183">
        <v>-48</v>
      </c>
      <c r="P19" s="183">
        <v>-47</v>
      </c>
      <c r="Q19" s="183">
        <v>-44</v>
      </c>
      <c r="R19" s="183">
        <v>-41</v>
      </c>
      <c r="S19" s="183">
        <v>-41</v>
      </c>
      <c r="T19" s="183">
        <v>-34</v>
      </c>
      <c r="U19" s="183">
        <v>-38</v>
      </c>
      <c r="V19" s="183">
        <v>-38</v>
      </c>
      <c r="W19" s="184">
        <v>-38</v>
      </c>
      <c r="X19" s="217"/>
      <c r="Y19" s="195" t="s">
        <v>250</v>
      </c>
      <c r="Z19" s="221">
        <v>-49</v>
      </c>
      <c r="AA19" s="222">
        <v>-52</v>
      </c>
      <c r="AB19" s="222">
        <v>-51</v>
      </c>
      <c r="AC19" s="222">
        <v>-47</v>
      </c>
      <c r="AD19" s="222">
        <v>-44</v>
      </c>
      <c r="AE19" s="222">
        <v>-45</v>
      </c>
      <c r="AF19" s="222">
        <v>-37</v>
      </c>
      <c r="AG19" s="222">
        <v>-40</v>
      </c>
      <c r="AH19" s="222">
        <v>-40</v>
      </c>
      <c r="AI19" s="223">
        <v>-40</v>
      </c>
      <c r="AJ19" s="217"/>
      <c r="AK19" s="197" t="s">
        <v>250</v>
      </c>
      <c r="AL19" s="198">
        <v>-54</v>
      </c>
      <c r="AM19" s="199">
        <v>-57</v>
      </c>
      <c r="AN19" s="199">
        <v>-56</v>
      </c>
      <c r="AO19" s="199">
        <v>-52</v>
      </c>
      <c r="AP19" s="199">
        <v>-49</v>
      </c>
      <c r="AQ19" s="199">
        <v>-50</v>
      </c>
      <c r="AR19" s="199">
        <v>-42</v>
      </c>
      <c r="AS19" s="199">
        <v>-45</v>
      </c>
      <c r="AT19" s="199">
        <v>-45</v>
      </c>
      <c r="AU19" s="200">
        <v>-45</v>
      </c>
      <c r="AW19" s="197" t="s">
        <v>250</v>
      </c>
      <c r="AX19" s="201">
        <f t="shared" si="3"/>
        <v>-59</v>
      </c>
      <c r="AY19" s="202">
        <f t="shared" si="2"/>
        <v>-62</v>
      </c>
      <c r="AZ19" s="202">
        <f t="shared" si="2"/>
        <v>-61</v>
      </c>
      <c r="BA19" s="202">
        <f t="shared" si="2"/>
        <v>-57</v>
      </c>
      <c r="BB19" s="202">
        <f t="shared" si="2"/>
        <v>-54</v>
      </c>
      <c r="BC19" s="202">
        <f t="shared" si="2"/>
        <v>-55</v>
      </c>
      <c r="BD19" s="202">
        <f t="shared" si="2"/>
        <v>-47</v>
      </c>
      <c r="BE19" s="202">
        <f t="shared" si="2"/>
        <v>-50</v>
      </c>
      <c r="BF19" s="202">
        <f t="shared" si="2"/>
        <v>-50</v>
      </c>
      <c r="BG19" s="203">
        <f t="shared" si="2"/>
        <v>-50</v>
      </c>
    </row>
    <row r="20" spans="1:59" ht="14.45" x14ac:dyDescent="0.3">
      <c r="A20" s="195" t="s">
        <v>258</v>
      </c>
      <c r="B20" s="196">
        <v>-38</v>
      </c>
      <c r="C20" s="183">
        <v>-40</v>
      </c>
      <c r="D20" s="183">
        <v>-39</v>
      </c>
      <c r="E20" s="183">
        <v>-36</v>
      </c>
      <c r="F20" s="183">
        <v>-38</v>
      </c>
      <c r="G20" s="183">
        <v>-33</v>
      </c>
      <c r="H20" s="183">
        <v>-29</v>
      </c>
      <c r="I20" s="183">
        <v>-36</v>
      </c>
      <c r="J20" s="183">
        <v>-32</v>
      </c>
      <c r="K20" s="184">
        <v>-34</v>
      </c>
      <c r="L20" s="217"/>
      <c r="M20" s="195" t="s">
        <v>258</v>
      </c>
      <c r="N20" s="196">
        <v>-43</v>
      </c>
      <c r="O20" s="183">
        <v>-43</v>
      </c>
      <c r="P20" s="183">
        <v>-42</v>
      </c>
      <c r="Q20" s="183">
        <v>-39</v>
      </c>
      <c r="R20" s="183">
        <v>-41</v>
      </c>
      <c r="S20" s="183">
        <v>-35</v>
      </c>
      <c r="T20" s="183">
        <v>-31</v>
      </c>
      <c r="U20" s="183">
        <v>-38</v>
      </c>
      <c r="V20" s="183">
        <v>-34</v>
      </c>
      <c r="W20" s="184">
        <v>-36</v>
      </c>
      <c r="X20" s="217"/>
      <c r="Y20" s="195" t="s">
        <v>258</v>
      </c>
      <c r="Z20" s="221">
        <v>-48</v>
      </c>
      <c r="AA20" s="222">
        <v>-48</v>
      </c>
      <c r="AB20" s="222">
        <v>-46</v>
      </c>
      <c r="AC20" s="222">
        <v>-42</v>
      </c>
      <c r="AD20" s="222">
        <v>-44</v>
      </c>
      <c r="AE20" s="222">
        <v>-39</v>
      </c>
      <c r="AF20" s="222">
        <v>-33</v>
      </c>
      <c r="AG20" s="222">
        <v>-40</v>
      </c>
      <c r="AH20" s="222">
        <v>-36</v>
      </c>
      <c r="AI20" s="223">
        <v>-38</v>
      </c>
      <c r="AJ20" s="217"/>
      <c r="AK20" s="197" t="s">
        <v>258</v>
      </c>
      <c r="AL20" s="198">
        <v>-53</v>
      </c>
      <c r="AM20" s="199">
        <v>-53</v>
      </c>
      <c r="AN20" s="199">
        <v>-51</v>
      </c>
      <c r="AO20" s="199">
        <v>-47</v>
      </c>
      <c r="AP20" s="199">
        <v>-49</v>
      </c>
      <c r="AQ20" s="199">
        <v>-44</v>
      </c>
      <c r="AR20" s="199">
        <v>-38</v>
      </c>
      <c r="AS20" s="199">
        <v>-45</v>
      </c>
      <c r="AT20" s="199">
        <v>-41</v>
      </c>
      <c r="AU20" s="200">
        <v>-43</v>
      </c>
      <c r="AW20" s="197" t="s">
        <v>258</v>
      </c>
      <c r="AX20" s="201">
        <f t="shared" si="3"/>
        <v>-58</v>
      </c>
      <c r="AY20" s="202">
        <f t="shared" si="2"/>
        <v>-58</v>
      </c>
      <c r="AZ20" s="202">
        <f t="shared" si="2"/>
        <v>-56</v>
      </c>
      <c r="BA20" s="202">
        <f t="shared" si="2"/>
        <v>-52</v>
      </c>
      <c r="BB20" s="202">
        <f t="shared" si="2"/>
        <v>-54</v>
      </c>
      <c r="BC20" s="202">
        <f t="shared" si="2"/>
        <v>-49</v>
      </c>
      <c r="BD20" s="202">
        <f t="shared" si="2"/>
        <v>-43</v>
      </c>
      <c r="BE20" s="202">
        <f t="shared" si="2"/>
        <v>-50</v>
      </c>
      <c r="BF20" s="202">
        <f t="shared" si="2"/>
        <v>-46</v>
      </c>
      <c r="BG20" s="203">
        <f t="shared" si="2"/>
        <v>-48</v>
      </c>
    </row>
    <row r="21" spans="1:59" thickBot="1" x14ac:dyDescent="0.35">
      <c r="A21" s="204" t="s">
        <v>265</v>
      </c>
      <c r="B21" s="207">
        <v>-40</v>
      </c>
      <c r="C21" s="205">
        <v>-42</v>
      </c>
      <c r="D21" s="205">
        <v>-39</v>
      </c>
      <c r="E21" s="205">
        <v>-37</v>
      </c>
      <c r="F21" s="205">
        <v>-38</v>
      </c>
      <c r="G21" s="205">
        <v>-35</v>
      </c>
      <c r="H21" s="205">
        <v>-34</v>
      </c>
      <c r="I21" s="205">
        <v>-40</v>
      </c>
      <c r="J21" s="205">
        <v>-36</v>
      </c>
      <c r="K21" s="206">
        <v>-32</v>
      </c>
      <c r="L21" s="217"/>
      <c r="M21" s="204" t="s">
        <v>265</v>
      </c>
      <c r="N21" s="207">
        <v>-45</v>
      </c>
      <c r="O21" s="205">
        <v>-45</v>
      </c>
      <c r="P21" s="205">
        <v>-42</v>
      </c>
      <c r="Q21" s="205">
        <v>-40</v>
      </c>
      <c r="R21" s="205">
        <v>-41</v>
      </c>
      <c r="S21" s="205">
        <v>-37</v>
      </c>
      <c r="T21" s="205">
        <v>-36</v>
      </c>
      <c r="U21" s="205">
        <v>-42</v>
      </c>
      <c r="V21" s="205">
        <v>-38</v>
      </c>
      <c r="W21" s="206">
        <v>-34</v>
      </c>
      <c r="X21" s="217"/>
      <c r="Y21" s="204" t="s">
        <v>265</v>
      </c>
      <c r="Z21" s="224">
        <v>-50</v>
      </c>
      <c r="AA21" s="225">
        <v>-50</v>
      </c>
      <c r="AB21" s="225">
        <v>-46</v>
      </c>
      <c r="AC21" s="225">
        <v>-43</v>
      </c>
      <c r="AD21" s="225">
        <v>-44</v>
      </c>
      <c r="AE21" s="225">
        <v>-41</v>
      </c>
      <c r="AF21" s="225">
        <v>-38</v>
      </c>
      <c r="AG21" s="225">
        <v>-44</v>
      </c>
      <c r="AH21" s="225">
        <v>-40</v>
      </c>
      <c r="AI21" s="226">
        <v>-36</v>
      </c>
      <c r="AJ21" s="217"/>
      <c r="AK21" s="208" t="s">
        <v>265</v>
      </c>
      <c r="AL21" s="209">
        <v>-55</v>
      </c>
      <c r="AM21" s="210">
        <v>-55</v>
      </c>
      <c r="AN21" s="210">
        <v>-51</v>
      </c>
      <c r="AO21" s="210">
        <v>-48</v>
      </c>
      <c r="AP21" s="210">
        <v>-49</v>
      </c>
      <c r="AQ21" s="210">
        <v>-46</v>
      </c>
      <c r="AR21" s="210">
        <v>-43</v>
      </c>
      <c r="AS21" s="210">
        <v>-49</v>
      </c>
      <c r="AT21" s="210">
        <v>-45</v>
      </c>
      <c r="AU21" s="211">
        <v>-41</v>
      </c>
      <c r="AW21" s="208" t="s">
        <v>265</v>
      </c>
      <c r="AX21" s="212">
        <f t="shared" si="3"/>
        <v>-60</v>
      </c>
      <c r="AY21" s="213">
        <f t="shared" si="2"/>
        <v>-60</v>
      </c>
      <c r="AZ21" s="213">
        <f t="shared" si="2"/>
        <v>-56</v>
      </c>
      <c r="BA21" s="213">
        <f t="shared" si="2"/>
        <v>-53</v>
      </c>
      <c r="BB21" s="213">
        <f t="shared" si="2"/>
        <v>-54</v>
      </c>
      <c r="BC21" s="213">
        <f t="shared" si="2"/>
        <v>-51</v>
      </c>
      <c r="BD21" s="213">
        <f t="shared" si="2"/>
        <v>-48</v>
      </c>
      <c r="BE21" s="213">
        <f t="shared" si="2"/>
        <v>-54</v>
      </c>
      <c r="BF21" s="213">
        <f t="shared" si="2"/>
        <v>-50</v>
      </c>
      <c r="BG21" s="214">
        <f t="shared" si="2"/>
        <v>-46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-39</v>
      </c>
      <c r="C26" s="186">
        <v>-26</v>
      </c>
      <c r="D26" s="186">
        <v>-29</v>
      </c>
      <c r="E26" s="186">
        <v>-42</v>
      </c>
      <c r="F26" s="186">
        <v>-43</v>
      </c>
      <c r="G26" s="186">
        <v>-47</v>
      </c>
      <c r="H26" s="186">
        <v>-47</v>
      </c>
      <c r="I26" s="186">
        <v>-48</v>
      </c>
      <c r="J26" s="186">
        <v>-46</v>
      </c>
      <c r="K26" s="187">
        <v>-40</v>
      </c>
      <c r="L26" s="217"/>
      <c r="M26" s="182" t="s">
        <v>187</v>
      </c>
      <c r="N26" s="185">
        <v>-46</v>
      </c>
      <c r="O26" s="186">
        <v>-31</v>
      </c>
      <c r="P26" s="186">
        <v>-34</v>
      </c>
      <c r="Q26" s="186">
        <v>-47</v>
      </c>
      <c r="R26" s="186">
        <v>-47</v>
      </c>
      <c r="S26" s="186">
        <v>-50</v>
      </c>
      <c r="T26" s="186">
        <v>-50</v>
      </c>
      <c r="U26" s="186">
        <v>-50</v>
      </c>
      <c r="V26" s="186">
        <v>-48</v>
      </c>
      <c r="W26" s="187">
        <v>-42</v>
      </c>
      <c r="X26" s="217"/>
      <c r="Y26" s="188" t="s">
        <v>187</v>
      </c>
      <c r="Z26" s="227">
        <v>-51</v>
      </c>
      <c r="AA26" s="228">
        <v>-36</v>
      </c>
      <c r="AB26" s="228">
        <v>-38</v>
      </c>
      <c r="AC26" s="228">
        <v>-51</v>
      </c>
      <c r="AD26" s="228">
        <v>-51</v>
      </c>
      <c r="AE26" s="228">
        <v>-54</v>
      </c>
      <c r="AF26" s="228">
        <v>-53</v>
      </c>
      <c r="AG26" s="228">
        <v>-53</v>
      </c>
      <c r="AH26" s="228">
        <v>-51</v>
      </c>
      <c r="AI26" s="229">
        <v>-45</v>
      </c>
      <c r="AJ26" s="217"/>
      <c r="AK26" s="188" t="s">
        <v>187</v>
      </c>
      <c r="AL26" s="189">
        <v>-56</v>
      </c>
      <c r="AM26" s="190">
        <v>-41</v>
      </c>
      <c r="AN26" s="190">
        <v>-43</v>
      </c>
      <c r="AO26" s="190">
        <v>-56</v>
      </c>
      <c r="AP26" s="190">
        <v>-56</v>
      </c>
      <c r="AQ26" s="190">
        <v>-59</v>
      </c>
      <c r="AR26" s="190">
        <v>-58</v>
      </c>
      <c r="AS26" s="190">
        <v>-58</v>
      </c>
      <c r="AT26" s="190">
        <v>-56</v>
      </c>
      <c r="AU26" s="191">
        <v>-50</v>
      </c>
      <c r="AW26" s="188" t="s">
        <v>187</v>
      </c>
      <c r="AX26" s="192">
        <f>AL26-5</f>
        <v>-61</v>
      </c>
      <c r="AY26" s="193">
        <f t="shared" ref="AY26:BG32" si="4">AM26-5</f>
        <v>-46</v>
      </c>
      <c r="AZ26" s="193">
        <f t="shared" si="4"/>
        <v>-48</v>
      </c>
      <c r="BA26" s="193">
        <f t="shared" si="4"/>
        <v>-61</v>
      </c>
      <c r="BB26" s="193">
        <f t="shared" si="4"/>
        <v>-61</v>
      </c>
      <c r="BC26" s="193">
        <f t="shared" si="4"/>
        <v>-64</v>
      </c>
      <c r="BD26" s="193">
        <f t="shared" si="4"/>
        <v>-63</v>
      </c>
      <c r="BE26" s="193">
        <f t="shared" si="4"/>
        <v>-63</v>
      </c>
      <c r="BF26" s="193">
        <f t="shared" si="4"/>
        <v>-61</v>
      </c>
      <c r="BG26" s="194">
        <f t="shared" si="4"/>
        <v>-55</v>
      </c>
    </row>
    <row r="27" spans="1:59" x14ac:dyDescent="0.25">
      <c r="A27" s="195" t="s">
        <v>214</v>
      </c>
      <c r="B27" s="196">
        <v>-36</v>
      </c>
      <c r="C27" s="183">
        <v>-37</v>
      </c>
      <c r="D27" s="183">
        <v>-35</v>
      </c>
      <c r="E27" s="183">
        <v>-42</v>
      </c>
      <c r="F27" s="183">
        <v>-42</v>
      </c>
      <c r="G27" s="183">
        <v>-46</v>
      </c>
      <c r="H27" s="183">
        <v>-44</v>
      </c>
      <c r="I27" s="183">
        <v>-47</v>
      </c>
      <c r="J27" s="183">
        <v>-45</v>
      </c>
      <c r="K27" s="184">
        <v>-39</v>
      </c>
      <c r="L27" s="217"/>
      <c r="M27" s="195" t="s">
        <v>214</v>
      </c>
      <c r="N27" s="196">
        <v>-43</v>
      </c>
      <c r="O27" s="183">
        <v>-42</v>
      </c>
      <c r="P27" s="183">
        <v>-40</v>
      </c>
      <c r="Q27" s="183">
        <v>-47</v>
      </c>
      <c r="R27" s="183">
        <v>-46</v>
      </c>
      <c r="S27" s="183">
        <v>-49</v>
      </c>
      <c r="T27" s="183">
        <v>-47</v>
      </c>
      <c r="U27" s="183">
        <v>-49</v>
      </c>
      <c r="V27" s="183">
        <v>-47</v>
      </c>
      <c r="W27" s="184">
        <v>-41</v>
      </c>
      <c r="X27" s="217"/>
      <c r="Y27" s="197" t="s">
        <v>214</v>
      </c>
      <c r="Z27" s="230">
        <v>-48</v>
      </c>
      <c r="AA27" s="231">
        <v>-47</v>
      </c>
      <c r="AB27" s="231">
        <v>-44</v>
      </c>
      <c r="AC27" s="231">
        <v>-51</v>
      </c>
      <c r="AD27" s="231">
        <v>-50</v>
      </c>
      <c r="AE27" s="231">
        <v>-53</v>
      </c>
      <c r="AF27" s="231">
        <v>-50</v>
      </c>
      <c r="AG27" s="231">
        <v>-52</v>
      </c>
      <c r="AH27" s="231">
        <v>-50</v>
      </c>
      <c r="AI27" s="232">
        <v>-44</v>
      </c>
      <c r="AJ27" s="217"/>
      <c r="AK27" s="197" t="s">
        <v>214</v>
      </c>
      <c r="AL27" s="198">
        <v>-53</v>
      </c>
      <c r="AM27" s="199">
        <v>-52</v>
      </c>
      <c r="AN27" s="199">
        <v>-49</v>
      </c>
      <c r="AO27" s="199">
        <v>-56</v>
      </c>
      <c r="AP27" s="199">
        <v>-55</v>
      </c>
      <c r="AQ27" s="199">
        <v>-58</v>
      </c>
      <c r="AR27" s="199">
        <v>-55</v>
      </c>
      <c r="AS27" s="199">
        <v>-57</v>
      </c>
      <c r="AT27" s="199">
        <v>-55</v>
      </c>
      <c r="AU27" s="200">
        <v>-49</v>
      </c>
      <c r="AW27" s="197" t="s">
        <v>214</v>
      </c>
      <c r="AX27" s="201">
        <f t="shared" ref="AX27:AX32" si="5">AL27-5</f>
        <v>-58</v>
      </c>
      <c r="AY27" s="202">
        <f t="shared" si="4"/>
        <v>-57</v>
      </c>
      <c r="AZ27" s="202">
        <f t="shared" si="4"/>
        <v>-54</v>
      </c>
      <c r="BA27" s="202">
        <f t="shared" si="4"/>
        <v>-61</v>
      </c>
      <c r="BB27" s="202">
        <f t="shared" si="4"/>
        <v>-60</v>
      </c>
      <c r="BC27" s="202">
        <f t="shared" si="4"/>
        <v>-63</v>
      </c>
      <c r="BD27" s="202">
        <f t="shared" si="4"/>
        <v>-60</v>
      </c>
      <c r="BE27" s="202">
        <f t="shared" si="4"/>
        <v>-62</v>
      </c>
      <c r="BF27" s="202">
        <f t="shared" si="4"/>
        <v>-60</v>
      </c>
      <c r="BG27" s="203">
        <f t="shared" si="4"/>
        <v>-54</v>
      </c>
    </row>
    <row r="28" spans="1:59" x14ac:dyDescent="0.25">
      <c r="A28" s="195" t="s">
        <v>233</v>
      </c>
      <c r="B28" s="196">
        <v>-48</v>
      </c>
      <c r="C28" s="183">
        <v>-46</v>
      </c>
      <c r="D28" s="183">
        <v>-45</v>
      </c>
      <c r="E28" s="183">
        <v>-41</v>
      </c>
      <c r="F28" s="183">
        <v>-45</v>
      </c>
      <c r="G28" s="183">
        <v>-47</v>
      </c>
      <c r="H28" s="183">
        <v>-43</v>
      </c>
      <c r="I28" s="183">
        <v>-47</v>
      </c>
      <c r="J28" s="183">
        <v>-44</v>
      </c>
      <c r="K28" s="184">
        <v>-46</v>
      </c>
      <c r="L28" s="217"/>
      <c r="M28" s="195" t="s">
        <v>233</v>
      </c>
      <c r="N28" s="196">
        <v>-55</v>
      </c>
      <c r="O28" s="183">
        <v>-51</v>
      </c>
      <c r="P28" s="183">
        <v>-50</v>
      </c>
      <c r="Q28" s="183">
        <v>-46</v>
      </c>
      <c r="R28" s="183">
        <v>-49</v>
      </c>
      <c r="S28" s="183">
        <v>-50</v>
      </c>
      <c r="T28" s="183">
        <v>-46</v>
      </c>
      <c r="U28" s="183">
        <v>-49</v>
      </c>
      <c r="V28" s="183">
        <v>-46</v>
      </c>
      <c r="W28" s="184">
        <v>-48</v>
      </c>
      <c r="X28" s="217"/>
      <c r="Y28" s="197" t="s">
        <v>233</v>
      </c>
      <c r="Z28" s="230">
        <v>-60</v>
      </c>
      <c r="AA28" s="231">
        <v>-56</v>
      </c>
      <c r="AB28" s="231">
        <v>-54</v>
      </c>
      <c r="AC28" s="231">
        <v>-50</v>
      </c>
      <c r="AD28" s="231">
        <v>-53</v>
      </c>
      <c r="AE28" s="231">
        <v>-54</v>
      </c>
      <c r="AF28" s="231">
        <v>-49</v>
      </c>
      <c r="AG28" s="231">
        <v>-52</v>
      </c>
      <c r="AH28" s="231">
        <v>-49</v>
      </c>
      <c r="AI28" s="232">
        <v>-51</v>
      </c>
      <c r="AJ28" s="217"/>
      <c r="AK28" s="197" t="s">
        <v>233</v>
      </c>
      <c r="AL28" s="198">
        <v>-65</v>
      </c>
      <c r="AM28" s="199">
        <v>-61</v>
      </c>
      <c r="AN28" s="199">
        <v>-59</v>
      </c>
      <c r="AO28" s="199">
        <v>-55</v>
      </c>
      <c r="AP28" s="199">
        <v>-58</v>
      </c>
      <c r="AQ28" s="199">
        <v>-59</v>
      </c>
      <c r="AR28" s="199">
        <v>-54</v>
      </c>
      <c r="AS28" s="199">
        <v>-57</v>
      </c>
      <c r="AT28" s="199">
        <v>-54</v>
      </c>
      <c r="AU28" s="200">
        <v>-56</v>
      </c>
      <c r="AW28" s="197" t="s">
        <v>233</v>
      </c>
      <c r="AX28" s="201">
        <f t="shared" si="5"/>
        <v>-70</v>
      </c>
      <c r="AY28" s="202">
        <f t="shared" si="4"/>
        <v>-66</v>
      </c>
      <c r="AZ28" s="202">
        <f t="shared" si="4"/>
        <v>-64</v>
      </c>
      <c r="BA28" s="202">
        <f t="shared" si="4"/>
        <v>-60</v>
      </c>
      <c r="BB28" s="202">
        <f t="shared" si="4"/>
        <v>-63</v>
      </c>
      <c r="BC28" s="202">
        <f t="shared" si="4"/>
        <v>-64</v>
      </c>
      <c r="BD28" s="202">
        <f t="shared" si="4"/>
        <v>-59</v>
      </c>
      <c r="BE28" s="202">
        <f t="shared" si="4"/>
        <v>-62</v>
      </c>
      <c r="BF28" s="202">
        <f t="shared" si="4"/>
        <v>-59</v>
      </c>
      <c r="BG28" s="203">
        <f t="shared" si="4"/>
        <v>-61</v>
      </c>
    </row>
    <row r="29" spans="1:59" x14ac:dyDescent="0.25">
      <c r="A29" s="195" t="s">
        <v>242</v>
      </c>
      <c r="B29" s="196">
        <v>-47</v>
      </c>
      <c r="C29" s="183">
        <v>-47</v>
      </c>
      <c r="D29" s="183">
        <v>-44</v>
      </c>
      <c r="E29" s="183">
        <v>-44</v>
      </c>
      <c r="F29" s="183">
        <v>-43</v>
      </c>
      <c r="G29" s="183">
        <v>-45</v>
      </c>
      <c r="H29" s="183">
        <v>-40</v>
      </c>
      <c r="I29" s="183">
        <v>-44</v>
      </c>
      <c r="J29" s="183">
        <v>-41</v>
      </c>
      <c r="K29" s="184">
        <v>-41</v>
      </c>
      <c r="L29" s="217"/>
      <c r="M29" s="195" t="s">
        <v>242</v>
      </c>
      <c r="N29" s="196">
        <v>-53</v>
      </c>
      <c r="O29" s="183">
        <v>-51</v>
      </c>
      <c r="P29" s="183">
        <v>-48</v>
      </c>
      <c r="Q29" s="183">
        <v>-48</v>
      </c>
      <c r="R29" s="183">
        <v>-47</v>
      </c>
      <c r="S29" s="183">
        <v>-47</v>
      </c>
      <c r="T29" s="183">
        <v>-42</v>
      </c>
      <c r="U29" s="183">
        <v>-46</v>
      </c>
      <c r="V29" s="183">
        <v>-43</v>
      </c>
      <c r="W29" s="184">
        <v>-43</v>
      </c>
      <c r="X29" s="217"/>
      <c r="Y29" s="197" t="s">
        <v>242</v>
      </c>
      <c r="Z29" s="230">
        <v>-57</v>
      </c>
      <c r="AA29" s="231">
        <v>-55</v>
      </c>
      <c r="AB29" s="231">
        <v>-52</v>
      </c>
      <c r="AC29" s="231">
        <v>-51</v>
      </c>
      <c r="AD29" s="231">
        <v>-50</v>
      </c>
      <c r="AE29" s="231">
        <v>-51</v>
      </c>
      <c r="AF29" s="231">
        <v>-45</v>
      </c>
      <c r="AG29" s="231">
        <v>-48</v>
      </c>
      <c r="AH29" s="231">
        <v>-45</v>
      </c>
      <c r="AI29" s="232">
        <v>-45</v>
      </c>
      <c r="AJ29" s="217"/>
      <c r="AK29" s="197" t="s">
        <v>242</v>
      </c>
      <c r="AL29" s="198">
        <v>-62</v>
      </c>
      <c r="AM29" s="199">
        <v>-60</v>
      </c>
      <c r="AN29" s="199">
        <v>-57</v>
      </c>
      <c r="AO29" s="199">
        <v>-56</v>
      </c>
      <c r="AP29" s="199">
        <v>-55</v>
      </c>
      <c r="AQ29" s="199">
        <v>-56</v>
      </c>
      <c r="AR29" s="199">
        <v>-50</v>
      </c>
      <c r="AS29" s="199">
        <v>-53</v>
      </c>
      <c r="AT29" s="199">
        <v>-50</v>
      </c>
      <c r="AU29" s="200">
        <v>-50</v>
      </c>
      <c r="AW29" s="197" t="s">
        <v>242</v>
      </c>
      <c r="AX29" s="201">
        <f t="shared" si="5"/>
        <v>-67</v>
      </c>
      <c r="AY29" s="202">
        <f t="shared" si="4"/>
        <v>-65</v>
      </c>
      <c r="AZ29" s="202">
        <f t="shared" si="4"/>
        <v>-62</v>
      </c>
      <c r="BA29" s="202">
        <f t="shared" si="4"/>
        <v>-61</v>
      </c>
      <c r="BB29" s="202">
        <f t="shared" si="4"/>
        <v>-60</v>
      </c>
      <c r="BC29" s="202">
        <f t="shared" si="4"/>
        <v>-61</v>
      </c>
      <c r="BD29" s="202">
        <f t="shared" si="4"/>
        <v>-55</v>
      </c>
      <c r="BE29" s="202">
        <f t="shared" si="4"/>
        <v>-58</v>
      </c>
      <c r="BF29" s="202">
        <f t="shared" si="4"/>
        <v>-55</v>
      </c>
      <c r="BG29" s="203">
        <f t="shared" si="4"/>
        <v>-55</v>
      </c>
    </row>
    <row r="30" spans="1:59" x14ac:dyDescent="0.25">
      <c r="A30" s="195" t="s">
        <v>250</v>
      </c>
      <c r="B30" s="196">
        <v>-49</v>
      </c>
      <c r="C30" s="183">
        <v>-52</v>
      </c>
      <c r="D30" s="183">
        <v>-49</v>
      </c>
      <c r="E30" s="183">
        <v>-46</v>
      </c>
      <c r="F30" s="183">
        <v>-43</v>
      </c>
      <c r="G30" s="183">
        <v>-45</v>
      </c>
      <c r="H30" s="183">
        <v>-38</v>
      </c>
      <c r="I30" s="183">
        <v>-42</v>
      </c>
      <c r="J30" s="183">
        <v>-42</v>
      </c>
      <c r="K30" s="184">
        <v>-42</v>
      </c>
      <c r="L30" s="217"/>
      <c r="M30" s="195" t="s">
        <v>250</v>
      </c>
      <c r="N30" s="196">
        <v>-55</v>
      </c>
      <c r="O30" s="183">
        <v>-56</v>
      </c>
      <c r="P30" s="183">
        <v>-53</v>
      </c>
      <c r="Q30" s="183">
        <v>-50</v>
      </c>
      <c r="R30" s="183">
        <v>-47</v>
      </c>
      <c r="S30" s="183">
        <v>-47</v>
      </c>
      <c r="T30" s="183">
        <v>-40</v>
      </c>
      <c r="U30" s="183">
        <v>-44</v>
      </c>
      <c r="V30" s="183">
        <v>-44</v>
      </c>
      <c r="W30" s="184">
        <v>-44</v>
      </c>
      <c r="X30" s="217"/>
      <c r="Y30" s="197" t="s">
        <v>250</v>
      </c>
      <c r="Z30" s="230">
        <v>-59</v>
      </c>
      <c r="AA30" s="231">
        <v>-60</v>
      </c>
      <c r="AB30" s="231">
        <v>-57</v>
      </c>
      <c r="AC30" s="231">
        <v>-53</v>
      </c>
      <c r="AD30" s="231">
        <v>-50</v>
      </c>
      <c r="AE30" s="231">
        <v>-51</v>
      </c>
      <c r="AF30" s="231">
        <v>-43</v>
      </c>
      <c r="AG30" s="231">
        <v>-46</v>
      </c>
      <c r="AH30" s="231">
        <v>-46</v>
      </c>
      <c r="AI30" s="232">
        <v>-46</v>
      </c>
      <c r="AJ30" s="217"/>
      <c r="AK30" s="197" t="s">
        <v>250</v>
      </c>
      <c r="AL30" s="198">
        <v>-64</v>
      </c>
      <c r="AM30" s="199">
        <v>-65</v>
      </c>
      <c r="AN30" s="199">
        <v>-62</v>
      </c>
      <c r="AO30" s="199">
        <v>-58</v>
      </c>
      <c r="AP30" s="199">
        <v>-55</v>
      </c>
      <c r="AQ30" s="199">
        <v>-56</v>
      </c>
      <c r="AR30" s="199">
        <v>-48</v>
      </c>
      <c r="AS30" s="199">
        <v>-51</v>
      </c>
      <c r="AT30" s="199">
        <v>-51</v>
      </c>
      <c r="AU30" s="200">
        <v>-51</v>
      </c>
      <c r="AW30" s="197" t="s">
        <v>250</v>
      </c>
      <c r="AX30" s="201">
        <f t="shared" si="5"/>
        <v>-69</v>
      </c>
      <c r="AY30" s="202">
        <f t="shared" si="4"/>
        <v>-70</v>
      </c>
      <c r="AZ30" s="202">
        <f t="shared" si="4"/>
        <v>-67</v>
      </c>
      <c r="BA30" s="202">
        <f t="shared" si="4"/>
        <v>-63</v>
      </c>
      <c r="BB30" s="202">
        <f t="shared" si="4"/>
        <v>-60</v>
      </c>
      <c r="BC30" s="202">
        <f t="shared" si="4"/>
        <v>-61</v>
      </c>
      <c r="BD30" s="202">
        <f t="shared" si="4"/>
        <v>-53</v>
      </c>
      <c r="BE30" s="202">
        <f t="shared" si="4"/>
        <v>-56</v>
      </c>
      <c r="BF30" s="202">
        <f t="shared" si="4"/>
        <v>-56</v>
      </c>
      <c r="BG30" s="203">
        <f t="shared" si="4"/>
        <v>-56</v>
      </c>
    </row>
    <row r="31" spans="1:59" x14ac:dyDescent="0.25">
      <c r="A31" s="195" t="s">
        <v>258</v>
      </c>
      <c r="B31" s="196">
        <v>-46</v>
      </c>
      <c r="C31" s="183">
        <v>-48</v>
      </c>
      <c r="D31" s="183">
        <v>-45</v>
      </c>
      <c r="E31" s="183">
        <v>-42</v>
      </c>
      <c r="F31" s="183">
        <v>-44</v>
      </c>
      <c r="G31" s="183">
        <v>-39</v>
      </c>
      <c r="H31" s="183">
        <v>-35</v>
      </c>
      <c r="I31" s="183">
        <v>-41</v>
      </c>
      <c r="J31" s="183">
        <v>-37</v>
      </c>
      <c r="K31" s="184">
        <v>-39</v>
      </c>
      <c r="L31" s="217"/>
      <c r="M31" s="195" t="s">
        <v>258</v>
      </c>
      <c r="N31" s="196">
        <v>-51</v>
      </c>
      <c r="O31" s="183">
        <v>-51</v>
      </c>
      <c r="P31" s="183">
        <v>-48</v>
      </c>
      <c r="Q31" s="183">
        <v>-45</v>
      </c>
      <c r="R31" s="183">
        <v>-47</v>
      </c>
      <c r="S31" s="183">
        <v>-41</v>
      </c>
      <c r="T31" s="183">
        <v>-37</v>
      </c>
      <c r="U31" s="183">
        <v>-43</v>
      </c>
      <c r="V31" s="183">
        <v>-39</v>
      </c>
      <c r="W31" s="184">
        <v>-41</v>
      </c>
      <c r="X31" s="217"/>
      <c r="Y31" s="197" t="s">
        <v>258</v>
      </c>
      <c r="Z31" s="230">
        <v>-56</v>
      </c>
      <c r="AA31" s="231">
        <v>-56</v>
      </c>
      <c r="AB31" s="231">
        <v>-52</v>
      </c>
      <c r="AC31" s="231">
        <v>-48</v>
      </c>
      <c r="AD31" s="231">
        <v>-50</v>
      </c>
      <c r="AE31" s="231">
        <v>-45</v>
      </c>
      <c r="AF31" s="231">
        <v>-39</v>
      </c>
      <c r="AG31" s="231">
        <v>-45</v>
      </c>
      <c r="AH31" s="231">
        <v>-41</v>
      </c>
      <c r="AI31" s="232">
        <v>-43</v>
      </c>
      <c r="AJ31" s="217"/>
      <c r="AK31" s="197" t="s">
        <v>258</v>
      </c>
      <c r="AL31" s="198">
        <v>-61</v>
      </c>
      <c r="AM31" s="199">
        <v>-61</v>
      </c>
      <c r="AN31" s="199">
        <v>-57</v>
      </c>
      <c r="AO31" s="199">
        <v>-53</v>
      </c>
      <c r="AP31" s="199">
        <v>-55</v>
      </c>
      <c r="AQ31" s="199">
        <v>-50</v>
      </c>
      <c r="AR31" s="199">
        <v>-44</v>
      </c>
      <c r="AS31" s="199">
        <v>-50</v>
      </c>
      <c r="AT31" s="199">
        <v>-46</v>
      </c>
      <c r="AU31" s="200">
        <v>-48</v>
      </c>
      <c r="AW31" s="197" t="s">
        <v>258</v>
      </c>
      <c r="AX31" s="201">
        <f t="shared" si="5"/>
        <v>-66</v>
      </c>
      <c r="AY31" s="202">
        <f t="shared" si="4"/>
        <v>-66</v>
      </c>
      <c r="AZ31" s="202">
        <f t="shared" si="4"/>
        <v>-62</v>
      </c>
      <c r="BA31" s="202">
        <f t="shared" si="4"/>
        <v>-58</v>
      </c>
      <c r="BB31" s="202">
        <f t="shared" si="4"/>
        <v>-60</v>
      </c>
      <c r="BC31" s="202">
        <f t="shared" si="4"/>
        <v>-55</v>
      </c>
      <c r="BD31" s="202">
        <f t="shared" si="4"/>
        <v>-49</v>
      </c>
      <c r="BE31" s="202">
        <f t="shared" si="4"/>
        <v>-55</v>
      </c>
      <c r="BF31" s="202">
        <f t="shared" si="4"/>
        <v>-51</v>
      </c>
      <c r="BG31" s="203">
        <f t="shared" si="4"/>
        <v>-53</v>
      </c>
    </row>
    <row r="32" spans="1:59" ht="15.75" thickBot="1" x14ac:dyDescent="0.3">
      <c r="A32" s="204" t="s">
        <v>265</v>
      </c>
      <c r="B32" s="207">
        <v>-48</v>
      </c>
      <c r="C32" s="205">
        <v>-50</v>
      </c>
      <c r="D32" s="205">
        <v>-45</v>
      </c>
      <c r="E32" s="205">
        <v>-43</v>
      </c>
      <c r="F32" s="205">
        <v>-44</v>
      </c>
      <c r="G32" s="205">
        <v>-41</v>
      </c>
      <c r="H32" s="205">
        <v>-40</v>
      </c>
      <c r="I32" s="205">
        <v>-45</v>
      </c>
      <c r="J32" s="205">
        <v>-41</v>
      </c>
      <c r="K32" s="206">
        <v>-37</v>
      </c>
      <c r="L32" s="217"/>
      <c r="M32" s="204" t="s">
        <v>265</v>
      </c>
      <c r="N32" s="207">
        <v>-53</v>
      </c>
      <c r="O32" s="205">
        <v>-53</v>
      </c>
      <c r="P32" s="205">
        <v>-48</v>
      </c>
      <c r="Q32" s="205">
        <v>-46</v>
      </c>
      <c r="R32" s="205">
        <v>-47</v>
      </c>
      <c r="S32" s="205">
        <v>-43</v>
      </c>
      <c r="T32" s="205">
        <v>-42</v>
      </c>
      <c r="U32" s="205">
        <v>-47</v>
      </c>
      <c r="V32" s="205">
        <v>-43</v>
      </c>
      <c r="W32" s="206">
        <v>-39</v>
      </c>
      <c r="X32" s="217"/>
      <c r="Y32" s="208" t="s">
        <v>265</v>
      </c>
      <c r="Z32" s="233">
        <v>-58</v>
      </c>
      <c r="AA32" s="234">
        <v>-58</v>
      </c>
      <c r="AB32" s="234">
        <v>-52</v>
      </c>
      <c r="AC32" s="234">
        <v>-49</v>
      </c>
      <c r="AD32" s="234">
        <v>-50</v>
      </c>
      <c r="AE32" s="234">
        <v>-47</v>
      </c>
      <c r="AF32" s="234">
        <v>-44</v>
      </c>
      <c r="AG32" s="234">
        <v>-49</v>
      </c>
      <c r="AH32" s="234">
        <v>-45</v>
      </c>
      <c r="AI32" s="235">
        <v>-41</v>
      </c>
      <c r="AJ32" s="217"/>
      <c r="AK32" s="208" t="s">
        <v>265</v>
      </c>
      <c r="AL32" s="209">
        <v>-63</v>
      </c>
      <c r="AM32" s="210">
        <v>-63</v>
      </c>
      <c r="AN32" s="210">
        <v>-57</v>
      </c>
      <c r="AO32" s="210">
        <v>-54</v>
      </c>
      <c r="AP32" s="210">
        <v>-55</v>
      </c>
      <c r="AQ32" s="210">
        <v>-52</v>
      </c>
      <c r="AR32" s="210">
        <v>-49</v>
      </c>
      <c r="AS32" s="210">
        <v>-54</v>
      </c>
      <c r="AT32" s="210">
        <v>-50</v>
      </c>
      <c r="AU32" s="211">
        <v>-46</v>
      </c>
      <c r="AW32" s="208" t="s">
        <v>265</v>
      </c>
      <c r="AX32" s="212">
        <f t="shared" si="5"/>
        <v>-68</v>
      </c>
      <c r="AY32" s="213">
        <f t="shared" si="4"/>
        <v>-68</v>
      </c>
      <c r="AZ32" s="213">
        <f t="shared" si="4"/>
        <v>-62</v>
      </c>
      <c r="BA32" s="213">
        <f t="shared" si="4"/>
        <v>-59</v>
      </c>
      <c r="BB32" s="213">
        <f t="shared" si="4"/>
        <v>-60</v>
      </c>
      <c r="BC32" s="213">
        <f t="shared" si="4"/>
        <v>-57</v>
      </c>
      <c r="BD32" s="213">
        <f t="shared" si="4"/>
        <v>-54</v>
      </c>
      <c r="BE32" s="213">
        <f t="shared" si="4"/>
        <v>-59</v>
      </c>
      <c r="BF32" s="213">
        <f t="shared" si="4"/>
        <v>-55</v>
      </c>
      <c r="BG32" s="214">
        <f t="shared" si="4"/>
        <v>-51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-45</v>
      </c>
      <c r="C37" s="186">
        <v>-32</v>
      </c>
      <c r="D37" s="186">
        <v>-36</v>
      </c>
      <c r="E37" s="186">
        <v>-49</v>
      </c>
      <c r="F37" s="186">
        <v>-49</v>
      </c>
      <c r="G37" s="186">
        <v>-53</v>
      </c>
      <c r="H37" s="186">
        <v>-53</v>
      </c>
      <c r="I37" s="186">
        <v>-53</v>
      </c>
      <c r="J37" s="186">
        <v>-51</v>
      </c>
      <c r="K37" s="187">
        <v>-45</v>
      </c>
      <c r="L37" s="217"/>
      <c r="M37" s="236" t="s">
        <v>187</v>
      </c>
      <c r="N37" s="185">
        <v>-49</v>
      </c>
      <c r="O37" s="186">
        <v>-34</v>
      </c>
      <c r="P37" s="186">
        <v>-38</v>
      </c>
      <c r="Q37" s="186">
        <v>-51</v>
      </c>
      <c r="R37" s="186">
        <v>-51</v>
      </c>
      <c r="S37" s="186">
        <v>-55</v>
      </c>
      <c r="T37" s="186">
        <v>-55</v>
      </c>
      <c r="U37" s="186">
        <v>-54</v>
      </c>
      <c r="V37" s="186">
        <v>-52</v>
      </c>
      <c r="W37" s="187">
        <v>-46</v>
      </c>
      <c r="X37" s="217"/>
      <c r="Y37" s="237" t="s">
        <v>187</v>
      </c>
      <c r="Z37" s="227">
        <v>-57</v>
      </c>
      <c r="AA37" s="228">
        <v>-42</v>
      </c>
      <c r="AB37" s="228">
        <v>-45</v>
      </c>
      <c r="AC37" s="228">
        <v>-58</v>
      </c>
      <c r="AD37" s="228">
        <v>-57</v>
      </c>
      <c r="AE37" s="228">
        <v>-60</v>
      </c>
      <c r="AF37" s="228">
        <v>-59</v>
      </c>
      <c r="AG37" s="228">
        <v>-58</v>
      </c>
      <c r="AH37" s="228">
        <v>-56</v>
      </c>
      <c r="AI37" s="229">
        <v>-50</v>
      </c>
      <c r="AJ37" s="217"/>
      <c r="AK37" s="237" t="s">
        <v>187</v>
      </c>
      <c r="AL37" s="189">
        <v>-62</v>
      </c>
      <c r="AM37" s="190">
        <v>-47</v>
      </c>
      <c r="AN37" s="190">
        <v>-50</v>
      </c>
      <c r="AO37" s="190">
        <v>-63</v>
      </c>
      <c r="AP37" s="190">
        <v>-62</v>
      </c>
      <c r="AQ37" s="190">
        <v>-65</v>
      </c>
      <c r="AR37" s="190">
        <v>-64</v>
      </c>
      <c r="AS37" s="190">
        <v>-63</v>
      </c>
      <c r="AT37" s="190">
        <v>-61</v>
      </c>
      <c r="AU37" s="191">
        <v>-55</v>
      </c>
      <c r="AW37" s="237" t="s">
        <v>187</v>
      </c>
      <c r="AX37" s="192">
        <f>AL37-5</f>
        <v>-67</v>
      </c>
      <c r="AY37" s="193">
        <f t="shared" ref="AY37:BG43" si="6">AM37-5</f>
        <v>-52</v>
      </c>
      <c r="AZ37" s="193">
        <f t="shared" si="6"/>
        <v>-55</v>
      </c>
      <c r="BA37" s="193">
        <f t="shared" si="6"/>
        <v>-68</v>
      </c>
      <c r="BB37" s="193">
        <f t="shared" si="6"/>
        <v>-67</v>
      </c>
      <c r="BC37" s="193">
        <f t="shared" si="6"/>
        <v>-70</v>
      </c>
      <c r="BD37" s="193">
        <f t="shared" si="6"/>
        <v>-69</v>
      </c>
      <c r="BE37" s="193">
        <f t="shared" si="6"/>
        <v>-68</v>
      </c>
      <c r="BF37" s="193">
        <f t="shared" si="6"/>
        <v>-66</v>
      </c>
      <c r="BG37" s="194">
        <f t="shared" si="6"/>
        <v>-60</v>
      </c>
    </row>
    <row r="38" spans="1:59" x14ac:dyDescent="0.25">
      <c r="A38" s="195" t="s">
        <v>214</v>
      </c>
      <c r="B38" s="196">
        <v>-42</v>
      </c>
      <c r="C38" s="183">
        <v>-43</v>
      </c>
      <c r="D38" s="183">
        <v>-42</v>
      </c>
      <c r="E38" s="183">
        <v>-49</v>
      </c>
      <c r="F38" s="183">
        <v>-48</v>
      </c>
      <c r="G38" s="183">
        <v>-52</v>
      </c>
      <c r="H38" s="183">
        <v>-50</v>
      </c>
      <c r="I38" s="183">
        <v>-52</v>
      </c>
      <c r="J38" s="183">
        <v>-50</v>
      </c>
      <c r="K38" s="184">
        <v>-44</v>
      </c>
      <c r="L38" s="217"/>
      <c r="M38" s="195" t="s">
        <v>214</v>
      </c>
      <c r="N38" s="196">
        <v>-46</v>
      </c>
      <c r="O38" s="183">
        <v>-45</v>
      </c>
      <c r="P38" s="183">
        <v>-44</v>
      </c>
      <c r="Q38" s="183">
        <v>-51</v>
      </c>
      <c r="R38" s="183">
        <v>-50</v>
      </c>
      <c r="S38" s="183">
        <v>-54</v>
      </c>
      <c r="T38" s="183">
        <v>-52</v>
      </c>
      <c r="U38" s="183">
        <v>-53</v>
      </c>
      <c r="V38" s="183">
        <v>-51</v>
      </c>
      <c r="W38" s="184">
        <v>-45</v>
      </c>
      <c r="X38" s="217"/>
      <c r="Y38" s="197" t="s">
        <v>214</v>
      </c>
      <c r="Z38" s="230">
        <v>-54</v>
      </c>
      <c r="AA38" s="231">
        <v>-53</v>
      </c>
      <c r="AB38" s="231">
        <v>-51</v>
      </c>
      <c r="AC38" s="231">
        <v>-58</v>
      </c>
      <c r="AD38" s="231">
        <v>-56</v>
      </c>
      <c r="AE38" s="231">
        <v>-59</v>
      </c>
      <c r="AF38" s="231">
        <v>-56</v>
      </c>
      <c r="AG38" s="231">
        <v>-57</v>
      </c>
      <c r="AH38" s="231">
        <v>-55</v>
      </c>
      <c r="AI38" s="232">
        <v>-49</v>
      </c>
      <c r="AJ38" s="217"/>
      <c r="AK38" s="197" t="s">
        <v>214</v>
      </c>
      <c r="AL38" s="198">
        <v>-59</v>
      </c>
      <c r="AM38" s="199">
        <v>-58</v>
      </c>
      <c r="AN38" s="199">
        <v>-56</v>
      </c>
      <c r="AO38" s="199">
        <v>-63</v>
      </c>
      <c r="AP38" s="199">
        <v>-61</v>
      </c>
      <c r="AQ38" s="199">
        <v>-64</v>
      </c>
      <c r="AR38" s="199">
        <v>-61</v>
      </c>
      <c r="AS38" s="199">
        <v>-62</v>
      </c>
      <c r="AT38" s="199">
        <v>-60</v>
      </c>
      <c r="AU38" s="200">
        <v>-54</v>
      </c>
      <c r="AW38" s="197" t="s">
        <v>214</v>
      </c>
      <c r="AX38" s="201">
        <f t="shared" ref="AX38:AX43" si="7">AL38-5</f>
        <v>-64</v>
      </c>
      <c r="AY38" s="202">
        <f t="shared" si="6"/>
        <v>-63</v>
      </c>
      <c r="AZ38" s="202">
        <f t="shared" si="6"/>
        <v>-61</v>
      </c>
      <c r="BA38" s="202">
        <f t="shared" si="6"/>
        <v>-68</v>
      </c>
      <c r="BB38" s="202">
        <f t="shared" si="6"/>
        <v>-66</v>
      </c>
      <c r="BC38" s="202">
        <f t="shared" si="6"/>
        <v>-69</v>
      </c>
      <c r="BD38" s="202">
        <f t="shared" si="6"/>
        <v>-66</v>
      </c>
      <c r="BE38" s="202">
        <f t="shared" si="6"/>
        <v>-67</v>
      </c>
      <c r="BF38" s="202">
        <f t="shared" si="6"/>
        <v>-65</v>
      </c>
      <c r="BG38" s="203">
        <f t="shared" si="6"/>
        <v>-59</v>
      </c>
    </row>
    <row r="39" spans="1:59" x14ac:dyDescent="0.25">
      <c r="A39" s="195" t="s">
        <v>233</v>
      </c>
      <c r="B39" s="196">
        <v>-54</v>
      </c>
      <c r="C39" s="183">
        <v>-52</v>
      </c>
      <c r="D39" s="183">
        <v>-52</v>
      </c>
      <c r="E39" s="183">
        <v>-48</v>
      </c>
      <c r="F39" s="183">
        <v>-51</v>
      </c>
      <c r="G39" s="183">
        <v>-53</v>
      </c>
      <c r="H39" s="183">
        <v>-49</v>
      </c>
      <c r="I39" s="183">
        <v>-52</v>
      </c>
      <c r="J39" s="183">
        <v>-49</v>
      </c>
      <c r="K39" s="184">
        <v>-51</v>
      </c>
      <c r="L39" s="217"/>
      <c r="M39" s="195" t="s">
        <v>233</v>
      </c>
      <c r="N39" s="196">
        <v>-58</v>
      </c>
      <c r="O39" s="183">
        <v>-54</v>
      </c>
      <c r="P39" s="183">
        <v>-54</v>
      </c>
      <c r="Q39" s="183">
        <v>-50</v>
      </c>
      <c r="R39" s="183">
        <v>-53</v>
      </c>
      <c r="S39" s="183">
        <v>-55</v>
      </c>
      <c r="T39" s="183">
        <v>-51</v>
      </c>
      <c r="U39" s="183">
        <v>-53</v>
      </c>
      <c r="V39" s="183">
        <v>-50</v>
      </c>
      <c r="W39" s="184">
        <v>-52</v>
      </c>
      <c r="X39" s="217"/>
      <c r="Y39" s="197" t="s">
        <v>233</v>
      </c>
      <c r="Z39" s="230">
        <v>-66</v>
      </c>
      <c r="AA39" s="231">
        <v>-62</v>
      </c>
      <c r="AB39" s="231">
        <v>-61</v>
      </c>
      <c r="AC39" s="231">
        <v>-57</v>
      </c>
      <c r="AD39" s="231">
        <v>-59</v>
      </c>
      <c r="AE39" s="231">
        <v>-60</v>
      </c>
      <c r="AF39" s="231">
        <v>-55</v>
      </c>
      <c r="AG39" s="231">
        <v>-57</v>
      </c>
      <c r="AH39" s="231">
        <v>-54</v>
      </c>
      <c r="AI39" s="232">
        <v>-56</v>
      </c>
      <c r="AJ39" s="217"/>
      <c r="AK39" s="197" t="s">
        <v>233</v>
      </c>
      <c r="AL39" s="198">
        <v>-71</v>
      </c>
      <c r="AM39" s="199">
        <v>-67</v>
      </c>
      <c r="AN39" s="199">
        <v>-66</v>
      </c>
      <c r="AO39" s="199">
        <v>-62</v>
      </c>
      <c r="AP39" s="199">
        <v>-64</v>
      </c>
      <c r="AQ39" s="199">
        <v>-65</v>
      </c>
      <c r="AR39" s="199">
        <v>-60</v>
      </c>
      <c r="AS39" s="199">
        <v>-62</v>
      </c>
      <c r="AT39" s="199">
        <v>-59</v>
      </c>
      <c r="AU39" s="200">
        <v>-61</v>
      </c>
      <c r="AW39" s="197" t="s">
        <v>233</v>
      </c>
      <c r="AX39" s="201">
        <f t="shared" si="7"/>
        <v>-76</v>
      </c>
      <c r="AY39" s="202">
        <f t="shared" si="6"/>
        <v>-72</v>
      </c>
      <c r="AZ39" s="202">
        <f t="shared" si="6"/>
        <v>-71</v>
      </c>
      <c r="BA39" s="202">
        <f t="shared" si="6"/>
        <v>-67</v>
      </c>
      <c r="BB39" s="202">
        <f t="shared" si="6"/>
        <v>-69</v>
      </c>
      <c r="BC39" s="202">
        <f t="shared" si="6"/>
        <v>-70</v>
      </c>
      <c r="BD39" s="202">
        <f t="shared" si="6"/>
        <v>-65</v>
      </c>
      <c r="BE39" s="202">
        <f t="shared" si="6"/>
        <v>-67</v>
      </c>
      <c r="BF39" s="202">
        <f t="shared" si="6"/>
        <v>-64</v>
      </c>
      <c r="BG39" s="203">
        <f t="shared" si="6"/>
        <v>-66</v>
      </c>
    </row>
    <row r="40" spans="1:59" x14ac:dyDescent="0.25">
      <c r="A40" s="195" t="s">
        <v>242</v>
      </c>
      <c r="B40" s="196">
        <v>-54</v>
      </c>
      <c r="C40" s="183">
        <v>-54</v>
      </c>
      <c r="D40" s="183">
        <v>-50</v>
      </c>
      <c r="E40" s="183">
        <v>-49</v>
      </c>
      <c r="F40" s="183">
        <v>-48</v>
      </c>
      <c r="G40" s="183">
        <v>-50</v>
      </c>
      <c r="H40" s="183">
        <v>-45</v>
      </c>
      <c r="I40" s="183">
        <v>-49</v>
      </c>
      <c r="J40" s="183">
        <v>-46</v>
      </c>
      <c r="K40" s="184">
        <v>-46</v>
      </c>
      <c r="L40" s="217"/>
      <c r="M40" s="195" t="s">
        <v>242</v>
      </c>
      <c r="N40" s="196">
        <v>-58</v>
      </c>
      <c r="O40" s="183">
        <v>-56</v>
      </c>
      <c r="P40" s="183">
        <v>-52</v>
      </c>
      <c r="Q40" s="183">
        <v>-51</v>
      </c>
      <c r="R40" s="183">
        <v>-50</v>
      </c>
      <c r="S40" s="183">
        <v>-52</v>
      </c>
      <c r="T40" s="183">
        <v>-47</v>
      </c>
      <c r="U40" s="183">
        <v>-50</v>
      </c>
      <c r="V40" s="183">
        <v>-47</v>
      </c>
      <c r="W40" s="184">
        <v>-47</v>
      </c>
      <c r="X40" s="217"/>
      <c r="Y40" s="197" t="s">
        <v>242</v>
      </c>
      <c r="Z40" s="230">
        <v>-64</v>
      </c>
      <c r="AA40" s="231">
        <v>-62</v>
      </c>
      <c r="AB40" s="231">
        <v>-58</v>
      </c>
      <c r="AC40" s="231">
        <v>-56</v>
      </c>
      <c r="AD40" s="231">
        <v>-54</v>
      </c>
      <c r="AE40" s="231">
        <v>-56</v>
      </c>
      <c r="AF40" s="231">
        <v>-50</v>
      </c>
      <c r="AG40" s="231">
        <v>-53</v>
      </c>
      <c r="AH40" s="231">
        <v>-50</v>
      </c>
      <c r="AI40" s="232">
        <v>-50</v>
      </c>
      <c r="AJ40" s="217"/>
      <c r="AK40" s="197" t="s">
        <v>242</v>
      </c>
      <c r="AL40" s="198">
        <v>-69</v>
      </c>
      <c r="AM40" s="199">
        <v>-67</v>
      </c>
      <c r="AN40" s="199">
        <v>-63</v>
      </c>
      <c r="AO40" s="199">
        <v>-61</v>
      </c>
      <c r="AP40" s="199">
        <v>-59</v>
      </c>
      <c r="AQ40" s="199">
        <v>-61</v>
      </c>
      <c r="AR40" s="199">
        <v>-55</v>
      </c>
      <c r="AS40" s="199">
        <v>-58</v>
      </c>
      <c r="AT40" s="199">
        <v>-55</v>
      </c>
      <c r="AU40" s="200">
        <v>-55</v>
      </c>
      <c r="AW40" s="197" t="s">
        <v>242</v>
      </c>
      <c r="AX40" s="201">
        <f t="shared" si="7"/>
        <v>-74</v>
      </c>
      <c r="AY40" s="202">
        <f t="shared" si="6"/>
        <v>-72</v>
      </c>
      <c r="AZ40" s="202">
        <f t="shared" si="6"/>
        <v>-68</v>
      </c>
      <c r="BA40" s="202">
        <f t="shared" si="6"/>
        <v>-66</v>
      </c>
      <c r="BB40" s="202">
        <f t="shared" si="6"/>
        <v>-64</v>
      </c>
      <c r="BC40" s="202">
        <f t="shared" si="6"/>
        <v>-66</v>
      </c>
      <c r="BD40" s="202">
        <f t="shared" si="6"/>
        <v>-60</v>
      </c>
      <c r="BE40" s="202">
        <f t="shared" si="6"/>
        <v>-63</v>
      </c>
      <c r="BF40" s="202">
        <f t="shared" si="6"/>
        <v>-60</v>
      </c>
      <c r="BG40" s="203">
        <f t="shared" si="6"/>
        <v>-60</v>
      </c>
    </row>
    <row r="41" spans="1:59" x14ac:dyDescent="0.25">
      <c r="A41" s="195" t="s">
        <v>250</v>
      </c>
      <c r="B41" s="196">
        <v>-56</v>
      </c>
      <c r="C41" s="183">
        <v>-59</v>
      </c>
      <c r="D41" s="183">
        <v>-55</v>
      </c>
      <c r="E41" s="183">
        <v>-51</v>
      </c>
      <c r="F41" s="183">
        <v>-48</v>
      </c>
      <c r="G41" s="183">
        <v>-50</v>
      </c>
      <c r="H41" s="183">
        <v>-43</v>
      </c>
      <c r="I41" s="183">
        <v>-47</v>
      </c>
      <c r="J41" s="183">
        <v>-47</v>
      </c>
      <c r="K41" s="184">
        <v>-47</v>
      </c>
      <c r="L41" s="217"/>
      <c r="M41" s="195" t="s">
        <v>250</v>
      </c>
      <c r="N41" s="196">
        <v>-60</v>
      </c>
      <c r="O41" s="183">
        <v>-61</v>
      </c>
      <c r="P41" s="183">
        <v>-57</v>
      </c>
      <c r="Q41" s="183">
        <v>-53</v>
      </c>
      <c r="R41" s="183">
        <v>-50</v>
      </c>
      <c r="S41" s="183">
        <v>-52</v>
      </c>
      <c r="T41" s="183">
        <v>-45</v>
      </c>
      <c r="U41" s="183">
        <v>-48</v>
      </c>
      <c r="V41" s="183">
        <v>-48</v>
      </c>
      <c r="W41" s="184">
        <v>-48</v>
      </c>
      <c r="X41" s="217"/>
      <c r="Y41" s="197" t="s">
        <v>250</v>
      </c>
      <c r="Z41" s="230">
        <v>-66</v>
      </c>
      <c r="AA41" s="231">
        <v>-67</v>
      </c>
      <c r="AB41" s="231">
        <v>-63</v>
      </c>
      <c r="AC41" s="231">
        <v>-58</v>
      </c>
      <c r="AD41" s="231">
        <v>-54</v>
      </c>
      <c r="AE41" s="231">
        <v>-56</v>
      </c>
      <c r="AF41" s="231">
        <v>-48</v>
      </c>
      <c r="AG41" s="231">
        <v>-51</v>
      </c>
      <c r="AH41" s="231">
        <v>-51</v>
      </c>
      <c r="AI41" s="232">
        <v>-51</v>
      </c>
      <c r="AJ41" s="217"/>
      <c r="AK41" s="197" t="s">
        <v>250</v>
      </c>
      <c r="AL41" s="198">
        <v>-71</v>
      </c>
      <c r="AM41" s="199">
        <v>-71</v>
      </c>
      <c r="AN41" s="199">
        <v>-68</v>
      </c>
      <c r="AO41" s="199">
        <v>-63</v>
      </c>
      <c r="AP41" s="199">
        <v>-59</v>
      </c>
      <c r="AQ41" s="199">
        <v>-61</v>
      </c>
      <c r="AR41" s="199">
        <v>-53</v>
      </c>
      <c r="AS41" s="199">
        <v>-56</v>
      </c>
      <c r="AT41" s="199">
        <v>-56</v>
      </c>
      <c r="AU41" s="200">
        <v>-56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-73</v>
      </c>
      <c r="BA41" s="202">
        <f t="shared" si="6"/>
        <v>-68</v>
      </c>
      <c r="BB41" s="202">
        <f t="shared" si="6"/>
        <v>-64</v>
      </c>
      <c r="BC41" s="202">
        <f t="shared" si="6"/>
        <v>-66</v>
      </c>
      <c r="BD41" s="202">
        <f t="shared" si="6"/>
        <v>-58</v>
      </c>
      <c r="BE41" s="202">
        <f t="shared" si="6"/>
        <v>-61</v>
      </c>
      <c r="BF41" s="202">
        <f t="shared" si="6"/>
        <v>-61</v>
      </c>
      <c r="BG41" s="203">
        <f t="shared" si="6"/>
        <v>-61</v>
      </c>
    </row>
    <row r="42" spans="1:59" x14ac:dyDescent="0.25">
      <c r="A42" s="195" t="s">
        <v>258</v>
      </c>
      <c r="B42" s="196">
        <v>-51</v>
      </c>
      <c r="C42" s="183">
        <v>-53</v>
      </c>
      <c r="D42" s="183">
        <v>-51</v>
      </c>
      <c r="E42" s="183">
        <v>-48</v>
      </c>
      <c r="F42" s="183">
        <v>-50</v>
      </c>
      <c r="G42" s="183">
        <v>-45</v>
      </c>
      <c r="H42" s="183">
        <v>-40</v>
      </c>
      <c r="I42" s="183">
        <v>-47</v>
      </c>
      <c r="J42" s="183">
        <v>-43</v>
      </c>
      <c r="K42" s="184">
        <v>-45</v>
      </c>
      <c r="L42" s="217"/>
      <c r="M42" s="195" t="s">
        <v>258</v>
      </c>
      <c r="N42" s="196">
        <v>-55</v>
      </c>
      <c r="O42" s="183">
        <v>-55</v>
      </c>
      <c r="P42" s="183">
        <v>-53</v>
      </c>
      <c r="Q42" s="183">
        <v>-50</v>
      </c>
      <c r="R42" s="183">
        <v>-52</v>
      </c>
      <c r="S42" s="183">
        <v>-47</v>
      </c>
      <c r="T42" s="183">
        <v>-42</v>
      </c>
      <c r="U42" s="183">
        <v>-48</v>
      </c>
      <c r="V42" s="183">
        <v>-44</v>
      </c>
      <c r="W42" s="184">
        <v>-46</v>
      </c>
      <c r="X42" s="217"/>
      <c r="Y42" s="197" t="s">
        <v>258</v>
      </c>
      <c r="Z42" s="230">
        <v>-60</v>
      </c>
      <c r="AA42" s="231">
        <v>-60</v>
      </c>
      <c r="AB42" s="231">
        <v>-58</v>
      </c>
      <c r="AC42" s="231">
        <v>-54</v>
      </c>
      <c r="AD42" s="231">
        <v>-55</v>
      </c>
      <c r="AE42" s="231">
        <v>-50</v>
      </c>
      <c r="AF42" s="231">
        <v>-44</v>
      </c>
      <c r="AG42" s="231">
        <v>-51</v>
      </c>
      <c r="AH42" s="231">
        <v>-47</v>
      </c>
      <c r="AI42" s="232">
        <v>-49</v>
      </c>
      <c r="AJ42" s="217"/>
      <c r="AK42" s="197" t="s">
        <v>258</v>
      </c>
      <c r="AL42" s="198">
        <v>-65</v>
      </c>
      <c r="AM42" s="199">
        <v>-65</v>
      </c>
      <c r="AN42" s="199">
        <v>-63</v>
      </c>
      <c r="AO42" s="199">
        <v>-59</v>
      </c>
      <c r="AP42" s="199">
        <v>-60</v>
      </c>
      <c r="AQ42" s="199">
        <v>-55</v>
      </c>
      <c r="AR42" s="199">
        <v>-49</v>
      </c>
      <c r="AS42" s="199">
        <v>-56</v>
      </c>
      <c r="AT42" s="199">
        <v>-52</v>
      </c>
      <c r="AU42" s="200">
        <v>-54</v>
      </c>
      <c r="AW42" s="197" t="s">
        <v>258</v>
      </c>
      <c r="AX42" s="201">
        <f t="shared" si="7"/>
        <v>-70</v>
      </c>
      <c r="AY42" s="202">
        <f t="shared" si="6"/>
        <v>-70</v>
      </c>
      <c r="AZ42" s="202">
        <f t="shared" si="6"/>
        <v>-68</v>
      </c>
      <c r="BA42" s="202">
        <f t="shared" si="6"/>
        <v>-64</v>
      </c>
      <c r="BB42" s="202">
        <f t="shared" si="6"/>
        <v>-65</v>
      </c>
      <c r="BC42" s="202">
        <f t="shared" si="6"/>
        <v>-60</v>
      </c>
      <c r="BD42" s="202">
        <f t="shared" si="6"/>
        <v>-54</v>
      </c>
      <c r="BE42" s="202">
        <f t="shared" si="6"/>
        <v>-61</v>
      </c>
      <c r="BF42" s="202">
        <f t="shared" si="6"/>
        <v>-57</v>
      </c>
      <c r="BG42" s="203">
        <f t="shared" si="6"/>
        <v>-59</v>
      </c>
    </row>
    <row r="43" spans="1:59" ht="15.75" thickBot="1" x14ac:dyDescent="0.3">
      <c r="A43" s="204" t="s">
        <v>265</v>
      </c>
      <c r="B43" s="207">
        <v>-53</v>
      </c>
      <c r="C43" s="205">
        <v>-55</v>
      </c>
      <c r="D43" s="205">
        <v>-51</v>
      </c>
      <c r="E43" s="205">
        <v>-49</v>
      </c>
      <c r="F43" s="205">
        <v>-50</v>
      </c>
      <c r="G43" s="205">
        <v>-47</v>
      </c>
      <c r="H43" s="205">
        <v>-45</v>
      </c>
      <c r="I43" s="205">
        <v>-51</v>
      </c>
      <c r="J43" s="205">
        <v>-47</v>
      </c>
      <c r="K43" s="206">
        <v>-43</v>
      </c>
      <c r="L43" s="217"/>
      <c r="M43" s="204" t="s">
        <v>265</v>
      </c>
      <c r="N43" s="207">
        <v>-57</v>
      </c>
      <c r="O43" s="205">
        <v>-57</v>
      </c>
      <c r="P43" s="205">
        <v>-53</v>
      </c>
      <c r="Q43" s="205">
        <v>-51</v>
      </c>
      <c r="R43" s="205">
        <v>-52</v>
      </c>
      <c r="S43" s="205">
        <v>-49</v>
      </c>
      <c r="T43" s="205">
        <v>-47</v>
      </c>
      <c r="U43" s="205">
        <v>-52</v>
      </c>
      <c r="V43" s="205">
        <v>-48</v>
      </c>
      <c r="W43" s="206">
        <v>-44</v>
      </c>
      <c r="X43" s="217"/>
      <c r="Y43" s="208" t="s">
        <v>265</v>
      </c>
      <c r="Z43" s="233">
        <v>-62</v>
      </c>
      <c r="AA43" s="234">
        <v>-62</v>
      </c>
      <c r="AB43" s="234">
        <v>-58</v>
      </c>
      <c r="AC43" s="234">
        <v>-55</v>
      </c>
      <c r="AD43" s="234">
        <v>-55</v>
      </c>
      <c r="AE43" s="234">
        <v>-52</v>
      </c>
      <c r="AF43" s="234">
        <v>-49</v>
      </c>
      <c r="AG43" s="234">
        <v>-55</v>
      </c>
      <c r="AH43" s="234">
        <v>-51</v>
      </c>
      <c r="AI43" s="235">
        <v>-47</v>
      </c>
      <c r="AJ43" s="217"/>
      <c r="AK43" s="208" t="s">
        <v>265</v>
      </c>
      <c r="AL43" s="209">
        <v>-67</v>
      </c>
      <c r="AM43" s="210">
        <v>-67</v>
      </c>
      <c r="AN43" s="210">
        <v>-63</v>
      </c>
      <c r="AO43" s="210">
        <v>-60</v>
      </c>
      <c r="AP43" s="210">
        <v>-60</v>
      </c>
      <c r="AQ43" s="210">
        <v>-57</v>
      </c>
      <c r="AR43" s="210">
        <v>-54</v>
      </c>
      <c r="AS43" s="210">
        <v>-60</v>
      </c>
      <c r="AT43" s="210">
        <v>-56</v>
      </c>
      <c r="AU43" s="211">
        <v>-52</v>
      </c>
      <c r="AW43" s="208" t="s">
        <v>265</v>
      </c>
      <c r="AX43" s="212">
        <f t="shared" si="7"/>
        <v>-72</v>
      </c>
      <c r="AY43" s="213">
        <f t="shared" si="6"/>
        <v>-72</v>
      </c>
      <c r="AZ43" s="213">
        <f t="shared" si="6"/>
        <v>-68</v>
      </c>
      <c r="BA43" s="213">
        <f t="shared" si="6"/>
        <v>-65</v>
      </c>
      <c r="BB43" s="213">
        <f t="shared" si="6"/>
        <v>-65</v>
      </c>
      <c r="BC43" s="213">
        <f t="shared" si="6"/>
        <v>-62</v>
      </c>
      <c r="BD43" s="213">
        <f t="shared" si="6"/>
        <v>-59</v>
      </c>
      <c r="BE43" s="213">
        <f t="shared" si="6"/>
        <v>-65</v>
      </c>
      <c r="BF43" s="213">
        <f t="shared" si="6"/>
        <v>-61</v>
      </c>
      <c r="BG43" s="214">
        <f t="shared" si="6"/>
        <v>-57</v>
      </c>
    </row>
  </sheetData>
  <sheetProtection algorithmName="SHA-512" hashValue="HoT/ib/z1NVAQmrBYqIYJbsAm5JzIhlWSejIWnUY3lEvKc6LZFMS2uZYW4wnRlSyhYcbPm4NoMbq7NfWL3pasw==" saltValue="yBfQ73kiHAArUGcwby07J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794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-24</v>
      </c>
      <c r="C4" s="183">
        <v>-21</v>
      </c>
      <c r="D4" s="183">
        <v>-21</v>
      </c>
      <c r="E4" s="183">
        <v>-27</v>
      </c>
      <c r="F4" s="183">
        <v>-27</v>
      </c>
      <c r="G4" s="183">
        <v>-32</v>
      </c>
      <c r="H4" s="183">
        <v>-33</v>
      </c>
      <c r="I4" s="183">
        <v>-35</v>
      </c>
      <c r="J4" s="183">
        <v>-32</v>
      </c>
      <c r="K4" s="184">
        <v>-36</v>
      </c>
      <c r="L4" s="217"/>
      <c r="M4" s="182" t="s">
        <v>187</v>
      </c>
      <c r="N4" s="185">
        <v>-31</v>
      </c>
      <c r="O4" s="186">
        <v>-26</v>
      </c>
      <c r="P4" s="186">
        <v>-26</v>
      </c>
      <c r="Q4" s="186">
        <v>-31</v>
      </c>
      <c r="R4" s="186">
        <v>-30</v>
      </c>
      <c r="S4" s="186">
        <v>-35</v>
      </c>
      <c r="T4" s="186">
        <v>-36</v>
      </c>
      <c r="U4" s="186">
        <v>-37</v>
      </c>
      <c r="V4" s="186">
        <v>-34</v>
      </c>
      <c r="W4" s="187">
        <v>-38</v>
      </c>
      <c r="X4" s="217"/>
      <c r="Y4" s="188" t="s">
        <v>187</v>
      </c>
      <c r="Z4" s="189">
        <v>-35</v>
      </c>
      <c r="AA4" s="190">
        <v>-30</v>
      </c>
      <c r="AB4" s="190">
        <v>-30</v>
      </c>
      <c r="AC4" s="190">
        <v>-36</v>
      </c>
      <c r="AD4" s="190">
        <v>-34</v>
      </c>
      <c r="AE4" s="190">
        <v>-38</v>
      </c>
      <c r="AF4" s="190">
        <v>-39</v>
      </c>
      <c r="AG4" s="190">
        <v>-40</v>
      </c>
      <c r="AH4" s="190">
        <v>-37</v>
      </c>
      <c r="AI4" s="191">
        <v>-41</v>
      </c>
      <c r="AJ4" s="217"/>
      <c r="AK4" s="188" t="s">
        <v>187</v>
      </c>
      <c r="AL4" s="189">
        <v>-39</v>
      </c>
      <c r="AM4" s="190">
        <v>-34</v>
      </c>
      <c r="AN4" s="190">
        <v>-34</v>
      </c>
      <c r="AO4" s="190">
        <v>-40</v>
      </c>
      <c r="AP4" s="190">
        <v>-39</v>
      </c>
      <c r="AQ4" s="190">
        <v>-43</v>
      </c>
      <c r="AR4" s="190">
        <v>-43</v>
      </c>
      <c r="AS4" s="190">
        <v>-44</v>
      </c>
      <c r="AT4" s="190">
        <v>-41</v>
      </c>
      <c r="AU4" s="191">
        <v>-45</v>
      </c>
      <c r="AW4" s="188" t="s">
        <v>187</v>
      </c>
      <c r="AX4" s="192">
        <f>AL4-5</f>
        <v>-44</v>
      </c>
      <c r="AY4" s="193">
        <f t="shared" ref="AY4:BG10" si="0">AM4-5</f>
        <v>-39</v>
      </c>
      <c r="AZ4" s="193">
        <f t="shared" si="0"/>
        <v>-39</v>
      </c>
      <c r="BA4" s="193">
        <f t="shared" si="0"/>
        <v>-45</v>
      </c>
      <c r="BB4" s="193">
        <f t="shared" si="0"/>
        <v>-44</v>
      </c>
      <c r="BC4" s="193">
        <f t="shared" si="0"/>
        <v>-48</v>
      </c>
      <c r="BD4" s="193">
        <f t="shared" si="0"/>
        <v>-48</v>
      </c>
      <c r="BE4" s="193">
        <f t="shared" si="0"/>
        <v>-49</v>
      </c>
      <c r="BF4" s="193">
        <f t="shared" si="0"/>
        <v>-46</v>
      </c>
      <c r="BG4" s="194">
        <f t="shared" si="0"/>
        <v>-50</v>
      </c>
    </row>
    <row r="5" spans="1:59" ht="14.45" x14ac:dyDescent="0.3">
      <c r="A5" s="195" t="s">
        <v>214</v>
      </c>
      <c r="B5" s="183">
        <v>-23</v>
      </c>
      <c r="C5" s="183">
        <v>-20</v>
      </c>
      <c r="D5" s="183">
        <v>-21</v>
      </c>
      <c r="E5" s="183">
        <v>-25</v>
      </c>
      <c r="F5" s="183">
        <v>-27</v>
      </c>
      <c r="G5" s="183">
        <v>-33</v>
      </c>
      <c r="H5" s="183">
        <v>-35</v>
      </c>
      <c r="I5" s="183">
        <v>-36</v>
      </c>
      <c r="J5" s="183">
        <v>-31</v>
      </c>
      <c r="K5" s="184">
        <v>-34</v>
      </c>
      <c r="L5" s="217"/>
      <c r="M5" s="195" t="s">
        <v>214</v>
      </c>
      <c r="N5" s="196">
        <v>-30</v>
      </c>
      <c r="O5" s="183">
        <v>-25</v>
      </c>
      <c r="P5" s="183">
        <v>-26</v>
      </c>
      <c r="Q5" s="183">
        <v>-29</v>
      </c>
      <c r="R5" s="183">
        <v>-30</v>
      </c>
      <c r="S5" s="183">
        <v>-36</v>
      </c>
      <c r="T5" s="183">
        <v>-38</v>
      </c>
      <c r="U5" s="183">
        <v>-38</v>
      </c>
      <c r="V5" s="183">
        <v>-33</v>
      </c>
      <c r="W5" s="184">
        <v>-36</v>
      </c>
      <c r="X5" s="217"/>
      <c r="Y5" s="197" t="s">
        <v>214</v>
      </c>
      <c r="Z5" s="198">
        <v>-34</v>
      </c>
      <c r="AA5" s="199">
        <v>-29</v>
      </c>
      <c r="AB5" s="199">
        <v>-30</v>
      </c>
      <c r="AC5" s="199">
        <v>-34</v>
      </c>
      <c r="AD5" s="199">
        <v>-34</v>
      </c>
      <c r="AE5" s="199">
        <v>-39</v>
      </c>
      <c r="AF5" s="199">
        <v>-41</v>
      </c>
      <c r="AG5" s="199">
        <v>-41</v>
      </c>
      <c r="AH5" s="199">
        <v>-36</v>
      </c>
      <c r="AI5" s="200">
        <v>-39</v>
      </c>
      <c r="AJ5" s="217"/>
      <c r="AK5" s="197" t="s">
        <v>214</v>
      </c>
      <c r="AL5" s="198">
        <v>-38</v>
      </c>
      <c r="AM5" s="199">
        <v>-33</v>
      </c>
      <c r="AN5" s="199">
        <v>-34</v>
      </c>
      <c r="AO5" s="199">
        <v>-38</v>
      </c>
      <c r="AP5" s="199">
        <v>-39</v>
      </c>
      <c r="AQ5" s="199">
        <v>-44</v>
      </c>
      <c r="AR5" s="199">
        <v>-45</v>
      </c>
      <c r="AS5" s="199">
        <v>-45</v>
      </c>
      <c r="AT5" s="199">
        <v>-40</v>
      </c>
      <c r="AU5" s="200">
        <v>-43</v>
      </c>
      <c r="AW5" s="197" t="s">
        <v>214</v>
      </c>
      <c r="AX5" s="201">
        <f t="shared" ref="AX5:AX10" si="1">AL5-5</f>
        <v>-43</v>
      </c>
      <c r="AY5" s="202">
        <f t="shared" si="0"/>
        <v>-38</v>
      </c>
      <c r="AZ5" s="202">
        <f t="shared" si="0"/>
        <v>-39</v>
      </c>
      <c r="BA5" s="202">
        <f t="shared" si="0"/>
        <v>-43</v>
      </c>
      <c r="BB5" s="202">
        <f t="shared" si="0"/>
        <v>-44</v>
      </c>
      <c r="BC5" s="202">
        <f t="shared" si="0"/>
        <v>-49</v>
      </c>
      <c r="BD5" s="202">
        <f t="shared" si="0"/>
        <v>-50</v>
      </c>
      <c r="BE5" s="202">
        <f t="shared" si="0"/>
        <v>-50</v>
      </c>
      <c r="BF5" s="202">
        <f t="shared" si="0"/>
        <v>-45</v>
      </c>
      <c r="BG5" s="203">
        <f t="shared" si="0"/>
        <v>-48</v>
      </c>
    </row>
    <row r="6" spans="1:59" ht="14.45" x14ac:dyDescent="0.3">
      <c r="A6" s="195" t="s">
        <v>233</v>
      </c>
      <c r="B6" s="183">
        <v>-27</v>
      </c>
      <c r="C6" s="183">
        <v>-25</v>
      </c>
      <c r="D6" s="183">
        <v>-24</v>
      </c>
      <c r="E6" s="183">
        <v>-26</v>
      </c>
      <c r="F6" s="183">
        <v>-28</v>
      </c>
      <c r="G6" s="183">
        <v>-35</v>
      </c>
      <c r="H6" s="183">
        <v>-35</v>
      </c>
      <c r="I6" s="183">
        <v>-37</v>
      </c>
      <c r="J6" s="183">
        <v>-37</v>
      </c>
      <c r="K6" s="184">
        <v>-36</v>
      </c>
      <c r="L6" s="217"/>
      <c r="M6" s="195" t="s">
        <v>233</v>
      </c>
      <c r="N6" s="196">
        <v>-34</v>
      </c>
      <c r="O6" s="183">
        <v>-30</v>
      </c>
      <c r="P6" s="183">
        <v>-29</v>
      </c>
      <c r="Q6" s="183">
        <v>-30</v>
      </c>
      <c r="R6" s="183">
        <v>-31</v>
      </c>
      <c r="S6" s="183">
        <v>-38</v>
      </c>
      <c r="T6" s="183">
        <v>-38</v>
      </c>
      <c r="U6" s="183">
        <v>-39</v>
      </c>
      <c r="V6" s="183">
        <v>-39</v>
      </c>
      <c r="W6" s="184">
        <v>-38</v>
      </c>
      <c r="X6" s="217"/>
      <c r="Y6" s="197" t="s">
        <v>233</v>
      </c>
      <c r="Z6" s="198">
        <v>-38</v>
      </c>
      <c r="AA6" s="199">
        <v>-34</v>
      </c>
      <c r="AB6" s="199">
        <v>-33</v>
      </c>
      <c r="AC6" s="199">
        <v>-35</v>
      </c>
      <c r="AD6" s="199">
        <v>-35</v>
      </c>
      <c r="AE6" s="199">
        <v>-41</v>
      </c>
      <c r="AF6" s="199">
        <v>-41</v>
      </c>
      <c r="AG6" s="199">
        <v>-42</v>
      </c>
      <c r="AH6" s="199">
        <v>-42</v>
      </c>
      <c r="AI6" s="200">
        <v>-41</v>
      </c>
      <c r="AJ6" s="217"/>
      <c r="AK6" s="197" t="s">
        <v>233</v>
      </c>
      <c r="AL6" s="198">
        <v>-42</v>
      </c>
      <c r="AM6" s="199">
        <v>-38</v>
      </c>
      <c r="AN6" s="199">
        <v>-37</v>
      </c>
      <c r="AO6" s="199">
        <v>-39</v>
      </c>
      <c r="AP6" s="199">
        <v>-40</v>
      </c>
      <c r="AQ6" s="199">
        <v>-46</v>
      </c>
      <c r="AR6" s="199">
        <v>-45</v>
      </c>
      <c r="AS6" s="199">
        <v>-46</v>
      </c>
      <c r="AT6" s="199">
        <v>-46</v>
      </c>
      <c r="AU6" s="200">
        <v>-45</v>
      </c>
      <c r="AW6" s="197" t="s">
        <v>233</v>
      </c>
      <c r="AX6" s="201">
        <f t="shared" si="1"/>
        <v>-47</v>
      </c>
      <c r="AY6" s="202">
        <f t="shared" si="0"/>
        <v>-43</v>
      </c>
      <c r="AZ6" s="202">
        <f t="shared" si="0"/>
        <v>-42</v>
      </c>
      <c r="BA6" s="202">
        <f t="shared" si="0"/>
        <v>-44</v>
      </c>
      <c r="BB6" s="202">
        <f t="shared" si="0"/>
        <v>-45</v>
      </c>
      <c r="BC6" s="202">
        <f t="shared" si="0"/>
        <v>-51</v>
      </c>
      <c r="BD6" s="202">
        <f t="shared" si="0"/>
        <v>-50</v>
      </c>
      <c r="BE6" s="202">
        <f t="shared" si="0"/>
        <v>-51</v>
      </c>
      <c r="BF6" s="202">
        <f t="shared" si="0"/>
        <v>-51</v>
      </c>
      <c r="BG6" s="203">
        <f t="shared" si="0"/>
        <v>-50</v>
      </c>
    </row>
    <row r="7" spans="1:59" ht="14.45" x14ac:dyDescent="0.3">
      <c r="A7" s="195" t="s">
        <v>242</v>
      </c>
      <c r="B7" s="183">
        <v>-30</v>
      </c>
      <c r="C7" s="183">
        <v>-28</v>
      </c>
      <c r="D7" s="183">
        <v>-28</v>
      </c>
      <c r="E7" s="183">
        <v>-27</v>
      </c>
      <c r="F7" s="183">
        <v>-27</v>
      </c>
      <c r="G7" s="183">
        <v>-36</v>
      </c>
      <c r="H7" s="183">
        <v>-35</v>
      </c>
      <c r="I7" s="183">
        <v>-35</v>
      </c>
      <c r="J7" s="183">
        <v>-36</v>
      </c>
      <c r="K7" s="184">
        <v>-36</v>
      </c>
      <c r="L7" s="217"/>
      <c r="M7" s="195" t="s">
        <v>242</v>
      </c>
      <c r="N7" s="196">
        <v>-36</v>
      </c>
      <c r="O7" s="183">
        <v>-32</v>
      </c>
      <c r="P7" s="183">
        <v>-32</v>
      </c>
      <c r="Q7" s="183">
        <v>-30</v>
      </c>
      <c r="R7" s="183">
        <v>-30</v>
      </c>
      <c r="S7" s="183">
        <v>-38</v>
      </c>
      <c r="T7" s="183">
        <v>-37</v>
      </c>
      <c r="U7" s="183">
        <v>-37</v>
      </c>
      <c r="V7" s="183">
        <v>-38</v>
      </c>
      <c r="W7" s="184">
        <v>-38</v>
      </c>
      <c r="X7" s="217"/>
      <c r="Y7" s="197" t="s">
        <v>242</v>
      </c>
      <c r="Z7" s="198">
        <v>-40</v>
      </c>
      <c r="AA7" s="199">
        <v>-36</v>
      </c>
      <c r="AB7" s="199">
        <v>-36</v>
      </c>
      <c r="AC7" s="199">
        <v>-34</v>
      </c>
      <c r="AD7" s="199">
        <v>-34</v>
      </c>
      <c r="AE7" s="199">
        <v>-42</v>
      </c>
      <c r="AF7" s="199">
        <v>-40</v>
      </c>
      <c r="AG7" s="199">
        <v>-39</v>
      </c>
      <c r="AH7" s="199">
        <v>-40</v>
      </c>
      <c r="AI7" s="200">
        <v>-40</v>
      </c>
      <c r="AJ7" s="217"/>
      <c r="AK7" s="197" t="s">
        <v>242</v>
      </c>
      <c r="AL7" s="198">
        <v>-44</v>
      </c>
      <c r="AM7" s="199">
        <v>-40</v>
      </c>
      <c r="AN7" s="199">
        <v>-40</v>
      </c>
      <c r="AO7" s="199">
        <v>-37</v>
      </c>
      <c r="AP7" s="199">
        <v>-37</v>
      </c>
      <c r="AQ7" s="199">
        <v>-46</v>
      </c>
      <c r="AR7" s="199">
        <v>-44</v>
      </c>
      <c r="AS7" s="199">
        <v>-43</v>
      </c>
      <c r="AT7" s="199">
        <v>-44</v>
      </c>
      <c r="AU7" s="200">
        <v>-44</v>
      </c>
      <c r="AW7" s="197" t="s">
        <v>242</v>
      </c>
      <c r="AX7" s="201">
        <f t="shared" si="1"/>
        <v>-49</v>
      </c>
      <c r="AY7" s="202">
        <f t="shared" si="0"/>
        <v>-45</v>
      </c>
      <c r="AZ7" s="202">
        <f t="shared" si="0"/>
        <v>-45</v>
      </c>
      <c r="BA7" s="202">
        <f t="shared" si="0"/>
        <v>-42</v>
      </c>
      <c r="BB7" s="202">
        <f t="shared" si="0"/>
        <v>-42</v>
      </c>
      <c r="BC7" s="202">
        <f t="shared" si="0"/>
        <v>-51</v>
      </c>
      <c r="BD7" s="202">
        <f t="shared" si="0"/>
        <v>-49</v>
      </c>
      <c r="BE7" s="202">
        <f t="shared" si="0"/>
        <v>-48</v>
      </c>
      <c r="BF7" s="202">
        <f t="shared" si="0"/>
        <v>-49</v>
      </c>
      <c r="BG7" s="203">
        <f t="shared" si="0"/>
        <v>-49</v>
      </c>
    </row>
    <row r="8" spans="1:59" ht="14.45" x14ac:dyDescent="0.3">
      <c r="A8" s="195" t="s">
        <v>250</v>
      </c>
      <c r="B8" s="183">
        <v>-31</v>
      </c>
      <c r="C8" s="183">
        <v>-32</v>
      </c>
      <c r="D8" s="183">
        <v>-31</v>
      </c>
      <c r="E8" s="183">
        <v>-29</v>
      </c>
      <c r="F8" s="183">
        <v>-27</v>
      </c>
      <c r="G8" s="183">
        <v>-36</v>
      </c>
      <c r="H8" s="183">
        <v>-34</v>
      </c>
      <c r="I8" s="183">
        <v>-35</v>
      </c>
      <c r="J8" s="183">
        <v>-37</v>
      </c>
      <c r="K8" s="184">
        <v>-34</v>
      </c>
      <c r="L8" s="217"/>
      <c r="M8" s="195" t="s">
        <v>250</v>
      </c>
      <c r="N8" s="196">
        <v>-37</v>
      </c>
      <c r="O8" s="183">
        <v>-36</v>
      </c>
      <c r="P8" s="183">
        <v>-35</v>
      </c>
      <c r="Q8" s="183">
        <v>-32</v>
      </c>
      <c r="R8" s="183">
        <v>-30</v>
      </c>
      <c r="S8" s="183">
        <v>-38</v>
      </c>
      <c r="T8" s="183">
        <v>-36</v>
      </c>
      <c r="U8" s="183">
        <v>-37</v>
      </c>
      <c r="V8" s="183">
        <v>-39</v>
      </c>
      <c r="W8" s="184">
        <v>-36</v>
      </c>
      <c r="X8" s="217"/>
      <c r="Y8" s="197" t="s">
        <v>250</v>
      </c>
      <c r="Z8" s="198">
        <v>-41</v>
      </c>
      <c r="AA8" s="199">
        <v>-40</v>
      </c>
      <c r="AB8" s="199">
        <v>-39</v>
      </c>
      <c r="AC8" s="199">
        <v>-36</v>
      </c>
      <c r="AD8" s="199">
        <v>-34</v>
      </c>
      <c r="AE8" s="199">
        <v>-42</v>
      </c>
      <c r="AF8" s="199">
        <v>-39</v>
      </c>
      <c r="AG8" s="199">
        <v>-39</v>
      </c>
      <c r="AH8" s="199">
        <v>-41</v>
      </c>
      <c r="AI8" s="200">
        <v>-38</v>
      </c>
      <c r="AJ8" s="217"/>
      <c r="AK8" s="197" t="s">
        <v>250</v>
      </c>
      <c r="AL8" s="198">
        <v>-45</v>
      </c>
      <c r="AM8" s="199">
        <v>-44</v>
      </c>
      <c r="AN8" s="199">
        <v>-43</v>
      </c>
      <c r="AO8" s="199">
        <v>-39</v>
      </c>
      <c r="AP8" s="199">
        <v>-37</v>
      </c>
      <c r="AQ8" s="199">
        <v>-46</v>
      </c>
      <c r="AR8" s="199">
        <v>-43</v>
      </c>
      <c r="AS8" s="199">
        <v>-43</v>
      </c>
      <c r="AT8" s="199">
        <v>-45</v>
      </c>
      <c r="AU8" s="200">
        <v>-42</v>
      </c>
      <c r="AW8" s="197" t="s">
        <v>250</v>
      </c>
      <c r="AX8" s="201">
        <f t="shared" si="1"/>
        <v>-50</v>
      </c>
      <c r="AY8" s="202">
        <f t="shared" si="0"/>
        <v>-49</v>
      </c>
      <c r="AZ8" s="202">
        <f t="shared" si="0"/>
        <v>-48</v>
      </c>
      <c r="BA8" s="202">
        <f t="shared" si="0"/>
        <v>-44</v>
      </c>
      <c r="BB8" s="202">
        <f t="shared" si="0"/>
        <v>-42</v>
      </c>
      <c r="BC8" s="202">
        <f t="shared" si="0"/>
        <v>-51</v>
      </c>
      <c r="BD8" s="202">
        <f t="shared" si="0"/>
        <v>-48</v>
      </c>
      <c r="BE8" s="202">
        <f t="shared" si="0"/>
        <v>-48</v>
      </c>
      <c r="BF8" s="202">
        <f t="shared" si="0"/>
        <v>-50</v>
      </c>
      <c r="BG8" s="203">
        <f t="shared" si="0"/>
        <v>-47</v>
      </c>
    </row>
    <row r="9" spans="1:59" ht="14.45" x14ac:dyDescent="0.3">
      <c r="A9" s="195" t="s">
        <v>258</v>
      </c>
      <c r="B9" s="183">
        <v>-33</v>
      </c>
      <c r="C9" s="183">
        <v>-32</v>
      </c>
      <c r="D9" s="183">
        <v>-32</v>
      </c>
      <c r="E9" s="183">
        <v>-30</v>
      </c>
      <c r="F9" s="183">
        <v>-29</v>
      </c>
      <c r="G9" s="183">
        <v>-30</v>
      </c>
      <c r="H9" s="183">
        <v>-31</v>
      </c>
      <c r="I9" s="183">
        <v>-34</v>
      </c>
      <c r="J9" s="183">
        <v>-36</v>
      </c>
      <c r="K9" s="184">
        <v>-33</v>
      </c>
      <c r="L9" s="217"/>
      <c r="M9" s="195" t="s">
        <v>258</v>
      </c>
      <c r="N9" s="196">
        <v>-38</v>
      </c>
      <c r="O9" s="183">
        <v>-35</v>
      </c>
      <c r="P9" s="183">
        <v>-35</v>
      </c>
      <c r="Q9" s="183">
        <v>-33</v>
      </c>
      <c r="R9" s="183">
        <v>-32</v>
      </c>
      <c r="S9" s="183">
        <v>-32</v>
      </c>
      <c r="T9" s="183">
        <v>-33</v>
      </c>
      <c r="U9" s="183">
        <v>-36</v>
      </c>
      <c r="V9" s="183">
        <v>-38</v>
      </c>
      <c r="W9" s="184">
        <v>-35</v>
      </c>
      <c r="X9" s="217"/>
      <c r="Y9" s="197" t="s">
        <v>258</v>
      </c>
      <c r="Z9" s="198">
        <v>-43</v>
      </c>
      <c r="AA9" s="199">
        <v>-40</v>
      </c>
      <c r="AB9" s="199">
        <v>-39</v>
      </c>
      <c r="AC9" s="199">
        <v>-36</v>
      </c>
      <c r="AD9" s="199">
        <v>-35</v>
      </c>
      <c r="AE9" s="199">
        <v>-36</v>
      </c>
      <c r="AF9" s="199">
        <v>-35</v>
      </c>
      <c r="AG9" s="199">
        <v>-38</v>
      </c>
      <c r="AH9" s="199">
        <v>-40</v>
      </c>
      <c r="AI9" s="200">
        <v>-37</v>
      </c>
      <c r="AJ9" s="217"/>
      <c r="AK9" s="197" t="s">
        <v>258</v>
      </c>
      <c r="AL9" s="198">
        <v>-47</v>
      </c>
      <c r="AM9" s="199">
        <v>-44</v>
      </c>
      <c r="AN9" s="199">
        <v>-43</v>
      </c>
      <c r="AO9" s="199">
        <v>-40</v>
      </c>
      <c r="AP9" s="199">
        <v>-39</v>
      </c>
      <c r="AQ9" s="199">
        <v>-40</v>
      </c>
      <c r="AR9" s="199">
        <v>-39</v>
      </c>
      <c r="AS9" s="199">
        <v>-41</v>
      </c>
      <c r="AT9" s="199">
        <v>-43</v>
      </c>
      <c r="AU9" s="200">
        <v>-40</v>
      </c>
      <c r="AW9" s="197" t="s">
        <v>258</v>
      </c>
      <c r="AX9" s="201">
        <f t="shared" si="1"/>
        <v>-52</v>
      </c>
      <c r="AY9" s="202">
        <f t="shared" si="0"/>
        <v>-49</v>
      </c>
      <c r="AZ9" s="202">
        <f t="shared" si="0"/>
        <v>-48</v>
      </c>
      <c r="BA9" s="202">
        <f t="shared" si="0"/>
        <v>-45</v>
      </c>
      <c r="BB9" s="202">
        <f t="shared" si="0"/>
        <v>-44</v>
      </c>
      <c r="BC9" s="202">
        <f t="shared" si="0"/>
        <v>-45</v>
      </c>
      <c r="BD9" s="202">
        <f t="shared" si="0"/>
        <v>-44</v>
      </c>
      <c r="BE9" s="202">
        <f t="shared" si="0"/>
        <v>-46</v>
      </c>
      <c r="BF9" s="202">
        <f t="shared" si="0"/>
        <v>-48</v>
      </c>
      <c r="BG9" s="203">
        <f t="shared" si="0"/>
        <v>-45</v>
      </c>
    </row>
    <row r="10" spans="1:59" thickBot="1" x14ac:dyDescent="0.35">
      <c r="A10" s="204" t="s">
        <v>265</v>
      </c>
      <c r="B10" s="205">
        <v>-35</v>
      </c>
      <c r="C10" s="205">
        <v>-37</v>
      </c>
      <c r="D10" s="205">
        <v>-35</v>
      </c>
      <c r="E10" s="205">
        <v>-33</v>
      </c>
      <c r="F10" s="205">
        <v>-30</v>
      </c>
      <c r="G10" s="205">
        <v>-30</v>
      </c>
      <c r="H10" s="205">
        <v>-32</v>
      </c>
      <c r="I10" s="205">
        <v>-31</v>
      </c>
      <c r="J10" s="205">
        <v>-29</v>
      </c>
      <c r="K10" s="206">
        <v>-31</v>
      </c>
      <c r="L10" s="217"/>
      <c r="M10" s="204" t="s">
        <v>265</v>
      </c>
      <c r="N10" s="207">
        <v>-40</v>
      </c>
      <c r="O10" s="205">
        <v>-40</v>
      </c>
      <c r="P10" s="205">
        <v>-38</v>
      </c>
      <c r="Q10" s="205">
        <v>-36</v>
      </c>
      <c r="R10" s="205">
        <v>-33</v>
      </c>
      <c r="S10" s="205">
        <v>-32</v>
      </c>
      <c r="T10" s="205">
        <v>-34</v>
      </c>
      <c r="U10" s="205">
        <v>-33</v>
      </c>
      <c r="V10" s="205">
        <v>-31</v>
      </c>
      <c r="W10" s="206">
        <v>-33</v>
      </c>
      <c r="X10" s="217"/>
      <c r="Y10" s="208" t="s">
        <v>265</v>
      </c>
      <c r="Z10" s="209">
        <v>-45</v>
      </c>
      <c r="AA10" s="210">
        <v>-45</v>
      </c>
      <c r="AB10" s="210">
        <v>-42</v>
      </c>
      <c r="AC10" s="210">
        <v>-39</v>
      </c>
      <c r="AD10" s="210">
        <v>-36</v>
      </c>
      <c r="AE10" s="210">
        <v>-36</v>
      </c>
      <c r="AF10" s="210">
        <v>-36</v>
      </c>
      <c r="AG10" s="210">
        <v>-35</v>
      </c>
      <c r="AH10" s="210">
        <v>-33</v>
      </c>
      <c r="AI10" s="211">
        <v>-35</v>
      </c>
      <c r="AJ10" s="217"/>
      <c r="AK10" s="208" t="s">
        <v>265</v>
      </c>
      <c r="AL10" s="209">
        <v>-49</v>
      </c>
      <c r="AM10" s="210">
        <v>-49</v>
      </c>
      <c r="AN10" s="210">
        <v>-46</v>
      </c>
      <c r="AO10" s="210">
        <v>-43</v>
      </c>
      <c r="AP10" s="210">
        <v>-40</v>
      </c>
      <c r="AQ10" s="210">
        <v>-40</v>
      </c>
      <c r="AR10" s="210">
        <v>-40</v>
      </c>
      <c r="AS10" s="210">
        <v>-38</v>
      </c>
      <c r="AT10" s="210">
        <v>-36</v>
      </c>
      <c r="AU10" s="211">
        <v>-38</v>
      </c>
      <c r="AW10" s="208" t="s">
        <v>265</v>
      </c>
      <c r="AX10" s="212">
        <f t="shared" si="1"/>
        <v>-54</v>
      </c>
      <c r="AY10" s="213">
        <f t="shared" si="0"/>
        <v>-54</v>
      </c>
      <c r="AZ10" s="213">
        <f t="shared" si="0"/>
        <v>-51</v>
      </c>
      <c r="BA10" s="213">
        <f t="shared" si="0"/>
        <v>-48</v>
      </c>
      <c r="BB10" s="213">
        <f t="shared" si="0"/>
        <v>-45</v>
      </c>
      <c r="BC10" s="213">
        <f t="shared" si="0"/>
        <v>-45</v>
      </c>
      <c r="BD10" s="213">
        <f t="shared" si="0"/>
        <v>-45</v>
      </c>
      <c r="BE10" s="213">
        <f t="shared" si="0"/>
        <v>-43</v>
      </c>
      <c r="BF10" s="213">
        <f t="shared" si="0"/>
        <v>-41</v>
      </c>
      <c r="BG10" s="214">
        <f t="shared" si="0"/>
        <v>-43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-31</v>
      </c>
      <c r="C15" s="186">
        <v>-28</v>
      </c>
      <c r="D15" s="186">
        <v>-28</v>
      </c>
      <c r="E15" s="186">
        <v>-32</v>
      </c>
      <c r="F15" s="186">
        <v>-31</v>
      </c>
      <c r="G15" s="186">
        <v>-36</v>
      </c>
      <c r="H15" s="186">
        <v>-35</v>
      </c>
      <c r="I15" s="186">
        <v>-37</v>
      </c>
      <c r="J15" s="186">
        <v>-34</v>
      </c>
      <c r="K15" s="187">
        <v>-38</v>
      </c>
      <c r="L15" s="217"/>
      <c r="M15" s="182" t="s">
        <v>187</v>
      </c>
      <c r="N15" s="185">
        <v>-38</v>
      </c>
      <c r="O15" s="186">
        <v>-33</v>
      </c>
      <c r="P15" s="186">
        <v>-33</v>
      </c>
      <c r="Q15" s="186">
        <v>-36</v>
      </c>
      <c r="R15" s="186">
        <v>-34</v>
      </c>
      <c r="S15" s="186">
        <v>-39</v>
      </c>
      <c r="T15" s="186">
        <v>-38</v>
      </c>
      <c r="U15" s="186">
        <v>-39</v>
      </c>
      <c r="V15" s="186">
        <v>-36</v>
      </c>
      <c r="W15" s="187">
        <v>-40</v>
      </c>
      <c r="X15" s="217"/>
      <c r="Y15" s="182" t="s">
        <v>187</v>
      </c>
      <c r="Z15" s="218">
        <v>-42</v>
      </c>
      <c r="AA15" s="219">
        <v>-37</v>
      </c>
      <c r="AB15" s="219">
        <v>-37</v>
      </c>
      <c r="AC15" s="219">
        <v>-41</v>
      </c>
      <c r="AD15" s="219">
        <v>-38</v>
      </c>
      <c r="AE15" s="219">
        <v>-42</v>
      </c>
      <c r="AF15" s="219">
        <v>-41</v>
      </c>
      <c r="AG15" s="219">
        <v>-42</v>
      </c>
      <c r="AH15" s="219">
        <v>-39</v>
      </c>
      <c r="AI15" s="220">
        <v>-43</v>
      </c>
      <c r="AJ15" s="217"/>
      <c r="AK15" s="188" t="s">
        <v>187</v>
      </c>
      <c r="AL15" s="189">
        <v>-46</v>
      </c>
      <c r="AM15" s="190">
        <v>-41</v>
      </c>
      <c r="AN15" s="190">
        <v>-41</v>
      </c>
      <c r="AO15" s="190">
        <v>-45</v>
      </c>
      <c r="AP15" s="190">
        <v>-43</v>
      </c>
      <c r="AQ15" s="190">
        <v>-47</v>
      </c>
      <c r="AR15" s="190">
        <v>-45</v>
      </c>
      <c r="AS15" s="190">
        <v>-46</v>
      </c>
      <c r="AT15" s="190">
        <v>-43</v>
      </c>
      <c r="AU15" s="191">
        <v>-47</v>
      </c>
      <c r="AW15" s="188" t="s">
        <v>187</v>
      </c>
      <c r="AX15" s="192">
        <f>AL15-5</f>
        <v>-51</v>
      </c>
      <c r="AY15" s="193">
        <f t="shared" ref="AY15:BG21" si="2">AM15-5</f>
        <v>-46</v>
      </c>
      <c r="AZ15" s="193">
        <f t="shared" si="2"/>
        <v>-46</v>
      </c>
      <c r="BA15" s="193">
        <f t="shared" si="2"/>
        <v>-50</v>
      </c>
      <c r="BB15" s="193">
        <f t="shared" si="2"/>
        <v>-48</v>
      </c>
      <c r="BC15" s="193">
        <f t="shared" si="2"/>
        <v>-52</v>
      </c>
      <c r="BD15" s="193">
        <f t="shared" si="2"/>
        <v>-50</v>
      </c>
      <c r="BE15" s="193">
        <f t="shared" si="2"/>
        <v>-51</v>
      </c>
      <c r="BF15" s="193">
        <f t="shared" si="2"/>
        <v>-48</v>
      </c>
      <c r="BG15" s="194">
        <f t="shared" si="2"/>
        <v>-52</v>
      </c>
    </row>
    <row r="16" spans="1:59" ht="14.45" x14ac:dyDescent="0.3">
      <c r="A16" s="195" t="s">
        <v>214</v>
      </c>
      <c r="B16" s="196">
        <v>-30</v>
      </c>
      <c r="C16" s="183">
        <v>-27</v>
      </c>
      <c r="D16" s="183">
        <v>-28</v>
      </c>
      <c r="E16" s="183">
        <v>-30</v>
      </c>
      <c r="F16" s="183">
        <v>-31</v>
      </c>
      <c r="G16" s="183">
        <v>-37</v>
      </c>
      <c r="H16" s="183">
        <v>-37</v>
      </c>
      <c r="I16" s="183">
        <v>-38</v>
      </c>
      <c r="J16" s="183">
        <v>-33</v>
      </c>
      <c r="K16" s="184">
        <v>-36</v>
      </c>
      <c r="L16" s="217"/>
      <c r="M16" s="195" t="s">
        <v>214</v>
      </c>
      <c r="N16" s="196">
        <v>-37</v>
      </c>
      <c r="O16" s="183">
        <v>-32</v>
      </c>
      <c r="P16" s="183">
        <v>-33</v>
      </c>
      <c r="Q16" s="183">
        <v>-34</v>
      </c>
      <c r="R16" s="183">
        <v>-34</v>
      </c>
      <c r="S16" s="183">
        <v>-40</v>
      </c>
      <c r="T16" s="183">
        <v>-40</v>
      </c>
      <c r="U16" s="183">
        <v>-40</v>
      </c>
      <c r="V16" s="183">
        <v>-35</v>
      </c>
      <c r="W16" s="184">
        <v>-38</v>
      </c>
      <c r="X16" s="217"/>
      <c r="Y16" s="195" t="s">
        <v>214</v>
      </c>
      <c r="Z16" s="221">
        <v>-41</v>
      </c>
      <c r="AA16" s="222">
        <v>-36</v>
      </c>
      <c r="AB16" s="222">
        <v>-37</v>
      </c>
      <c r="AC16" s="222">
        <v>-39</v>
      </c>
      <c r="AD16" s="222">
        <v>-38</v>
      </c>
      <c r="AE16" s="222">
        <v>-43</v>
      </c>
      <c r="AF16" s="222">
        <v>-43</v>
      </c>
      <c r="AG16" s="222">
        <v>-43</v>
      </c>
      <c r="AH16" s="222">
        <v>-38</v>
      </c>
      <c r="AI16" s="223">
        <v>-41</v>
      </c>
      <c r="AJ16" s="217"/>
      <c r="AK16" s="197" t="s">
        <v>214</v>
      </c>
      <c r="AL16" s="198">
        <v>-45</v>
      </c>
      <c r="AM16" s="199">
        <v>-40</v>
      </c>
      <c r="AN16" s="199">
        <v>-41</v>
      </c>
      <c r="AO16" s="199">
        <v>-43</v>
      </c>
      <c r="AP16" s="199">
        <v>-43</v>
      </c>
      <c r="AQ16" s="199">
        <v>-48</v>
      </c>
      <c r="AR16" s="199">
        <v>-47</v>
      </c>
      <c r="AS16" s="199">
        <v>-47</v>
      </c>
      <c r="AT16" s="199">
        <v>-42</v>
      </c>
      <c r="AU16" s="200">
        <v>-45</v>
      </c>
      <c r="AW16" s="197" t="s">
        <v>214</v>
      </c>
      <c r="AX16" s="201">
        <f t="shared" ref="AX16:AX21" si="3">AL16-5</f>
        <v>-50</v>
      </c>
      <c r="AY16" s="202">
        <f t="shared" si="2"/>
        <v>-45</v>
      </c>
      <c r="AZ16" s="202">
        <f t="shared" si="2"/>
        <v>-46</v>
      </c>
      <c r="BA16" s="202">
        <f t="shared" si="2"/>
        <v>-48</v>
      </c>
      <c r="BB16" s="202">
        <f t="shared" si="2"/>
        <v>-48</v>
      </c>
      <c r="BC16" s="202">
        <f t="shared" si="2"/>
        <v>-53</v>
      </c>
      <c r="BD16" s="202">
        <f t="shared" si="2"/>
        <v>-52</v>
      </c>
      <c r="BE16" s="202">
        <f t="shared" si="2"/>
        <v>-52</v>
      </c>
      <c r="BF16" s="202">
        <f t="shared" si="2"/>
        <v>-47</v>
      </c>
      <c r="BG16" s="203">
        <f t="shared" si="2"/>
        <v>-50</v>
      </c>
    </row>
    <row r="17" spans="1:59" ht="14.45" x14ac:dyDescent="0.3">
      <c r="A17" s="195" t="s">
        <v>233</v>
      </c>
      <c r="B17" s="196">
        <v>-34</v>
      </c>
      <c r="C17" s="183">
        <v>-32</v>
      </c>
      <c r="D17" s="183">
        <v>-31</v>
      </c>
      <c r="E17" s="183">
        <v>-31</v>
      </c>
      <c r="F17" s="183">
        <v>-32</v>
      </c>
      <c r="G17" s="183">
        <v>-39</v>
      </c>
      <c r="H17" s="183">
        <v>-37</v>
      </c>
      <c r="I17" s="183">
        <v>-39</v>
      </c>
      <c r="J17" s="183">
        <v>-39</v>
      </c>
      <c r="K17" s="184">
        <v>-38</v>
      </c>
      <c r="L17" s="217"/>
      <c r="M17" s="195" t="s">
        <v>233</v>
      </c>
      <c r="N17" s="196">
        <v>-41</v>
      </c>
      <c r="O17" s="183">
        <v>-37</v>
      </c>
      <c r="P17" s="183">
        <v>-36</v>
      </c>
      <c r="Q17" s="183">
        <v>-35</v>
      </c>
      <c r="R17" s="183">
        <v>-35</v>
      </c>
      <c r="S17" s="183">
        <v>-42</v>
      </c>
      <c r="T17" s="183">
        <v>-40</v>
      </c>
      <c r="U17" s="183">
        <v>-41</v>
      </c>
      <c r="V17" s="183">
        <v>-41</v>
      </c>
      <c r="W17" s="184">
        <v>-40</v>
      </c>
      <c r="X17" s="217"/>
      <c r="Y17" s="195" t="s">
        <v>233</v>
      </c>
      <c r="Z17" s="221">
        <v>-45</v>
      </c>
      <c r="AA17" s="222">
        <v>-41</v>
      </c>
      <c r="AB17" s="222">
        <v>-40</v>
      </c>
      <c r="AC17" s="222">
        <v>-40</v>
      </c>
      <c r="AD17" s="222">
        <v>-39</v>
      </c>
      <c r="AE17" s="222">
        <v>-45</v>
      </c>
      <c r="AF17" s="222">
        <v>-43</v>
      </c>
      <c r="AG17" s="222">
        <v>-44</v>
      </c>
      <c r="AH17" s="222">
        <v>-44</v>
      </c>
      <c r="AI17" s="223">
        <v>-43</v>
      </c>
      <c r="AJ17" s="217"/>
      <c r="AK17" s="197" t="s">
        <v>233</v>
      </c>
      <c r="AL17" s="198">
        <v>-49</v>
      </c>
      <c r="AM17" s="199">
        <v>-45</v>
      </c>
      <c r="AN17" s="199">
        <v>-44</v>
      </c>
      <c r="AO17" s="199">
        <v>-44</v>
      </c>
      <c r="AP17" s="199">
        <v>-44</v>
      </c>
      <c r="AQ17" s="199">
        <v>-50</v>
      </c>
      <c r="AR17" s="199">
        <v>-47</v>
      </c>
      <c r="AS17" s="199">
        <v>-48</v>
      </c>
      <c r="AT17" s="199">
        <v>-48</v>
      </c>
      <c r="AU17" s="200">
        <v>-47</v>
      </c>
      <c r="AW17" s="197" t="s">
        <v>233</v>
      </c>
      <c r="AX17" s="201">
        <f t="shared" si="3"/>
        <v>-54</v>
      </c>
      <c r="AY17" s="202">
        <f t="shared" si="2"/>
        <v>-50</v>
      </c>
      <c r="AZ17" s="202">
        <f t="shared" si="2"/>
        <v>-49</v>
      </c>
      <c r="BA17" s="202">
        <f t="shared" si="2"/>
        <v>-49</v>
      </c>
      <c r="BB17" s="202">
        <f t="shared" si="2"/>
        <v>-49</v>
      </c>
      <c r="BC17" s="202">
        <f t="shared" si="2"/>
        <v>-55</v>
      </c>
      <c r="BD17" s="202">
        <f t="shared" si="2"/>
        <v>-52</v>
      </c>
      <c r="BE17" s="202">
        <f t="shared" si="2"/>
        <v>-53</v>
      </c>
      <c r="BF17" s="202">
        <f t="shared" si="2"/>
        <v>-53</v>
      </c>
      <c r="BG17" s="203">
        <f t="shared" si="2"/>
        <v>-52</v>
      </c>
    </row>
    <row r="18" spans="1:59" ht="14.45" x14ac:dyDescent="0.3">
      <c r="A18" s="195" t="s">
        <v>242</v>
      </c>
      <c r="B18" s="196">
        <v>-37</v>
      </c>
      <c r="C18" s="183">
        <v>-35</v>
      </c>
      <c r="D18" s="183">
        <v>-34</v>
      </c>
      <c r="E18" s="183">
        <v>-32</v>
      </c>
      <c r="F18" s="183">
        <v>-31</v>
      </c>
      <c r="G18" s="183">
        <v>-39</v>
      </c>
      <c r="H18" s="183">
        <v>-37</v>
      </c>
      <c r="I18" s="183">
        <v>-37</v>
      </c>
      <c r="J18" s="183">
        <v>-38</v>
      </c>
      <c r="K18" s="184">
        <v>-38</v>
      </c>
      <c r="L18" s="217"/>
      <c r="M18" s="195" t="s">
        <v>242</v>
      </c>
      <c r="N18" s="196">
        <v>-43</v>
      </c>
      <c r="O18" s="183">
        <v>-39</v>
      </c>
      <c r="P18" s="183">
        <v>-38</v>
      </c>
      <c r="Q18" s="183">
        <v>-35</v>
      </c>
      <c r="R18" s="183">
        <v>-34</v>
      </c>
      <c r="S18" s="183">
        <v>-41</v>
      </c>
      <c r="T18" s="183">
        <v>-39</v>
      </c>
      <c r="U18" s="183">
        <v>-39</v>
      </c>
      <c r="V18" s="183">
        <v>-40</v>
      </c>
      <c r="W18" s="184">
        <v>-40</v>
      </c>
      <c r="X18" s="217"/>
      <c r="Y18" s="195" t="s">
        <v>242</v>
      </c>
      <c r="Z18" s="221">
        <v>-47</v>
      </c>
      <c r="AA18" s="222">
        <v>-43</v>
      </c>
      <c r="AB18" s="222">
        <v>-42</v>
      </c>
      <c r="AC18" s="222">
        <v>-39</v>
      </c>
      <c r="AD18" s="222">
        <v>-38</v>
      </c>
      <c r="AE18" s="222">
        <v>-45</v>
      </c>
      <c r="AF18" s="222">
        <v>-42</v>
      </c>
      <c r="AG18" s="222">
        <v>-41</v>
      </c>
      <c r="AH18" s="222">
        <v>-42</v>
      </c>
      <c r="AI18" s="223">
        <v>-42</v>
      </c>
      <c r="AJ18" s="217"/>
      <c r="AK18" s="197" t="s">
        <v>242</v>
      </c>
      <c r="AL18" s="198">
        <v>-51</v>
      </c>
      <c r="AM18" s="199">
        <v>-47</v>
      </c>
      <c r="AN18" s="199">
        <v>-46</v>
      </c>
      <c r="AO18" s="199">
        <v>-42</v>
      </c>
      <c r="AP18" s="199">
        <v>-41</v>
      </c>
      <c r="AQ18" s="199">
        <v>-49</v>
      </c>
      <c r="AR18" s="199">
        <v>-46</v>
      </c>
      <c r="AS18" s="199">
        <v>-45</v>
      </c>
      <c r="AT18" s="199">
        <v>-46</v>
      </c>
      <c r="AU18" s="200">
        <v>-46</v>
      </c>
      <c r="AW18" s="197" t="s">
        <v>242</v>
      </c>
      <c r="AX18" s="201">
        <f t="shared" si="3"/>
        <v>-56</v>
      </c>
      <c r="AY18" s="202">
        <f t="shared" si="2"/>
        <v>-52</v>
      </c>
      <c r="AZ18" s="202">
        <f t="shared" si="2"/>
        <v>-51</v>
      </c>
      <c r="BA18" s="202">
        <f t="shared" si="2"/>
        <v>-47</v>
      </c>
      <c r="BB18" s="202">
        <f t="shared" si="2"/>
        <v>-46</v>
      </c>
      <c r="BC18" s="202">
        <f t="shared" si="2"/>
        <v>-54</v>
      </c>
      <c r="BD18" s="202">
        <f t="shared" si="2"/>
        <v>-51</v>
      </c>
      <c r="BE18" s="202">
        <f t="shared" si="2"/>
        <v>-50</v>
      </c>
      <c r="BF18" s="202">
        <f t="shared" si="2"/>
        <v>-51</v>
      </c>
      <c r="BG18" s="203">
        <f t="shared" si="2"/>
        <v>-51</v>
      </c>
    </row>
    <row r="19" spans="1:59" ht="14.45" x14ac:dyDescent="0.3">
      <c r="A19" s="195" t="s">
        <v>250</v>
      </c>
      <c r="B19" s="196">
        <v>-38</v>
      </c>
      <c r="C19" s="183">
        <v>-39</v>
      </c>
      <c r="D19" s="183">
        <v>-37</v>
      </c>
      <c r="E19" s="183">
        <v>-34</v>
      </c>
      <c r="F19" s="183">
        <v>-31</v>
      </c>
      <c r="G19" s="183">
        <v>-39</v>
      </c>
      <c r="H19" s="183">
        <v>-36</v>
      </c>
      <c r="I19" s="183">
        <v>-37</v>
      </c>
      <c r="J19" s="183">
        <v>-39</v>
      </c>
      <c r="K19" s="184">
        <v>-36</v>
      </c>
      <c r="L19" s="217"/>
      <c r="M19" s="195" t="s">
        <v>250</v>
      </c>
      <c r="N19" s="196">
        <v>-44</v>
      </c>
      <c r="O19" s="183">
        <v>-43</v>
      </c>
      <c r="P19" s="183">
        <v>-41</v>
      </c>
      <c r="Q19" s="183">
        <v>-37</v>
      </c>
      <c r="R19" s="183">
        <v>-34</v>
      </c>
      <c r="S19" s="183">
        <v>-41</v>
      </c>
      <c r="T19" s="183">
        <v>-38</v>
      </c>
      <c r="U19" s="183">
        <v>-39</v>
      </c>
      <c r="V19" s="183">
        <v>-41</v>
      </c>
      <c r="W19" s="184">
        <v>-38</v>
      </c>
      <c r="X19" s="217"/>
      <c r="Y19" s="195" t="s">
        <v>250</v>
      </c>
      <c r="Z19" s="221">
        <v>-48</v>
      </c>
      <c r="AA19" s="222">
        <v>-47</v>
      </c>
      <c r="AB19" s="222">
        <v>-45</v>
      </c>
      <c r="AC19" s="222">
        <v>-41</v>
      </c>
      <c r="AD19" s="222">
        <v>-38</v>
      </c>
      <c r="AE19" s="222">
        <v>-45</v>
      </c>
      <c r="AF19" s="222">
        <v>-41</v>
      </c>
      <c r="AG19" s="222">
        <v>-41</v>
      </c>
      <c r="AH19" s="222">
        <v>-43</v>
      </c>
      <c r="AI19" s="223">
        <v>-40</v>
      </c>
      <c r="AJ19" s="217"/>
      <c r="AK19" s="197" t="s">
        <v>250</v>
      </c>
      <c r="AL19" s="198">
        <v>-52</v>
      </c>
      <c r="AM19" s="199">
        <v>-51</v>
      </c>
      <c r="AN19" s="199">
        <v>-49</v>
      </c>
      <c r="AO19" s="199">
        <v>-44</v>
      </c>
      <c r="AP19" s="199">
        <v>-41</v>
      </c>
      <c r="AQ19" s="199">
        <v>-49</v>
      </c>
      <c r="AR19" s="199">
        <v>-45</v>
      </c>
      <c r="AS19" s="199">
        <v>-45</v>
      </c>
      <c r="AT19" s="199">
        <v>-47</v>
      </c>
      <c r="AU19" s="200">
        <v>-44</v>
      </c>
      <c r="AW19" s="197" t="s">
        <v>250</v>
      </c>
      <c r="AX19" s="201">
        <f t="shared" si="3"/>
        <v>-57</v>
      </c>
      <c r="AY19" s="202">
        <f t="shared" si="2"/>
        <v>-56</v>
      </c>
      <c r="AZ19" s="202">
        <f t="shared" si="2"/>
        <v>-54</v>
      </c>
      <c r="BA19" s="202">
        <f t="shared" si="2"/>
        <v>-49</v>
      </c>
      <c r="BB19" s="202">
        <f t="shared" si="2"/>
        <v>-46</v>
      </c>
      <c r="BC19" s="202">
        <f t="shared" si="2"/>
        <v>-54</v>
      </c>
      <c r="BD19" s="202">
        <f t="shared" si="2"/>
        <v>-50</v>
      </c>
      <c r="BE19" s="202">
        <f t="shared" si="2"/>
        <v>-50</v>
      </c>
      <c r="BF19" s="202">
        <f t="shared" si="2"/>
        <v>-52</v>
      </c>
      <c r="BG19" s="203">
        <f t="shared" si="2"/>
        <v>-49</v>
      </c>
    </row>
    <row r="20" spans="1:59" ht="14.45" x14ac:dyDescent="0.3">
      <c r="A20" s="195" t="s">
        <v>258</v>
      </c>
      <c r="B20" s="196">
        <v>-38</v>
      </c>
      <c r="C20" s="183">
        <v>-37</v>
      </c>
      <c r="D20" s="183">
        <v>-36</v>
      </c>
      <c r="E20" s="183">
        <v>-33</v>
      </c>
      <c r="F20" s="183">
        <v>-32</v>
      </c>
      <c r="G20" s="183">
        <v>-33</v>
      </c>
      <c r="H20" s="183">
        <v>-33</v>
      </c>
      <c r="I20" s="183">
        <v>-36</v>
      </c>
      <c r="J20" s="183">
        <v>-38</v>
      </c>
      <c r="K20" s="184">
        <v>-35</v>
      </c>
      <c r="L20" s="217"/>
      <c r="M20" s="195" t="s">
        <v>258</v>
      </c>
      <c r="N20" s="196">
        <v>-43</v>
      </c>
      <c r="O20" s="183">
        <v>-40</v>
      </c>
      <c r="P20" s="183">
        <v>-39</v>
      </c>
      <c r="Q20" s="183">
        <v>-36</v>
      </c>
      <c r="R20" s="183">
        <v>-35</v>
      </c>
      <c r="S20" s="183">
        <v>-35</v>
      </c>
      <c r="T20" s="183">
        <v>-35</v>
      </c>
      <c r="U20" s="183">
        <v>-38</v>
      </c>
      <c r="V20" s="183">
        <v>-40</v>
      </c>
      <c r="W20" s="184">
        <v>-37</v>
      </c>
      <c r="X20" s="217"/>
      <c r="Y20" s="195" t="s">
        <v>258</v>
      </c>
      <c r="Z20" s="221">
        <v>-48</v>
      </c>
      <c r="AA20" s="222">
        <v>-45</v>
      </c>
      <c r="AB20" s="222">
        <v>-43</v>
      </c>
      <c r="AC20" s="222">
        <v>-39</v>
      </c>
      <c r="AD20" s="222">
        <v>-38</v>
      </c>
      <c r="AE20" s="222">
        <v>-39</v>
      </c>
      <c r="AF20" s="222">
        <v>-37</v>
      </c>
      <c r="AG20" s="222">
        <v>-40</v>
      </c>
      <c r="AH20" s="222">
        <v>-42</v>
      </c>
      <c r="AI20" s="223">
        <v>-39</v>
      </c>
      <c r="AJ20" s="217"/>
      <c r="AK20" s="197" t="s">
        <v>258</v>
      </c>
      <c r="AL20" s="198">
        <v>-52</v>
      </c>
      <c r="AM20" s="199">
        <v>-49</v>
      </c>
      <c r="AN20" s="199">
        <v>-47</v>
      </c>
      <c r="AO20" s="199">
        <v>-43</v>
      </c>
      <c r="AP20" s="199">
        <v>-42</v>
      </c>
      <c r="AQ20" s="199">
        <v>-43</v>
      </c>
      <c r="AR20" s="199">
        <v>-41</v>
      </c>
      <c r="AS20" s="199">
        <v>-43</v>
      </c>
      <c r="AT20" s="199">
        <v>-45</v>
      </c>
      <c r="AU20" s="200">
        <v>-42</v>
      </c>
      <c r="AW20" s="197" t="s">
        <v>258</v>
      </c>
      <c r="AX20" s="201">
        <f t="shared" si="3"/>
        <v>-57</v>
      </c>
      <c r="AY20" s="202">
        <f t="shared" si="2"/>
        <v>-54</v>
      </c>
      <c r="AZ20" s="202">
        <f t="shared" si="2"/>
        <v>-52</v>
      </c>
      <c r="BA20" s="202">
        <f t="shared" si="2"/>
        <v>-48</v>
      </c>
      <c r="BB20" s="202">
        <f t="shared" si="2"/>
        <v>-47</v>
      </c>
      <c r="BC20" s="202">
        <f t="shared" si="2"/>
        <v>-48</v>
      </c>
      <c r="BD20" s="202">
        <f t="shared" si="2"/>
        <v>-46</v>
      </c>
      <c r="BE20" s="202">
        <f t="shared" si="2"/>
        <v>-48</v>
      </c>
      <c r="BF20" s="202">
        <f t="shared" si="2"/>
        <v>-50</v>
      </c>
      <c r="BG20" s="203">
        <f t="shared" si="2"/>
        <v>-47</v>
      </c>
    </row>
    <row r="21" spans="1:59" thickBot="1" x14ac:dyDescent="0.35">
      <c r="A21" s="204" t="s">
        <v>265</v>
      </c>
      <c r="B21" s="207">
        <v>-40</v>
      </c>
      <c r="C21" s="205">
        <v>-42</v>
      </c>
      <c r="D21" s="205">
        <v>-39</v>
      </c>
      <c r="E21" s="205">
        <v>-36</v>
      </c>
      <c r="F21" s="205">
        <v>-33</v>
      </c>
      <c r="G21" s="205">
        <v>-33</v>
      </c>
      <c r="H21" s="205">
        <v>-34</v>
      </c>
      <c r="I21" s="205">
        <v>-33</v>
      </c>
      <c r="J21" s="205">
        <v>-31</v>
      </c>
      <c r="K21" s="206">
        <v>-33</v>
      </c>
      <c r="L21" s="217"/>
      <c r="M21" s="204" t="s">
        <v>265</v>
      </c>
      <c r="N21" s="207">
        <v>-45</v>
      </c>
      <c r="O21" s="205">
        <v>-45</v>
      </c>
      <c r="P21" s="205">
        <v>-42</v>
      </c>
      <c r="Q21" s="205">
        <v>-39</v>
      </c>
      <c r="R21" s="205">
        <v>-36</v>
      </c>
      <c r="S21" s="205">
        <v>-35</v>
      </c>
      <c r="T21" s="205">
        <v>-36</v>
      </c>
      <c r="U21" s="205">
        <v>-35</v>
      </c>
      <c r="V21" s="205">
        <v>-33</v>
      </c>
      <c r="W21" s="206">
        <v>-35</v>
      </c>
      <c r="X21" s="217"/>
      <c r="Y21" s="204" t="s">
        <v>265</v>
      </c>
      <c r="Z21" s="224">
        <v>-50</v>
      </c>
      <c r="AA21" s="225">
        <v>-50</v>
      </c>
      <c r="AB21" s="225">
        <v>-46</v>
      </c>
      <c r="AC21" s="225">
        <v>-42</v>
      </c>
      <c r="AD21" s="225">
        <v>-39</v>
      </c>
      <c r="AE21" s="225">
        <v>-39</v>
      </c>
      <c r="AF21" s="225">
        <v>-38</v>
      </c>
      <c r="AG21" s="225">
        <v>-37</v>
      </c>
      <c r="AH21" s="225">
        <v>-35</v>
      </c>
      <c r="AI21" s="226">
        <v>-37</v>
      </c>
      <c r="AJ21" s="217"/>
      <c r="AK21" s="208" t="s">
        <v>265</v>
      </c>
      <c r="AL21" s="209">
        <v>-54</v>
      </c>
      <c r="AM21" s="210">
        <v>-54</v>
      </c>
      <c r="AN21" s="210">
        <v>-50</v>
      </c>
      <c r="AO21" s="210">
        <v>-46</v>
      </c>
      <c r="AP21" s="210">
        <v>-43</v>
      </c>
      <c r="AQ21" s="210">
        <v>-43</v>
      </c>
      <c r="AR21" s="210">
        <v>-42</v>
      </c>
      <c r="AS21" s="210">
        <v>-40</v>
      </c>
      <c r="AT21" s="210">
        <v>-38</v>
      </c>
      <c r="AU21" s="211">
        <v>-40</v>
      </c>
      <c r="AW21" s="208" t="s">
        <v>265</v>
      </c>
      <c r="AX21" s="212">
        <f t="shared" si="3"/>
        <v>-59</v>
      </c>
      <c r="AY21" s="213">
        <f t="shared" si="2"/>
        <v>-59</v>
      </c>
      <c r="AZ21" s="213">
        <f t="shared" si="2"/>
        <v>-55</v>
      </c>
      <c r="BA21" s="213">
        <f t="shared" si="2"/>
        <v>-51</v>
      </c>
      <c r="BB21" s="213">
        <f t="shared" si="2"/>
        <v>-48</v>
      </c>
      <c r="BC21" s="213">
        <f t="shared" si="2"/>
        <v>-48</v>
      </c>
      <c r="BD21" s="213">
        <f t="shared" si="2"/>
        <v>-47</v>
      </c>
      <c r="BE21" s="213">
        <f t="shared" si="2"/>
        <v>-45</v>
      </c>
      <c r="BF21" s="213">
        <f t="shared" si="2"/>
        <v>-43</v>
      </c>
      <c r="BG21" s="214">
        <f t="shared" si="2"/>
        <v>-45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-38</v>
      </c>
      <c r="C26" s="186">
        <v>-34</v>
      </c>
      <c r="D26" s="186">
        <v>-34</v>
      </c>
      <c r="E26" s="186">
        <v>-38</v>
      </c>
      <c r="F26" s="186">
        <v>-37</v>
      </c>
      <c r="G26" s="186">
        <v>-42</v>
      </c>
      <c r="H26" s="186">
        <v>-42</v>
      </c>
      <c r="I26" s="186">
        <v>-44</v>
      </c>
      <c r="J26" s="186">
        <v>-41</v>
      </c>
      <c r="K26" s="187">
        <v>-45</v>
      </c>
      <c r="L26" s="217"/>
      <c r="M26" s="182" t="s">
        <v>187</v>
      </c>
      <c r="N26" s="185">
        <v>-45</v>
      </c>
      <c r="O26" s="186">
        <v>-39</v>
      </c>
      <c r="P26" s="186">
        <v>-39</v>
      </c>
      <c r="Q26" s="186">
        <v>-42</v>
      </c>
      <c r="R26" s="186">
        <v>-40</v>
      </c>
      <c r="S26" s="186">
        <v>-45</v>
      </c>
      <c r="T26" s="186">
        <v>-45</v>
      </c>
      <c r="U26" s="186">
        <v>-46</v>
      </c>
      <c r="V26" s="186">
        <v>-43</v>
      </c>
      <c r="W26" s="187">
        <v>-47</v>
      </c>
      <c r="X26" s="217"/>
      <c r="Y26" s="188" t="s">
        <v>187</v>
      </c>
      <c r="Z26" s="227">
        <v>-49</v>
      </c>
      <c r="AA26" s="228">
        <v>-43</v>
      </c>
      <c r="AB26" s="228">
        <v>-43</v>
      </c>
      <c r="AC26" s="228">
        <v>-47</v>
      </c>
      <c r="AD26" s="228">
        <v>-44</v>
      </c>
      <c r="AE26" s="228">
        <v>-48</v>
      </c>
      <c r="AF26" s="228">
        <v>-48</v>
      </c>
      <c r="AG26" s="228">
        <v>-49</v>
      </c>
      <c r="AH26" s="228">
        <v>-46</v>
      </c>
      <c r="AI26" s="229">
        <v>-50</v>
      </c>
      <c r="AJ26" s="217"/>
      <c r="AK26" s="188" t="s">
        <v>187</v>
      </c>
      <c r="AL26" s="189">
        <v>-53</v>
      </c>
      <c r="AM26" s="190">
        <v>-47</v>
      </c>
      <c r="AN26" s="190">
        <v>-47</v>
      </c>
      <c r="AO26" s="190">
        <v>-51</v>
      </c>
      <c r="AP26" s="190">
        <v>-49</v>
      </c>
      <c r="AQ26" s="190">
        <v>-53</v>
      </c>
      <c r="AR26" s="190">
        <v>-52</v>
      </c>
      <c r="AS26" s="190">
        <v>-53</v>
      </c>
      <c r="AT26" s="190">
        <v>-50</v>
      </c>
      <c r="AU26" s="191">
        <v>-54</v>
      </c>
      <c r="AW26" s="188" t="s">
        <v>187</v>
      </c>
      <c r="AX26" s="192">
        <f>AL26-5</f>
        <v>-58</v>
      </c>
      <c r="AY26" s="193">
        <f t="shared" ref="AY26:BG32" si="4">AM26-5</f>
        <v>-52</v>
      </c>
      <c r="AZ26" s="193">
        <f t="shared" si="4"/>
        <v>-52</v>
      </c>
      <c r="BA26" s="193">
        <f t="shared" si="4"/>
        <v>-56</v>
      </c>
      <c r="BB26" s="193">
        <f t="shared" si="4"/>
        <v>-54</v>
      </c>
      <c r="BC26" s="193">
        <f t="shared" si="4"/>
        <v>-58</v>
      </c>
      <c r="BD26" s="193">
        <f t="shared" si="4"/>
        <v>-57</v>
      </c>
      <c r="BE26" s="193">
        <f t="shared" si="4"/>
        <v>-58</v>
      </c>
      <c r="BF26" s="193">
        <f t="shared" si="4"/>
        <v>-55</v>
      </c>
      <c r="BG26" s="194">
        <f t="shared" si="4"/>
        <v>-59</v>
      </c>
    </row>
    <row r="27" spans="1:59" x14ac:dyDescent="0.25">
      <c r="A27" s="195" t="s">
        <v>214</v>
      </c>
      <c r="B27" s="196">
        <v>-37</v>
      </c>
      <c r="C27" s="183">
        <v>-33</v>
      </c>
      <c r="D27" s="183">
        <v>-34</v>
      </c>
      <c r="E27" s="183">
        <v>-36</v>
      </c>
      <c r="F27" s="183">
        <v>-37</v>
      </c>
      <c r="G27" s="183">
        <v>-43</v>
      </c>
      <c r="H27" s="183">
        <v>-44</v>
      </c>
      <c r="I27" s="183">
        <v>-45</v>
      </c>
      <c r="J27" s="183">
        <v>-40</v>
      </c>
      <c r="K27" s="184">
        <v>-43</v>
      </c>
      <c r="L27" s="217"/>
      <c r="M27" s="195" t="s">
        <v>214</v>
      </c>
      <c r="N27" s="196">
        <v>-44</v>
      </c>
      <c r="O27" s="183">
        <v>-38</v>
      </c>
      <c r="P27" s="183">
        <v>-39</v>
      </c>
      <c r="Q27" s="183">
        <v>-40</v>
      </c>
      <c r="R27" s="183">
        <v>-40</v>
      </c>
      <c r="S27" s="183">
        <v>-46</v>
      </c>
      <c r="T27" s="183">
        <v>-47</v>
      </c>
      <c r="U27" s="183">
        <v>-47</v>
      </c>
      <c r="V27" s="183">
        <v>-42</v>
      </c>
      <c r="W27" s="184">
        <v>-45</v>
      </c>
      <c r="X27" s="217"/>
      <c r="Y27" s="197" t="s">
        <v>214</v>
      </c>
      <c r="Z27" s="230">
        <v>-48</v>
      </c>
      <c r="AA27" s="231">
        <v>-42</v>
      </c>
      <c r="AB27" s="231">
        <v>-43</v>
      </c>
      <c r="AC27" s="231">
        <v>-45</v>
      </c>
      <c r="AD27" s="231">
        <v>-44</v>
      </c>
      <c r="AE27" s="231">
        <v>-49</v>
      </c>
      <c r="AF27" s="231">
        <v>-50</v>
      </c>
      <c r="AG27" s="231">
        <v>-50</v>
      </c>
      <c r="AH27" s="231">
        <v>-45</v>
      </c>
      <c r="AI27" s="232">
        <v>-48</v>
      </c>
      <c r="AJ27" s="217"/>
      <c r="AK27" s="197" t="s">
        <v>214</v>
      </c>
      <c r="AL27" s="198">
        <v>-52</v>
      </c>
      <c r="AM27" s="199">
        <v>-46</v>
      </c>
      <c r="AN27" s="199">
        <v>-47</v>
      </c>
      <c r="AO27" s="199">
        <v>-49</v>
      </c>
      <c r="AP27" s="199">
        <v>-49</v>
      </c>
      <c r="AQ27" s="199">
        <v>-54</v>
      </c>
      <c r="AR27" s="199">
        <v>-54</v>
      </c>
      <c r="AS27" s="199">
        <v>-54</v>
      </c>
      <c r="AT27" s="199">
        <v>-49</v>
      </c>
      <c r="AU27" s="200">
        <v>-52</v>
      </c>
      <c r="AW27" s="197" t="s">
        <v>214</v>
      </c>
      <c r="AX27" s="201">
        <f t="shared" ref="AX27:AX32" si="5">AL27-5</f>
        <v>-57</v>
      </c>
      <c r="AY27" s="202">
        <f t="shared" si="4"/>
        <v>-51</v>
      </c>
      <c r="AZ27" s="202">
        <f t="shared" si="4"/>
        <v>-52</v>
      </c>
      <c r="BA27" s="202">
        <f t="shared" si="4"/>
        <v>-54</v>
      </c>
      <c r="BB27" s="202">
        <f t="shared" si="4"/>
        <v>-54</v>
      </c>
      <c r="BC27" s="202">
        <f t="shared" si="4"/>
        <v>-59</v>
      </c>
      <c r="BD27" s="202">
        <f t="shared" si="4"/>
        <v>-59</v>
      </c>
      <c r="BE27" s="202">
        <f t="shared" si="4"/>
        <v>-59</v>
      </c>
      <c r="BF27" s="202">
        <f t="shared" si="4"/>
        <v>-54</v>
      </c>
      <c r="BG27" s="203">
        <f t="shared" si="4"/>
        <v>-57</v>
      </c>
    </row>
    <row r="28" spans="1:59" x14ac:dyDescent="0.25">
      <c r="A28" s="195" t="s">
        <v>233</v>
      </c>
      <c r="B28" s="196">
        <v>-41</v>
      </c>
      <c r="C28" s="183">
        <v>-38</v>
      </c>
      <c r="D28" s="183">
        <v>-37</v>
      </c>
      <c r="E28" s="183">
        <v>-37</v>
      </c>
      <c r="F28" s="183">
        <v>-38</v>
      </c>
      <c r="G28" s="183">
        <v>-45</v>
      </c>
      <c r="H28" s="183">
        <v>-44</v>
      </c>
      <c r="I28" s="183">
        <v>-46</v>
      </c>
      <c r="J28" s="183">
        <v>-46</v>
      </c>
      <c r="K28" s="184">
        <v>-45</v>
      </c>
      <c r="L28" s="217"/>
      <c r="M28" s="195" t="s">
        <v>233</v>
      </c>
      <c r="N28" s="196">
        <v>-48</v>
      </c>
      <c r="O28" s="183">
        <v>-43</v>
      </c>
      <c r="P28" s="183">
        <v>-42</v>
      </c>
      <c r="Q28" s="183">
        <v>-41</v>
      </c>
      <c r="R28" s="183">
        <v>-41</v>
      </c>
      <c r="S28" s="183">
        <v>-48</v>
      </c>
      <c r="T28" s="183">
        <v>-47</v>
      </c>
      <c r="U28" s="183">
        <v>-48</v>
      </c>
      <c r="V28" s="183">
        <v>-48</v>
      </c>
      <c r="W28" s="184">
        <v>-47</v>
      </c>
      <c r="X28" s="217"/>
      <c r="Y28" s="197" t="s">
        <v>233</v>
      </c>
      <c r="Z28" s="230">
        <v>-52</v>
      </c>
      <c r="AA28" s="231">
        <v>-47</v>
      </c>
      <c r="AB28" s="231">
        <v>-46</v>
      </c>
      <c r="AC28" s="231">
        <v>-46</v>
      </c>
      <c r="AD28" s="231">
        <v>-45</v>
      </c>
      <c r="AE28" s="231">
        <v>-51</v>
      </c>
      <c r="AF28" s="231">
        <v>-50</v>
      </c>
      <c r="AG28" s="231">
        <v>-51</v>
      </c>
      <c r="AH28" s="231">
        <v>-51</v>
      </c>
      <c r="AI28" s="232">
        <v>-50</v>
      </c>
      <c r="AJ28" s="217"/>
      <c r="AK28" s="197" t="s">
        <v>233</v>
      </c>
      <c r="AL28" s="198">
        <v>-56</v>
      </c>
      <c r="AM28" s="199">
        <v>-51</v>
      </c>
      <c r="AN28" s="199">
        <v>-50</v>
      </c>
      <c r="AO28" s="199">
        <v>-50</v>
      </c>
      <c r="AP28" s="199">
        <v>-50</v>
      </c>
      <c r="AQ28" s="199">
        <v>-56</v>
      </c>
      <c r="AR28" s="199">
        <v>-54</v>
      </c>
      <c r="AS28" s="199">
        <v>-55</v>
      </c>
      <c r="AT28" s="199">
        <v>-55</v>
      </c>
      <c r="AU28" s="200">
        <v>-54</v>
      </c>
      <c r="AW28" s="197" t="s">
        <v>233</v>
      </c>
      <c r="AX28" s="201">
        <f t="shared" si="5"/>
        <v>-61</v>
      </c>
      <c r="AY28" s="202">
        <f t="shared" si="4"/>
        <v>-56</v>
      </c>
      <c r="AZ28" s="202">
        <f t="shared" si="4"/>
        <v>-55</v>
      </c>
      <c r="BA28" s="202">
        <f t="shared" si="4"/>
        <v>-55</v>
      </c>
      <c r="BB28" s="202">
        <f t="shared" si="4"/>
        <v>-55</v>
      </c>
      <c r="BC28" s="202">
        <f t="shared" si="4"/>
        <v>-61</v>
      </c>
      <c r="BD28" s="202">
        <f t="shared" si="4"/>
        <v>-59</v>
      </c>
      <c r="BE28" s="202">
        <f t="shared" si="4"/>
        <v>-60</v>
      </c>
      <c r="BF28" s="202">
        <f t="shared" si="4"/>
        <v>-60</v>
      </c>
      <c r="BG28" s="203">
        <f t="shared" si="4"/>
        <v>-59</v>
      </c>
    </row>
    <row r="29" spans="1:59" x14ac:dyDescent="0.25">
      <c r="A29" s="195" t="s">
        <v>242</v>
      </c>
      <c r="B29" s="196">
        <v>-43</v>
      </c>
      <c r="C29" s="183">
        <v>-41</v>
      </c>
      <c r="D29" s="183">
        <v>-40</v>
      </c>
      <c r="E29" s="183">
        <v>-38</v>
      </c>
      <c r="F29" s="183">
        <v>-37</v>
      </c>
      <c r="G29" s="183">
        <v>-45</v>
      </c>
      <c r="H29" s="183">
        <v>-43</v>
      </c>
      <c r="I29" s="183">
        <v>-43</v>
      </c>
      <c r="J29" s="183">
        <v>-44</v>
      </c>
      <c r="K29" s="184">
        <v>-44</v>
      </c>
      <c r="L29" s="217"/>
      <c r="M29" s="195" t="s">
        <v>242</v>
      </c>
      <c r="N29" s="196">
        <v>-49</v>
      </c>
      <c r="O29" s="183">
        <v>-45</v>
      </c>
      <c r="P29" s="183">
        <v>-44</v>
      </c>
      <c r="Q29" s="183">
        <v>-41</v>
      </c>
      <c r="R29" s="183">
        <v>-40</v>
      </c>
      <c r="S29" s="183">
        <v>-47</v>
      </c>
      <c r="T29" s="183">
        <v>-45</v>
      </c>
      <c r="U29" s="183">
        <v>-45</v>
      </c>
      <c r="V29" s="183">
        <v>-46</v>
      </c>
      <c r="W29" s="184">
        <v>-46</v>
      </c>
      <c r="X29" s="217"/>
      <c r="Y29" s="197" t="s">
        <v>242</v>
      </c>
      <c r="Z29" s="230">
        <v>-53</v>
      </c>
      <c r="AA29" s="231">
        <v>-49</v>
      </c>
      <c r="AB29" s="231">
        <v>-48</v>
      </c>
      <c r="AC29" s="231">
        <v>-45</v>
      </c>
      <c r="AD29" s="231">
        <v>-44</v>
      </c>
      <c r="AE29" s="231">
        <v>-51</v>
      </c>
      <c r="AF29" s="231">
        <v>-48</v>
      </c>
      <c r="AG29" s="231">
        <v>-47</v>
      </c>
      <c r="AH29" s="231">
        <v>-48</v>
      </c>
      <c r="AI29" s="232">
        <v>-48</v>
      </c>
      <c r="AJ29" s="217"/>
      <c r="AK29" s="197" t="s">
        <v>242</v>
      </c>
      <c r="AL29" s="198">
        <v>-57</v>
      </c>
      <c r="AM29" s="199">
        <v>-53</v>
      </c>
      <c r="AN29" s="199">
        <v>-52</v>
      </c>
      <c r="AO29" s="199">
        <v>-48</v>
      </c>
      <c r="AP29" s="199">
        <v>-47</v>
      </c>
      <c r="AQ29" s="199">
        <v>-55</v>
      </c>
      <c r="AR29" s="199">
        <v>-52</v>
      </c>
      <c r="AS29" s="199">
        <v>-51</v>
      </c>
      <c r="AT29" s="199">
        <v>-52</v>
      </c>
      <c r="AU29" s="200">
        <v>-52</v>
      </c>
      <c r="AW29" s="197" t="s">
        <v>242</v>
      </c>
      <c r="AX29" s="201">
        <f t="shared" si="5"/>
        <v>-62</v>
      </c>
      <c r="AY29" s="202">
        <f t="shared" si="4"/>
        <v>-58</v>
      </c>
      <c r="AZ29" s="202">
        <f t="shared" si="4"/>
        <v>-57</v>
      </c>
      <c r="BA29" s="202">
        <f t="shared" si="4"/>
        <v>-53</v>
      </c>
      <c r="BB29" s="202">
        <f t="shared" si="4"/>
        <v>-52</v>
      </c>
      <c r="BC29" s="202">
        <f t="shared" si="4"/>
        <v>-60</v>
      </c>
      <c r="BD29" s="202">
        <f t="shared" si="4"/>
        <v>-57</v>
      </c>
      <c r="BE29" s="202">
        <f t="shared" si="4"/>
        <v>-56</v>
      </c>
      <c r="BF29" s="202">
        <f t="shared" si="4"/>
        <v>-57</v>
      </c>
      <c r="BG29" s="203">
        <f t="shared" si="4"/>
        <v>-57</v>
      </c>
    </row>
    <row r="30" spans="1:59" x14ac:dyDescent="0.25">
      <c r="A30" s="195" t="s">
        <v>250</v>
      </c>
      <c r="B30" s="196">
        <v>-44</v>
      </c>
      <c r="C30" s="183">
        <v>-45</v>
      </c>
      <c r="D30" s="183">
        <v>-43</v>
      </c>
      <c r="E30" s="183">
        <v>-40</v>
      </c>
      <c r="F30" s="183">
        <v>-37</v>
      </c>
      <c r="G30" s="183">
        <v>-45</v>
      </c>
      <c r="H30" s="183">
        <v>-42</v>
      </c>
      <c r="I30" s="183">
        <v>-43</v>
      </c>
      <c r="J30" s="183">
        <v>-45</v>
      </c>
      <c r="K30" s="184">
        <v>-42</v>
      </c>
      <c r="L30" s="217"/>
      <c r="M30" s="195" t="s">
        <v>250</v>
      </c>
      <c r="N30" s="196">
        <v>-50</v>
      </c>
      <c r="O30" s="183">
        <v>-49</v>
      </c>
      <c r="P30" s="183">
        <v>-47</v>
      </c>
      <c r="Q30" s="183">
        <v>-43</v>
      </c>
      <c r="R30" s="183">
        <v>-40</v>
      </c>
      <c r="S30" s="183">
        <v>-47</v>
      </c>
      <c r="T30" s="183">
        <v>-44</v>
      </c>
      <c r="U30" s="183">
        <v>-45</v>
      </c>
      <c r="V30" s="183">
        <v>-47</v>
      </c>
      <c r="W30" s="184">
        <v>-44</v>
      </c>
      <c r="X30" s="217"/>
      <c r="Y30" s="197" t="s">
        <v>250</v>
      </c>
      <c r="Z30" s="230">
        <v>-54</v>
      </c>
      <c r="AA30" s="231">
        <v>-53</v>
      </c>
      <c r="AB30" s="231">
        <v>-51</v>
      </c>
      <c r="AC30" s="231">
        <v>-47</v>
      </c>
      <c r="AD30" s="231">
        <v>-44</v>
      </c>
      <c r="AE30" s="231">
        <v>-51</v>
      </c>
      <c r="AF30" s="231">
        <v>-47</v>
      </c>
      <c r="AG30" s="231">
        <v>-47</v>
      </c>
      <c r="AH30" s="231">
        <v>-49</v>
      </c>
      <c r="AI30" s="232">
        <v>-46</v>
      </c>
      <c r="AJ30" s="217"/>
      <c r="AK30" s="197" t="s">
        <v>250</v>
      </c>
      <c r="AL30" s="198">
        <v>-58</v>
      </c>
      <c r="AM30" s="199">
        <v>-57</v>
      </c>
      <c r="AN30" s="199">
        <v>-55</v>
      </c>
      <c r="AO30" s="199">
        <v>-50</v>
      </c>
      <c r="AP30" s="199">
        <v>-47</v>
      </c>
      <c r="AQ30" s="199">
        <v>-55</v>
      </c>
      <c r="AR30" s="199">
        <v>-51</v>
      </c>
      <c r="AS30" s="199">
        <v>-51</v>
      </c>
      <c r="AT30" s="199">
        <v>-53</v>
      </c>
      <c r="AU30" s="200">
        <v>-50</v>
      </c>
      <c r="AW30" s="197" t="s">
        <v>250</v>
      </c>
      <c r="AX30" s="201">
        <f t="shared" si="5"/>
        <v>-63</v>
      </c>
      <c r="AY30" s="202">
        <f t="shared" si="4"/>
        <v>-62</v>
      </c>
      <c r="AZ30" s="202">
        <f t="shared" si="4"/>
        <v>-60</v>
      </c>
      <c r="BA30" s="202">
        <f t="shared" si="4"/>
        <v>-55</v>
      </c>
      <c r="BB30" s="202">
        <f t="shared" si="4"/>
        <v>-52</v>
      </c>
      <c r="BC30" s="202">
        <f t="shared" si="4"/>
        <v>-60</v>
      </c>
      <c r="BD30" s="202">
        <f t="shared" si="4"/>
        <v>-56</v>
      </c>
      <c r="BE30" s="202">
        <f t="shared" si="4"/>
        <v>-56</v>
      </c>
      <c r="BF30" s="202">
        <f t="shared" si="4"/>
        <v>-58</v>
      </c>
      <c r="BG30" s="203">
        <f t="shared" si="4"/>
        <v>-55</v>
      </c>
    </row>
    <row r="31" spans="1:59" x14ac:dyDescent="0.25">
      <c r="A31" s="195" t="s">
        <v>258</v>
      </c>
      <c r="B31" s="196">
        <v>-44</v>
      </c>
      <c r="C31" s="183">
        <v>-43</v>
      </c>
      <c r="D31" s="183">
        <v>-43</v>
      </c>
      <c r="E31" s="183">
        <v>-40</v>
      </c>
      <c r="F31" s="183">
        <v>-38</v>
      </c>
      <c r="G31" s="183">
        <v>-39</v>
      </c>
      <c r="H31" s="183">
        <v>-39</v>
      </c>
      <c r="I31" s="183">
        <v>-41</v>
      </c>
      <c r="J31" s="183">
        <v>-43</v>
      </c>
      <c r="K31" s="184">
        <v>-40</v>
      </c>
      <c r="L31" s="217"/>
      <c r="M31" s="195" t="s">
        <v>258</v>
      </c>
      <c r="N31" s="196">
        <v>-49</v>
      </c>
      <c r="O31" s="183">
        <v>-46</v>
      </c>
      <c r="P31" s="183">
        <v>-46</v>
      </c>
      <c r="Q31" s="183">
        <v>-43</v>
      </c>
      <c r="R31" s="183">
        <v>-41</v>
      </c>
      <c r="S31" s="183">
        <v>-41</v>
      </c>
      <c r="T31" s="183">
        <v>-41</v>
      </c>
      <c r="U31" s="183">
        <v>-43</v>
      </c>
      <c r="V31" s="183">
        <v>-45</v>
      </c>
      <c r="W31" s="184">
        <v>-42</v>
      </c>
      <c r="X31" s="217"/>
      <c r="Y31" s="197" t="s">
        <v>258</v>
      </c>
      <c r="Z31" s="230">
        <v>-54</v>
      </c>
      <c r="AA31" s="231">
        <v>-51</v>
      </c>
      <c r="AB31" s="231">
        <v>-50</v>
      </c>
      <c r="AC31" s="231">
        <v>-46</v>
      </c>
      <c r="AD31" s="231">
        <v>-44</v>
      </c>
      <c r="AE31" s="231">
        <v>-45</v>
      </c>
      <c r="AF31" s="231">
        <v>-43</v>
      </c>
      <c r="AG31" s="231">
        <v>-45</v>
      </c>
      <c r="AH31" s="231">
        <v>-47</v>
      </c>
      <c r="AI31" s="232">
        <v>-44</v>
      </c>
      <c r="AJ31" s="217"/>
      <c r="AK31" s="197" t="s">
        <v>258</v>
      </c>
      <c r="AL31" s="198">
        <v>-58</v>
      </c>
      <c r="AM31" s="199">
        <v>-55</v>
      </c>
      <c r="AN31" s="199">
        <v>-54</v>
      </c>
      <c r="AO31" s="199">
        <v>-50</v>
      </c>
      <c r="AP31" s="199">
        <v>-48</v>
      </c>
      <c r="AQ31" s="199">
        <v>-49</v>
      </c>
      <c r="AR31" s="199">
        <v>-47</v>
      </c>
      <c r="AS31" s="199">
        <v>-48</v>
      </c>
      <c r="AT31" s="199">
        <v>-50</v>
      </c>
      <c r="AU31" s="200">
        <v>-47</v>
      </c>
      <c r="AW31" s="197" t="s">
        <v>258</v>
      </c>
      <c r="AX31" s="201">
        <f t="shared" si="5"/>
        <v>-63</v>
      </c>
      <c r="AY31" s="202">
        <f t="shared" si="4"/>
        <v>-60</v>
      </c>
      <c r="AZ31" s="202">
        <f t="shared" si="4"/>
        <v>-59</v>
      </c>
      <c r="BA31" s="202">
        <f t="shared" si="4"/>
        <v>-55</v>
      </c>
      <c r="BB31" s="202">
        <f t="shared" si="4"/>
        <v>-53</v>
      </c>
      <c r="BC31" s="202">
        <f t="shared" si="4"/>
        <v>-54</v>
      </c>
      <c r="BD31" s="202">
        <f t="shared" si="4"/>
        <v>-52</v>
      </c>
      <c r="BE31" s="202">
        <f t="shared" si="4"/>
        <v>-53</v>
      </c>
      <c r="BF31" s="202">
        <f t="shared" si="4"/>
        <v>-55</v>
      </c>
      <c r="BG31" s="203">
        <f t="shared" si="4"/>
        <v>-52</v>
      </c>
    </row>
    <row r="32" spans="1:59" ht="15.75" thickBot="1" x14ac:dyDescent="0.3">
      <c r="A32" s="204" t="s">
        <v>265</v>
      </c>
      <c r="B32" s="207">
        <v>-46</v>
      </c>
      <c r="C32" s="205">
        <v>-48</v>
      </c>
      <c r="D32" s="205">
        <v>-46</v>
      </c>
      <c r="E32" s="205">
        <v>-43</v>
      </c>
      <c r="F32" s="205">
        <v>-39</v>
      </c>
      <c r="G32" s="205">
        <v>-39</v>
      </c>
      <c r="H32" s="205">
        <v>-40</v>
      </c>
      <c r="I32" s="205">
        <v>-38</v>
      </c>
      <c r="J32" s="205">
        <v>-36</v>
      </c>
      <c r="K32" s="206">
        <v>-38</v>
      </c>
      <c r="L32" s="217"/>
      <c r="M32" s="204" t="s">
        <v>265</v>
      </c>
      <c r="N32" s="207">
        <v>-51</v>
      </c>
      <c r="O32" s="205">
        <v>-51</v>
      </c>
      <c r="P32" s="205">
        <v>-49</v>
      </c>
      <c r="Q32" s="205">
        <v>-46</v>
      </c>
      <c r="R32" s="205">
        <v>-42</v>
      </c>
      <c r="S32" s="205">
        <v>-41</v>
      </c>
      <c r="T32" s="205">
        <v>-42</v>
      </c>
      <c r="U32" s="205">
        <v>-40</v>
      </c>
      <c r="V32" s="205">
        <v>-38</v>
      </c>
      <c r="W32" s="206">
        <v>-40</v>
      </c>
      <c r="X32" s="217"/>
      <c r="Y32" s="208" t="s">
        <v>265</v>
      </c>
      <c r="Z32" s="233">
        <v>-56</v>
      </c>
      <c r="AA32" s="234">
        <v>-56</v>
      </c>
      <c r="AB32" s="234">
        <v>-53</v>
      </c>
      <c r="AC32" s="234">
        <v>-49</v>
      </c>
      <c r="AD32" s="234">
        <v>-45</v>
      </c>
      <c r="AE32" s="234">
        <v>-45</v>
      </c>
      <c r="AF32" s="234">
        <v>-44</v>
      </c>
      <c r="AG32" s="234">
        <v>-42</v>
      </c>
      <c r="AH32" s="234">
        <v>-40</v>
      </c>
      <c r="AI32" s="235">
        <v>-42</v>
      </c>
      <c r="AJ32" s="217"/>
      <c r="AK32" s="208" t="s">
        <v>265</v>
      </c>
      <c r="AL32" s="209">
        <v>-60</v>
      </c>
      <c r="AM32" s="210">
        <v>-60</v>
      </c>
      <c r="AN32" s="210">
        <v>-57</v>
      </c>
      <c r="AO32" s="210">
        <v>-53</v>
      </c>
      <c r="AP32" s="210">
        <v>-49</v>
      </c>
      <c r="AQ32" s="210">
        <v>-49</v>
      </c>
      <c r="AR32" s="210">
        <v>-48</v>
      </c>
      <c r="AS32" s="210">
        <v>-45</v>
      </c>
      <c r="AT32" s="210">
        <v>-43</v>
      </c>
      <c r="AU32" s="211">
        <v>-45</v>
      </c>
      <c r="AW32" s="208" t="s">
        <v>265</v>
      </c>
      <c r="AX32" s="212">
        <f t="shared" si="5"/>
        <v>-65</v>
      </c>
      <c r="AY32" s="213">
        <f t="shared" si="4"/>
        <v>-65</v>
      </c>
      <c r="AZ32" s="213">
        <f t="shared" si="4"/>
        <v>-62</v>
      </c>
      <c r="BA32" s="213">
        <f t="shared" si="4"/>
        <v>-58</v>
      </c>
      <c r="BB32" s="213">
        <f t="shared" si="4"/>
        <v>-54</v>
      </c>
      <c r="BC32" s="213">
        <f t="shared" si="4"/>
        <v>-54</v>
      </c>
      <c r="BD32" s="213">
        <f t="shared" si="4"/>
        <v>-53</v>
      </c>
      <c r="BE32" s="213">
        <f t="shared" si="4"/>
        <v>-50</v>
      </c>
      <c r="BF32" s="213">
        <f t="shared" si="4"/>
        <v>-48</v>
      </c>
      <c r="BG32" s="214">
        <f t="shared" si="4"/>
        <v>-50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-44</v>
      </c>
      <c r="C37" s="186">
        <v>-41</v>
      </c>
      <c r="D37" s="186">
        <v>-40</v>
      </c>
      <c r="E37" s="186">
        <v>-46</v>
      </c>
      <c r="F37" s="186">
        <v>-44</v>
      </c>
      <c r="G37" s="186">
        <v>-48</v>
      </c>
      <c r="H37" s="186">
        <v>-48</v>
      </c>
      <c r="I37" s="186">
        <v>-49</v>
      </c>
      <c r="J37" s="186">
        <v>-46</v>
      </c>
      <c r="K37" s="187">
        <v>-50</v>
      </c>
      <c r="L37" s="217"/>
      <c r="M37" s="236" t="s">
        <v>187</v>
      </c>
      <c r="N37" s="185">
        <v>-48</v>
      </c>
      <c r="O37" s="186">
        <v>-44</v>
      </c>
      <c r="P37" s="186">
        <v>-42</v>
      </c>
      <c r="Q37" s="186">
        <v>-48</v>
      </c>
      <c r="R37" s="186">
        <v>-46</v>
      </c>
      <c r="S37" s="186">
        <v>-50</v>
      </c>
      <c r="T37" s="186">
        <v>-50</v>
      </c>
      <c r="U37" s="186">
        <v>-50</v>
      </c>
      <c r="V37" s="186">
        <v>-47</v>
      </c>
      <c r="W37" s="187">
        <v>-51</v>
      </c>
      <c r="X37" s="217"/>
      <c r="Y37" s="237" t="s">
        <v>187</v>
      </c>
      <c r="Z37" s="227">
        <v>-55</v>
      </c>
      <c r="AA37" s="228">
        <v>-50</v>
      </c>
      <c r="AB37" s="228">
        <v>-49</v>
      </c>
      <c r="AC37" s="228">
        <v>-55</v>
      </c>
      <c r="AD37" s="228">
        <v>-51</v>
      </c>
      <c r="AE37" s="228">
        <v>-54</v>
      </c>
      <c r="AF37" s="228">
        <v>-54</v>
      </c>
      <c r="AG37" s="228">
        <v>-54</v>
      </c>
      <c r="AH37" s="228">
        <v>-51</v>
      </c>
      <c r="AI37" s="229">
        <v>-55</v>
      </c>
      <c r="AJ37" s="217"/>
      <c r="AK37" s="237" t="s">
        <v>187</v>
      </c>
      <c r="AL37" s="189">
        <v>-59</v>
      </c>
      <c r="AM37" s="190">
        <v>-54</v>
      </c>
      <c r="AN37" s="190">
        <v>-53</v>
      </c>
      <c r="AO37" s="190">
        <v>-59</v>
      </c>
      <c r="AP37" s="190">
        <v>-56</v>
      </c>
      <c r="AQ37" s="190">
        <v>-59</v>
      </c>
      <c r="AR37" s="190">
        <v>-58</v>
      </c>
      <c r="AS37" s="190">
        <v>-58</v>
      </c>
      <c r="AT37" s="190">
        <v>-55</v>
      </c>
      <c r="AU37" s="191">
        <v>-59</v>
      </c>
      <c r="AW37" s="237" t="s">
        <v>187</v>
      </c>
      <c r="AX37" s="192">
        <f>AL37-5</f>
        <v>-64</v>
      </c>
      <c r="AY37" s="193">
        <f t="shared" ref="AY37:BG43" si="6">AM37-5</f>
        <v>-59</v>
      </c>
      <c r="AZ37" s="193">
        <f t="shared" si="6"/>
        <v>-58</v>
      </c>
      <c r="BA37" s="193">
        <f t="shared" si="6"/>
        <v>-64</v>
      </c>
      <c r="BB37" s="193">
        <f t="shared" si="6"/>
        <v>-61</v>
      </c>
      <c r="BC37" s="193">
        <f t="shared" si="6"/>
        <v>-64</v>
      </c>
      <c r="BD37" s="193">
        <f t="shared" si="6"/>
        <v>-63</v>
      </c>
      <c r="BE37" s="193">
        <f t="shared" si="6"/>
        <v>-63</v>
      </c>
      <c r="BF37" s="193">
        <f t="shared" si="6"/>
        <v>-60</v>
      </c>
      <c r="BG37" s="194">
        <f t="shared" si="6"/>
        <v>-64</v>
      </c>
    </row>
    <row r="38" spans="1:59" x14ac:dyDescent="0.25">
      <c r="A38" s="195" t="s">
        <v>214</v>
      </c>
      <c r="B38" s="196">
        <v>-43</v>
      </c>
      <c r="C38" s="183">
        <v>-40</v>
      </c>
      <c r="D38" s="183">
        <v>-40</v>
      </c>
      <c r="E38" s="183">
        <v>-44</v>
      </c>
      <c r="F38" s="183">
        <v>-44</v>
      </c>
      <c r="G38" s="183">
        <v>-49</v>
      </c>
      <c r="H38" s="183">
        <v>-50</v>
      </c>
      <c r="I38" s="183">
        <v>-50</v>
      </c>
      <c r="J38" s="183">
        <v>-45</v>
      </c>
      <c r="K38" s="184">
        <v>-48</v>
      </c>
      <c r="L38" s="217"/>
      <c r="M38" s="195" t="s">
        <v>214</v>
      </c>
      <c r="N38" s="196">
        <v>-47</v>
      </c>
      <c r="O38" s="183">
        <v>-43</v>
      </c>
      <c r="P38" s="183">
        <v>-42</v>
      </c>
      <c r="Q38" s="183">
        <v>-46</v>
      </c>
      <c r="R38" s="183">
        <v>-46</v>
      </c>
      <c r="S38" s="183">
        <v>-51</v>
      </c>
      <c r="T38" s="183">
        <v>-52</v>
      </c>
      <c r="U38" s="183">
        <v>-51</v>
      </c>
      <c r="V38" s="183">
        <v>-46</v>
      </c>
      <c r="W38" s="184">
        <v>-49</v>
      </c>
      <c r="X38" s="217"/>
      <c r="Y38" s="197" t="s">
        <v>214</v>
      </c>
      <c r="Z38" s="230">
        <v>-54</v>
      </c>
      <c r="AA38" s="231">
        <v>-49</v>
      </c>
      <c r="AB38" s="231">
        <v>-49</v>
      </c>
      <c r="AC38" s="231">
        <v>-53</v>
      </c>
      <c r="AD38" s="231">
        <v>-51</v>
      </c>
      <c r="AE38" s="231">
        <v>-55</v>
      </c>
      <c r="AF38" s="231">
        <v>-56</v>
      </c>
      <c r="AG38" s="231">
        <v>-55</v>
      </c>
      <c r="AH38" s="231">
        <v>-50</v>
      </c>
      <c r="AI38" s="232">
        <v>-53</v>
      </c>
      <c r="AJ38" s="217"/>
      <c r="AK38" s="197" t="s">
        <v>214</v>
      </c>
      <c r="AL38" s="198">
        <v>-58</v>
      </c>
      <c r="AM38" s="199">
        <v>-53</v>
      </c>
      <c r="AN38" s="199">
        <v>-53</v>
      </c>
      <c r="AO38" s="199">
        <v>-57</v>
      </c>
      <c r="AP38" s="199">
        <v>-56</v>
      </c>
      <c r="AQ38" s="199">
        <v>-60</v>
      </c>
      <c r="AR38" s="199">
        <v>-60</v>
      </c>
      <c r="AS38" s="199">
        <v>-59</v>
      </c>
      <c r="AT38" s="199">
        <v>-54</v>
      </c>
      <c r="AU38" s="200">
        <v>-57</v>
      </c>
      <c r="AW38" s="197" t="s">
        <v>214</v>
      </c>
      <c r="AX38" s="201">
        <f t="shared" ref="AX38:AX43" si="7">AL38-5</f>
        <v>-63</v>
      </c>
      <c r="AY38" s="202">
        <f t="shared" si="6"/>
        <v>-58</v>
      </c>
      <c r="AZ38" s="202">
        <f t="shared" si="6"/>
        <v>-58</v>
      </c>
      <c r="BA38" s="202">
        <f t="shared" si="6"/>
        <v>-62</v>
      </c>
      <c r="BB38" s="202">
        <f t="shared" si="6"/>
        <v>-61</v>
      </c>
      <c r="BC38" s="202">
        <f t="shared" si="6"/>
        <v>-65</v>
      </c>
      <c r="BD38" s="202">
        <f t="shared" si="6"/>
        <v>-65</v>
      </c>
      <c r="BE38" s="202">
        <f t="shared" si="6"/>
        <v>-64</v>
      </c>
      <c r="BF38" s="202">
        <f t="shared" si="6"/>
        <v>-59</v>
      </c>
      <c r="BG38" s="203">
        <f t="shared" si="6"/>
        <v>-62</v>
      </c>
    </row>
    <row r="39" spans="1:59" x14ac:dyDescent="0.25">
      <c r="A39" s="195" t="s">
        <v>233</v>
      </c>
      <c r="B39" s="196">
        <v>-47</v>
      </c>
      <c r="C39" s="183">
        <v>-45</v>
      </c>
      <c r="D39" s="183">
        <v>-43</v>
      </c>
      <c r="E39" s="183">
        <v>-45</v>
      </c>
      <c r="F39" s="183">
        <v>-45</v>
      </c>
      <c r="G39" s="183">
        <v>-51</v>
      </c>
      <c r="H39" s="183">
        <v>-50</v>
      </c>
      <c r="I39" s="183">
        <v>-51</v>
      </c>
      <c r="J39" s="183">
        <v>-51</v>
      </c>
      <c r="K39" s="184">
        <v>-50</v>
      </c>
      <c r="L39" s="217"/>
      <c r="M39" s="195" t="s">
        <v>233</v>
      </c>
      <c r="N39" s="196">
        <v>-51</v>
      </c>
      <c r="O39" s="183">
        <v>-48</v>
      </c>
      <c r="P39" s="183">
        <v>-45</v>
      </c>
      <c r="Q39" s="183">
        <v>-47</v>
      </c>
      <c r="R39" s="183">
        <v>-47</v>
      </c>
      <c r="S39" s="183">
        <v>-53</v>
      </c>
      <c r="T39" s="183">
        <v>-52</v>
      </c>
      <c r="U39" s="183">
        <v>-52</v>
      </c>
      <c r="V39" s="183">
        <v>-52</v>
      </c>
      <c r="W39" s="184">
        <v>-51</v>
      </c>
      <c r="X39" s="217"/>
      <c r="Y39" s="197" t="s">
        <v>233</v>
      </c>
      <c r="Z39" s="230">
        <v>-58</v>
      </c>
      <c r="AA39" s="231">
        <v>-54</v>
      </c>
      <c r="AB39" s="231">
        <v>-52</v>
      </c>
      <c r="AC39" s="231">
        <v>-54</v>
      </c>
      <c r="AD39" s="231">
        <v>-52</v>
      </c>
      <c r="AE39" s="231">
        <v>-57</v>
      </c>
      <c r="AF39" s="231">
        <v>-56</v>
      </c>
      <c r="AG39" s="231">
        <v>-56</v>
      </c>
      <c r="AH39" s="231">
        <v>-56</v>
      </c>
      <c r="AI39" s="232">
        <v>-55</v>
      </c>
      <c r="AJ39" s="217"/>
      <c r="AK39" s="197" t="s">
        <v>233</v>
      </c>
      <c r="AL39" s="198">
        <v>-62</v>
      </c>
      <c r="AM39" s="199">
        <v>-58</v>
      </c>
      <c r="AN39" s="199">
        <v>-56</v>
      </c>
      <c r="AO39" s="199">
        <v>-58</v>
      </c>
      <c r="AP39" s="199">
        <v>-57</v>
      </c>
      <c r="AQ39" s="199">
        <v>-62</v>
      </c>
      <c r="AR39" s="199">
        <v>-60</v>
      </c>
      <c r="AS39" s="199">
        <v>-60</v>
      </c>
      <c r="AT39" s="199">
        <v>-60</v>
      </c>
      <c r="AU39" s="200">
        <v>-59</v>
      </c>
      <c r="AW39" s="197" t="s">
        <v>233</v>
      </c>
      <c r="AX39" s="201">
        <f t="shared" si="7"/>
        <v>-67</v>
      </c>
      <c r="AY39" s="202">
        <f t="shared" si="6"/>
        <v>-63</v>
      </c>
      <c r="AZ39" s="202">
        <f t="shared" si="6"/>
        <v>-61</v>
      </c>
      <c r="BA39" s="202">
        <f t="shared" si="6"/>
        <v>-63</v>
      </c>
      <c r="BB39" s="202">
        <f t="shared" si="6"/>
        <v>-62</v>
      </c>
      <c r="BC39" s="202">
        <f t="shared" si="6"/>
        <v>-67</v>
      </c>
      <c r="BD39" s="202">
        <f t="shared" si="6"/>
        <v>-65</v>
      </c>
      <c r="BE39" s="202">
        <f t="shared" si="6"/>
        <v>-65</v>
      </c>
      <c r="BF39" s="202">
        <f t="shared" si="6"/>
        <v>-65</v>
      </c>
      <c r="BG39" s="203">
        <f t="shared" si="6"/>
        <v>-64</v>
      </c>
    </row>
    <row r="40" spans="1:59" x14ac:dyDescent="0.25">
      <c r="A40" s="195" t="s">
        <v>242</v>
      </c>
      <c r="B40" s="196">
        <v>-49</v>
      </c>
      <c r="C40" s="183">
        <v>-46</v>
      </c>
      <c r="D40" s="183">
        <v>-46</v>
      </c>
      <c r="E40" s="183">
        <v>-44</v>
      </c>
      <c r="F40" s="183">
        <v>-42</v>
      </c>
      <c r="G40" s="183">
        <v>-51</v>
      </c>
      <c r="H40" s="183">
        <v>-49</v>
      </c>
      <c r="I40" s="183">
        <v>-48</v>
      </c>
      <c r="J40" s="183">
        <v>-49</v>
      </c>
      <c r="K40" s="184">
        <v>-49</v>
      </c>
      <c r="L40" s="217"/>
      <c r="M40" s="195" t="s">
        <v>242</v>
      </c>
      <c r="N40" s="196">
        <v>-53</v>
      </c>
      <c r="O40" s="183">
        <v>-48</v>
      </c>
      <c r="P40" s="183">
        <v>-48</v>
      </c>
      <c r="Q40" s="183">
        <v>-46</v>
      </c>
      <c r="R40" s="183">
        <v>-44</v>
      </c>
      <c r="S40" s="183">
        <v>-53</v>
      </c>
      <c r="T40" s="183">
        <v>-51</v>
      </c>
      <c r="U40" s="183">
        <v>-49</v>
      </c>
      <c r="V40" s="183">
        <v>-50</v>
      </c>
      <c r="W40" s="184">
        <v>-50</v>
      </c>
      <c r="X40" s="217"/>
      <c r="Y40" s="197" t="s">
        <v>242</v>
      </c>
      <c r="Z40" s="230">
        <v>-59</v>
      </c>
      <c r="AA40" s="231">
        <v>-54</v>
      </c>
      <c r="AB40" s="231">
        <v>-54</v>
      </c>
      <c r="AC40" s="231">
        <v>-51</v>
      </c>
      <c r="AD40" s="231">
        <v>-48</v>
      </c>
      <c r="AE40" s="231">
        <v>-57</v>
      </c>
      <c r="AF40" s="231">
        <v>-54</v>
      </c>
      <c r="AG40" s="231">
        <v>-52</v>
      </c>
      <c r="AH40" s="231">
        <v>-53</v>
      </c>
      <c r="AI40" s="232">
        <v>-53</v>
      </c>
      <c r="AJ40" s="217"/>
      <c r="AK40" s="197" t="s">
        <v>242</v>
      </c>
      <c r="AL40" s="198">
        <v>-63</v>
      </c>
      <c r="AM40" s="199">
        <v>-58</v>
      </c>
      <c r="AN40" s="199">
        <v>-58</v>
      </c>
      <c r="AO40" s="199">
        <v>-54</v>
      </c>
      <c r="AP40" s="199">
        <v>-52</v>
      </c>
      <c r="AQ40" s="199">
        <v>-61</v>
      </c>
      <c r="AR40" s="199">
        <v>-58</v>
      </c>
      <c r="AS40" s="199">
        <v>-56</v>
      </c>
      <c r="AT40" s="199">
        <v>-57</v>
      </c>
      <c r="AU40" s="200">
        <v>-57</v>
      </c>
      <c r="AW40" s="197" t="s">
        <v>242</v>
      </c>
      <c r="AX40" s="201">
        <f t="shared" si="7"/>
        <v>-68</v>
      </c>
      <c r="AY40" s="202">
        <f t="shared" si="6"/>
        <v>-63</v>
      </c>
      <c r="AZ40" s="202">
        <f t="shared" si="6"/>
        <v>-63</v>
      </c>
      <c r="BA40" s="202">
        <f t="shared" si="6"/>
        <v>-59</v>
      </c>
      <c r="BB40" s="202">
        <f t="shared" si="6"/>
        <v>-57</v>
      </c>
      <c r="BC40" s="202">
        <f t="shared" si="6"/>
        <v>-66</v>
      </c>
      <c r="BD40" s="202">
        <f t="shared" si="6"/>
        <v>-63</v>
      </c>
      <c r="BE40" s="202">
        <f t="shared" si="6"/>
        <v>-61</v>
      </c>
      <c r="BF40" s="202">
        <f t="shared" si="6"/>
        <v>-62</v>
      </c>
      <c r="BG40" s="203">
        <f t="shared" si="6"/>
        <v>-62</v>
      </c>
    </row>
    <row r="41" spans="1:59" x14ac:dyDescent="0.25">
      <c r="A41" s="195" t="s">
        <v>250</v>
      </c>
      <c r="B41" s="196">
        <v>-50</v>
      </c>
      <c r="C41" s="183">
        <v>-50</v>
      </c>
      <c r="D41" s="183">
        <v>-49</v>
      </c>
      <c r="E41" s="183">
        <v>-46</v>
      </c>
      <c r="F41" s="183">
        <v>-42</v>
      </c>
      <c r="G41" s="183">
        <v>-51</v>
      </c>
      <c r="H41" s="183">
        <v>-48</v>
      </c>
      <c r="I41" s="183">
        <v>-48</v>
      </c>
      <c r="J41" s="183">
        <v>-50</v>
      </c>
      <c r="K41" s="184">
        <v>-47</v>
      </c>
      <c r="L41" s="217"/>
      <c r="M41" s="195" t="s">
        <v>250</v>
      </c>
      <c r="N41" s="196">
        <v>-54</v>
      </c>
      <c r="O41" s="183">
        <v>-52</v>
      </c>
      <c r="P41" s="183">
        <v>-51</v>
      </c>
      <c r="Q41" s="183">
        <v>-48</v>
      </c>
      <c r="R41" s="183">
        <v>-44</v>
      </c>
      <c r="S41" s="183">
        <v>-53</v>
      </c>
      <c r="T41" s="183">
        <v>-50</v>
      </c>
      <c r="U41" s="183">
        <v>-49</v>
      </c>
      <c r="V41" s="183">
        <v>-51</v>
      </c>
      <c r="W41" s="184">
        <v>-48</v>
      </c>
      <c r="X41" s="217"/>
      <c r="Y41" s="197" t="s">
        <v>250</v>
      </c>
      <c r="Z41" s="230">
        <v>-60</v>
      </c>
      <c r="AA41" s="231">
        <v>-58</v>
      </c>
      <c r="AB41" s="231">
        <v>-57</v>
      </c>
      <c r="AC41" s="231">
        <v>-53</v>
      </c>
      <c r="AD41" s="231">
        <v>-48</v>
      </c>
      <c r="AE41" s="231">
        <v>-57</v>
      </c>
      <c r="AF41" s="231">
        <v>-53</v>
      </c>
      <c r="AG41" s="231">
        <v>-52</v>
      </c>
      <c r="AH41" s="231">
        <v>-54</v>
      </c>
      <c r="AI41" s="232">
        <v>-51</v>
      </c>
      <c r="AJ41" s="217"/>
      <c r="AK41" s="197" t="s">
        <v>250</v>
      </c>
      <c r="AL41" s="198">
        <v>-64</v>
      </c>
      <c r="AM41" s="199">
        <v>-62</v>
      </c>
      <c r="AN41" s="199">
        <v>-61</v>
      </c>
      <c r="AO41" s="199">
        <v>-56</v>
      </c>
      <c r="AP41" s="199">
        <v>-52</v>
      </c>
      <c r="AQ41" s="199">
        <v>-61</v>
      </c>
      <c r="AR41" s="199">
        <v>-57</v>
      </c>
      <c r="AS41" s="199">
        <v>-56</v>
      </c>
      <c r="AT41" s="199">
        <v>-58</v>
      </c>
      <c r="AU41" s="200">
        <v>-55</v>
      </c>
      <c r="AW41" s="197" t="s">
        <v>250</v>
      </c>
      <c r="AX41" s="201">
        <f t="shared" si="7"/>
        <v>-69</v>
      </c>
      <c r="AY41" s="202">
        <f t="shared" si="6"/>
        <v>-67</v>
      </c>
      <c r="AZ41" s="202">
        <f t="shared" si="6"/>
        <v>-66</v>
      </c>
      <c r="BA41" s="202">
        <f t="shared" si="6"/>
        <v>-61</v>
      </c>
      <c r="BB41" s="202">
        <f t="shared" si="6"/>
        <v>-57</v>
      </c>
      <c r="BC41" s="202">
        <f t="shared" si="6"/>
        <v>-66</v>
      </c>
      <c r="BD41" s="202">
        <f t="shared" si="6"/>
        <v>-62</v>
      </c>
      <c r="BE41" s="202">
        <f t="shared" si="6"/>
        <v>-61</v>
      </c>
      <c r="BF41" s="202">
        <f t="shared" si="6"/>
        <v>-63</v>
      </c>
      <c r="BG41" s="203">
        <f t="shared" si="6"/>
        <v>-60</v>
      </c>
    </row>
    <row r="42" spans="1:59" x14ac:dyDescent="0.25">
      <c r="A42" s="195" t="s">
        <v>258</v>
      </c>
      <c r="B42" s="196">
        <v>-50</v>
      </c>
      <c r="C42" s="183">
        <v>-48</v>
      </c>
      <c r="D42" s="183">
        <v>-48</v>
      </c>
      <c r="E42" s="183">
        <v>-45</v>
      </c>
      <c r="F42" s="183">
        <v>-43</v>
      </c>
      <c r="G42" s="183">
        <v>-44</v>
      </c>
      <c r="H42" s="183">
        <v>-43</v>
      </c>
      <c r="I42" s="183">
        <v>-45</v>
      </c>
      <c r="J42" s="183">
        <v>-47</v>
      </c>
      <c r="K42" s="184">
        <v>-44</v>
      </c>
      <c r="L42" s="217"/>
      <c r="M42" s="195" t="s">
        <v>258</v>
      </c>
      <c r="N42" s="196">
        <v>-54</v>
      </c>
      <c r="O42" s="183">
        <v>-50</v>
      </c>
      <c r="P42" s="183">
        <v>-50</v>
      </c>
      <c r="Q42" s="183">
        <v>-47</v>
      </c>
      <c r="R42" s="183">
        <v>-45</v>
      </c>
      <c r="S42" s="183">
        <v>-46</v>
      </c>
      <c r="T42" s="183">
        <v>-45</v>
      </c>
      <c r="U42" s="183">
        <v>-46</v>
      </c>
      <c r="V42" s="183">
        <v>-48</v>
      </c>
      <c r="W42" s="184">
        <v>-45</v>
      </c>
      <c r="X42" s="217"/>
      <c r="Y42" s="197" t="s">
        <v>258</v>
      </c>
      <c r="Z42" s="230">
        <v>-59</v>
      </c>
      <c r="AA42" s="231">
        <v>-55</v>
      </c>
      <c r="AB42" s="231">
        <v>-55</v>
      </c>
      <c r="AC42" s="231">
        <v>-51</v>
      </c>
      <c r="AD42" s="231">
        <v>-48</v>
      </c>
      <c r="AE42" s="231">
        <v>-49</v>
      </c>
      <c r="AF42" s="231">
        <v>-47</v>
      </c>
      <c r="AG42" s="231">
        <v>-49</v>
      </c>
      <c r="AH42" s="231">
        <v>-51</v>
      </c>
      <c r="AI42" s="232">
        <v>-48</v>
      </c>
      <c r="AJ42" s="217"/>
      <c r="AK42" s="197" t="s">
        <v>258</v>
      </c>
      <c r="AL42" s="198">
        <v>-64</v>
      </c>
      <c r="AM42" s="199">
        <v>-60</v>
      </c>
      <c r="AN42" s="199">
        <v>-59</v>
      </c>
      <c r="AO42" s="199">
        <v>-55</v>
      </c>
      <c r="AP42" s="199">
        <v>-53</v>
      </c>
      <c r="AQ42" s="199">
        <v>-54</v>
      </c>
      <c r="AR42" s="199">
        <v>-51</v>
      </c>
      <c r="AS42" s="199">
        <v>-52</v>
      </c>
      <c r="AT42" s="199">
        <v>-54</v>
      </c>
      <c r="AU42" s="200">
        <v>-51</v>
      </c>
      <c r="AW42" s="197" t="s">
        <v>258</v>
      </c>
      <c r="AX42" s="201">
        <f t="shared" si="7"/>
        <v>-69</v>
      </c>
      <c r="AY42" s="202">
        <f t="shared" si="6"/>
        <v>-65</v>
      </c>
      <c r="AZ42" s="202">
        <f t="shared" si="6"/>
        <v>-64</v>
      </c>
      <c r="BA42" s="202">
        <f t="shared" si="6"/>
        <v>-60</v>
      </c>
      <c r="BB42" s="202">
        <f t="shared" si="6"/>
        <v>-58</v>
      </c>
      <c r="BC42" s="202">
        <f t="shared" si="6"/>
        <v>-59</v>
      </c>
      <c r="BD42" s="202">
        <f t="shared" si="6"/>
        <v>-56</v>
      </c>
      <c r="BE42" s="202">
        <f t="shared" si="6"/>
        <v>-57</v>
      </c>
      <c r="BF42" s="202">
        <f t="shared" si="6"/>
        <v>-59</v>
      </c>
      <c r="BG42" s="203">
        <f t="shared" si="6"/>
        <v>-56</v>
      </c>
    </row>
    <row r="43" spans="1:59" ht="15.75" thickBot="1" x14ac:dyDescent="0.3">
      <c r="A43" s="204" t="s">
        <v>265</v>
      </c>
      <c r="B43" s="207">
        <v>-52</v>
      </c>
      <c r="C43" s="205">
        <v>-53</v>
      </c>
      <c r="D43" s="205">
        <v>-51</v>
      </c>
      <c r="E43" s="205">
        <v>-48</v>
      </c>
      <c r="F43" s="205">
        <v>-44</v>
      </c>
      <c r="G43" s="205">
        <v>-44</v>
      </c>
      <c r="H43" s="205">
        <v>-44</v>
      </c>
      <c r="I43" s="205">
        <v>-42</v>
      </c>
      <c r="J43" s="205">
        <v>-40</v>
      </c>
      <c r="K43" s="206">
        <v>-42</v>
      </c>
      <c r="L43" s="217"/>
      <c r="M43" s="204" t="s">
        <v>265</v>
      </c>
      <c r="N43" s="207">
        <v>-56</v>
      </c>
      <c r="O43" s="205">
        <v>-55</v>
      </c>
      <c r="P43" s="205">
        <v>-53</v>
      </c>
      <c r="Q43" s="205">
        <v>-50</v>
      </c>
      <c r="R43" s="205">
        <v>-46</v>
      </c>
      <c r="S43" s="205">
        <v>-46</v>
      </c>
      <c r="T43" s="205">
        <v>-46</v>
      </c>
      <c r="U43" s="205">
        <v>-43</v>
      </c>
      <c r="V43" s="205">
        <v>-41</v>
      </c>
      <c r="W43" s="206">
        <v>-43</v>
      </c>
      <c r="X43" s="217"/>
      <c r="Y43" s="208" t="s">
        <v>265</v>
      </c>
      <c r="Z43" s="233">
        <v>-61</v>
      </c>
      <c r="AA43" s="234">
        <v>-60</v>
      </c>
      <c r="AB43" s="234">
        <v>-58</v>
      </c>
      <c r="AC43" s="234">
        <v>-54</v>
      </c>
      <c r="AD43" s="234">
        <v>-49</v>
      </c>
      <c r="AE43" s="234">
        <v>-49</v>
      </c>
      <c r="AF43" s="234">
        <v>-48</v>
      </c>
      <c r="AG43" s="234">
        <v>-46</v>
      </c>
      <c r="AH43" s="234">
        <v>-44</v>
      </c>
      <c r="AI43" s="235">
        <v>-46</v>
      </c>
      <c r="AJ43" s="217"/>
      <c r="AK43" s="208" t="s">
        <v>265</v>
      </c>
      <c r="AL43" s="209">
        <v>-66</v>
      </c>
      <c r="AM43" s="210">
        <v>-65</v>
      </c>
      <c r="AN43" s="210">
        <v>-62</v>
      </c>
      <c r="AO43" s="210">
        <v>-58</v>
      </c>
      <c r="AP43" s="210">
        <v>-54</v>
      </c>
      <c r="AQ43" s="210">
        <v>-54</v>
      </c>
      <c r="AR43" s="210">
        <v>-52</v>
      </c>
      <c r="AS43" s="210">
        <v>-49</v>
      </c>
      <c r="AT43" s="210">
        <v>-47</v>
      </c>
      <c r="AU43" s="211">
        <v>-49</v>
      </c>
      <c r="AW43" s="208" t="s">
        <v>265</v>
      </c>
      <c r="AX43" s="212">
        <f t="shared" si="7"/>
        <v>-71</v>
      </c>
      <c r="AY43" s="213">
        <f t="shared" si="6"/>
        <v>-70</v>
      </c>
      <c r="AZ43" s="213">
        <f t="shared" si="6"/>
        <v>-67</v>
      </c>
      <c r="BA43" s="213">
        <f t="shared" si="6"/>
        <v>-63</v>
      </c>
      <c r="BB43" s="213">
        <f t="shared" si="6"/>
        <v>-59</v>
      </c>
      <c r="BC43" s="213">
        <f t="shared" si="6"/>
        <v>-59</v>
      </c>
      <c r="BD43" s="213">
        <f t="shared" si="6"/>
        <v>-57</v>
      </c>
      <c r="BE43" s="213">
        <f t="shared" si="6"/>
        <v>-54</v>
      </c>
      <c r="BF43" s="213">
        <f t="shared" si="6"/>
        <v>-52</v>
      </c>
      <c r="BG43" s="214">
        <f t="shared" si="6"/>
        <v>-54</v>
      </c>
    </row>
  </sheetData>
  <sheetProtection algorithmName="SHA-512" hashValue="FKSwWMIb3hY7wAMeQZN5BhXhfs8IxGDeN5rftaSj7EYSIKMr1KbVQBsdOq19TdWZAbuXCtvrcEhVja967kDPOw==" saltValue="0APItRzJ3epmE2JSLzVukg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795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-17</v>
      </c>
      <c r="C4" s="183">
        <v>-11</v>
      </c>
      <c r="D4" s="183">
        <v>-9</v>
      </c>
      <c r="E4" s="183">
        <v>-11</v>
      </c>
      <c r="F4" s="183">
        <v>-15</v>
      </c>
      <c r="G4" s="183">
        <v>-17</v>
      </c>
      <c r="H4" s="183">
        <v>-16</v>
      </c>
      <c r="I4" s="183">
        <v>-25</v>
      </c>
      <c r="J4" s="183">
        <v>-24</v>
      </c>
      <c r="K4" s="184">
        <v>-22</v>
      </c>
      <c r="L4" s="217"/>
      <c r="M4" s="182" t="s">
        <v>187</v>
      </c>
      <c r="N4" s="185">
        <v>-25</v>
      </c>
      <c r="O4" s="186">
        <v>-18</v>
      </c>
      <c r="P4" s="186">
        <v>-16</v>
      </c>
      <c r="Q4" s="186">
        <v>-18</v>
      </c>
      <c r="R4" s="186">
        <v>-21</v>
      </c>
      <c r="S4" s="186">
        <v>-20</v>
      </c>
      <c r="T4" s="186">
        <v>-19</v>
      </c>
      <c r="U4" s="186">
        <v>-28</v>
      </c>
      <c r="V4" s="186">
        <v>-27</v>
      </c>
      <c r="W4" s="187">
        <v>-25</v>
      </c>
      <c r="X4" s="217"/>
      <c r="Y4" s="188" t="s">
        <v>187</v>
      </c>
      <c r="Z4" s="189">
        <v>-30</v>
      </c>
      <c r="AA4" s="190">
        <v>-24</v>
      </c>
      <c r="AB4" s="190">
        <v>-22</v>
      </c>
      <c r="AC4" s="190">
        <v>-24</v>
      </c>
      <c r="AD4" s="190">
        <v>-27</v>
      </c>
      <c r="AE4" s="190">
        <v>-27</v>
      </c>
      <c r="AF4" s="190">
        <v>-25</v>
      </c>
      <c r="AG4" s="190">
        <v>-33</v>
      </c>
      <c r="AH4" s="190">
        <v>-32</v>
      </c>
      <c r="AI4" s="191">
        <v>-30</v>
      </c>
      <c r="AJ4" s="217"/>
      <c r="AK4" s="188" t="s">
        <v>187</v>
      </c>
      <c r="AL4" s="189">
        <v>-39</v>
      </c>
      <c r="AM4" s="190">
        <v>-33</v>
      </c>
      <c r="AN4" s="190">
        <v>-31</v>
      </c>
      <c r="AO4" s="190">
        <v>-32</v>
      </c>
      <c r="AP4" s="190">
        <v>-36</v>
      </c>
      <c r="AQ4" s="190">
        <v>-36</v>
      </c>
      <c r="AR4" s="190">
        <v>-34</v>
      </c>
      <c r="AS4" s="190">
        <v>-42</v>
      </c>
      <c r="AT4" s="190">
        <v>-41</v>
      </c>
      <c r="AU4" s="191">
        <v>-39</v>
      </c>
      <c r="AW4" s="188" t="s">
        <v>187</v>
      </c>
      <c r="AX4" s="192">
        <f>AL4-5</f>
        <v>-44</v>
      </c>
      <c r="AY4" s="193">
        <f t="shared" ref="AY4:BG10" si="0">AM4-5</f>
        <v>-38</v>
      </c>
      <c r="AZ4" s="193">
        <f t="shared" si="0"/>
        <v>-36</v>
      </c>
      <c r="BA4" s="193">
        <f t="shared" si="0"/>
        <v>-37</v>
      </c>
      <c r="BB4" s="193">
        <f t="shared" si="0"/>
        <v>-41</v>
      </c>
      <c r="BC4" s="193">
        <f t="shared" si="0"/>
        <v>-41</v>
      </c>
      <c r="BD4" s="193">
        <f t="shared" si="0"/>
        <v>-39</v>
      </c>
      <c r="BE4" s="193">
        <f t="shared" si="0"/>
        <v>-47</v>
      </c>
      <c r="BF4" s="193">
        <f t="shared" si="0"/>
        <v>-46</v>
      </c>
      <c r="BG4" s="194">
        <f t="shared" si="0"/>
        <v>-44</v>
      </c>
    </row>
    <row r="5" spans="1:59" ht="14.45" x14ac:dyDescent="0.3">
      <c r="A5" s="195" t="s">
        <v>214</v>
      </c>
      <c r="B5" s="183">
        <v>-13</v>
      </c>
      <c r="C5" s="183">
        <v>-9</v>
      </c>
      <c r="D5" s="183">
        <v>-9</v>
      </c>
      <c r="E5" s="183">
        <v>-13</v>
      </c>
      <c r="F5" s="183">
        <v>-15</v>
      </c>
      <c r="G5" s="183">
        <v>-21</v>
      </c>
      <c r="H5" s="183">
        <v>-19</v>
      </c>
      <c r="I5" s="183">
        <v>-22</v>
      </c>
      <c r="J5" s="183">
        <v>-22</v>
      </c>
      <c r="K5" s="184">
        <v>-23</v>
      </c>
      <c r="L5" s="217"/>
      <c r="M5" s="195" t="s">
        <v>214</v>
      </c>
      <c r="N5" s="196">
        <v>-21</v>
      </c>
      <c r="O5" s="183">
        <v>-16</v>
      </c>
      <c r="P5" s="183">
        <v>-16</v>
      </c>
      <c r="Q5" s="183">
        <v>-20</v>
      </c>
      <c r="R5" s="183">
        <v>-21</v>
      </c>
      <c r="S5" s="183">
        <v>-24</v>
      </c>
      <c r="T5" s="183">
        <v>-22</v>
      </c>
      <c r="U5" s="183">
        <v>-25</v>
      </c>
      <c r="V5" s="183">
        <v>-25</v>
      </c>
      <c r="W5" s="184">
        <v>-26</v>
      </c>
      <c r="X5" s="217"/>
      <c r="Y5" s="197" t="s">
        <v>214</v>
      </c>
      <c r="Z5" s="198">
        <v>-26</v>
      </c>
      <c r="AA5" s="199">
        <v>-22</v>
      </c>
      <c r="AB5" s="199">
        <v>-22</v>
      </c>
      <c r="AC5" s="199">
        <v>-26</v>
      </c>
      <c r="AD5" s="199">
        <v>-27</v>
      </c>
      <c r="AE5" s="199">
        <v>-31</v>
      </c>
      <c r="AF5" s="199">
        <v>-28</v>
      </c>
      <c r="AG5" s="199">
        <v>-30</v>
      </c>
      <c r="AH5" s="199">
        <v>-30</v>
      </c>
      <c r="AI5" s="200">
        <v>-31</v>
      </c>
      <c r="AJ5" s="217"/>
      <c r="AK5" s="197" t="s">
        <v>214</v>
      </c>
      <c r="AL5" s="198">
        <v>-35</v>
      </c>
      <c r="AM5" s="199">
        <v>-31</v>
      </c>
      <c r="AN5" s="199">
        <v>-31</v>
      </c>
      <c r="AO5" s="199">
        <v>-34</v>
      </c>
      <c r="AP5" s="199">
        <v>-36</v>
      </c>
      <c r="AQ5" s="199">
        <v>-40</v>
      </c>
      <c r="AR5" s="199">
        <v>-37</v>
      </c>
      <c r="AS5" s="199">
        <v>-39</v>
      </c>
      <c r="AT5" s="199">
        <v>-39</v>
      </c>
      <c r="AU5" s="200">
        <v>-40</v>
      </c>
      <c r="AW5" s="197" t="s">
        <v>214</v>
      </c>
      <c r="AX5" s="201">
        <f t="shared" ref="AX5:AX10" si="1">AL5-5</f>
        <v>-40</v>
      </c>
      <c r="AY5" s="202">
        <f t="shared" si="0"/>
        <v>-36</v>
      </c>
      <c r="AZ5" s="202">
        <f t="shared" si="0"/>
        <v>-36</v>
      </c>
      <c r="BA5" s="202">
        <f t="shared" si="0"/>
        <v>-39</v>
      </c>
      <c r="BB5" s="202">
        <f t="shared" si="0"/>
        <v>-41</v>
      </c>
      <c r="BC5" s="202">
        <f t="shared" si="0"/>
        <v>-45</v>
      </c>
      <c r="BD5" s="202">
        <f t="shared" si="0"/>
        <v>-42</v>
      </c>
      <c r="BE5" s="202">
        <f t="shared" si="0"/>
        <v>-44</v>
      </c>
      <c r="BF5" s="202">
        <f t="shared" si="0"/>
        <v>-44</v>
      </c>
      <c r="BG5" s="203">
        <f t="shared" si="0"/>
        <v>-45</v>
      </c>
    </row>
    <row r="6" spans="1:59" ht="14.45" x14ac:dyDescent="0.3">
      <c r="A6" s="195" t="s">
        <v>233</v>
      </c>
      <c r="B6" s="183">
        <v>-20</v>
      </c>
      <c r="C6" s="183">
        <v>-18</v>
      </c>
      <c r="D6" s="183">
        <v>-15</v>
      </c>
      <c r="E6" s="183">
        <v>-15</v>
      </c>
      <c r="F6" s="183">
        <v>-16</v>
      </c>
      <c r="G6" s="183">
        <v>-21</v>
      </c>
      <c r="H6" s="183">
        <v>-24</v>
      </c>
      <c r="I6" s="183">
        <v>-23</v>
      </c>
      <c r="J6" s="183">
        <v>-25</v>
      </c>
      <c r="K6" s="184">
        <v>-31</v>
      </c>
      <c r="L6" s="217"/>
      <c r="M6" s="195" t="s">
        <v>233</v>
      </c>
      <c r="N6" s="196">
        <v>-28</v>
      </c>
      <c r="O6" s="183">
        <v>-25</v>
      </c>
      <c r="P6" s="183">
        <v>-22</v>
      </c>
      <c r="Q6" s="183">
        <v>-22</v>
      </c>
      <c r="R6" s="183">
        <v>-22</v>
      </c>
      <c r="S6" s="183">
        <v>-24</v>
      </c>
      <c r="T6" s="183">
        <v>-27</v>
      </c>
      <c r="U6" s="183">
        <v>-26</v>
      </c>
      <c r="V6" s="183">
        <v>-28</v>
      </c>
      <c r="W6" s="184">
        <v>-34</v>
      </c>
      <c r="X6" s="217"/>
      <c r="Y6" s="197" t="s">
        <v>233</v>
      </c>
      <c r="Z6" s="198">
        <v>-33</v>
      </c>
      <c r="AA6" s="199">
        <v>-31</v>
      </c>
      <c r="AB6" s="199">
        <v>-28</v>
      </c>
      <c r="AC6" s="199">
        <v>-28</v>
      </c>
      <c r="AD6" s="199">
        <v>-28</v>
      </c>
      <c r="AE6" s="199">
        <v>-31</v>
      </c>
      <c r="AF6" s="199">
        <v>-33</v>
      </c>
      <c r="AG6" s="199">
        <v>-31</v>
      </c>
      <c r="AH6" s="199">
        <v>-33</v>
      </c>
      <c r="AI6" s="200">
        <v>-39</v>
      </c>
      <c r="AJ6" s="217"/>
      <c r="AK6" s="197" t="s">
        <v>233</v>
      </c>
      <c r="AL6" s="198">
        <v>-42</v>
      </c>
      <c r="AM6" s="199">
        <v>-40</v>
      </c>
      <c r="AN6" s="199">
        <v>-37</v>
      </c>
      <c r="AO6" s="199">
        <v>-36</v>
      </c>
      <c r="AP6" s="199">
        <v>-37</v>
      </c>
      <c r="AQ6" s="199">
        <v>-40</v>
      </c>
      <c r="AR6" s="199">
        <v>-42</v>
      </c>
      <c r="AS6" s="199">
        <v>-40</v>
      </c>
      <c r="AT6" s="199">
        <v>-42</v>
      </c>
      <c r="AU6" s="200">
        <v>-48</v>
      </c>
      <c r="AW6" s="197" t="s">
        <v>233</v>
      </c>
      <c r="AX6" s="201">
        <f t="shared" si="1"/>
        <v>-47</v>
      </c>
      <c r="AY6" s="202">
        <f t="shared" si="0"/>
        <v>-45</v>
      </c>
      <c r="AZ6" s="202">
        <f t="shared" si="0"/>
        <v>-42</v>
      </c>
      <c r="BA6" s="202">
        <f t="shared" si="0"/>
        <v>-41</v>
      </c>
      <c r="BB6" s="202">
        <f t="shared" si="0"/>
        <v>-42</v>
      </c>
      <c r="BC6" s="202">
        <f t="shared" si="0"/>
        <v>-45</v>
      </c>
      <c r="BD6" s="202">
        <f t="shared" si="0"/>
        <v>-47</v>
      </c>
      <c r="BE6" s="202">
        <f t="shared" si="0"/>
        <v>-45</v>
      </c>
      <c r="BF6" s="202">
        <f t="shared" si="0"/>
        <v>-47</v>
      </c>
      <c r="BG6" s="203">
        <f t="shared" si="0"/>
        <v>-53</v>
      </c>
    </row>
    <row r="7" spans="1:59" ht="14.45" x14ac:dyDescent="0.3">
      <c r="A7" s="195" t="s">
        <v>242</v>
      </c>
      <c r="B7" s="183">
        <v>-20</v>
      </c>
      <c r="C7" s="183">
        <v>-18</v>
      </c>
      <c r="D7" s="183">
        <v>-17</v>
      </c>
      <c r="E7" s="183">
        <v>-15</v>
      </c>
      <c r="F7" s="183">
        <v>-17</v>
      </c>
      <c r="G7" s="183">
        <v>-22</v>
      </c>
      <c r="H7" s="183">
        <v>-25</v>
      </c>
      <c r="I7" s="183">
        <v>-23</v>
      </c>
      <c r="J7" s="183">
        <v>-25</v>
      </c>
      <c r="K7" s="184">
        <v>-27</v>
      </c>
      <c r="L7" s="217"/>
      <c r="M7" s="195" t="s">
        <v>242</v>
      </c>
      <c r="N7" s="196">
        <v>-27</v>
      </c>
      <c r="O7" s="183">
        <v>-24</v>
      </c>
      <c r="P7" s="183">
        <v>-23</v>
      </c>
      <c r="Q7" s="183">
        <v>-21</v>
      </c>
      <c r="R7" s="183">
        <v>-22</v>
      </c>
      <c r="S7" s="183">
        <v>-25</v>
      </c>
      <c r="T7" s="183">
        <v>-28</v>
      </c>
      <c r="U7" s="183">
        <v>-26</v>
      </c>
      <c r="V7" s="183">
        <v>-28</v>
      </c>
      <c r="W7" s="184">
        <v>-30</v>
      </c>
      <c r="X7" s="217"/>
      <c r="Y7" s="197" t="s">
        <v>242</v>
      </c>
      <c r="Z7" s="198">
        <v>-33</v>
      </c>
      <c r="AA7" s="199">
        <v>-30</v>
      </c>
      <c r="AB7" s="199">
        <v>-29</v>
      </c>
      <c r="AC7" s="199">
        <v>-26</v>
      </c>
      <c r="AD7" s="199">
        <v>-27</v>
      </c>
      <c r="AE7" s="199">
        <v>-31</v>
      </c>
      <c r="AF7" s="199">
        <v>-34</v>
      </c>
      <c r="AG7" s="199">
        <v>-32</v>
      </c>
      <c r="AH7" s="199">
        <v>-34</v>
      </c>
      <c r="AI7" s="200">
        <v>-36</v>
      </c>
      <c r="AJ7" s="217"/>
      <c r="AK7" s="197" t="s">
        <v>242</v>
      </c>
      <c r="AL7" s="198">
        <v>-40</v>
      </c>
      <c r="AM7" s="199">
        <v>-37</v>
      </c>
      <c r="AN7" s="199">
        <v>-36</v>
      </c>
      <c r="AO7" s="199">
        <v>-33</v>
      </c>
      <c r="AP7" s="199">
        <v>-34</v>
      </c>
      <c r="AQ7" s="199">
        <v>-38</v>
      </c>
      <c r="AR7" s="199">
        <v>-41</v>
      </c>
      <c r="AS7" s="199">
        <v>-39</v>
      </c>
      <c r="AT7" s="199">
        <v>-41</v>
      </c>
      <c r="AU7" s="200">
        <v>-43</v>
      </c>
      <c r="AW7" s="197" t="s">
        <v>242</v>
      </c>
      <c r="AX7" s="201">
        <f t="shared" si="1"/>
        <v>-45</v>
      </c>
      <c r="AY7" s="202">
        <f t="shared" si="0"/>
        <v>-42</v>
      </c>
      <c r="AZ7" s="202">
        <f t="shared" si="0"/>
        <v>-41</v>
      </c>
      <c r="BA7" s="202">
        <f t="shared" si="0"/>
        <v>-38</v>
      </c>
      <c r="BB7" s="202">
        <f t="shared" si="0"/>
        <v>-39</v>
      </c>
      <c r="BC7" s="202">
        <f t="shared" si="0"/>
        <v>-43</v>
      </c>
      <c r="BD7" s="202">
        <f t="shared" si="0"/>
        <v>-46</v>
      </c>
      <c r="BE7" s="202">
        <f t="shared" si="0"/>
        <v>-44</v>
      </c>
      <c r="BF7" s="202">
        <f t="shared" si="0"/>
        <v>-46</v>
      </c>
      <c r="BG7" s="203">
        <f t="shared" si="0"/>
        <v>-48</v>
      </c>
    </row>
    <row r="8" spans="1:59" ht="14.45" x14ac:dyDescent="0.3">
      <c r="A8" s="195" t="s">
        <v>250</v>
      </c>
      <c r="B8" s="183">
        <v>-16</v>
      </c>
      <c r="C8" s="183">
        <v>-21</v>
      </c>
      <c r="D8" s="183">
        <v>-20</v>
      </c>
      <c r="E8" s="183">
        <v>-18</v>
      </c>
      <c r="F8" s="183">
        <v>-15</v>
      </c>
      <c r="G8" s="183">
        <v>-20</v>
      </c>
      <c r="H8" s="183">
        <v>-22</v>
      </c>
      <c r="I8" s="183">
        <v>-23</v>
      </c>
      <c r="J8" s="183">
        <v>-23</v>
      </c>
      <c r="K8" s="184">
        <v>-24</v>
      </c>
      <c r="L8" s="217"/>
      <c r="M8" s="195" t="s">
        <v>250</v>
      </c>
      <c r="N8" s="196">
        <v>-23</v>
      </c>
      <c r="O8" s="183">
        <v>-27</v>
      </c>
      <c r="P8" s="183">
        <v>-26</v>
      </c>
      <c r="Q8" s="183">
        <v>-24</v>
      </c>
      <c r="R8" s="183">
        <v>-20</v>
      </c>
      <c r="S8" s="183">
        <v>-23</v>
      </c>
      <c r="T8" s="183">
        <v>-25</v>
      </c>
      <c r="U8" s="183">
        <v>-26</v>
      </c>
      <c r="V8" s="183">
        <v>-26</v>
      </c>
      <c r="W8" s="184">
        <v>-27</v>
      </c>
      <c r="X8" s="217"/>
      <c r="Y8" s="197" t="s">
        <v>250</v>
      </c>
      <c r="Z8" s="198">
        <v>-29</v>
      </c>
      <c r="AA8" s="199">
        <v>-33</v>
      </c>
      <c r="AB8" s="199">
        <v>-32</v>
      </c>
      <c r="AC8" s="199">
        <v>-29</v>
      </c>
      <c r="AD8" s="199">
        <v>-25</v>
      </c>
      <c r="AE8" s="199">
        <v>-29</v>
      </c>
      <c r="AF8" s="199">
        <v>-31</v>
      </c>
      <c r="AG8" s="199">
        <v>-32</v>
      </c>
      <c r="AH8" s="199">
        <v>-32</v>
      </c>
      <c r="AI8" s="200">
        <v>-33</v>
      </c>
      <c r="AJ8" s="217"/>
      <c r="AK8" s="197" t="s">
        <v>250</v>
      </c>
      <c r="AL8" s="198">
        <v>-36</v>
      </c>
      <c r="AM8" s="199">
        <v>-40</v>
      </c>
      <c r="AN8" s="199">
        <v>-39</v>
      </c>
      <c r="AO8" s="199">
        <v>-36</v>
      </c>
      <c r="AP8" s="199">
        <v>-32</v>
      </c>
      <c r="AQ8" s="199">
        <v>-36</v>
      </c>
      <c r="AR8" s="199">
        <v>-38</v>
      </c>
      <c r="AS8" s="199">
        <v>-39</v>
      </c>
      <c r="AT8" s="199">
        <v>-39</v>
      </c>
      <c r="AU8" s="200">
        <v>-40</v>
      </c>
      <c r="AW8" s="197" t="s">
        <v>250</v>
      </c>
      <c r="AX8" s="201">
        <f t="shared" si="1"/>
        <v>-41</v>
      </c>
      <c r="AY8" s="202">
        <f t="shared" si="0"/>
        <v>-45</v>
      </c>
      <c r="AZ8" s="202">
        <f t="shared" si="0"/>
        <v>-44</v>
      </c>
      <c r="BA8" s="202">
        <f t="shared" si="0"/>
        <v>-41</v>
      </c>
      <c r="BB8" s="202">
        <f t="shared" si="0"/>
        <v>-37</v>
      </c>
      <c r="BC8" s="202">
        <f t="shared" si="0"/>
        <v>-41</v>
      </c>
      <c r="BD8" s="202">
        <f t="shared" si="0"/>
        <v>-43</v>
      </c>
      <c r="BE8" s="202">
        <f t="shared" si="0"/>
        <v>-44</v>
      </c>
      <c r="BF8" s="202">
        <f t="shared" si="0"/>
        <v>-44</v>
      </c>
      <c r="BG8" s="203">
        <f t="shared" si="0"/>
        <v>-45</v>
      </c>
    </row>
    <row r="9" spans="1:59" ht="14.45" x14ac:dyDescent="0.3">
      <c r="A9" s="195" t="s">
        <v>258</v>
      </c>
      <c r="B9" s="183">
        <v>-23</v>
      </c>
      <c r="C9" s="183">
        <v>-21</v>
      </c>
      <c r="D9" s="183">
        <v>-21</v>
      </c>
      <c r="E9" s="183">
        <v>-20</v>
      </c>
      <c r="F9" s="183">
        <v>-18</v>
      </c>
      <c r="G9" s="183">
        <v>-21</v>
      </c>
      <c r="H9" s="183">
        <v>-22</v>
      </c>
      <c r="I9" s="183">
        <v>-23</v>
      </c>
      <c r="J9" s="183">
        <v>-23</v>
      </c>
      <c r="K9" s="184">
        <v>-28</v>
      </c>
      <c r="L9" s="217"/>
      <c r="M9" s="195" t="s">
        <v>258</v>
      </c>
      <c r="N9" s="196">
        <v>-29</v>
      </c>
      <c r="O9" s="183">
        <v>-26</v>
      </c>
      <c r="P9" s="183">
        <v>-26</v>
      </c>
      <c r="Q9" s="183">
        <v>-25</v>
      </c>
      <c r="R9" s="183">
        <v>-22</v>
      </c>
      <c r="S9" s="183">
        <v>-24</v>
      </c>
      <c r="T9" s="183">
        <v>-25</v>
      </c>
      <c r="U9" s="183">
        <v>-26</v>
      </c>
      <c r="V9" s="183">
        <v>-26</v>
      </c>
      <c r="W9" s="184">
        <v>-31</v>
      </c>
      <c r="X9" s="217"/>
      <c r="Y9" s="197" t="s">
        <v>258</v>
      </c>
      <c r="Z9" s="198">
        <v>-35</v>
      </c>
      <c r="AA9" s="199">
        <v>-32</v>
      </c>
      <c r="AB9" s="199">
        <v>-31</v>
      </c>
      <c r="AC9" s="199">
        <v>-30</v>
      </c>
      <c r="AD9" s="199">
        <v>-27</v>
      </c>
      <c r="AE9" s="199">
        <v>-29</v>
      </c>
      <c r="AF9" s="199">
        <v>-30</v>
      </c>
      <c r="AG9" s="199">
        <v>-30</v>
      </c>
      <c r="AH9" s="199">
        <v>-30</v>
      </c>
      <c r="AI9" s="200">
        <v>-35</v>
      </c>
      <c r="AJ9" s="217"/>
      <c r="AK9" s="197" t="s">
        <v>258</v>
      </c>
      <c r="AL9" s="198">
        <v>-42</v>
      </c>
      <c r="AM9" s="199">
        <v>-39</v>
      </c>
      <c r="AN9" s="199">
        <v>-38</v>
      </c>
      <c r="AO9" s="199">
        <v>-37</v>
      </c>
      <c r="AP9" s="199">
        <v>-34</v>
      </c>
      <c r="AQ9" s="199">
        <v>-36</v>
      </c>
      <c r="AR9" s="199">
        <v>-37</v>
      </c>
      <c r="AS9" s="199">
        <v>-37</v>
      </c>
      <c r="AT9" s="199">
        <v>-37</v>
      </c>
      <c r="AU9" s="200">
        <v>-42</v>
      </c>
      <c r="AW9" s="197" t="s">
        <v>258</v>
      </c>
      <c r="AX9" s="201">
        <f t="shared" si="1"/>
        <v>-47</v>
      </c>
      <c r="AY9" s="202">
        <f t="shared" si="0"/>
        <v>-44</v>
      </c>
      <c r="AZ9" s="202">
        <f t="shared" si="0"/>
        <v>-43</v>
      </c>
      <c r="BA9" s="202">
        <f t="shared" si="0"/>
        <v>-42</v>
      </c>
      <c r="BB9" s="202">
        <f t="shared" si="0"/>
        <v>-39</v>
      </c>
      <c r="BC9" s="202">
        <f t="shared" si="0"/>
        <v>-41</v>
      </c>
      <c r="BD9" s="202">
        <f t="shared" si="0"/>
        <v>-42</v>
      </c>
      <c r="BE9" s="202">
        <f t="shared" si="0"/>
        <v>-42</v>
      </c>
      <c r="BF9" s="202">
        <f t="shared" si="0"/>
        <v>-42</v>
      </c>
      <c r="BG9" s="203">
        <f t="shared" si="0"/>
        <v>-47</v>
      </c>
    </row>
    <row r="10" spans="1:59" thickBot="1" x14ac:dyDescent="0.35">
      <c r="A10" s="204" t="s">
        <v>265</v>
      </c>
      <c r="B10" s="205">
        <v>-29</v>
      </c>
      <c r="C10" s="205">
        <v>-27</v>
      </c>
      <c r="D10" s="205">
        <v>-25</v>
      </c>
      <c r="E10" s="205">
        <v>-25</v>
      </c>
      <c r="F10" s="205">
        <v>-21</v>
      </c>
      <c r="G10" s="205">
        <v>-22</v>
      </c>
      <c r="H10" s="205">
        <v>-22</v>
      </c>
      <c r="I10" s="205">
        <v>-23</v>
      </c>
      <c r="J10" s="205">
        <v>-22</v>
      </c>
      <c r="K10" s="206">
        <v>-27</v>
      </c>
      <c r="L10" s="217"/>
      <c r="M10" s="204" t="s">
        <v>265</v>
      </c>
      <c r="N10" s="207">
        <v>-35</v>
      </c>
      <c r="O10" s="205">
        <v>-32</v>
      </c>
      <c r="P10" s="205">
        <v>-30</v>
      </c>
      <c r="Q10" s="205">
        <v>-30</v>
      </c>
      <c r="R10" s="205">
        <v>-25</v>
      </c>
      <c r="S10" s="205">
        <v>-25</v>
      </c>
      <c r="T10" s="205">
        <v>-25</v>
      </c>
      <c r="U10" s="205">
        <v>-26</v>
      </c>
      <c r="V10" s="205">
        <v>-25</v>
      </c>
      <c r="W10" s="206">
        <v>-30</v>
      </c>
      <c r="X10" s="217"/>
      <c r="Y10" s="208" t="s">
        <v>265</v>
      </c>
      <c r="Z10" s="209">
        <v>-41</v>
      </c>
      <c r="AA10" s="210">
        <v>-38</v>
      </c>
      <c r="AB10" s="210">
        <v>-35</v>
      </c>
      <c r="AC10" s="210">
        <v>-35</v>
      </c>
      <c r="AD10" s="210">
        <v>-30</v>
      </c>
      <c r="AE10" s="210">
        <v>-30</v>
      </c>
      <c r="AF10" s="210">
        <v>-30</v>
      </c>
      <c r="AG10" s="210">
        <v>-30</v>
      </c>
      <c r="AH10" s="210">
        <v>-29</v>
      </c>
      <c r="AI10" s="211">
        <v>-34</v>
      </c>
      <c r="AJ10" s="217"/>
      <c r="AK10" s="208" t="s">
        <v>265</v>
      </c>
      <c r="AL10" s="209">
        <v>-48</v>
      </c>
      <c r="AM10" s="210">
        <v>-45</v>
      </c>
      <c r="AN10" s="210">
        <v>-42</v>
      </c>
      <c r="AO10" s="210">
        <v>-42</v>
      </c>
      <c r="AP10" s="210">
        <v>-37</v>
      </c>
      <c r="AQ10" s="210">
        <v>-37</v>
      </c>
      <c r="AR10" s="210">
        <v>-37</v>
      </c>
      <c r="AS10" s="210">
        <v>-37</v>
      </c>
      <c r="AT10" s="210">
        <v>-36</v>
      </c>
      <c r="AU10" s="211">
        <v>-41</v>
      </c>
      <c r="AW10" s="208" t="s">
        <v>265</v>
      </c>
      <c r="AX10" s="212">
        <f t="shared" si="1"/>
        <v>-53</v>
      </c>
      <c r="AY10" s="213">
        <f t="shared" si="0"/>
        <v>-50</v>
      </c>
      <c r="AZ10" s="213">
        <f t="shared" si="0"/>
        <v>-47</v>
      </c>
      <c r="BA10" s="213">
        <f t="shared" si="0"/>
        <v>-47</v>
      </c>
      <c r="BB10" s="213">
        <f t="shared" si="0"/>
        <v>-42</v>
      </c>
      <c r="BC10" s="213">
        <f t="shared" si="0"/>
        <v>-42</v>
      </c>
      <c r="BD10" s="213">
        <f t="shared" si="0"/>
        <v>-42</v>
      </c>
      <c r="BE10" s="213">
        <f t="shared" si="0"/>
        <v>-42</v>
      </c>
      <c r="BF10" s="213">
        <f t="shared" si="0"/>
        <v>-41</v>
      </c>
      <c r="BG10" s="214">
        <f t="shared" si="0"/>
        <v>-46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-23</v>
      </c>
      <c r="C15" s="186">
        <v>-17</v>
      </c>
      <c r="D15" s="186">
        <v>-15</v>
      </c>
      <c r="E15" s="186">
        <v>-16</v>
      </c>
      <c r="F15" s="186">
        <v>-20</v>
      </c>
      <c r="G15" s="186">
        <v>-22</v>
      </c>
      <c r="H15" s="186">
        <v>-20</v>
      </c>
      <c r="I15" s="186">
        <v>-28</v>
      </c>
      <c r="J15" s="186">
        <v>-27</v>
      </c>
      <c r="K15" s="187">
        <v>-25</v>
      </c>
      <c r="L15" s="217"/>
      <c r="M15" s="182" t="s">
        <v>187</v>
      </c>
      <c r="N15" s="185">
        <v>-31</v>
      </c>
      <c r="O15" s="186">
        <v>-24</v>
      </c>
      <c r="P15" s="186">
        <v>-22</v>
      </c>
      <c r="Q15" s="186">
        <v>-23</v>
      </c>
      <c r="R15" s="186">
        <v>-26</v>
      </c>
      <c r="S15" s="186">
        <v>-25</v>
      </c>
      <c r="T15" s="186">
        <v>-23</v>
      </c>
      <c r="U15" s="186">
        <v>-31</v>
      </c>
      <c r="V15" s="186">
        <v>-30</v>
      </c>
      <c r="W15" s="187">
        <v>-28</v>
      </c>
      <c r="X15" s="217"/>
      <c r="Y15" s="182" t="s">
        <v>187</v>
      </c>
      <c r="Z15" s="218">
        <v>-36</v>
      </c>
      <c r="AA15" s="219">
        <v>-30</v>
      </c>
      <c r="AB15" s="219">
        <v>-28</v>
      </c>
      <c r="AC15" s="219">
        <v>-29</v>
      </c>
      <c r="AD15" s="219">
        <v>-32</v>
      </c>
      <c r="AE15" s="219">
        <v>-32</v>
      </c>
      <c r="AF15" s="219">
        <v>-29</v>
      </c>
      <c r="AG15" s="219">
        <v>-36</v>
      </c>
      <c r="AH15" s="219">
        <v>-35</v>
      </c>
      <c r="AI15" s="220">
        <v>-33</v>
      </c>
      <c r="AJ15" s="217"/>
      <c r="AK15" s="188" t="s">
        <v>187</v>
      </c>
      <c r="AL15" s="189">
        <v>-45</v>
      </c>
      <c r="AM15" s="190">
        <v>-39</v>
      </c>
      <c r="AN15" s="190">
        <v>-37</v>
      </c>
      <c r="AO15" s="190">
        <v>-37</v>
      </c>
      <c r="AP15" s="190">
        <v>-41</v>
      </c>
      <c r="AQ15" s="190">
        <v>-41</v>
      </c>
      <c r="AR15" s="190">
        <v>-38</v>
      </c>
      <c r="AS15" s="190">
        <v>-45</v>
      </c>
      <c r="AT15" s="190">
        <v>-44</v>
      </c>
      <c r="AU15" s="191">
        <v>-42</v>
      </c>
      <c r="AW15" s="188" t="s">
        <v>187</v>
      </c>
      <c r="AX15" s="192">
        <f>AL15-5</f>
        <v>-50</v>
      </c>
      <c r="AY15" s="193">
        <f t="shared" ref="AY15:BG21" si="2">AM15-5</f>
        <v>-44</v>
      </c>
      <c r="AZ15" s="193">
        <f t="shared" si="2"/>
        <v>-42</v>
      </c>
      <c r="BA15" s="193">
        <f t="shared" si="2"/>
        <v>-42</v>
      </c>
      <c r="BB15" s="193">
        <f t="shared" si="2"/>
        <v>-46</v>
      </c>
      <c r="BC15" s="193">
        <f t="shared" si="2"/>
        <v>-46</v>
      </c>
      <c r="BD15" s="193">
        <f t="shared" si="2"/>
        <v>-43</v>
      </c>
      <c r="BE15" s="193">
        <f t="shared" si="2"/>
        <v>-50</v>
      </c>
      <c r="BF15" s="193">
        <f t="shared" si="2"/>
        <v>-49</v>
      </c>
      <c r="BG15" s="194">
        <f t="shared" si="2"/>
        <v>-47</v>
      </c>
    </row>
    <row r="16" spans="1:59" ht="14.45" x14ac:dyDescent="0.3">
      <c r="A16" s="195" t="s">
        <v>214</v>
      </c>
      <c r="B16" s="196">
        <v>-19</v>
      </c>
      <c r="C16" s="183">
        <v>-15</v>
      </c>
      <c r="D16" s="183">
        <v>-15</v>
      </c>
      <c r="E16" s="183">
        <v>-18</v>
      </c>
      <c r="F16" s="183">
        <v>-20</v>
      </c>
      <c r="G16" s="183">
        <v>-26</v>
      </c>
      <c r="H16" s="183">
        <v>-23</v>
      </c>
      <c r="I16" s="183">
        <v>-25</v>
      </c>
      <c r="J16" s="183">
        <v>-25</v>
      </c>
      <c r="K16" s="184">
        <v>-26</v>
      </c>
      <c r="L16" s="217"/>
      <c r="M16" s="195" t="s">
        <v>214</v>
      </c>
      <c r="N16" s="196">
        <v>-27</v>
      </c>
      <c r="O16" s="183">
        <v>-22</v>
      </c>
      <c r="P16" s="183">
        <v>-22</v>
      </c>
      <c r="Q16" s="183">
        <v>-25</v>
      </c>
      <c r="R16" s="183">
        <v>-26</v>
      </c>
      <c r="S16" s="183">
        <v>-29</v>
      </c>
      <c r="T16" s="183">
        <v>-26</v>
      </c>
      <c r="U16" s="183">
        <v>-28</v>
      </c>
      <c r="V16" s="183">
        <v>-28</v>
      </c>
      <c r="W16" s="184">
        <v>-29</v>
      </c>
      <c r="X16" s="217"/>
      <c r="Y16" s="195" t="s">
        <v>214</v>
      </c>
      <c r="Z16" s="221">
        <v>-32</v>
      </c>
      <c r="AA16" s="222">
        <v>-28</v>
      </c>
      <c r="AB16" s="222">
        <v>-28</v>
      </c>
      <c r="AC16" s="222">
        <v>-31</v>
      </c>
      <c r="AD16" s="222">
        <v>-32</v>
      </c>
      <c r="AE16" s="222">
        <v>-36</v>
      </c>
      <c r="AF16" s="222">
        <v>-32</v>
      </c>
      <c r="AG16" s="222">
        <v>-33</v>
      </c>
      <c r="AH16" s="222">
        <v>-33</v>
      </c>
      <c r="AI16" s="223">
        <v>-34</v>
      </c>
      <c r="AJ16" s="217"/>
      <c r="AK16" s="197" t="s">
        <v>214</v>
      </c>
      <c r="AL16" s="198">
        <v>-41</v>
      </c>
      <c r="AM16" s="199">
        <v>-37</v>
      </c>
      <c r="AN16" s="199">
        <v>-37</v>
      </c>
      <c r="AO16" s="199">
        <v>-39</v>
      </c>
      <c r="AP16" s="199">
        <v>-41</v>
      </c>
      <c r="AQ16" s="199">
        <v>-45</v>
      </c>
      <c r="AR16" s="199">
        <v>-41</v>
      </c>
      <c r="AS16" s="199">
        <v>-42</v>
      </c>
      <c r="AT16" s="199">
        <v>-42</v>
      </c>
      <c r="AU16" s="200">
        <v>-43</v>
      </c>
      <c r="AW16" s="197" t="s">
        <v>214</v>
      </c>
      <c r="AX16" s="201">
        <f t="shared" ref="AX16:AX21" si="3">AL16-5</f>
        <v>-46</v>
      </c>
      <c r="AY16" s="202">
        <f t="shared" si="2"/>
        <v>-42</v>
      </c>
      <c r="AZ16" s="202">
        <f t="shared" si="2"/>
        <v>-42</v>
      </c>
      <c r="BA16" s="202">
        <f t="shared" si="2"/>
        <v>-44</v>
      </c>
      <c r="BB16" s="202">
        <f t="shared" si="2"/>
        <v>-46</v>
      </c>
      <c r="BC16" s="202">
        <f t="shared" si="2"/>
        <v>-50</v>
      </c>
      <c r="BD16" s="202">
        <f t="shared" si="2"/>
        <v>-46</v>
      </c>
      <c r="BE16" s="202">
        <f t="shared" si="2"/>
        <v>-47</v>
      </c>
      <c r="BF16" s="202">
        <f t="shared" si="2"/>
        <v>-47</v>
      </c>
      <c r="BG16" s="203">
        <f t="shared" si="2"/>
        <v>-48</v>
      </c>
    </row>
    <row r="17" spans="1:59" ht="14.45" x14ac:dyDescent="0.3">
      <c r="A17" s="195" t="s">
        <v>233</v>
      </c>
      <c r="B17" s="196">
        <v>-26</v>
      </c>
      <c r="C17" s="183">
        <v>-24</v>
      </c>
      <c r="D17" s="183">
        <v>-21</v>
      </c>
      <c r="E17" s="183">
        <v>-20</v>
      </c>
      <c r="F17" s="183">
        <v>-21</v>
      </c>
      <c r="G17" s="183">
        <v>-26</v>
      </c>
      <c r="H17" s="183">
        <v>-28</v>
      </c>
      <c r="I17" s="183">
        <v>-26</v>
      </c>
      <c r="J17" s="183">
        <v>-28</v>
      </c>
      <c r="K17" s="184">
        <v>-34</v>
      </c>
      <c r="L17" s="217"/>
      <c r="M17" s="195" t="s">
        <v>233</v>
      </c>
      <c r="N17" s="196">
        <v>-34</v>
      </c>
      <c r="O17" s="183">
        <v>-31</v>
      </c>
      <c r="P17" s="183">
        <v>-28</v>
      </c>
      <c r="Q17" s="183">
        <v>-27</v>
      </c>
      <c r="R17" s="183">
        <v>-27</v>
      </c>
      <c r="S17" s="183">
        <v>-29</v>
      </c>
      <c r="T17" s="183">
        <v>-31</v>
      </c>
      <c r="U17" s="183">
        <v>-29</v>
      </c>
      <c r="V17" s="183">
        <v>-31</v>
      </c>
      <c r="W17" s="184">
        <v>-37</v>
      </c>
      <c r="X17" s="217"/>
      <c r="Y17" s="195" t="s">
        <v>233</v>
      </c>
      <c r="Z17" s="221">
        <v>-39</v>
      </c>
      <c r="AA17" s="222">
        <v>-37</v>
      </c>
      <c r="AB17" s="222">
        <v>-34</v>
      </c>
      <c r="AC17" s="222">
        <v>-33</v>
      </c>
      <c r="AD17" s="222">
        <v>-33</v>
      </c>
      <c r="AE17" s="222">
        <v>-36</v>
      </c>
      <c r="AF17" s="222">
        <v>-37</v>
      </c>
      <c r="AG17" s="222">
        <v>-34</v>
      </c>
      <c r="AH17" s="222">
        <v>-36</v>
      </c>
      <c r="AI17" s="223">
        <v>-42</v>
      </c>
      <c r="AJ17" s="217"/>
      <c r="AK17" s="197" t="s">
        <v>233</v>
      </c>
      <c r="AL17" s="198">
        <v>-48</v>
      </c>
      <c r="AM17" s="199">
        <v>-46</v>
      </c>
      <c r="AN17" s="199">
        <v>-43</v>
      </c>
      <c r="AO17" s="199">
        <v>-41</v>
      </c>
      <c r="AP17" s="199">
        <v>-42</v>
      </c>
      <c r="AQ17" s="199">
        <v>-45</v>
      </c>
      <c r="AR17" s="199">
        <v>-46</v>
      </c>
      <c r="AS17" s="199">
        <v>-43</v>
      </c>
      <c r="AT17" s="199">
        <v>-45</v>
      </c>
      <c r="AU17" s="200">
        <v>-51</v>
      </c>
      <c r="AW17" s="197" t="s">
        <v>233</v>
      </c>
      <c r="AX17" s="201">
        <f t="shared" si="3"/>
        <v>-53</v>
      </c>
      <c r="AY17" s="202">
        <f t="shared" si="2"/>
        <v>-51</v>
      </c>
      <c r="AZ17" s="202">
        <f t="shared" si="2"/>
        <v>-48</v>
      </c>
      <c r="BA17" s="202">
        <f t="shared" si="2"/>
        <v>-46</v>
      </c>
      <c r="BB17" s="202">
        <f t="shared" si="2"/>
        <v>-47</v>
      </c>
      <c r="BC17" s="202">
        <f t="shared" si="2"/>
        <v>-50</v>
      </c>
      <c r="BD17" s="202">
        <f t="shared" si="2"/>
        <v>-51</v>
      </c>
      <c r="BE17" s="202">
        <f t="shared" si="2"/>
        <v>-48</v>
      </c>
      <c r="BF17" s="202">
        <f t="shared" si="2"/>
        <v>-50</v>
      </c>
      <c r="BG17" s="203">
        <f t="shared" si="2"/>
        <v>-56</v>
      </c>
    </row>
    <row r="18" spans="1:59" ht="14.45" x14ac:dyDescent="0.3">
      <c r="A18" s="195" t="s">
        <v>242</v>
      </c>
      <c r="B18" s="196">
        <v>-25</v>
      </c>
      <c r="C18" s="183">
        <v>-23</v>
      </c>
      <c r="D18" s="183">
        <v>-22</v>
      </c>
      <c r="E18" s="183">
        <v>-20</v>
      </c>
      <c r="F18" s="183">
        <v>-21</v>
      </c>
      <c r="G18" s="183">
        <v>-26</v>
      </c>
      <c r="H18" s="183">
        <v>-28</v>
      </c>
      <c r="I18" s="183">
        <v>-26</v>
      </c>
      <c r="J18" s="183">
        <v>-28</v>
      </c>
      <c r="K18" s="184">
        <v>-30</v>
      </c>
      <c r="L18" s="217"/>
      <c r="M18" s="195" t="s">
        <v>242</v>
      </c>
      <c r="N18" s="196">
        <v>-32</v>
      </c>
      <c r="O18" s="183">
        <v>-29</v>
      </c>
      <c r="P18" s="183">
        <v>-28</v>
      </c>
      <c r="Q18" s="183">
        <v>-26</v>
      </c>
      <c r="R18" s="183">
        <v>-26</v>
      </c>
      <c r="S18" s="183">
        <v>-29</v>
      </c>
      <c r="T18" s="183">
        <v>-31</v>
      </c>
      <c r="U18" s="183">
        <v>-29</v>
      </c>
      <c r="V18" s="183">
        <v>-31</v>
      </c>
      <c r="W18" s="184">
        <v>-33</v>
      </c>
      <c r="X18" s="217"/>
      <c r="Y18" s="195" t="s">
        <v>242</v>
      </c>
      <c r="Z18" s="221">
        <v>-38</v>
      </c>
      <c r="AA18" s="222">
        <v>-35</v>
      </c>
      <c r="AB18" s="222">
        <v>-34</v>
      </c>
      <c r="AC18" s="222">
        <v>-31</v>
      </c>
      <c r="AD18" s="222">
        <v>-31</v>
      </c>
      <c r="AE18" s="222">
        <v>-35</v>
      </c>
      <c r="AF18" s="222">
        <v>-37</v>
      </c>
      <c r="AG18" s="222">
        <v>-35</v>
      </c>
      <c r="AH18" s="222">
        <v>-37</v>
      </c>
      <c r="AI18" s="223">
        <v>-39</v>
      </c>
      <c r="AJ18" s="217"/>
      <c r="AK18" s="197" t="s">
        <v>242</v>
      </c>
      <c r="AL18" s="198">
        <v>-45</v>
      </c>
      <c r="AM18" s="199">
        <v>-42</v>
      </c>
      <c r="AN18" s="199">
        <v>-41</v>
      </c>
      <c r="AO18" s="199">
        <v>-38</v>
      </c>
      <c r="AP18" s="199">
        <v>-38</v>
      </c>
      <c r="AQ18" s="199">
        <v>-42</v>
      </c>
      <c r="AR18" s="199">
        <v>-44</v>
      </c>
      <c r="AS18" s="199">
        <v>-42</v>
      </c>
      <c r="AT18" s="199">
        <v>-44</v>
      </c>
      <c r="AU18" s="200">
        <v>-46</v>
      </c>
      <c r="AW18" s="197" t="s">
        <v>242</v>
      </c>
      <c r="AX18" s="201">
        <f t="shared" si="3"/>
        <v>-50</v>
      </c>
      <c r="AY18" s="202">
        <f t="shared" si="2"/>
        <v>-47</v>
      </c>
      <c r="AZ18" s="202">
        <f t="shared" si="2"/>
        <v>-46</v>
      </c>
      <c r="BA18" s="202">
        <f t="shared" si="2"/>
        <v>-43</v>
      </c>
      <c r="BB18" s="202">
        <f t="shared" si="2"/>
        <v>-43</v>
      </c>
      <c r="BC18" s="202">
        <f t="shared" si="2"/>
        <v>-47</v>
      </c>
      <c r="BD18" s="202">
        <f t="shared" si="2"/>
        <v>-49</v>
      </c>
      <c r="BE18" s="202">
        <f t="shared" si="2"/>
        <v>-47</v>
      </c>
      <c r="BF18" s="202">
        <f t="shared" si="2"/>
        <v>-49</v>
      </c>
      <c r="BG18" s="203">
        <f t="shared" si="2"/>
        <v>-51</v>
      </c>
    </row>
    <row r="19" spans="1:59" ht="14.45" x14ac:dyDescent="0.3">
      <c r="A19" s="195" t="s">
        <v>250</v>
      </c>
      <c r="B19" s="196">
        <v>-21</v>
      </c>
      <c r="C19" s="183">
        <v>-26</v>
      </c>
      <c r="D19" s="183">
        <v>-25</v>
      </c>
      <c r="E19" s="183">
        <v>-23</v>
      </c>
      <c r="F19" s="183">
        <v>-19</v>
      </c>
      <c r="G19" s="183">
        <v>-24</v>
      </c>
      <c r="H19" s="183">
        <v>-25</v>
      </c>
      <c r="I19" s="183">
        <v>-26</v>
      </c>
      <c r="J19" s="183">
        <v>-26</v>
      </c>
      <c r="K19" s="184">
        <v>-27</v>
      </c>
      <c r="L19" s="217"/>
      <c r="M19" s="195" t="s">
        <v>250</v>
      </c>
      <c r="N19" s="196">
        <v>-28</v>
      </c>
      <c r="O19" s="183">
        <v>-32</v>
      </c>
      <c r="P19" s="183">
        <v>-31</v>
      </c>
      <c r="Q19" s="183">
        <v>-29</v>
      </c>
      <c r="R19" s="183">
        <v>-24</v>
      </c>
      <c r="S19" s="183">
        <v>-27</v>
      </c>
      <c r="T19" s="183">
        <v>-28</v>
      </c>
      <c r="U19" s="183">
        <v>-29</v>
      </c>
      <c r="V19" s="183">
        <v>-29</v>
      </c>
      <c r="W19" s="184">
        <v>-30</v>
      </c>
      <c r="X19" s="217"/>
      <c r="Y19" s="195" t="s">
        <v>250</v>
      </c>
      <c r="Z19" s="221">
        <v>-34</v>
      </c>
      <c r="AA19" s="222">
        <v>-38</v>
      </c>
      <c r="AB19" s="222">
        <v>-37</v>
      </c>
      <c r="AC19" s="222">
        <v>-34</v>
      </c>
      <c r="AD19" s="222">
        <v>-29</v>
      </c>
      <c r="AE19" s="222">
        <v>-33</v>
      </c>
      <c r="AF19" s="222">
        <v>-34</v>
      </c>
      <c r="AG19" s="222">
        <v>-35</v>
      </c>
      <c r="AH19" s="222">
        <v>-35</v>
      </c>
      <c r="AI19" s="223">
        <v>-36</v>
      </c>
      <c r="AJ19" s="217"/>
      <c r="AK19" s="197" t="s">
        <v>250</v>
      </c>
      <c r="AL19" s="198">
        <v>-41</v>
      </c>
      <c r="AM19" s="199">
        <v>-45</v>
      </c>
      <c r="AN19" s="199">
        <v>-44</v>
      </c>
      <c r="AO19" s="199">
        <v>-41</v>
      </c>
      <c r="AP19" s="199">
        <v>-36</v>
      </c>
      <c r="AQ19" s="199">
        <v>-40</v>
      </c>
      <c r="AR19" s="199">
        <v>-41</v>
      </c>
      <c r="AS19" s="199">
        <v>-42</v>
      </c>
      <c r="AT19" s="199">
        <v>-42</v>
      </c>
      <c r="AU19" s="200">
        <v>-43</v>
      </c>
      <c r="AW19" s="197" t="s">
        <v>250</v>
      </c>
      <c r="AX19" s="201">
        <f t="shared" si="3"/>
        <v>-46</v>
      </c>
      <c r="AY19" s="202">
        <f t="shared" si="2"/>
        <v>-50</v>
      </c>
      <c r="AZ19" s="202">
        <f t="shared" si="2"/>
        <v>-49</v>
      </c>
      <c r="BA19" s="202">
        <f t="shared" si="2"/>
        <v>-46</v>
      </c>
      <c r="BB19" s="202">
        <f t="shared" si="2"/>
        <v>-41</v>
      </c>
      <c r="BC19" s="202">
        <f t="shared" si="2"/>
        <v>-45</v>
      </c>
      <c r="BD19" s="202">
        <f t="shared" si="2"/>
        <v>-46</v>
      </c>
      <c r="BE19" s="202">
        <f t="shared" si="2"/>
        <v>-47</v>
      </c>
      <c r="BF19" s="202">
        <f t="shared" si="2"/>
        <v>-47</v>
      </c>
      <c r="BG19" s="203">
        <f t="shared" si="2"/>
        <v>-48</v>
      </c>
    </row>
    <row r="20" spans="1:59" ht="14.45" x14ac:dyDescent="0.3">
      <c r="A20" s="195" t="s">
        <v>258</v>
      </c>
      <c r="B20" s="196">
        <v>-28</v>
      </c>
      <c r="C20" s="183">
        <v>-26</v>
      </c>
      <c r="D20" s="183">
        <v>-25</v>
      </c>
      <c r="E20" s="183">
        <v>-24</v>
      </c>
      <c r="F20" s="183">
        <v>-21</v>
      </c>
      <c r="G20" s="183">
        <v>-24</v>
      </c>
      <c r="H20" s="183">
        <v>-24</v>
      </c>
      <c r="I20" s="183">
        <v>-25</v>
      </c>
      <c r="J20" s="183">
        <v>-25</v>
      </c>
      <c r="K20" s="184">
        <v>-30</v>
      </c>
      <c r="L20" s="217"/>
      <c r="M20" s="195" t="s">
        <v>258</v>
      </c>
      <c r="N20" s="196">
        <v>-34</v>
      </c>
      <c r="O20" s="183">
        <v>-31</v>
      </c>
      <c r="P20" s="183">
        <v>-30</v>
      </c>
      <c r="Q20" s="183">
        <v>-29</v>
      </c>
      <c r="R20" s="183">
        <v>-25</v>
      </c>
      <c r="S20" s="183">
        <v>-27</v>
      </c>
      <c r="T20" s="183">
        <v>-27</v>
      </c>
      <c r="U20" s="183">
        <v>-28</v>
      </c>
      <c r="V20" s="183">
        <v>-28</v>
      </c>
      <c r="W20" s="184">
        <v>-33</v>
      </c>
      <c r="X20" s="217"/>
      <c r="Y20" s="195" t="s">
        <v>258</v>
      </c>
      <c r="Z20" s="221">
        <v>-40</v>
      </c>
      <c r="AA20" s="222">
        <v>-37</v>
      </c>
      <c r="AB20" s="222">
        <v>-35</v>
      </c>
      <c r="AC20" s="222">
        <v>-34</v>
      </c>
      <c r="AD20" s="222">
        <v>-30</v>
      </c>
      <c r="AE20" s="222">
        <v>-32</v>
      </c>
      <c r="AF20" s="222">
        <v>-32</v>
      </c>
      <c r="AG20" s="222">
        <v>-32</v>
      </c>
      <c r="AH20" s="222">
        <v>-32</v>
      </c>
      <c r="AI20" s="223">
        <v>-37</v>
      </c>
      <c r="AJ20" s="217"/>
      <c r="AK20" s="197" t="s">
        <v>258</v>
      </c>
      <c r="AL20" s="198">
        <v>-47</v>
      </c>
      <c r="AM20" s="199">
        <v>-44</v>
      </c>
      <c r="AN20" s="199">
        <v>-42</v>
      </c>
      <c r="AO20" s="199">
        <v>-41</v>
      </c>
      <c r="AP20" s="199">
        <v>-37</v>
      </c>
      <c r="AQ20" s="199">
        <v>-39</v>
      </c>
      <c r="AR20" s="199">
        <v>-39</v>
      </c>
      <c r="AS20" s="199">
        <v>-39</v>
      </c>
      <c r="AT20" s="199">
        <v>-39</v>
      </c>
      <c r="AU20" s="200">
        <v>-44</v>
      </c>
      <c r="AW20" s="197" t="s">
        <v>258</v>
      </c>
      <c r="AX20" s="201">
        <f t="shared" si="3"/>
        <v>-52</v>
      </c>
      <c r="AY20" s="202">
        <f t="shared" si="2"/>
        <v>-49</v>
      </c>
      <c r="AZ20" s="202">
        <f t="shared" si="2"/>
        <v>-47</v>
      </c>
      <c r="BA20" s="202">
        <f t="shared" si="2"/>
        <v>-46</v>
      </c>
      <c r="BB20" s="202">
        <f t="shared" si="2"/>
        <v>-42</v>
      </c>
      <c r="BC20" s="202">
        <f t="shared" si="2"/>
        <v>-44</v>
      </c>
      <c r="BD20" s="202">
        <f t="shared" si="2"/>
        <v>-44</v>
      </c>
      <c r="BE20" s="202">
        <f t="shared" si="2"/>
        <v>-44</v>
      </c>
      <c r="BF20" s="202">
        <f t="shared" si="2"/>
        <v>-44</v>
      </c>
      <c r="BG20" s="203">
        <f t="shared" si="2"/>
        <v>-49</v>
      </c>
    </row>
    <row r="21" spans="1:59" thickBot="1" x14ac:dyDescent="0.35">
      <c r="A21" s="204" t="s">
        <v>265</v>
      </c>
      <c r="B21" s="207">
        <v>-34</v>
      </c>
      <c r="C21" s="205">
        <v>-32</v>
      </c>
      <c r="D21" s="205">
        <v>-29</v>
      </c>
      <c r="E21" s="205">
        <v>-29</v>
      </c>
      <c r="F21" s="205">
        <v>-24</v>
      </c>
      <c r="G21" s="205">
        <v>-25</v>
      </c>
      <c r="H21" s="205">
        <v>-24</v>
      </c>
      <c r="I21" s="205">
        <v>-25</v>
      </c>
      <c r="J21" s="205">
        <v>-24</v>
      </c>
      <c r="K21" s="206">
        <v>-29</v>
      </c>
      <c r="L21" s="217"/>
      <c r="M21" s="204" t="s">
        <v>265</v>
      </c>
      <c r="N21" s="207">
        <v>-40</v>
      </c>
      <c r="O21" s="205">
        <v>-37</v>
      </c>
      <c r="P21" s="205">
        <v>-34</v>
      </c>
      <c r="Q21" s="205">
        <v>-34</v>
      </c>
      <c r="R21" s="205">
        <v>-28</v>
      </c>
      <c r="S21" s="205">
        <v>-28</v>
      </c>
      <c r="T21" s="205">
        <v>-27</v>
      </c>
      <c r="U21" s="205">
        <v>-28</v>
      </c>
      <c r="V21" s="205">
        <v>-27</v>
      </c>
      <c r="W21" s="206">
        <v>-32</v>
      </c>
      <c r="X21" s="217"/>
      <c r="Y21" s="204" t="s">
        <v>265</v>
      </c>
      <c r="Z21" s="224">
        <v>-46</v>
      </c>
      <c r="AA21" s="225">
        <v>-43</v>
      </c>
      <c r="AB21" s="225">
        <v>-39</v>
      </c>
      <c r="AC21" s="225">
        <v>-39</v>
      </c>
      <c r="AD21" s="225">
        <v>-33</v>
      </c>
      <c r="AE21" s="225">
        <v>-33</v>
      </c>
      <c r="AF21" s="225">
        <v>-32</v>
      </c>
      <c r="AG21" s="225">
        <v>-32</v>
      </c>
      <c r="AH21" s="225">
        <v>-31</v>
      </c>
      <c r="AI21" s="226">
        <v>-36</v>
      </c>
      <c r="AJ21" s="217"/>
      <c r="AK21" s="208" t="s">
        <v>265</v>
      </c>
      <c r="AL21" s="209">
        <v>-53</v>
      </c>
      <c r="AM21" s="210">
        <v>-50</v>
      </c>
      <c r="AN21" s="210">
        <v>-46</v>
      </c>
      <c r="AO21" s="210">
        <v>-46</v>
      </c>
      <c r="AP21" s="210">
        <v>-40</v>
      </c>
      <c r="AQ21" s="210">
        <v>-40</v>
      </c>
      <c r="AR21" s="210">
        <v>-39</v>
      </c>
      <c r="AS21" s="210">
        <v>-39</v>
      </c>
      <c r="AT21" s="210">
        <v>-38</v>
      </c>
      <c r="AU21" s="211">
        <v>-43</v>
      </c>
      <c r="AW21" s="208" t="s">
        <v>265</v>
      </c>
      <c r="AX21" s="212">
        <f t="shared" si="3"/>
        <v>-58</v>
      </c>
      <c r="AY21" s="213">
        <f t="shared" si="2"/>
        <v>-55</v>
      </c>
      <c r="AZ21" s="213">
        <f t="shared" si="2"/>
        <v>-51</v>
      </c>
      <c r="BA21" s="213">
        <f t="shared" si="2"/>
        <v>-51</v>
      </c>
      <c r="BB21" s="213">
        <f t="shared" si="2"/>
        <v>-45</v>
      </c>
      <c r="BC21" s="213">
        <f t="shared" si="2"/>
        <v>-45</v>
      </c>
      <c r="BD21" s="213">
        <f t="shared" si="2"/>
        <v>-44</v>
      </c>
      <c r="BE21" s="213">
        <f t="shared" si="2"/>
        <v>-44</v>
      </c>
      <c r="BF21" s="213">
        <f t="shared" si="2"/>
        <v>-43</v>
      </c>
      <c r="BG21" s="214">
        <f t="shared" si="2"/>
        <v>-48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-37</v>
      </c>
      <c r="C26" s="186">
        <v>-29</v>
      </c>
      <c r="D26" s="186">
        <v>-26</v>
      </c>
      <c r="E26" s="186">
        <v>-27</v>
      </c>
      <c r="F26" s="186">
        <v>-30</v>
      </c>
      <c r="G26" s="186">
        <v>-32</v>
      </c>
      <c r="H26" s="186">
        <v>-30</v>
      </c>
      <c r="I26" s="186">
        <v>-39</v>
      </c>
      <c r="J26" s="186">
        <v>-38</v>
      </c>
      <c r="K26" s="187">
        <v>-36</v>
      </c>
      <c r="L26" s="217"/>
      <c r="M26" s="182" t="s">
        <v>187</v>
      </c>
      <c r="N26" s="185">
        <v>-45</v>
      </c>
      <c r="O26" s="186">
        <v>-36</v>
      </c>
      <c r="P26" s="186">
        <v>-33</v>
      </c>
      <c r="Q26" s="186">
        <v>-34</v>
      </c>
      <c r="R26" s="186">
        <v>-36</v>
      </c>
      <c r="S26" s="186">
        <v>-35</v>
      </c>
      <c r="T26" s="186">
        <v>-33</v>
      </c>
      <c r="U26" s="186">
        <v>-42</v>
      </c>
      <c r="V26" s="186">
        <v>-41</v>
      </c>
      <c r="W26" s="187">
        <v>-39</v>
      </c>
      <c r="X26" s="217"/>
      <c r="Y26" s="188" t="s">
        <v>187</v>
      </c>
      <c r="Z26" s="227">
        <v>-50</v>
      </c>
      <c r="AA26" s="228">
        <v>-42</v>
      </c>
      <c r="AB26" s="228">
        <v>-39</v>
      </c>
      <c r="AC26" s="228">
        <v>-40</v>
      </c>
      <c r="AD26" s="228">
        <v>-42</v>
      </c>
      <c r="AE26" s="228">
        <v>-42</v>
      </c>
      <c r="AF26" s="228">
        <v>-39</v>
      </c>
      <c r="AG26" s="228">
        <v>-47</v>
      </c>
      <c r="AH26" s="228">
        <v>-46</v>
      </c>
      <c r="AI26" s="229">
        <v>-44</v>
      </c>
      <c r="AJ26" s="217"/>
      <c r="AK26" s="188" t="s">
        <v>187</v>
      </c>
      <c r="AL26" s="189">
        <v>-59</v>
      </c>
      <c r="AM26" s="190">
        <v>-51</v>
      </c>
      <c r="AN26" s="190">
        <v>-48</v>
      </c>
      <c r="AO26" s="190">
        <v>-48</v>
      </c>
      <c r="AP26" s="190">
        <v>-51</v>
      </c>
      <c r="AQ26" s="190">
        <v>-51</v>
      </c>
      <c r="AR26" s="190">
        <v>-48</v>
      </c>
      <c r="AS26" s="190">
        <v>-56</v>
      </c>
      <c r="AT26" s="190">
        <v>-55</v>
      </c>
      <c r="AU26" s="191">
        <v>-53</v>
      </c>
      <c r="AW26" s="188" t="s">
        <v>187</v>
      </c>
      <c r="AX26" s="192">
        <f>AL26-5</f>
        <v>-64</v>
      </c>
      <c r="AY26" s="193">
        <f t="shared" ref="AY26:BG32" si="4">AM26-5</f>
        <v>-56</v>
      </c>
      <c r="AZ26" s="193">
        <f t="shared" si="4"/>
        <v>-53</v>
      </c>
      <c r="BA26" s="193">
        <f t="shared" si="4"/>
        <v>-53</v>
      </c>
      <c r="BB26" s="193">
        <f t="shared" si="4"/>
        <v>-56</v>
      </c>
      <c r="BC26" s="193">
        <f t="shared" si="4"/>
        <v>-56</v>
      </c>
      <c r="BD26" s="193">
        <f t="shared" si="4"/>
        <v>-53</v>
      </c>
      <c r="BE26" s="193">
        <f t="shared" si="4"/>
        <v>-61</v>
      </c>
      <c r="BF26" s="193">
        <f t="shared" si="4"/>
        <v>-60</v>
      </c>
      <c r="BG26" s="194">
        <f t="shared" si="4"/>
        <v>-58</v>
      </c>
    </row>
    <row r="27" spans="1:59" x14ac:dyDescent="0.25">
      <c r="A27" s="195" t="s">
        <v>214</v>
      </c>
      <c r="B27" s="196">
        <v>-33</v>
      </c>
      <c r="C27" s="183">
        <v>-27</v>
      </c>
      <c r="D27" s="183">
        <v>-26</v>
      </c>
      <c r="E27" s="183">
        <v>-29</v>
      </c>
      <c r="F27" s="183">
        <v>-30</v>
      </c>
      <c r="G27" s="183">
        <v>-36</v>
      </c>
      <c r="H27" s="183">
        <v>-33</v>
      </c>
      <c r="I27" s="183">
        <v>-36</v>
      </c>
      <c r="J27" s="183">
        <v>-36</v>
      </c>
      <c r="K27" s="184">
        <v>-37</v>
      </c>
      <c r="L27" s="217"/>
      <c r="M27" s="195" t="s">
        <v>214</v>
      </c>
      <c r="N27" s="196">
        <v>-41</v>
      </c>
      <c r="O27" s="183">
        <v>-34</v>
      </c>
      <c r="P27" s="183">
        <v>-33</v>
      </c>
      <c r="Q27" s="183">
        <v>-36</v>
      </c>
      <c r="R27" s="183">
        <v>-36</v>
      </c>
      <c r="S27" s="183">
        <v>-39</v>
      </c>
      <c r="T27" s="183">
        <v>-36</v>
      </c>
      <c r="U27" s="183">
        <v>-39</v>
      </c>
      <c r="V27" s="183">
        <v>-39</v>
      </c>
      <c r="W27" s="184">
        <v>-40</v>
      </c>
      <c r="X27" s="217"/>
      <c r="Y27" s="197" t="s">
        <v>214</v>
      </c>
      <c r="Z27" s="230">
        <v>-46</v>
      </c>
      <c r="AA27" s="231">
        <v>-40</v>
      </c>
      <c r="AB27" s="231">
        <v>-39</v>
      </c>
      <c r="AC27" s="231">
        <v>-42</v>
      </c>
      <c r="AD27" s="231">
        <v>-42</v>
      </c>
      <c r="AE27" s="231">
        <v>-46</v>
      </c>
      <c r="AF27" s="231">
        <v>-42</v>
      </c>
      <c r="AG27" s="231">
        <v>-44</v>
      </c>
      <c r="AH27" s="231">
        <v>-44</v>
      </c>
      <c r="AI27" s="232">
        <v>-45</v>
      </c>
      <c r="AJ27" s="217"/>
      <c r="AK27" s="197" t="s">
        <v>214</v>
      </c>
      <c r="AL27" s="198">
        <v>-55</v>
      </c>
      <c r="AM27" s="199">
        <v>-49</v>
      </c>
      <c r="AN27" s="199">
        <v>-48</v>
      </c>
      <c r="AO27" s="199">
        <v>-50</v>
      </c>
      <c r="AP27" s="199">
        <v>-51</v>
      </c>
      <c r="AQ27" s="199">
        <v>-55</v>
      </c>
      <c r="AR27" s="199">
        <v>-51</v>
      </c>
      <c r="AS27" s="199">
        <v>-53</v>
      </c>
      <c r="AT27" s="199">
        <v>-53</v>
      </c>
      <c r="AU27" s="200">
        <v>-54</v>
      </c>
      <c r="AW27" s="197" t="s">
        <v>214</v>
      </c>
      <c r="AX27" s="201">
        <f t="shared" ref="AX27:AX32" si="5">AL27-5</f>
        <v>-60</v>
      </c>
      <c r="AY27" s="202">
        <f t="shared" si="4"/>
        <v>-54</v>
      </c>
      <c r="AZ27" s="202">
        <f t="shared" si="4"/>
        <v>-53</v>
      </c>
      <c r="BA27" s="202">
        <f t="shared" si="4"/>
        <v>-55</v>
      </c>
      <c r="BB27" s="202">
        <f t="shared" si="4"/>
        <v>-56</v>
      </c>
      <c r="BC27" s="202">
        <f t="shared" si="4"/>
        <v>-60</v>
      </c>
      <c r="BD27" s="202">
        <f t="shared" si="4"/>
        <v>-56</v>
      </c>
      <c r="BE27" s="202">
        <f t="shared" si="4"/>
        <v>-58</v>
      </c>
      <c r="BF27" s="202">
        <f t="shared" si="4"/>
        <v>-58</v>
      </c>
      <c r="BG27" s="203">
        <f t="shared" si="4"/>
        <v>-59</v>
      </c>
    </row>
    <row r="28" spans="1:59" x14ac:dyDescent="0.25">
      <c r="A28" s="195" t="s">
        <v>233</v>
      </c>
      <c r="B28" s="196">
        <v>-40</v>
      </c>
      <c r="C28" s="183">
        <v>-36</v>
      </c>
      <c r="D28" s="183">
        <v>-32</v>
      </c>
      <c r="E28" s="183">
        <v>-31</v>
      </c>
      <c r="F28" s="183">
        <v>-31</v>
      </c>
      <c r="G28" s="183">
        <v>-36</v>
      </c>
      <c r="H28" s="183">
        <v>-38</v>
      </c>
      <c r="I28" s="183">
        <v>-37</v>
      </c>
      <c r="J28" s="183">
        <v>-39</v>
      </c>
      <c r="K28" s="184">
        <v>-45</v>
      </c>
      <c r="L28" s="217"/>
      <c r="M28" s="195" t="s">
        <v>233</v>
      </c>
      <c r="N28" s="196">
        <v>-48</v>
      </c>
      <c r="O28" s="183">
        <v>-43</v>
      </c>
      <c r="P28" s="183">
        <v>-39</v>
      </c>
      <c r="Q28" s="183">
        <v>-38</v>
      </c>
      <c r="R28" s="183">
        <v>-37</v>
      </c>
      <c r="S28" s="183">
        <v>-39</v>
      </c>
      <c r="T28" s="183">
        <v>-41</v>
      </c>
      <c r="U28" s="183">
        <v>-40</v>
      </c>
      <c r="V28" s="183">
        <v>-42</v>
      </c>
      <c r="W28" s="184">
        <v>-48</v>
      </c>
      <c r="X28" s="217"/>
      <c r="Y28" s="197" t="s">
        <v>233</v>
      </c>
      <c r="Z28" s="230">
        <v>-53</v>
      </c>
      <c r="AA28" s="231">
        <v>-49</v>
      </c>
      <c r="AB28" s="231">
        <v>-45</v>
      </c>
      <c r="AC28" s="231">
        <v>-44</v>
      </c>
      <c r="AD28" s="231">
        <v>-43</v>
      </c>
      <c r="AE28" s="231">
        <v>-46</v>
      </c>
      <c r="AF28" s="231">
        <v>-47</v>
      </c>
      <c r="AG28" s="231">
        <v>-45</v>
      </c>
      <c r="AH28" s="231">
        <v>-47</v>
      </c>
      <c r="AI28" s="232">
        <v>-53</v>
      </c>
      <c r="AJ28" s="217"/>
      <c r="AK28" s="197" t="s">
        <v>233</v>
      </c>
      <c r="AL28" s="198">
        <v>-62</v>
      </c>
      <c r="AM28" s="199">
        <v>-58</v>
      </c>
      <c r="AN28" s="199">
        <v>-54</v>
      </c>
      <c r="AO28" s="199">
        <v>-52</v>
      </c>
      <c r="AP28" s="199">
        <v>-52</v>
      </c>
      <c r="AQ28" s="199">
        <v>-55</v>
      </c>
      <c r="AR28" s="199">
        <v>-56</v>
      </c>
      <c r="AS28" s="199">
        <v>-54</v>
      </c>
      <c r="AT28" s="199">
        <v>-56</v>
      </c>
      <c r="AU28" s="200">
        <v>-62</v>
      </c>
      <c r="AW28" s="197" t="s">
        <v>233</v>
      </c>
      <c r="AX28" s="201">
        <f t="shared" si="5"/>
        <v>-67</v>
      </c>
      <c r="AY28" s="202">
        <f t="shared" si="4"/>
        <v>-63</v>
      </c>
      <c r="AZ28" s="202">
        <f t="shared" si="4"/>
        <v>-59</v>
      </c>
      <c r="BA28" s="202">
        <f t="shared" si="4"/>
        <v>-57</v>
      </c>
      <c r="BB28" s="202">
        <f t="shared" si="4"/>
        <v>-57</v>
      </c>
      <c r="BC28" s="202">
        <f t="shared" si="4"/>
        <v>-60</v>
      </c>
      <c r="BD28" s="202">
        <f t="shared" si="4"/>
        <v>-61</v>
      </c>
      <c r="BE28" s="202">
        <f t="shared" si="4"/>
        <v>-59</v>
      </c>
      <c r="BF28" s="202">
        <f t="shared" si="4"/>
        <v>-61</v>
      </c>
      <c r="BG28" s="203">
        <f t="shared" si="4"/>
        <v>-67</v>
      </c>
    </row>
    <row r="29" spans="1:59" x14ac:dyDescent="0.25">
      <c r="A29" s="195" t="s">
        <v>242</v>
      </c>
      <c r="B29" s="196">
        <v>-38</v>
      </c>
      <c r="C29" s="183">
        <v>-35</v>
      </c>
      <c r="D29" s="183">
        <v>-33</v>
      </c>
      <c r="E29" s="183">
        <v>-30</v>
      </c>
      <c r="F29" s="183">
        <v>-31</v>
      </c>
      <c r="G29" s="183">
        <v>-36</v>
      </c>
      <c r="H29" s="183">
        <v>-38</v>
      </c>
      <c r="I29" s="183">
        <v>-36</v>
      </c>
      <c r="J29" s="183">
        <v>-38</v>
      </c>
      <c r="K29" s="184">
        <v>-40</v>
      </c>
      <c r="L29" s="217"/>
      <c r="M29" s="195" t="s">
        <v>242</v>
      </c>
      <c r="N29" s="196">
        <v>-45</v>
      </c>
      <c r="O29" s="183">
        <v>-41</v>
      </c>
      <c r="P29" s="183">
        <v>-39</v>
      </c>
      <c r="Q29" s="183">
        <v>-36</v>
      </c>
      <c r="R29" s="183">
        <v>-36</v>
      </c>
      <c r="S29" s="183">
        <v>-39</v>
      </c>
      <c r="T29" s="183">
        <v>-41</v>
      </c>
      <c r="U29" s="183">
        <v>-39</v>
      </c>
      <c r="V29" s="183">
        <v>-41</v>
      </c>
      <c r="W29" s="184">
        <v>-43</v>
      </c>
      <c r="X29" s="217"/>
      <c r="Y29" s="197" t="s">
        <v>242</v>
      </c>
      <c r="Z29" s="230">
        <v>-51</v>
      </c>
      <c r="AA29" s="231">
        <v>-47</v>
      </c>
      <c r="AB29" s="231">
        <v>-45</v>
      </c>
      <c r="AC29" s="231">
        <v>-41</v>
      </c>
      <c r="AD29" s="231">
        <v>-41</v>
      </c>
      <c r="AE29" s="231">
        <v>-45</v>
      </c>
      <c r="AF29" s="231">
        <v>-47</v>
      </c>
      <c r="AG29" s="231">
        <v>-45</v>
      </c>
      <c r="AH29" s="231">
        <v>-47</v>
      </c>
      <c r="AI29" s="232">
        <v>-49</v>
      </c>
      <c r="AJ29" s="217"/>
      <c r="AK29" s="197" t="s">
        <v>242</v>
      </c>
      <c r="AL29" s="198">
        <v>-58</v>
      </c>
      <c r="AM29" s="199">
        <v>-54</v>
      </c>
      <c r="AN29" s="199">
        <v>-52</v>
      </c>
      <c r="AO29" s="199">
        <v>-48</v>
      </c>
      <c r="AP29" s="199">
        <v>-48</v>
      </c>
      <c r="AQ29" s="199">
        <v>-52</v>
      </c>
      <c r="AR29" s="199">
        <v>-54</v>
      </c>
      <c r="AS29" s="199">
        <v>-52</v>
      </c>
      <c r="AT29" s="199">
        <v>-54</v>
      </c>
      <c r="AU29" s="200">
        <v>-56</v>
      </c>
      <c r="AW29" s="197" t="s">
        <v>242</v>
      </c>
      <c r="AX29" s="201">
        <f t="shared" si="5"/>
        <v>-63</v>
      </c>
      <c r="AY29" s="202">
        <f t="shared" si="4"/>
        <v>-59</v>
      </c>
      <c r="AZ29" s="202">
        <f t="shared" si="4"/>
        <v>-57</v>
      </c>
      <c r="BA29" s="202">
        <f t="shared" si="4"/>
        <v>-53</v>
      </c>
      <c r="BB29" s="202">
        <f t="shared" si="4"/>
        <v>-53</v>
      </c>
      <c r="BC29" s="202">
        <f t="shared" si="4"/>
        <v>-57</v>
      </c>
      <c r="BD29" s="202">
        <f t="shared" si="4"/>
        <v>-59</v>
      </c>
      <c r="BE29" s="202">
        <f t="shared" si="4"/>
        <v>-57</v>
      </c>
      <c r="BF29" s="202">
        <f t="shared" si="4"/>
        <v>-59</v>
      </c>
      <c r="BG29" s="203">
        <f t="shared" si="4"/>
        <v>-61</v>
      </c>
    </row>
    <row r="30" spans="1:59" x14ac:dyDescent="0.25">
      <c r="A30" s="195" t="s">
        <v>250</v>
      </c>
      <c r="B30" s="196">
        <v>-34</v>
      </c>
      <c r="C30" s="183">
        <v>-38</v>
      </c>
      <c r="D30" s="183">
        <v>-36</v>
      </c>
      <c r="E30" s="183">
        <v>-33</v>
      </c>
      <c r="F30" s="183">
        <v>-29</v>
      </c>
      <c r="G30" s="183">
        <v>-34</v>
      </c>
      <c r="H30" s="183">
        <v>-35</v>
      </c>
      <c r="I30" s="183">
        <v>-36</v>
      </c>
      <c r="J30" s="183">
        <v>-36</v>
      </c>
      <c r="K30" s="184">
        <v>-37</v>
      </c>
      <c r="L30" s="217"/>
      <c r="M30" s="195" t="s">
        <v>250</v>
      </c>
      <c r="N30" s="196">
        <v>-41</v>
      </c>
      <c r="O30" s="183">
        <v>-44</v>
      </c>
      <c r="P30" s="183">
        <v>-42</v>
      </c>
      <c r="Q30" s="183">
        <v>-39</v>
      </c>
      <c r="R30" s="183">
        <v>-34</v>
      </c>
      <c r="S30" s="183">
        <v>-37</v>
      </c>
      <c r="T30" s="183">
        <v>-38</v>
      </c>
      <c r="U30" s="183">
        <v>-39</v>
      </c>
      <c r="V30" s="183">
        <v>-39</v>
      </c>
      <c r="W30" s="184">
        <v>-40</v>
      </c>
      <c r="X30" s="217"/>
      <c r="Y30" s="197" t="s">
        <v>250</v>
      </c>
      <c r="Z30" s="230">
        <v>-47</v>
      </c>
      <c r="AA30" s="231">
        <v>-50</v>
      </c>
      <c r="AB30" s="231">
        <v>-48</v>
      </c>
      <c r="AC30" s="231">
        <v>-44</v>
      </c>
      <c r="AD30" s="231">
        <v>-39</v>
      </c>
      <c r="AE30" s="231">
        <v>-43</v>
      </c>
      <c r="AF30" s="231">
        <v>-44</v>
      </c>
      <c r="AG30" s="231">
        <v>-45</v>
      </c>
      <c r="AH30" s="231">
        <v>-45</v>
      </c>
      <c r="AI30" s="232">
        <v>-46</v>
      </c>
      <c r="AJ30" s="217"/>
      <c r="AK30" s="197" t="s">
        <v>250</v>
      </c>
      <c r="AL30" s="198">
        <v>-54</v>
      </c>
      <c r="AM30" s="199">
        <v>-57</v>
      </c>
      <c r="AN30" s="199">
        <v>-55</v>
      </c>
      <c r="AO30" s="199">
        <v>-51</v>
      </c>
      <c r="AP30" s="199">
        <v>-46</v>
      </c>
      <c r="AQ30" s="199">
        <v>-50</v>
      </c>
      <c r="AR30" s="199">
        <v>-51</v>
      </c>
      <c r="AS30" s="199">
        <v>-52</v>
      </c>
      <c r="AT30" s="199">
        <v>-52</v>
      </c>
      <c r="AU30" s="200">
        <v>-53</v>
      </c>
      <c r="AW30" s="197" t="s">
        <v>250</v>
      </c>
      <c r="AX30" s="201">
        <f t="shared" si="5"/>
        <v>-59</v>
      </c>
      <c r="AY30" s="202">
        <f t="shared" si="4"/>
        <v>-62</v>
      </c>
      <c r="AZ30" s="202">
        <f t="shared" si="4"/>
        <v>-60</v>
      </c>
      <c r="BA30" s="202">
        <f t="shared" si="4"/>
        <v>-56</v>
      </c>
      <c r="BB30" s="202">
        <f t="shared" si="4"/>
        <v>-51</v>
      </c>
      <c r="BC30" s="202">
        <f t="shared" si="4"/>
        <v>-55</v>
      </c>
      <c r="BD30" s="202">
        <f t="shared" si="4"/>
        <v>-56</v>
      </c>
      <c r="BE30" s="202">
        <f t="shared" si="4"/>
        <v>-57</v>
      </c>
      <c r="BF30" s="202">
        <f t="shared" si="4"/>
        <v>-57</v>
      </c>
      <c r="BG30" s="203">
        <f t="shared" si="4"/>
        <v>-58</v>
      </c>
    </row>
    <row r="31" spans="1:59" x14ac:dyDescent="0.25">
      <c r="A31" s="195" t="s">
        <v>258</v>
      </c>
      <c r="B31" s="196">
        <v>-40</v>
      </c>
      <c r="C31" s="183">
        <v>-37</v>
      </c>
      <c r="D31" s="183">
        <v>-36</v>
      </c>
      <c r="E31" s="183">
        <v>-34</v>
      </c>
      <c r="F31" s="183">
        <v>-31</v>
      </c>
      <c r="G31" s="183">
        <v>-34</v>
      </c>
      <c r="H31" s="183">
        <v>-35</v>
      </c>
      <c r="I31" s="183">
        <v>-35</v>
      </c>
      <c r="J31" s="183">
        <v>-35</v>
      </c>
      <c r="K31" s="184">
        <v>-40</v>
      </c>
      <c r="L31" s="217"/>
      <c r="M31" s="195" t="s">
        <v>258</v>
      </c>
      <c r="N31" s="196">
        <v>-46</v>
      </c>
      <c r="O31" s="183">
        <v>-42</v>
      </c>
      <c r="P31" s="183">
        <v>-41</v>
      </c>
      <c r="Q31" s="183">
        <v>-39</v>
      </c>
      <c r="R31" s="183">
        <v>-35</v>
      </c>
      <c r="S31" s="183">
        <v>-37</v>
      </c>
      <c r="T31" s="183">
        <v>-38</v>
      </c>
      <c r="U31" s="183">
        <v>-38</v>
      </c>
      <c r="V31" s="183">
        <v>-38</v>
      </c>
      <c r="W31" s="184">
        <v>-43</v>
      </c>
      <c r="X31" s="217"/>
      <c r="Y31" s="197" t="s">
        <v>258</v>
      </c>
      <c r="Z31" s="230">
        <v>-52</v>
      </c>
      <c r="AA31" s="231">
        <v>-48</v>
      </c>
      <c r="AB31" s="231">
        <v>-46</v>
      </c>
      <c r="AC31" s="231">
        <v>-44</v>
      </c>
      <c r="AD31" s="231">
        <v>-40</v>
      </c>
      <c r="AE31" s="231">
        <v>-42</v>
      </c>
      <c r="AF31" s="231">
        <v>-43</v>
      </c>
      <c r="AG31" s="231">
        <v>-42</v>
      </c>
      <c r="AH31" s="231">
        <v>-42</v>
      </c>
      <c r="AI31" s="232">
        <v>-47</v>
      </c>
      <c r="AJ31" s="217"/>
      <c r="AK31" s="197" t="s">
        <v>258</v>
      </c>
      <c r="AL31" s="198">
        <v>-59</v>
      </c>
      <c r="AM31" s="199">
        <v>-55</v>
      </c>
      <c r="AN31" s="199">
        <v>-53</v>
      </c>
      <c r="AO31" s="199">
        <v>-51</v>
      </c>
      <c r="AP31" s="199">
        <v>-47</v>
      </c>
      <c r="AQ31" s="199">
        <v>-49</v>
      </c>
      <c r="AR31" s="199">
        <v>-50</v>
      </c>
      <c r="AS31" s="199">
        <v>-49</v>
      </c>
      <c r="AT31" s="199">
        <v>-49</v>
      </c>
      <c r="AU31" s="200">
        <v>-54</v>
      </c>
      <c r="AW31" s="197" t="s">
        <v>258</v>
      </c>
      <c r="AX31" s="201">
        <f t="shared" si="5"/>
        <v>-64</v>
      </c>
      <c r="AY31" s="202">
        <f t="shared" si="4"/>
        <v>-60</v>
      </c>
      <c r="AZ31" s="202">
        <f t="shared" si="4"/>
        <v>-58</v>
      </c>
      <c r="BA31" s="202">
        <f t="shared" si="4"/>
        <v>-56</v>
      </c>
      <c r="BB31" s="202">
        <f t="shared" si="4"/>
        <v>-52</v>
      </c>
      <c r="BC31" s="202">
        <f t="shared" si="4"/>
        <v>-54</v>
      </c>
      <c r="BD31" s="202">
        <f t="shared" si="4"/>
        <v>-55</v>
      </c>
      <c r="BE31" s="202">
        <f t="shared" si="4"/>
        <v>-54</v>
      </c>
      <c r="BF31" s="202">
        <f t="shared" si="4"/>
        <v>-54</v>
      </c>
      <c r="BG31" s="203">
        <f t="shared" si="4"/>
        <v>-59</v>
      </c>
    </row>
    <row r="32" spans="1:59" ht="15.75" thickBot="1" x14ac:dyDescent="0.3">
      <c r="A32" s="204" t="s">
        <v>265</v>
      </c>
      <c r="B32" s="207">
        <v>-46</v>
      </c>
      <c r="C32" s="205">
        <v>-43</v>
      </c>
      <c r="D32" s="205">
        <v>-40</v>
      </c>
      <c r="E32" s="205">
        <v>-39</v>
      </c>
      <c r="F32" s="205">
        <v>-34</v>
      </c>
      <c r="G32" s="205">
        <v>-35</v>
      </c>
      <c r="H32" s="205">
        <v>-35</v>
      </c>
      <c r="I32" s="205">
        <v>-35</v>
      </c>
      <c r="J32" s="205">
        <v>-34</v>
      </c>
      <c r="K32" s="206">
        <v>-39</v>
      </c>
      <c r="L32" s="217"/>
      <c r="M32" s="204" t="s">
        <v>265</v>
      </c>
      <c r="N32" s="207">
        <v>-52</v>
      </c>
      <c r="O32" s="205">
        <v>-48</v>
      </c>
      <c r="P32" s="205">
        <v>-45</v>
      </c>
      <c r="Q32" s="205">
        <v>-44</v>
      </c>
      <c r="R32" s="205">
        <v>-38</v>
      </c>
      <c r="S32" s="205">
        <v>-38</v>
      </c>
      <c r="T32" s="205">
        <v>-38</v>
      </c>
      <c r="U32" s="205">
        <v>-38</v>
      </c>
      <c r="V32" s="205">
        <v>-37</v>
      </c>
      <c r="W32" s="206">
        <v>-42</v>
      </c>
      <c r="X32" s="217"/>
      <c r="Y32" s="208" t="s">
        <v>265</v>
      </c>
      <c r="Z32" s="233">
        <v>-58</v>
      </c>
      <c r="AA32" s="234">
        <v>-54</v>
      </c>
      <c r="AB32" s="234">
        <v>-50</v>
      </c>
      <c r="AC32" s="234">
        <v>-49</v>
      </c>
      <c r="AD32" s="234">
        <v>-43</v>
      </c>
      <c r="AE32" s="234">
        <v>-43</v>
      </c>
      <c r="AF32" s="234">
        <v>-43</v>
      </c>
      <c r="AG32" s="234">
        <v>-42</v>
      </c>
      <c r="AH32" s="234">
        <v>-41</v>
      </c>
      <c r="AI32" s="235">
        <v>-46</v>
      </c>
      <c r="AJ32" s="217"/>
      <c r="AK32" s="208" t="s">
        <v>265</v>
      </c>
      <c r="AL32" s="209">
        <v>-65</v>
      </c>
      <c r="AM32" s="210">
        <v>-61</v>
      </c>
      <c r="AN32" s="210">
        <v>-57</v>
      </c>
      <c r="AO32" s="210">
        <v>-56</v>
      </c>
      <c r="AP32" s="210">
        <v>-50</v>
      </c>
      <c r="AQ32" s="210">
        <v>-50</v>
      </c>
      <c r="AR32" s="210">
        <v>-50</v>
      </c>
      <c r="AS32" s="210">
        <v>-49</v>
      </c>
      <c r="AT32" s="210">
        <v>-48</v>
      </c>
      <c r="AU32" s="211">
        <v>-53</v>
      </c>
      <c r="AW32" s="208" t="s">
        <v>265</v>
      </c>
      <c r="AX32" s="212">
        <f t="shared" si="5"/>
        <v>-70</v>
      </c>
      <c r="AY32" s="213">
        <f t="shared" si="4"/>
        <v>-66</v>
      </c>
      <c r="AZ32" s="213">
        <f t="shared" si="4"/>
        <v>-62</v>
      </c>
      <c r="BA32" s="213">
        <f t="shared" si="4"/>
        <v>-61</v>
      </c>
      <c r="BB32" s="213">
        <f t="shared" si="4"/>
        <v>-55</v>
      </c>
      <c r="BC32" s="213">
        <f t="shared" si="4"/>
        <v>-55</v>
      </c>
      <c r="BD32" s="213">
        <f t="shared" si="4"/>
        <v>-55</v>
      </c>
      <c r="BE32" s="213">
        <f t="shared" si="4"/>
        <v>-54</v>
      </c>
      <c r="BF32" s="213">
        <f t="shared" si="4"/>
        <v>-53</v>
      </c>
      <c r="BG32" s="214">
        <f t="shared" si="4"/>
        <v>-58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-47</v>
      </c>
      <c r="C37" s="186">
        <v>-41</v>
      </c>
      <c r="D37" s="186">
        <v>-39</v>
      </c>
      <c r="E37" s="186">
        <v>-40</v>
      </c>
      <c r="F37" s="186">
        <v>-43</v>
      </c>
      <c r="G37" s="186">
        <v>-45</v>
      </c>
      <c r="H37" s="186">
        <v>-43</v>
      </c>
      <c r="I37" s="186">
        <v>-50</v>
      </c>
      <c r="J37" s="186">
        <v>-49</v>
      </c>
      <c r="K37" s="187">
        <v>-47</v>
      </c>
      <c r="L37" s="217"/>
      <c r="M37" s="236" t="s">
        <v>187</v>
      </c>
      <c r="N37" s="185">
        <v>-54</v>
      </c>
      <c r="O37" s="186">
        <v>-48</v>
      </c>
      <c r="P37" s="186">
        <v>-46</v>
      </c>
      <c r="Q37" s="186">
        <v>-47</v>
      </c>
      <c r="R37" s="186">
        <v>-49</v>
      </c>
      <c r="S37" s="186">
        <v>-49</v>
      </c>
      <c r="T37" s="186">
        <v>-46</v>
      </c>
      <c r="U37" s="186">
        <v>-53</v>
      </c>
      <c r="V37" s="186">
        <v>-52</v>
      </c>
      <c r="W37" s="187">
        <v>-50</v>
      </c>
      <c r="X37" s="217"/>
      <c r="Y37" s="237" t="s">
        <v>187</v>
      </c>
      <c r="Z37" s="227">
        <v>-67</v>
      </c>
      <c r="AA37" s="228">
        <v>-61</v>
      </c>
      <c r="AB37" s="228">
        <v>-59</v>
      </c>
      <c r="AC37" s="228">
        <v>-59</v>
      </c>
      <c r="AD37" s="228">
        <v>-61</v>
      </c>
      <c r="AE37" s="228">
        <v>-63</v>
      </c>
      <c r="AF37" s="228">
        <v>-60</v>
      </c>
      <c r="AG37" s="228">
        <v>-65</v>
      </c>
      <c r="AH37" s="228">
        <v>-64</v>
      </c>
      <c r="AI37" s="229">
        <v>-62</v>
      </c>
      <c r="AJ37" s="217"/>
      <c r="AK37" s="237" t="s">
        <v>187</v>
      </c>
      <c r="AL37" s="189">
        <v>-71</v>
      </c>
      <c r="AM37" s="190">
        <v>-66</v>
      </c>
      <c r="AN37" s="190">
        <v>-64</v>
      </c>
      <c r="AO37" s="190">
        <v>-64</v>
      </c>
      <c r="AP37" s="190">
        <v>-66</v>
      </c>
      <c r="AQ37" s="190">
        <v>-68</v>
      </c>
      <c r="AR37" s="190">
        <v>-65</v>
      </c>
      <c r="AS37" s="190">
        <v>-70</v>
      </c>
      <c r="AT37" s="190">
        <v>-69</v>
      </c>
      <c r="AU37" s="191">
        <v>-67</v>
      </c>
      <c r="AW37" s="237" t="s">
        <v>187</v>
      </c>
      <c r="AX37" s="192">
        <f>AL37-5</f>
        <v>-76</v>
      </c>
      <c r="AY37" s="193">
        <f t="shared" ref="AY37:BG43" si="6">AM37-5</f>
        <v>-71</v>
      </c>
      <c r="AZ37" s="193">
        <f t="shared" si="6"/>
        <v>-69</v>
      </c>
      <c r="BA37" s="193">
        <f t="shared" si="6"/>
        <v>-69</v>
      </c>
      <c r="BB37" s="193">
        <f t="shared" si="6"/>
        <v>-71</v>
      </c>
      <c r="BC37" s="193">
        <f t="shared" si="6"/>
        <v>-73</v>
      </c>
      <c r="BD37" s="193">
        <f t="shared" si="6"/>
        <v>-70</v>
      </c>
      <c r="BE37" s="193">
        <f t="shared" si="6"/>
        <v>-75</v>
      </c>
      <c r="BF37" s="193">
        <f t="shared" si="6"/>
        <v>-74</v>
      </c>
      <c r="BG37" s="194">
        <f t="shared" si="6"/>
        <v>-72</v>
      </c>
    </row>
    <row r="38" spans="1:59" x14ac:dyDescent="0.25">
      <c r="A38" s="195" t="s">
        <v>214</v>
      </c>
      <c r="B38" s="196">
        <v>-43</v>
      </c>
      <c r="C38" s="183">
        <v>-39</v>
      </c>
      <c r="D38" s="183">
        <v>-39</v>
      </c>
      <c r="E38" s="183">
        <v>-42</v>
      </c>
      <c r="F38" s="183">
        <v>-43</v>
      </c>
      <c r="G38" s="183">
        <v>-49</v>
      </c>
      <c r="H38" s="183">
        <v>-46</v>
      </c>
      <c r="I38" s="183">
        <v>-47</v>
      </c>
      <c r="J38" s="183">
        <v>-47</v>
      </c>
      <c r="K38" s="184">
        <v>-48</v>
      </c>
      <c r="L38" s="217"/>
      <c r="M38" s="195" t="s">
        <v>214</v>
      </c>
      <c r="N38" s="196">
        <v>-50</v>
      </c>
      <c r="O38" s="183">
        <v>-46</v>
      </c>
      <c r="P38" s="183">
        <v>-46</v>
      </c>
      <c r="Q38" s="183">
        <v>-49</v>
      </c>
      <c r="R38" s="183">
        <v>-49</v>
      </c>
      <c r="S38" s="183">
        <v>-53</v>
      </c>
      <c r="T38" s="183">
        <v>-49</v>
      </c>
      <c r="U38" s="183">
        <v>-50</v>
      </c>
      <c r="V38" s="183">
        <v>-50</v>
      </c>
      <c r="W38" s="184">
        <v>-51</v>
      </c>
      <c r="X38" s="217"/>
      <c r="Y38" s="197" t="s">
        <v>214</v>
      </c>
      <c r="Z38" s="230">
        <v>-63</v>
      </c>
      <c r="AA38" s="231">
        <v>-59</v>
      </c>
      <c r="AB38" s="231">
        <v>-59</v>
      </c>
      <c r="AC38" s="231">
        <v>-61</v>
      </c>
      <c r="AD38" s="231">
        <v>-61</v>
      </c>
      <c r="AE38" s="231">
        <v>-67</v>
      </c>
      <c r="AF38" s="231">
        <v>-63</v>
      </c>
      <c r="AG38" s="231">
        <v>-62</v>
      </c>
      <c r="AH38" s="231">
        <v>-62</v>
      </c>
      <c r="AI38" s="232">
        <v>-63</v>
      </c>
      <c r="AJ38" s="217"/>
      <c r="AK38" s="197" t="s">
        <v>214</v>
      </c>
      <c r="AL38" s="198">
        <v>-68</v>
      </c>
      <c r="AM38" s="199">
        <v>-64</v>
      </c>
      <c r="AN38" s="199">
        <v>-64</v>
      </c>
      <c r="AO38" s="199">
        <v>-66</v>
      </c>
      <c r="AP38" s="199">
        <v>-66</v>
      </c>
      <c r="AQ38" s="199">
        <v>-71</v>
      </c>
      <c r="AR38" s="199">
        <v>-68</v>
      </c>
      <c r="AS38" s="199">
        <v>-67</v>
      </c>
      <c r="AT38" s="199">
        <v>-67</v>
      </c>
      <c r="AU38" s="200">
        <v>-68</v>
      </c>
      <c r="AW38" s="197" t="s">
        <v>214</v>
      </c>
      <c r="AX38" s="201">
        <f t="shared" ref="AX38:AX43" si="7">AL38-5</f>
        <v>-73</v>
      </c>
      <c r="AY38" s="202">
        <f t="shared" si="6"/>
        <v>-69</v>
      </c>
      <c r="AZ38" s="202">
        <f t="shared" si="6"/>
        <v>-69</v>
      </c>
      <c r="BA38" s="202">
        <f t="shared" si="6"/>
        <v>-71</v>
      </c>
      <c r="BB38" s="202">
        <f t="shared" si="6"/>
        <v>-71</v>
      </c>
      <c r="BC38" s="202">
        <f t="shared" si="6"/>
        <v>-76</v>
      </c>
      <c r="BD38" s="202">
        <f t="shared" si="6"/>
        <v>-73</v>
      </c>
      <c r="BE38" s="202">
        <f t="shared" si="6"/>
        <v>-72</v>
      </c>
      <c r="BF38" s="202">
        <f t="shared" si="6"/>
        <v>-72</v>
      </c>
      <c r="BG38" s="203">
        <f t="shared" si="6"/>
        <v>-73</v>
      </c>
    </row>
    <row r="39" spans="1:59" x14ac:dyDescent="0.25">
      <c r="A39" s="195" t="s">
        <v>233</v>
      </c>
      <c r="B39" s="196">
        <v>-50</v>
      </c>
      <c r="C39" s="183">
        <v>-48</v>
      </c>
      <c r="D39" s="183">
        <v>-45</v>
      </c>
      <c r="E39" s="183">
        <v>-44</v>
      </c>
      <c r="F39" s="183">
        <v>-44</v>
      </c>
      <c r="G39" s="183">
        <v>-49</v>
      </c>
      <c r="H39" s="183">
        <v>-51</v>
      </c>
      <c r="I39" s="183">
        <v>-48</v>
      </c>
      <c r="J39" s="183">
        <v>-50</v>
      </c>
      <c r="K39" s="184">
        <v>-56</v>
      </c>
      <c r="L39" s="217"/>
      <c r="M39" s="195" t="s">
        <v>233</v>
      </c>
      <c r="N39" s="196">
        <v>-57</v>
      </c>
      <c r="O39" s="183">
        <v>-55</v>
      </c>
      <c r="P39" s="183">
        <v>-52</v>
      </c>
      <c r="Q39" s="183">
        <v>-51</v>
      </c>
      <c r="R39" s="183">
        <v>-50</v>
      </c>
      <c r="S39" s="183">
        <v>-53</v>
      </c>
      <c r="T39" s="183">
        <v>-54</v>
      </c>
      <c r="U39" s="183">
        <v>-51</v>
      </c>
      <c r="V39" s="183">
        <v>-53</v>
      </c>
      <c r="W39" s="184">
        <v>-59</v>
      </c>
      <c r="X39" s="217"/>
      <c r="Y39" s="197" t="s">
        <v>233</v>
      </c>
      <c r="Z39" s="230">
        <v>-69</v>
      </c>
      <c r="AA39" s="231">
        <v>-68</v>
      </c>
      <c r="AB39" s="231">
        <v>-65</v>
      </c>
      <c r="AC39" s="231">
        <v>-63</v>
      </c>
      <c r="AD39" s="231">
        <v>-62</v>
      </c>
      <c r="AE39" s="231">
        <v>-67</v>
      </c>
      <c r="AF39" s="231">
        <v>-68</v>
      </c>
      <c r="AG39" s="231">
        <v>-63</v>
      </c>
      <c r="AH39" s="231">
        <v>-65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-70</v>
      </c>
      <c r="AO39" s="199">
        <v>-68</v>
      </c>
      <c r="AP39" s="199">
        <v>-67</v>
      </c>
      <c r="AQ39" s="199">
        <v>-71</v>
      </c>
      <c r="AR39" s="199">
        <v>-71</v>
      </c>
      <c r="AS39" s="199">
        <v>-68</v>
      </c>
      <c r="AT39" s="199">
        <v>-70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-75</v>
      </c>
      <c r="BA39" s="202">
        <f t="shared" si="6"/>
        <v>-73</v>
      </c>
      <c r="BB39" s="202">
        <f t="shared" si="6"/>
        <v>-72</v>
      </c>
      <c r="BC39" s="202">
        <f t="shared" si="6"/>
        <v>-76</v>
      </c>
      <c r="BD39" s="202">
        <f t="shared" si="6"/>
        <v>-76</v>
      </c>
      <c r="BE39" s="202">
        <f t="shared" si="6"/>
        <v>-73</v>
      </c>
      <c r="BF39" s="202">
        <f t="shared" si="6"/>
        <v>-75</v>
      </c>
      <c r="BG39" s="203">
        <f t="shared" si="6"/>
        <v>-76</v>
      </c>
    </row>
    <row r="40" spans="1:59" x14ac:dyDescent="0.25">
      <c r="A40" s="195" t="s">
        <v>242</v>
      </c>
      <c r="B40" s="196">
        <v>-49</v>
      </c>
      <c r="C40" s="183">
        <v>-47</v>
      </c>
      <c r="D40" s="183">
        <v>-46</v>
      </c>
      <c r="E40" s="183">
        <v>-43</v>
      </c>
      <c r="F40" s="183">
        <v>-44</v>
      </c>
      <c r="G40" s="183">
        <v>-48</v>
      </c>
      <c r="H40" s="183">
        <v>-50</v>
      </c>
      <c r="I40" s="183">
        <v>-47</v>
      </c>
      <c r="J40" s="183">
        <v>-49</v>
      </c>
      <c r="K40" s="184">
        <v>-51</v>
      </c>
      <c r="L40" s="217"/>
      <c r="M40" s="195" t="s">
        <v>242</v>
      </c>
      <c r="N40" s="196">
        <v>-55</v>
      </c>
      <c r="O40" s="183">
        <v>-53</v>
      </c>
      <c r="P40" s="183">
        <v>-52</v>
      </c>
      <c r="Q40" s="183">
        <v>-49</v>
      </c>
      <c r="R40" s="183">
        <v>-49</v>
      </c>
      <c r="S40" s="183">
        <v>-52</v>
      </c>
      <c r="T40" s="183">
        <v>-53</v>
      </c>
      <c r="U40" s="183">
        <v>-50</v>
      </c>
      <c r="V40" s="183">
        <v>-52</v>
      </c>
      <c r="W40" s="184">
        <v>-54</v>
      </c>
      <c r="X40" s="217"/>
      <c r="Y40" s="197" t="s">
        <v>242</v>
      </c>
      <c r="Z40" s="230">
        <v>-68</v>
      </c>
      <c r="AA40" s="231">
        <v>-66</v>
      </c>
      <c r="AB40" s="231">
        <v>-65</v>
      </c>
      <c r="AC40" s="231">
        <v>-61</v>
      </c>
      <c r="AD40" s="231">
        <v>-61</v>
      </c>
      <c r="AE40" s="231">
        <v>-64</v>
      </c>
      <c r="AF40" s="231">
        <v>-65</v>
      </c>
      <c r="AG40" s="231">
        <v>-61</v>
      </c>
      <c r="AH40" s="231">
        <v>-63</v>
      </c>
      <c r="AI40" s="232">
        <v>-65</v>
      </c>
      <c r="AJ40" s="217"/>
      <c r="AK40" s="197" t="s">
        <v>242</v>
      </c>
      <c r="AL40" s="198">
        <v>-71</v>
      </c>
      <c r="AM40" s="199">
        <v>-71</v>
      </c>
      <c r="AN40" s="199">
        <v>-70</v>
      </c>
      <c r="AO40" s="199">
        <v>-66</v>
      </c>
      <c r="AP40" s="199">
        <v>-66</v>
      </c>
      <c r="AQ40" s="199">
        <v>-69</v>
      </c>
      <c r="AR40" s="199">
        <v>-70</v>
      </c>
      <c r="AS40" s="199">
        <v>-66</v>
      </c>
      <c r="AT40" s="199">
        <v>-68</v>
      </c>
      <c r="AU40" s="200">
        <v>-70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-75</v>
      </c>
      <c r="BA40" s="202">
        <f t="shared" si="6"/>
        <v>-71</v>
      </c>
      <c r="BB40" s="202">
        <f t="shared" si="6"/>
        <v>-71</v>
      </c>
      <c r="BC40" s="202">
        <f t="shared" si="6"/>
        <v>-74</v>
      </c>
      <c r="BD40" s="202">
        <f t="shared" si="6"/>
        <v>-75</v>
      </c>
      <c r="BE40" s="202">
        <f t="shared" si="6"/>
        <v>-71</v>
      </c>
      <c r="BF40" s="202">
        <f t="shared" si="6"/>
        <v>-73</v>
      </c>
      <c r="BG40" s="203">
        <f t="shared" si="6"/>
        <v>-75</v>
      </c>
    </row>
    <row r="41" spans="1:59" x14ac:dyDescent="0.25">
      <c r="A41" s="195" t="s">
        <v>250</v>
      </c>
      <c r="B41" s="196">
        <v>-45</v>
      </c>
      <c r="C41" s="183">
        <v>-50</v>
      </c>
      <c r="D41" s="183">
        <v>-49</v>
      </c>
      <c r="E41" s="183">
        <v>-46</v>
      </c>
      <c r="F41" s="183">
        <v>-42</v>
      </c>
      <c r="G41" s="183">
        <v>-46</v>
      </c>
      <c r="H41" s="183">
        <v>-47</v>
      </c>
      <c r="I41" s="183">
        <v>-47</v>
      </c>
      <c r="J41" s="183">
        <v>-47</v>
      </c>
      <c r="K41" s="184">
        <v>-48</v>
      </c>
      <c r="L41" s="217"/>
      <c r="M41" s="195" t="s">
        <v>250</v>
      </c>
      <c r="N41" s="196">
        <v>-51</v>
      </c>
      <c r="O41" s="183">
        <v>-56</v>
      </c>
      <c r="P41" s="183">
        <v>-55</v>
      </c>
      <c r="Q41" s="183">
        <v>-52</v>
      </c>
      <c r="R41" s="183">
        <v>-47</v>
      </c>
      <c r="S41" s="183">
        <v>-50</v>
      </c>
      <c r="T41" s="183">
        <v>-50</v>
      </c>
      <c r="U41" s="183">
        <v>-50</v>
      </c>
      <c r="V41" s="183">
        <v>-50</v>
      </c>
      <c r="W41" s="184">
        <v>-51</v>
      </c>
      <c r="X41" s="217"/>
      <c r="Y41" s="197" t="s">
        <v>250</v>
      </c>
      <c r="Z41" s="230">
        <v>-64</v>
      </c>
      <c r="AA41" s="231">
        <v>-69</v>
      </c>
      <c r="AB41" s="231">
        <v>-68</v>
      </c>
      <c r="AC41" s="231">
        <v>-64</v>
      </c>
      <c r="AD41" s="231">
        <v>-59</v>
      </c>
      <c r="AE41" s="231">
        <v>-62</v>
      </c>
      <c r="AF41" s="231">
        <v>-62</v>
      </c>
      <c r="AG41" s="231">
        <v>-61</v>
      </c>
      <c r="AH41" s="231">
        <v>-61</v>
      </c>
      <c r="AI41" s="232">
        <v>-62</v>
      </c>
      <c r="AJ41" s="217"/>
      <c r="AK41" s="197" t="s">
        <v>250</v>
      </c>
      <c r="AL41" s="198">
        <v>-69</v>
      </c>
      <c r="AM41" s="199">
        <v>-71</v>
      </c>
      <c r="AN41" s="199">
        <v>-71</v>
      </c>
      <c r="AO41" s="199">
        <v>-69</v>
      </c>
      <c r="AP41" s="199">
        <v>-64</v>
      </c>
      <c r="AQ41" s="199">
        <v>-67</v>
      </c>
      <c r="AR41" s="199">
        <v>-67</v>
      </c>
      <c r="AS41" s="199">
        <v>-66</v>
      </c>
      <c r="AT41" s="199">
        <v>-66</v>
      </c>
      <c r="AU41" s="200">
        <v>-67</v>
      </c>
      <c r="AW41" s="197" t="s">
        <v>250</v>
      </c>
      <c r="AX41" s="201">
        <f t="shared" si="7"/>
        <v>-74</v>
      </c>
      <c r="AY41" s="202">
        <f t="shared" si="6"/>
        <v>-76</v>
      </c>
      <c r="AZ41" s="202">
        <f t="shared" si="6"/>
        <v>-76</v>
      </c>
      <c r="BA41" s="202">
        <f t="shared" si="6"/>
        <v>-74</v>
      </c>
      <c r="BB41" s="202">
        <f t="shared" si="6"/>
        <v>-69</v>
      </c>
      <c r="BC41" s="202">
        <f t="shared" si="6"/>
        <v>-72</v>
      </c>
      <c r="BD41" s="202">
        <f t="shared" si="6"/>
        <v>-72</v>
      </c>
      <c r="BE41" s="202">
        <f t="shared" si="6"/>
        <v>-71</v>
      </c>
      <c r="BF41" s="202">
        <f t="shared" si="6"/>
        <v>-71</v>
      </c>
      <c r="BG41" s="203">
        <f t="shared" si="6"/>
        <v>-72</v>
      </c>
    </row>
    <row r="42" spans="1:59" x14ac:dyDescent="0.25">
      <c r="A42" s="195" t="s">
        <v>258</v>
      </c>
      <c r="B42" s="196">
        <v>-51</v>
      </c>
      <c r="C42" s="183">
        <v>-48</v>
      </c>
      <c r="D42" s="183">
        <v>-48</v>
      </c>
      <c r="E42" s="183">
        <v>-47</v>
      </c>
      <c r="F42" s="183">
        <v>-44</v>
      </c>
      <c r="G42" s="183">
        <v>-46</v>
      </c>
      <c r="H42" s="183">
        <v>-46</v>
      </c>
      <c r="I42" s="183">
        <v>-47</v>
      </c>
      <c r="J42" s="183">
        <v>-47</v>
      </c>
      <c r="K42" s="184">
        <v>-52</v>
      </c>
      <c r="L42" s="217"/>
      <c r="M42" s="195" t="s">
        <v>258</v>
      </c>
      <c r="N42" s="196">
        <v>-56</v>
      </c>
      <c r="O42" s="183">
        <v>-53</v>
      </c>
      <c r="P42" s="183">
        <v>-53</v>
      </c>
      <c r="Q42" s="183">
        <v>-52</v>
      </c>
      <c r="R42" s="183">
        <v>-49</v>
      </c>
      <c r="S42" s="183">
        <v>-50</v>
      </c>
      <c r="T42" s="183">
        <v>-49</v>
      </c>
      <c r="U42" s="183">
        <v>-49</v>
      </c>
      <c r="V42" s="183">
        <v>-49</v>
      </c>
      <c r="W42" s="184">
        <v>-54</v>
      </c>
      <c r="X42" s="217"/>
      <c r="Y42" s="197" t="s">
        <v>258</v>
      </c>
      <c r="Z42" s="230">
        <v>-69</v>
      </c>
      <c r="AA42" s="231">
        <v>-65</v>
      </c>
      <c r="AB42" s="231">
        <v>-65</v>
      </c>
      <c r="AC42" s="231">
        <v>-64</v>
      </c>
      <c r="AD42" s="231">
        <v>-60</v>
      </c>
      <c r="AE42" s="231">
        <v>-61</v>
      </c>
      <c r="AF42" s="231">
        <v>-60</v>
      </c>
      <c r="AG42" s="231">
        <v>-61</v>
      </c>
      <c r="AH42" s="231">
        <v>-61</v>
      </c>
      <c r="AI42" s="232">
        <v>-66</v>
      </c>
      <c r="AJ42" s="217"/>
      <c r="AK42" s="197" t="s">
        <v>258</v>
      </c>
      <c r="AL42" s="198">
        <v>-71</v>
      </c>
      <c r="AM42" s="199">
        <v>-70</v>
      </c>
      <c r="AN42" s="199">
        <v>-70</v>
      </c>
      <c r="AO42" s="199">
        <v>-69</v>
      </c>
      <c r="AP42" s="199">
        <v>-65</v>
      </c>
      <c r="AQ42" s="199">
        <v>-66</v>
      </c>
      <c r="AR42" s="199">
        <v>-65</v>
      </c>
      <c r="AS42" s="199">
        <v>-66</v>
      </c>
      <c r="AT42" s="199">
        <v>-66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-75</v>
      </c>
      <c r="AZ42" s="202">
        <f t="shared" si="6"/>
        <v>-75</v>
      </c>
      <c r="BA42" s="202">
        <f t="shared" si="6"/>
        <v>-74</v>
      </c>
      <c r="BB42" s="202">
        <f t="shared" si="6"/>
        <v>-70</v>
      </c>
      <c r="BC42" s="202">
        <f t="shared" si="6"/>
        <v>-71</v>
      </c>
      <c r="BD42" s="202">
        <f t="shared" si="6"/>
        <v>-70</v>
      </c>
      <c r="BE42" s="202">
        <f t="shared" si="6"/>
        <v>-71</v>
      </c>
      <c r="BF42" s="202">
        <f t="shared" si="6"/>
        <v>-71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-57</v>
      </c>
      <c r="C43" s="205">
        <v>-54</v>
      </c>
      <c r="D43" s="205">
        <v>-52</v>
      </c>
      <c r="E43" s="205">
        <v>-52</v>
      </c>
      <c r="F43" s="205">
        <v>-47</v>
      </c>
      <c r="G43" s="205">
        <v>-47</v>
      </c>
      <c r="H43" s="205">
        <v>-46</v>
      </c>
      <c r="I43" s="205">
        <v>-47</v>
      </c>
      <c r="J43" s="205">
        <v>-46</v>
      </c>
      <c r="K43" s="206">
        <v>-51</v>
      </c>
      <c r="L43" s="217"/>
      <c r="M43" s="204" t="s">
        <v>265</v>
      </c>
      <c r="N43" s="207">
        <v>-62</v>
      </c>
      <c r="O43" s="205">
        <v>-59</v>
      </c>
      <c r="P43" s="205">
        <v>-57</v>
      </c>
      <c r="Q43" s="205">
        <v>-57</v>
      </c>
      <c r="R43" s="205">
        <v>-52</v>
      </c>
      <c r="S43" s="205">
        <v>-51</v>
      </c>
      <c r="T43" s="205">
        <v>-49</v>
      </c>
      <c r="U43" s="205">
        <v>-49</v>
      </c>
      <c r="V43" s="205">
        <v>-48</v>
      </c>
      <c r="W43" s="206">
        <v>-53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-63</v>
      </c>
      <c r="AE43" s="234">
        <v>-62</v>
      </c>
      <c r="AF43" s="234">
        <v>-60</v>
      </c>
      <c r="AG43" s="234">
        <v>-61</v>
      </c>
      <c r="AH43" s="234">
        <v>-60</v>
      </c>
      <c r="AI43" s="235">
        <v>-65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-68</v>
      </c>
      <c r="AQ43" s="210">
        <v>-67</v>
      </c>
      <c r="AR43" s="210">
        <v>-65</v>
      </c>
      <c r="AS43" s="210">
        <v>-66</v>
      </c>
      <c r="AT43" s="210">
        <v>-65</v>
      </c>
      <c r="AU43" s="211">
        <v>-70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-73</v>
      </c>
      <c r="BC43" s="213">
        <f t="shared" si="6"/>
        <v>-72</v>
      </c>
      <c r="BD43" s="213">
        <f t="shared" si="6"/>
        <v>-70</v>
      </c>
      <c r="BE43" s="213">
        <f t="shared" si="6"/>
        <v>-71</v>
      </c>
      <c r="BF43" s="213">
        <f t="shared" si="6"/>
        <v>-70</v>
      </c>
      <c r="BG43" s="214">
        <f t="shared" si="6"/>
        <v>-75</v>
      </c>
    </row>
  </sheetData>
  <sheetProtection algorithmName="SHA-512" hashValue="k9ACO1NN/dZVWCxIqqy7awPiuIklltkYDX+z57Ni/MJ/NrbyCh54X1WH15lhmNQtkgQLLV3eTxWm/8rfeDv45Q==" saltValue="a12YNjhAQemJYIilYvG9O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796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-33</v>
      </c>
      <c r="C4" s="183">
        <v>-30</v>
      </c>
      <c r="D4" s="183">
        <v>-33</v>
      </c>
      <c r="E4" s="183">
        <v>-34</v>
      </c>
      <c r="F4" s="183">
        <v>-39</v>
      </c>
      <c r="G4" s="183">
        <v>-39</v>
      </c>
      <c r="H4" s="183">
        <v>-35</v>
      </c>
      <c r="I4" s="183">
        <v>-32</v>
      </c>
      <c r="J4" s="183">
        <v>-36</v>
      </c>
      <c r="K4" s="184">
        <v>-35</v>
      </c>
      <c r="L4" s="217"/>
      <c r="M4" s="182" t="s">
        <v>187</v>
      </c>
      <c r="N4" s="185">
        <v>-40</v>
      </c>
      <c r="O4" s="186">
        <v>-35</v>
      </c>
      <c r="P4" s="186">
        <v>-38</v>
      </c>
      <c r="Q4" s="186">
        <v>-38</v>
      </c>
      <c r="R4" s="186">
        <v>-43</v>
      </c>
      <c r="S4" s="186">
        <v>-42</v>
      </c>
      <c r="T4" s="186">
        <v>-38</v>
      </c>
      <c r="U4" s="186">
        <v>-34</v>
      </c>
      <c r="V4" s="186">
        <v>-38</v>
      </c>
      <c r="W4" s="187">
        <v>-37</v>
      </c>
      <c r="X4" s="217"/>
      <c r="Y4" s="188" t="s">
        <v>187</v>
      </c>
      <c r="Z4" s="189">
        <v>-44</v>
      </c>
      <c r="AA4" s="190">
        <v>-39</v>
      </c>
      <c r="AB4" s="190">
        <v>-42</v>
      </c>
      <c r="AC4" s="190">
        <v>-43</v>
      </c>
      <c r="AD4" s="190">
        <v>-48</v>
      </c>
      <c r="AE4" s="190">
        <v>-47</v>
      </c>
      <c r="AF4" s="190">
        <v>-42</v>
      </c>
      <c r="AG4" s="190">
        <v>-38</v>
      </c>
      <c r="AH4" s="190">
        <v>-42</v>
      </c>
      <c r="AI4" s="191">
        <v>-41</v>
      </c>
      <c r="AJ4" s="217"/>
      <c r="AK4" s="188" t="s">
        <v>187</v>
      </c>
      <c r="AL4" s="189">
        <v>-49</v>
      </c>
      <c r="AM4" s="190">
        <v>-46</v>
      </c>
      <c r="AN4" s="190">
        <v>-49</v>
      </c>
      <c r="AO4" s="190">
        <v>-49</v>
      </c>
      <c r="AP4" s="190">
        <v>-54</v>
      </c>
      <c r="AQ4" s="190">
        <v>-53</v>
      </c>
      <c r="AR4" s="190">
        <v>-49</v>
      </c>
      <c r="AS4" s="190">
        <v>-46</v>
      </c>
      <c r="AT4" s="190">
        <v>-50</v>
      </c>
      <c r="AU4" s="191">
        <v>-49</v>
      </c>
      <c r="AW4" s="188" t="s">
        <v>187</v>
      </c>
      <c r="AX4" s="192">
        <f>AL4-5</f>
        <v>-54</v>
      </c>
      <c r="AY4" s="193">
        <f t="shared" ref="AY4:BG10" si="0">AM4-5</f>
        <v>-51</v>
      </c>
      <c r="AZ4" s="193">
        <f t="shared" si="0"/>
        <v>-54</v>
      </c>
      <c r="BA4" s="193">
        <f t="shared" si="0"/>
        <v>-54</v>
      </c>
      <c r="BB4" s="193">
        <f t="shared" si="0"/>
        <v>-59</v>
      </c>
      <c r="BC4" s="193">
        <f t="shared" si="0"/>
        <v>-58</v>
      </c>
      <c r="BD4" s="193">
        <f t="shared" si="0"/>
        <v>-54</v>
      </c>
      <c r="BE4" s="193">
        <f t="shared" si="0"/>
        <v>-51</v>
      </c>
      <c r="BF4" s="193">
        <f t="shared" si="0"/>
        <v>-55</v>
      </c>
      <c r="BG4" s="194">
        <f t="shared" si="0"/>
        <v>-54</v>
      </c>
    </row>
    <row r="5" spans="1:59" ht="14.45" x14ac:dyDescent="0.3">
      <c r="A5" s="195" t="s">
        <v>214</v>
      </c>
      <c r="B5" s="183">
        <v>-35</v>
      </c>
      <c r="C5" s="183">
        <v>-31</v>
      </c>
      <c r="D5" s="183">
        <v>-33</v>
      </c>
      <c r="E5" s="183">
        <v>-35</v>
      </c>
      <c r="F5" s="183">
        <v>-39</v>
      </c>
      <c r="G5" s="183">
        <v>-40</v>
      </c>
      <c r="H5" s="183">
        <v>-37</v>
      </c>
      <c r="I5" s="183">
        <v>-32</v>
      </c>
      <c r="J5" s="183">
        <v>-35</v>
      </c>
      <c r="K5" s="184">
        <v>-37</v>
      </c>
      <c r="L5" s="217"/>
      <c r="M5" s="195" t="s">
        <v>214</v>
      </c>
      <c r="N5" s="196">
        <v>-42</v>
      </c>
      <c r="O5" s="183">
        <v>-36</v>
      </c>
      <c r="P5" s="183">
        <v>-38</v>
      </c>
      <c r="Q5" s="183">
        <v>-39</v>
      </c>
      <c r="R5" s="183">
        <v>-43</v>
      </c>
      <c r="S5" s="183">
        <v>-43</v>
      </c>
      <c r="T5" s="183">
        <v>-40</v>
      </c>
      <c r="U5" s="183">
        <v>-34</v>
      </c>
      <c r="V5" s="183">
        <v>-37</v>
      </c>
      <c r="W5" s="184">
        <v>-39</v>
      </c>
      <c r="X5" s="217"/>
      <c r="Y5" s="197" t="s">
        <v>214</v>
      </c>
      <c r="Z5" s="198">
        <v>-46</v>
      </c>
      <c r="AA5" s="199">
        <v>-40</v>
      </c>
      <c r="AB5" s="199">
        <v>-42</v>
      </c>
      <c r="AC5" s="199">
        <v>-44</v>
      </c>
      <c r="AD5" s="199">
        <v>-48</v>
      </c>
      <c r="AE5" s="199">
        <v>-48</v>
      </c>
      <c r="AF5" s="199">
        <v>-44</v>
      </c>
      <c r="AG5" s="199">
        <v>-38</v>
      </c>
      <c r="AH5" s="199">
        <v>-41</v>
      </c>
      <c r="AI5" s="200">
        <v>-43</v>
      </c>
      <c r="AJ5" s="217"/>
      <c r="AK5" s="197" t="s">
        <v>214</v>
      </c>
      <c r="AL5" s="198">
        <v>-51</v>
      </c>
      <c r="AM5" s="199">
        <v>-47</v>
      </c>
      <c r="AN5" s="199">
        <v>-49</v>
      </c>
      <c r="AO5" s="199">
        <v>-50</v>
      </c>
      <c r="AP5" s="199">
        <v>-54</v>
      </c>
      <c r="AQ5" s="199">
        <v>-54</v>
      </c>
      <c r="AR5" s="199">
        <v>-51</v>
      </c>
      <c r="AS5" s="199">
        <v>-46</v>
      </c>
      <c r="AT5" s="199">
        <v>-49</v>
      </c>
      <c r="AU5" s="200">
        <v>-51</v>
      </c>
      <c r="AW5" s="197" t="s">
        <v>214</v>
      </c>
      <c r="AX5" s="201">
        <f t="shared" ref="AX5:AX10" si="1">AL5-5</f>
        <v>-56</v>
      </c>
      <c r="AY5" s="202">
        <f t="shared" si="0"/>
        <v>-52</v>
      </c>
      <c r="AZ5" s="202">
        <f t="shared" si="0"/>
        <v>-54</v>
      </c>
      <c r="BA5" s="202">
        <f t="shared" si="0"/>
        <v>-55</v>
      </c>
      <c r="BB5" s="202">
        <f t="shared" si="0"/>
        <v>-59</v>
      </c>
      <c r="BC5" s="202">
        <f t="shared" si="0"/>
        <v>-59</v>
      </c>
      <c r="BD5" s="202">
        <f t="shared" si="0"/>
        <v>-56</v>
      </c>
      <c r="BE5" s="202">
        <f t="shared" si="0"/>
        <v>-51</v>
      </c>
      <c r="BF5" s="202">
        <f t="shared" si="0"/>
        <v>-54</v>
      </c>
      <c r="BG5" s="203">
        <f t="shared" si="0"/>
        <v>-56</v>
      </c>
    </row>
    <row r="6" spans="1:59" ht="14.45" x14ac:dyDescent="0.3">
      <c r="A6" s="195" t="s">
        <v>233</v>
      </c>
      <c r="B6" s="183">
        <v>-40</v>
      </c>
      <c r="C6" s="183">
        <v>-37</v>
      </c>
      <c r="D6" s="183">
        <v>-38</v>
      </c>
      <c r="E6" s="183">
        <v>-39</v>
      </c>
      <c r="F6" s="183">
        <v>-38</v>
      </c>
      <c r="G6" s="183">
        <v>-39</v>
      </c>
      <c r="H6" s="183">
        <v>-37</v>
      </c>
      <c r="I6" s="183">
        <v>-38</v>
      </c>
      <c r="J6" s="183">
        <v>-34</v>
      </c>
      <c r="K6" s="184">
        <v>-37</v>
      </c>
      <c r="L6" s="217"/>
      <c r="M6" s="195" t="s">
        <v>233</v>
      </c>
      <c r="N6" s="196">
        <v>-47</v>
      </c>
      <c r="O6" s="183">
        <v>-42</v>
      </c>
      <c r="P6" s="183">
        <v>-43</v>
      </c>
      <c r="Q6" s="183">
        <v>-43</v>
      </c>
      <c r="R6" s="183">
        <v>-42</v>
      </c>
      <c r="S6" s="183">
        <v>-42</v>
      </c>
      <c r="T6" s="183">
        <v>-40</v>
      </c>
      <c r="U6" s="183">
        <v>-40</v>
      </c>
      <c r="V6" s="183">
        <v>-36</v>
      </c>
      <c r="W6" s="184">
        <v>-39</v>
      </c>
      <c r="X6" s="217"/>
      <c r="Y6" s="197" t="s">
        <v>233</v>
      </c>
      <c r="Z6" s="198">
        <v>-51</v>
      </c>
      <c r="AA6" s="199">
        <v>-46</v>
      </c>
      <c r="AB6" s="199">
        <v>-47</v>
      </c>
      <c r="AC6" s="199">
        <v>-48</v>
      </c>
      <c r="AD6" s="199">
        <v>-47</v>
      </c>
      <c r="AE6" s="199">
        <v>-47</v>
      </c>
      <c r="AF6" s="199">
        <v>-44</v>
      </c>
      <c r="AG6" s="199">
        <v>-44</v>
      </c>
      <c r="AH6" s="199">
        <v>-40</v>
      </c>
      <c r="AI6" s="200">
        <v>-43</v>
      </c>
      <c r="AJ6" s="217"/>
      <c r="AK6" s="197" t="s">
        <v>233</v>
      </c>
      <c r="AL6" s="198">
        <v>-56</v>
      </c>
      <c r="AM6" s="199">
        <v>-53</v>
      </c>
      <c r="AN6" s="199">
        <v>-54</v>
      </c>
      <c r="AO6" s="199">
        <v>-54</v>
      </c>
      <c r="AP6" s="199">
        <v>-53</v>
      </c>
      <c r="AQ6" s="199">
        <v>-53</v>
      </c>
      <c r="AR6" s="199">
        <v>-51</v>
      </c>
      <c r="AS6" s="199">
        <v>-52</v>
      </c>
      <c r="AT6" s="199">
        <v>-48</v>
      </c>
      <c r="AU6" s="200">
        <v>-51</v>
      </c>
      <c r="AW6" s="197" t="s">
        <v>233</v>
      </c>
      <c r="AX6" s="201">
        <f t="shared" si="1"/>
        <v>-61</v>
      </c>
      <c r="AY6" s="202">
        <f t="shared" si="0"/>
        <v>-58</v>
      </c>
      <c r="AZ6" s="202">
        <f t="shared" si="0"/>
        <v>-59</v>
      </c>
      <c r="BA6" s="202">
        <f t="shared" si="0"/>
        <v>-59</v>
      </c>
      <c r="BB6" s="202">
        <f t="shared" si="0"/>
        <v>-58</v>
      </c>
      <c r="BC6" s="202">
        <f t="shared" si="0"/>
        <v>-58</v>
      </c>
      <c r="BD6" s="202">
        <f t="shared" si="0"/>
        <v>-56</v>
      </c>
      <c r="BE6" s="202">
        <f t="shared" si="0"/>
        <v>-57</v>
      </c>
      <c r="BF6" s="202">
        <f t="shared" si="0"/>
        <v>-53</v>
      </c>
      <c r="BG6" s="203">
        <f t="shared" si="0"/>
        <v>-56</v>
      </c>
    </row>
    <row r="7" spans="1:59" ht="14.45" x14ac:dyDescent="0.3">
      <c r="A7" s="195" t="s">
        <v>242</v>
      </c>
      <c r="B7" s="183">
        <v>-41</v>
      </c>
      <c r="C7" s="183">
        <v>-41</v>
      </c>
      <c r="D7" s="183">
        <v>-41</v>
      </c>
      <c r="E7" s="183">
        <v>-39</v>
      </c>
      <c r="F7" s="183">
        <v>-40</v>
      </c>
      <c r="G7" s="183">
        <v>-39</v>
      </c>
      <c r="H7" s="183">
        <v>-37</v>
      </c>
      <c r="I7" s="183">
        <v>-38</v>
      </c>
      <c r="J7" s="183">
        <v>-37</v>
      </c>
      <c r="K7" s="184">
        <v>-36</v>
      </c>
      <c r="L7" s="217"/>
      <c r="M7" s="195" t="s">
        <v>242</v>
      </c>
      <c r="N7" s="196">
        <v>-48</v>
      </c>
      <c r="O7" s="183">
        <v>-46</v>
      </c>
      <c r="P7" s="183">
        <v>-46</v>
      </c>
      <c r="Q7" s="183">
        <v>-43</v>
      </c>
      <c r="R7" s="183">
        <v>-44</v>
      </c>
      <c r="S7" s="183">
        <v>-42</v>
      </c>
      <c r="T7" s="183">
        <v>-40</v>
      </c>
      <c r="U7" s="183">
        <v>-40</v>
      </c>
      <c r="V7" s="183">
        <v>-39</v>
      </c>
      <c r="W7" s="184">
        <v>-38</v>
      </c>
      <c r="X7" s="217"/>
      <c r="Y7" s="197" t="s">
        <v>242</v>
      </c>
      <c r="Z7" s="198">
        <v>-52</v>
      </c>
      <c r="AA7" s="199">
        <v>-50</v>
      </c>
      <c r="AB7" s="199">
        <v>-50</v>
      </c>
      <c r="AC7" s="199">
        <v>-48</v>
      </c>
      <c r="AD7" s="199">
        <v>-49</v>
      </c>
      <c r="AE7" s="199">
        <v>-46</v>
      </c>
      <c r="AF7" s="199">
        <v>-43</v>
      </c>
      <c r="AG7" s="199">
        <v>-43</v>
      </c>
      <c r="AH7" s="199">
        <v>-42</v>
      </c>
      <c r="AI7" s="200">
        <v>-41</v>
      </c>
      <c r="AJ7" s="217"/>
      <c r="AK7" s="197" t="s">
        <v>242</v>
      </c>
      <c r="AL7" s="198">
        <v>-57</v>
      </c>
      <c r="AM7" s="199">
        <v>-55</v>
      </c>
      <c r="AN7" s="199">
        <v>-55</v>
      </c>
      <c r="AO7" s="199">
        <v>-53</v>
      </c>
      <c r="AP7" s="199">
        <v>-54</v>
      </c>
      <c r="AQ7" s="199">
        <v>-51</v>
      </c>
      <c r="AR7" s="199">
        <v>-48</v>
      </c>
      <c r="AS7" s="199">
        <v>-48</v>
      </c>
      <c r="AT7" s="199">
        <v>-47</v>
      </c>
      <c r="AU7" s="200">
        <v>-46</v>
      </c>
      <c r="AW7" s="197" t="s">
        <v>242</v>
      </c>
      <c r="AX7" s="201">
        <f t="shared" si="1"/>
        <v>-62</v>
      </c>
      <c r="AY7" s="202">
        <f t="shared" si="0"/>
        <v>-60</v>
      </c>
      <c r="AZ7" s="202">
        <f t="shared" si="0"/>
        <v>-60</v>
      </c>
      <c r="BA7" s="202">
        <f t="shared" si="0"/>
        <v>-58</v>
      </c>
      <c r="BB7" s="202">
        <f t="shared" si="0"/>
        <v>-59</v>
      </c>
      <c r="BC7" s="202">
        <f t="shared" si="0"/>
        <v>-56</v>
      </c>
      <c r="BD7" s="202">
        <f t="shared" si="0"/>
        <v>-53</v>
      </c>
      <c r="BE7" s="202">
        <f t="shared" si="0"/>
        <v>-53</v>
      </c>
      <c r="BF7" s="202">
        <f t="shared" si="0"/>
        <v>-52</v>
      </c>
      <c r="BG7" s="203">
        <f t="shared" si="0"/>
        <v>-51</v>
      </c>
    </row>
    <row r="8" spans="1:59" ht="14.45" x14ac:dyDescent="0.3">
      <c r="A8" s="195" t="s">
        <v>250</v>
      </c>
      <c r="B8" s="183">
        <v>-41</v>
      </c>
      <c r="C8" s="183">
        <v>-43</v>
      </c>
      <c r="D8" s="183">
        <v>-41</v>
      </c>
      <c r="E8" s="183">
        <v>-42</v>
      </c>
      <c r="F8" s="183">
        <v>-40</v>
      </c>
      <c r="G8" s="183">
        <v>-39</v>
      </c>
      <c r="H8" s="183">
        <v>-36</v>
      </c>
      <c r="I8" s="183">
        <v>-41</v>
      </c>
      <c r="J8" s="183">
        <v>-35</v>
      </c>
      <c r="K8" s="184">
        <v>-35</v>
      </c>
      <c r="L8" s="217"/>
      <c r="M8" s="195" t="s">
        <v>250</v>
      </c>
      <c r="N8" s="196">
        <v>-48</v>
      </c>
      <c r="O8" s="183">
        <v>-48</v>
      </c>
      <c r="P8" s="183">
        <v>-46</v>
      </c>
      <c r="Q8" s="183">
        <v>-46</v>
      </c>
      <c r="R8" s="183">
        <v>-44</v>
      </c>
      <c r="S8" s="183">
        <v>-42</v>
      </c>
      <c r="T8" s="183">
        <v>-39</v>
      </c>
      <c r="U8" s="183">
        <v>-43</v>
      </c>
      <c r="V8" s="183">
        <v>-37</v>
      </c>
      <c r="W8" s="184">
        <v>-37</v>
      </c>
      <c r="X8" s="217"/>
      <c r="Y8" s="197" t="s">
        <v>250</v>
      </c>
      <c r="Z8" s="198">
        <v>-52</v>
      </c>
      <c r="AA8" s="199">
        <v>-52</v>
      </c>
      <c r="AB8" s="199">
        <v>-50</v>
      </c>
      <c r="AC8" s="199">
        <v>-51</v>
      </c>
      <c r="AD8" s="199">
        <v>-49</v>
      </c>
      <c r="AE8" s="199">
        <v>-46</v>
      </c>
      <c r="AF8" s="199">
        <v>-42</v>
      </c>
      <c r="AG8" s="199">
        <v>-46</v>
      </c>
      <c r="AH8" s="199">
        <v>-40</v>
      </c>
      <c r="AI8" s="200">
        <v>-40</v>
      </c>
      <c r="AJ8" s="217"/>
      <c r="AK8" s="197" t="s">
        <v>250</v>
      </c>
      <c r="AL8" s="198">
        <v>-57</v>
      </c>
      <c r="AM8" s="199">
        <v>-57</v>
      </c>
      <c r="AN8" s="199">
        <v>-55</v>
      </c>
      <c r="AO8" s="199">
        <v>-56</v>
      </c>
      <c r="AP8" s="199">
        <v>-54</v>
      </c>
      <c r="AQ8" s="199">
        <v>-51</v>
      </c>
      <c r="AR8" s="199">
        <v>-47</v>
      </c>
      <c r="AS8" s="199">
        <v>-51</v>
      </c>
      <c r="AT8" s="199">
        <v>-45</v>
      </c>
      <c r="AU8" s="200">
        <v>-45</v>
      </c>
      <c r="AW8" s="197" t="s">
        <v>250</v>
      </c>
      <c r="AX8" s="201">
        <f t="shared" si="1"/>
        <v>-62</v>
      </c>
      <c r="AY8" s="202">
        <f t="shared" si="0"/>
        <v>-62</v>
      </c>
      <c r="AZ8" s="202">
        <f t="shared" si="0"/>
        <v>-60</v>
      </c>
      <c r="BA8" s="202">
        <f t="shared" si="0"/>
        <v>-61</v>
      </c>
      <c r="BB8" s="202">
        <f t="shared" si="0"/>
        <v>-59</v>
      </c>
      <c r="BC8" s="202">
        <f t="shared" si="0"/>
        <v>-56</v>
      </c>
      <c r="BD8" s="202">
        <f t="shared" si="0"/>
        <v>-52</v>
      </c>
      <c r="BE8" s="202">
        <f t="shared" si="0"/>
        <v>-56</v>
      </c>
      <c r="BF8" s="202">
        <f t="shared" si="0"/>
        <v>-50</v>
      </c>
      <c r="BG8" s="203">
        <f t="shared" si="0"/>
        <v>-50</v>
      </c>
    </row>
    <row r="9" spans="1:59" ht="14.45" x14ac:dyDescent="0.3">
      <c r="A9" s="195" t="s">
        <v>258</v>
      </c>
      <c r="B9" s="183">
        <v>-40</v>
      </c>
      <c r="C9" s="183">
        <v>-41</v>
      </c>
      <c r="D9" s="183">
        <v>-42</v>
      </c>
      <c r="E9" s="183">
        <v>-41</v>
      </c>
      <c r="F9" s="183">
        <v>-39</v>
      </c>
      <c r="G9" s="183">
        <v>-41</v>
      </c>
      <c r="H9" s="183">
        <v>-39</v>
      </c>
      <c r="I9" s="183">
        <v>-39</v>
      </c>
      <c r="J9" s="183">
        <v>-37</v>
      </c>
      <c r="K9" s="184">
        <v>-38</v>
      </c>
      <c r="L9" s="217"/>
      <c r="M9" s="195" t="s">
        <v>258</v>
      </c>
      <c r="N9" s="196">
        <v>-45</v>
      </c>
      <c r="O9" s="183">
        <v>-44</v>
      </c>
      <c r="P9" s="183">
        <v>-45</v>
      </c>
      <c r="Q9" s="183">
        <v>-44</v>
      </c>
      <c r="R9" s="183">
        <v>-42</v>
      </c>
      <c r="S9" s="183">
        <v>-43</v>
      </c>
      <c r="T9" s="183">
        <v>-41</v>
      </c>
      <c r="U9" s="183">
        <v>-41</v>
      </c>
      <c r="V9" s="183">
        <v>-39</v>
      </c>
      <c r="W9" s="184">
        <v>-40</v>
      </c>
      <c r="X9" s="217"/>
      <c r="Y9" s="197" t="s">
        <v>258</v>
      </c>
      <c r="Z9" s="198">
        <v>-49</v>
      </c>
      <c r="AA9" s="199">
        <v>-48</v>
      </c>
      <c r="AB9" s="199">
        <v>-51</v>
      </c>
      <c r="AC9" s="199">
        <v>-48</v>
      </c>
      <c r="AD9" s="199">
        <v>-46</v>
      </c>
      <c r="AE9" s="199">
        <v>-47</v>
      </c>
      <c r="AF9" s="199">
        <v>-44</v>
      </c>
      <c r="AG9" s="199">
        <v>-43</v>
      </c>
      <c r="AH9" s="199">
        <v>-41</v>
      </c>
      <c r="AI9" s="200">
        <v>-42</v>
      </c>
      <c r="AJ9" s="217"/>
      <c r="AK9" s="197" t="s">
        <v>258</v>
      </c>
      <c r="AL9" s="198">
        <v>-54</v>
      </c>
      <c r="AM9" s="199">
        <v>-53</v>
      </c>
      <c r="AN9" s="199">
        <v>-56</v>
      </c>
      <c r="AO9" s="199">
        <v>-53</v>
      </c>
      <c r="AP9" s="199">
        <v>-51</v>
      </c>
      <c r="AQ9" s="199">
        <v>-52</v>
      </c>
      <c r="AR9" s="199">
        <v>-49</v>
      </c>
      <c r="AS9" s="199">
        <v>-49</v>
      </c>
      <c r="AT9" s="199">
        <v>-47</v>
      </c>
      <c r="AU9" s="200">
        <v>-48</v>
      </c>
      <c r="AW9" s="197" t="s">
        <v>258</v>
      </c>
      <c r="AX9" s="201">
        <f t="shared" si="1"/>
        <v>-59</v>
      </c>
      <c r="AY9" s="202">
        <f t="shared" si="0"/>
        <v>-58</v>
      </c>
      <c r="AZ9" s="202">
        <f t="shared" si="0"/>
        <v>-61</v>
      </c>
      <c r="BA9" s="202">
        <f t="shared" si="0"/>
        <v>-58</v>
      </c>
      <c r="BB9" s="202">
        <f t="shared" si="0"/>
        <v>-56</v>
      </c>
      <c r="BC9" s="202">
        <f t="shared" si="0"/>
        <v>-57</v>
      </c>
      <c r="BD9" s="202">
        <f t="shared" si="0"/>
        <v>-54</v>
      </c>
      <c r="BE9" s="202">
        <f t="shared" si="0"/>
        <v>-54</v>
      </c>
      <c r="BF9" s="202">
        <f t="shared" si="0"/>
        <v>-52</v>
      </c>
      <c r="BG9" s="203">
        <f t="shared" si="0"/>
        <v>-53</v>
      </c>
    </row>
    <row r="10" spans="1:59" thickBot="1" x14ac:dyDescent="0.35">
      <c r="A10" s="204" t="s">
        <v>265</v>
      </c>
      <c r="B10" s="205">
        <v>-41</v>
      </c>
      <c r="C10" s="205">
        <v>-41</v>
      </c>
      <c r="D10" s="205">
        <v>-41</v>
      </c>
      <c r="E10" s="205">
        <v>-42</v>
      </c>
      <c r="F10" s="205">
        <v>-40</v>
      </c>
      <c r="G10" s="205">
        <v>-40</v>
      </c>
      <c r="H10" s="205">
        <v>-40</v>
      </c>
      <c r="I10" s="205">
        <v>-36</v>
      </c>
      <c r="J10" s="205">
        <v>-36</v>
      </c>
      <c r="K10" s="206">
        <v>-34</v>
      </c>
      <c r="L10" s="217"/>
      <c r="M10" s="204" t="s">
        <v>265</v>
      </c>
      <c r="N10" s="207">
        <v>-46</v>
      </c>
      <c r="O10" s="205">
        <v>-44</v>
      </c>
      <c r="P10" s="205">
        <v>-44</v>
      </c>
      <c r="Q10" s="205">
        <v>-45</v>
      </c>
      <c r="R10" s="205">
        <v>-43</v>
      </c>
      <c r="S10" s="205">
        <v>-42</v>
      </c>
      <c r="T10" s="205">
        <v>-42</v>
      </c>
      <c r="U10" s="205">
        <v>-38</v>
      </c>
      <c r="V10" s="205">
        <v>-38</v>
      </c>
      <c r="W10" s="206">
        <v>-36</v>
      </c>
      <c r="X10" s="217"/>
      <c r="Y10" s="208" t="s">
        <v>265</v>
      </c>
      <c r="Z10" s="209">
        <v>-50</v>
      </c>
      <c r="AA10" s="210">
        <v>-48</v>
      </c>
      <c r="AB10" s="210">
        <v>-50</v>
      </c>
      <c r="AC10" s="210">
        <v>-49</v>
      </c>
      <c r="AD10" s="210">
        <v>-47</v>
      </c>
      <c r="AE10" s="210">
        <v>-46</v>
      </c>
      <c r="AF10" s="210">
        <v>-45</v>
      </c>
      <c r="AG10" s="210">
        <v>-40</v>
      </c>
      <c r="AH10" s="210">
        <v>-40</v>
      </c>
      <c r="AI10" s="211">
        <v>-38</v>
      </c>
      <c r="AJ10" s="217"/>
      <c r="AK10" s="208" t="s">
        <v>265</v>
      </c>
      <c r="AL10" s="209">
        <v>-55</v>
      </c>
      <c r="AM10" s="210">
        <v>-53</v>
      </c>
      <c r="AN10" s="210">
        <v>-55</v>
      </c>
      <c r="AO10" s="210">
        <v>-54</v>
      </c>
      <c r="AP10" s="210">
        <v>-52</v>
      </c>
      <c r="AQ10" s="210">
        <v>-51</v>
      </c>
      <c r="AR10" s="210">
        <v>-50</v>
      </c>
      <c r="AS10" s="210">
        <v>-46</v>
      </c>
      <c r="AT10" s="210">
        <v>-46</v>
      </c>
      <c r="AU10" s="211">
        <v>-44</v>
      </c>
      <c r="AW10" s="208" t="s">
        <v>265</v>
      </c>
      <c r="AX10" s="212">
        <f t="shared" si="1"/>
        <v>-60</v>
      </c>
      <c r="AY10" s="213">
        <f t="shared" si="0"/>
        <v>-58</v>
      </c>
      <c r="AZ10" s="213">
        <f t="shared" si="0"/>
        <v>-60</v>
      </c>
      <c r="BA10" s="213">
        <f t="shared" si="0"/>
        <v>-59</v>
      </c>
      <c r="BB10" s="213">
        <f t="shared" si="0"/>
        <v>-57</v>
      </c>
      <c r="BC10" s="213">
        <f t="shared" si="0"/>
        <v>-56</v>
      </c>
      <c r="BD10" s="213">
        <f t="shared" si="0"/>
        <v>-55</v>
      </c>
      <c r="BE10" s="213">
        <f t="shared" si="0"/>
        <v>-51</v>
      </c>
      <c r="BF10" s="213">
        <f t="shared" si="0"/>
        <v>-51</v>
      </c>
      <c r="BG10" s="214">
        <f t="shared" si="0"/>
        <v>-49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-38</v>
      </c>
      <c r="C15" s="186">
        <v>-35</v>
      </c>
      <c r="D15" s="186">
        <v>-38</v>
      </c>
      <c r="E15" s="186">
        <v>-38</v>
      </c>
      <c r="F15" s="186">
        <v>-42</v>
      </c>
      <c r="G15" s="186">
        <v>-42</v>
      </c>
      <c r="H15" s="186">
        <v>-38</v>
      </c>
      <c r="I15" s="186">
        <v>-34</v>
      </c>
      <c r="J15" s="186">
        <v>-38</v>
      </c>
      <c r="K15" s="187">
        <v>-37</v>
      </c>
      <c r="L15" s="217"/>
      <c r="M15" s="182" t="s">
        <v>187</v>
      </c>
      <c r="N15" s="185">
        <v>-45</v>
      </c>
      <c r="O15" s="186">
        <v>-40</v>
      </c>
      <c r="P15" s="186">
        <v>-43</v>
      </c>
      <c r="Q15" s="186">
        <v>-42</v>
      </c>
      <c r="R15" s="186">
        <v>-46</v>
      </c>
      <c r="S15" s="186">
        <v>-45</v>
      </c>
      <c r="T15" s="186">
        <v>-41</v>
      </c>
      <c r="U15" s="186">
        <v>-36</v>
      </c>
      <c r="V15" s="186">
        <v>-40</v>
      </c>
      <c r="W15" s="187">
        <v>-39</v>
      </c>
      <c r="X15" s="217"/>
      <c r="Y15" s="182" t="s">
        <v>187</v>
      </c>
      <c r="Z15" s="218">
        <v>-49</v>
      </c>
      <c r="AA15" s="219">
        <v>-44</v>
      </c>
      <c r="AB15" s="219">
        <v>-47</v>
      </c>
      <c r="AC15" s="219">
        <v>-47</v>
      </c>
      <c r="AD15" s="219">
        <v>-51</v>
      </c>
      <c r="AE15" s="219">
        <v>-50</v>
      </c>
      <c r="AF15" s="219">
        <v>-45</v>
      </c>
      <c r="AG15" s="219">
        <v>-40</v>
      </c>
      <c r="AH15" s="219">
        <v>-44</v>
      </c>
      <c r="AI15" s="220">
        <v>-43</v>
      </c>
      <c r="AJ15" s="217"/>
      <c r="AK15" s="188" t="s">
        <v>187</v>
      </c>
      <c r="AL15" s="189">
        <v>-54</v>
      </c>
      <c r="AM15" s="190">
        <v>-51</v>
      </c>
      <c r="AN15" s="190">
        <v>-54</v>
      </c>
      <c r="AO15" s="190">
        <v>-53</v>
      </c>
      <c r="AP15" s="190">
        <v>-57</v>
      </c>
      <c r="AQ15" s="190">
        <v>-56</v>
      </c>
      <c r="AR15" s="190">
        <v>-52</v>
      </c>
      <c r="AS15" s="190">
        <v>-48</v>
      </c>
      <c r="AT15" s="190">
        <v>-52</v>
      </c>
      <c r="AU15" s="191">
        <v>-51</v>
      </c>
      <c r="AW15" s="188" t="s">
        <v>187</v>
      </c>
      <c r="AX15" s="192">
        <f>AL15-5</f>
        <v>-59</v>
      </c>
      <c r="AY15" s="193">
        <f t="shared" ref="AY15:BG21" si="2">AM15-5</f>
        <v>-56</v>
      </c>
      <c r="AZ15" s="193">
        <f t="shared" si="2"/>
        <v>-59</v>
      </c>
      <c r="BA15" s="193">
        <f t="shared" si="2"/>
        <v>-58</v>
      </c>
      <c r="BB15" s="193">
        <f t="shared" si="2"/>
        <v>-62</v>
      </c>
      <c r="BC15" s="193">
        <f t="shared" si="2"/>
        <v>-61</v>
      </c>
      <c r="BD15" s="193">
        <f t="shared" si="2"/>
        <v>-57</v>
      </c>
      <c r="BE15" s="193">
        <f t="shared" si="2"/>
        <v>-53</v>
      </c>
      <c r="BF15" s="193">
        <f t="shared" si="2"/>
        <v>-57</v>
      </c>
      <c r="BG15" s="194">
        <f t="shared" si="2"/>
        <v>-56</v>
      </c>
    </row>
    <row r="16" spans="1:59" ht="14.45" x14ac:dyDescent="0.3">
      <c r="A16" s="195" t="s">
        <v>214</v>
      </c>
      <c r="B16" s="196">
        <v>-40</v>
      </c>
      <c r="C16" s="183">
        <v>-36</v>
      </c>
      <c r="D16" s="183">
        <v>-38</v>
      </c>
      <c r="E16" s="183">
        <v>-39</v>
      </c>
      <c r="F16" s="183">
        <v>-42</v>
      </c>
      <c r="G16" s="183">
        <v>-43</v>
      </c>
      <c r="H16" s="183">
        <v>-40</v>
      </c>
      <c r="I16" s="183">
        <v>-34</v>
      </c>
      <c r="J16" s="183">
        <v>-37</v>
      </c>
      <c r="K16" s="184">
        <v>-39</v>
      </c>
      <c r="L16" s="217"/>
      <c r="M16" s="195" t="s">
        <v>214</v>
      </c>
      <c r="N16" s="196">
        <v>-47</v>
      </c>
      <c r="O16" s="183">
        <v>-41</v>
      </c>
      <c r="P16" s="183">
        <v>-43</v>
      </c>
      <c r="Q16" s="183">
        <v>-43</v>
      </c>
      <c r="R16" s="183">
        <v>-46</v>
      </c>
      <c r="S16" s="183">
        <v>-46</v>
      </c>
      <c r="T16" s="183">
        <v>-43</v>
      </c>
      <c r="U16" s="183">
        <v>-36</v>
      </c>
      <c r="V16" s="183">
        <v>-39</v>
      </c>
      <c r="W16" s="184">
        <v>-41</v>
      </c>
      <c r="X16" s="217"/>
      <c r="Y16" s="195" t="s">
        <v>214</v>
      </c>
      <c r="Z16" s="221">
        <v>-51</v>
      </c>
      <c r="AA16" s="222">
        <v>-45</v>
      </c>
      <c r="AB16" s="222">
        <v>-47</v>
      </c>
      <c r="AC16" s="222">
        <v>-48</v>
      </c>
      <c r="AD16" s="222">
        <v>-51</v>
      </c>
      <c r="AE16" s="222">
        <v>-51</v>
      </c>
      <c r="AF16" s="222">
        <v>-47</v>
      </c>
      <c r="AG16" s="222">
        <v>-40</v>
      </c>
      <c r="AH16" s="222">
        <v>-43</v>
      </c>
      <c r="AI16" s="223">
        <v>-45</v>
      </c>
      <c r="AJ16" s="217"/>
      <c r="AK16" s="197" t="s">
        <v>214</v>
      </c>
      <c r="AL16" s="198">
        <v>-56</v>
      </c>
      <c r="AM16" s="199">
        <v>-52</v>
      </c>
      <c r="AN16" s="199">
        <v>-54</v>
      </c>
      <c r="AO16" s="199">
        <v>-54</v>
      </c>
      <c r="AP16" s="199">
        <v>-57</v>
      </c>
      <c r="AQ16" s="199">
        <v>-57</v>
      </c>
      <c r="AR16" s="199">
        <v>-54</v>
      </c>
      <c r="AS16" s="199">
        <v>-48</v>
      </c>
      <c r="AT16" s="199">
        <v>-51</v>
      </c>
      <c r="AU16" s="200">
        <v>-53</v>
      </c>
      <c r="AW16" s="197" t="s">
        <v>214</v>
      </c>
      <c r="AX16" s="201">
        <f t="shared" ref="AX16:AX21" si="3">AL16-5</f>
        <v>-61</v>
      </c>
      <c r="AY16" s="202">
        <f t="shared" si="2"/>
        <v>-57</v>
      </c>
      <c r="AZ16" s="202">
        <f t="shared" si="2"/>
        <v>-59</v>
      </c>
      <c r="BA16" s="202">
        <f t="shared" si="2"/>
        <v>-59</v>
      </c>
      <c r="BB16" s="202">
        <f t="shared" si="2"/>
        <v>-62</v>
      </c>
      <c r="BC16" s="202">
        <f t="shared" si="2"/>
        <v>-62</v>
      </c>
      <c r="BD16" s="202">
        <f t="shared" si="2"/>
        <v>-59</v>
      </c>
      <c r="BE16" s="202">
        <f t="shared" si="2"/>
        <v>-53</v>
      </c>
      <c r="BF16" s="202">
        <f t="shared" si="2"/>
        <v>-56</v>
      </c>
      <c r="BG16" s="203">
        <f t="shared" si="2"/>
        <v>-58</v>
      </c>
    </row>
    <row r="17" spans="1:59" ht="14.45" x14ac:dyDescent="0.3">
      <c r="A17" s="195" t="s">
        <v>233</v>
      </c>
      <c r="B17" s="196">
        <v>-45</v>
      </c>
      <c r="C17" s="183">
        <v>-42</v>
      </c>
      <c r="D17" s="183">
        <v>-43</v>
      </c>
      <c r="E17" s="183">
        <v>-43</v>
      </c>
      <c r="F17" s="183">
        <v>-41</v>
      </c>
      <c r="G17" s="183">
        <v>-42</v>
      </c>
      <c r="H17" s="183">
        <v>-40</v>
      </c>
      <c r="I17" s="183">
        <v>-40</v>
      </c>
      <c r="J17" s="183">
        <v>-36</v>
      </c>
      <c r="K17" s="184">
        <v>-39</v>
      </c>
      <c r="L17" s="217"/>
      <c r="M17" s="195" t="s">
        <v>233</v>
      </c>
      <c r="N17" s="196">
        <v>-52</v>
      </c>
      <c r="O17" s="183">
        <v>-47</v>
      </c>
      <c r="P17" s="183">
        <v>-48</v>
      </c>
      <c r="Q17" s="183">
        <v>-47</v>
      </c>
      <c r="R17" s="183">
        <v>-45</v>
      </c>
      <c r="S17" s="183">
        <v>-45</v>
      </c>
      <c r="T17" s="183">
        <v>-43</v>
      </c>
      <c r="U17" s="183">
        <v>-42</v>
      </c>
      <c r="V17" s="183">
        <v>-38</v>
      </c>
      <c r="W17" s="184">
        <v>-41</v>
      </c>
      <c r="X17" s="217"/>
      <c r="Y17" s="195" t="s">
        <v>233</v>
      </c>
      <c r="Z17" s="221">
        <v>-56</v>
      </c>
      <c r="AA17" s="222">
        <v>-51</v>
      </c>
      <c r="AB17" s="222">
        <v>-52</v>
      </c>
      <c r="AC17" s="222">
        <v>-52</v>
      </c>
      <c r="AD17" s="222">
        <v>-50</v>
      </c>
      <c r="AE17" s="222">
        <v>-50</v>
      </c>
      <c r="AF17" s="222">
        <v>-47</v>
      </c>
      <c r="AG17" s="222">
        <v>-46</v>
      </c>
      <c r="AH17" s="222">
        <v>-42</v>
      </c>
      <c r="AI17" s="223">
        <v>-45</v>
      </c>
      <c r="AJ17" s="217"/>
      <c r="AK17" s="197" t="s">
        <v>233</v>
      </c>
      <c r="AL17" s="198">
        <v>-61</v>
      </c>
      <c r="AM17" s="199">
        <v>-58</v>
      </c>
      <c r="AN17" s="199">
        <v>-59</v>
      </c>
      <c r="AO17" s="199">
        <v>-58</v>
      </c>
      <c r="AP17" s="199">
        <v>-56</v>
      </c>
      <c r="AQ17" s="199">
        <v>-56</v>
      </c>
      <c r="AR17" s="199">
        <v>-54</v>
      </c>
      <c r="AS17" s="199">
        <v>-54</v>
      </c>
      <c r="AT17" s="199">
        <v>-50</v>
      </c>
      <c r="AU17" s="200">
        <v>-53</v>
      </c>
      <c r="AW17" s="197" t="s">
        <v>233</v>
      </c>
      <c r="AX17" s="201">
        <f t="shared" si="3"/>
        <v>-66</v>
      </c>
      <c r="AY17" s="202">
        <f t="shared" si="2"/>
        <v>-63</v>
      </c>
      <c r="AZ17" s="202">
        <f t="shared" si="2"/>
        <v>-64</v>
      </c>
      <c r="BA17" s="202">
        <f t="shared" si="2"/>
        <v>-63</v>
      </c>
      <c r="BB17" s="202">
        <f t="shared" si="2"/>
        <v>-61</v>
      </c>
      <c r="BC17" s="202">
        <f t="shared" si="2"/>
        <v>-61</v>
      </c>
      <c r="BD17" s="202">
        <f t="shared" si="2"/>
        <v>-59</v>
      </c>
      <c r="BE17" s="202">
        <f t="shared" si="2"/>
        <v>-59</v>
      </c>
      <c r="BF17" s="202">
        <f t="shared" si="2"/>
        <v>-55</v>
      </c>
      <c r="BG17" s="203">
        <f t="shared" si="2"/>
        <v>-58</v>
      </c>
    </row>
    <row r="18" spans="1:59" ht="14.45" x14ac:dyDescent="0.3">
      <c r="A18" s="195" t="s">
        <v>242</v>
      </c>
      <c r="B18" s="196">
        <v>-45</v>
      </c>
      <c r="C18" s="183">
        <v>-45</v>
      </c>
      <c r="D18" s="183">
        <v>-45</v>
      </c>
      <c r="E18" s="183">
        <v>-42</v>
      </c>
      <c r="F18" s="183">
        <v>-43</v>
      </c>
      <c r="G18" s="183">
        <v>-42</v>
      </c>
      <c r="H18" s="183">
        <v>-39</v>
      </c>
      <c r="I18" s="183">
        <v>-40</v>
      </c>
      <c r="J18" s="183">
        <v>-39</v>
      </c>
      <c r="K18" s="184">
        <v>-38</v>
      </c>
      <c r="L18" s="217"/>
      <c r="M18" s="195" t="s">
        <v>242</v>
      </c>
      <c r="N18" s="196">
        <v>-52</v>
      </c>
      <c r="O18" s="183">
        <v>-50</v>
      </c>
      <c r="P18" s="183">
        <v>-50</v>
      </c>
      <c r="Q18" s="183">
        <v>-46</v>
      </c>
      <c r="R18" s="183">
        <v>-47</v>
      </c>
      <c r="S18" s="183">
        <v>-45</v>
      </c>
      <c r="T18" s="183">
        <v>-42</v>
      </c>
      <c r="U18" s="183">
        <v>-42</v>
      </c>
      <c r="V18" s="183">
        <v>-41</v>
      </c>
      <c r="W18" s="184">
        <v>-40</v>
      </c>
      <c r="X18" s="217"/>
      <c r="Y18" s="195" t="s">
        <v>242</v>
      </c>
      <c r="Z18" s="221">
        <v>-56</v>
      </c>
      <c r="AA18" s="222">
        <v>-54</v>
      </c>
      <c r="AB18" s="222">
        <v>-54</v>
      </c>
      <c r="AC18" s="222">
        <v>-51</v>
      </c>
      <c r="AD18" s="222">
        <v>-52</v>
      </c>
      <c r="AE18" s="222">
        <v>-49</v>
      </c>
      <c r="AF18" s="222">
        <v>-45</v>
      </c>
      <c r="AG18" s="222">
        <v>-45</v>
      </c>
      <c r="AH18" s="222">
        <v>-44</v>
      </c>
      <c r="AI18" s="223">
        <v>-43</v>
      </c>
      <c r="AJ18" s="217"/>
      <c r="AK18" s="197" t="s">
        <v>242</v>
      </c>
      <c r="AL18" s="198">
        <v>-61</v>
      </c>
      <c r="AM18" s="199">
        <v>-59</v>
      </c>
      <c r="AN18" s="199">
        <v>-59</v>
      </c>
      <c r="AO18" s="199">
        <v>-56</v>
      </c>
      <c r="AP18" s="199">
        <v>-57</v>
      </c>
      <c r="AQ18" s="199">
        <v>-54</v>
      </c>
      <c r="AR18" s="199">
        <v>-50</v>
      </c>
      <c r="AS18" s="199">
        <v>-50</v>
      </c>
      <c r="AT18" s="199">
        <v>-49</v>
      </c>
      <c r="AU18" s="200">
        <v>-48</v>
      </c>
      <c r="AW18" s="197" t="s">
        <v>242</v>
      </c>
      <c r="AX18" s="201">
        <f t="shared" si="3"/>
        <v>-66</v>
      </c>
      <c r="AY18" s="202">
        <f t="shared" si="2"/>
        <v>-64</v>
      </c>
      <c r="AZ18" s="202">
        <f t="shared" si="2"/>
        <v>-64</v>
      </c>
      <c r="BA18" s="202">
        <f t="shared" si="2"/>
        <v>-61</v>
      </c>
      <c r="BB18" s="202">
        <f t="shared" si="2"/>
        <v>-62</v>
      </c>
      <c r="BC18" s="202">
        <f t="shared" si="2"/>
        <v>-59</v>
      </c>
      <c r="BD18" s="202">
        <f t="shared" si="2"/>
        <v>-55</v>
      </c>
      <c r="BE18" s="202">
        <f t="shared" si="2"/>
        <v>-55</v>
      </c>
      <c r="BF18" s="202">
        <f t="shared" si="2"/>
        <v>-54</v>
      </c>
      <c r="BG18" s="203">
        <f t="shared" si="2"/>
        <v>-53</v>
      </c>
    </row>
    <row r="19" spans="1:59" ht="14.45" x14ac:dyDescent="0.3">
      <c r="A19" s="195" t="s">
        <v>250</v>
      </c>
      <c r="B19" s="196">
        <v>-45</v>
      </c>
      <c r="C19" s="183">
        <v>-47</v>
      </c>
      <c r="D19" s="183">
        <v>-45</v>
      </c>
      <c r="E19" s="183">
        <v>-45</v>
      </c>
      <c r="F19" s="183">
        <v>-43</v>
      </c>
      <c r="G19" s="183">
        <v>-42</v>
      </c>
      <c r="H19" s="183">
        <v>-38</v>
      </c>
      <c r="I19" s="183">
        <v>-43</v>
      </c>
      <c r="J19" s="183">
        <v>-37</v>
      </c>
      <c r="K19" s="184">
        <v>-37</v>
      </c>
      <c r="L19" s="217"/>
      <c r="M19" s="195" t="s">
        <v>250</v>
      </c>
      <c r="N19" s="196">
        <v>-52</v>
      </c>
      <c r="O19" s="183">
        <v>-52</v>
      </c>
      <c r="P19" s="183">
        <v>-50</v>
      </c>
      <c r="Q19" s="183">
        <v>-49</v>
      </c>
      <c r="R19" s="183">
        <v>-47</v>
      </c>
      <c r="S19" s="183">
        <v>-45</v>
      </c>
      <c r="T19" s="183">
        <v>-41</v>
      </c>
      <c r="U19" s="183">
        <v>-45</v>
      </c>
      <c r="V19" s="183">
        <v>-39</v>
      </c>
      <c r="W19" s="184">
        <v>-39</v>
      </c>
      <c r="X19" s="217"/>
      <c r="Y19" s="195" t="s">
        <v>250</v>
      </c>
      <c r="Z19" s="221">
        <v>-56</v>
      </c>
      <c r="AA19" s="222">
        <v>-56</v>
      </c>
      <c r="AB19" s="222">
        <v>-54</v>
      </c>
      <c r="AC19" s="222">
        <v>-54</v>
      </c>
      <c r="AD19" s="222">
        <v>-52</v>
      </c>
      <c r="AE19" s="222">
        <v>-49</v>
      </c>
      <c r="AF19" s="222">
        <v>-44</v>
      </c>
      <c r="AG19" s="222">
        <v>-48</v>
      </c>
      <c r="AH19" s="222">
        <v>-42</v>
      </c>
      <c r="AI19" s="223">
        <v>-42</v>
      </c>
      <c r="AJ19" s="217"/>
      <c r="AK19" s="197" t="s">
        <v>250</v>
      </c>
      <c r="AL19" s="198">
        <v>-61</v>
      </c>
      <c r="AM19" s="199">
        <v>-61</v>
      </c>
      <c r="AN19" s="199">
        <v>-59</v>
      </c>
      <c r="AO19" s="199">
        <v>-59</v>
      </c>
      <c r="AP19" s="199">
        <v>-57</v>
      </c>
      <c r="AQ19" s="199">
        <v>-54</v>
      </c>
      <c r="AR19" s="199">
        <v>-49</v>
      </c>
      <c r="AS19" s="199">
        <v>-53</v>
      </c>
      <c r="AT19" s="199">
        <v>-47</v>
      </c>
      <c r="AU19" s="200">
        <v>-47</v>
      </c>
      <c r="AW19" s="197" t="s">
        <v>250</v>
      </c>
      <c r="AX19" s="201">
        <f t="shared" si="3"/>
        <v>-66</v>
      </c>
      <c r="AY19" s="202">
        <f t="shared" si="2"/>
        <v>-66</v>
      </c>
      <c r="AZ19" s="202">
        <f t="shared" si="2"/>
        <v>-64</v>
      </c>
      <c r="BA19" s="202">
        <f t="shared" si="2"/>
        <v>-64</v>
      </c>
      <c r="BB19" s="202">
        <f t="shared" si="2"/>
        <v>-62</v>
      </c>
      <c r="BC19" s="202">
        <f t="shared" si="2"/>
        <v>-59</v>
      </c>
      <c r="BD19" s="202">
        <f t="shared" si="2"/>
        <v>-54</v>
      </c>
      <c r="BE19" s="202">
        <f t="shared" si="2"/>
        <v>-58</v>
      </c>
      <c r="BF19" s="202">
        <f t="shared" si="2"/>
        <v>-52</v>
      </c>
      <c r="BG19" s="203">
        <f t="shared" si="2"/>
        <v>-52</v>
      </c>
    </row>
    <row r="20" spans="1:59" ht="14.45" x14ac:dyDescent="0.3">
      <c r="A20" s="195" t="s">
        <v>258</v>
      </c>
      <c r="B20" s="196">
        <v>-43</v>
      </c>
      <c r="C20" s="183">
        <v>-44</v>
      </c>
      <c r="D20" s="183">
        <v>-45</v>
      </c>
      <c r="E20" s="183">
        <v>-44</v>
      </c>
      <c r="F20" s="183">
        <v>-41</v>
      </c>
      <c r="G20" s="183">
        <v>-43</v>
      </c>
      <c r="H20" s="183">
        <v>-41</v>
      </c>
      <c r="I20" s="183">
        <v>-41</v>
      </c>
      <c r="J20" s="183">
        <v>-39</v>
      </c>
      <c r="K20" s="184">
        <v>-40</v>
      </c>
      <c r="L20" s="217"/>
      <c r="M20" s="195" t="s">
        <v>258</v>
      </c>
      <c r="N20" s="196">
        <v>-48</v>
      </c>
      <c r="O20" s="183">
        <v>-47</v>
      </c>
      <c r="P20" s="183">
        <v>-48</v>
      </c>
      <c r="Q20" s="183">
        <v>-47</v>
      </c>
      <c r="R20" s="183">
        <v>-44</v>
      </c>
      <c r="S20" s="183">
        <v>-45</v>
      </c>
      <c r="T20" s="183">
        <v>-43</v>
      </c>
      <c r="U20" s="183">
        <v>-43</v>
      </c>
      <c r="V20" s="183">
        <v>-41</v>
      </c>
      <c r="W20" s="184">
        <v>-42</v>
      </c>
      <c r="X20" s="217"/>
      <c r="Y20" s="195" t="s">
        <v>258</v>
      </c>
      <c r="Z20" s="221">
        <v>-52</v>
      </c>
      <c r="AA20" s="222">
        <v>-51</v>
      </c>
      <c r="AB20" s="222">
        <v>-54</v>
      </c>
      <c r="AC20" s="222">
        <v>-51</v>
      </c>
      <c r="AD20" s="222">
        <v>-48</v>
      </c>
      <c r="AE20" s="222">
        <v>-49</v>
      </c>
      <c r="AF20" s="222">
        <v>-46</v>
      </c>
      <c r="AG20" s="222">
        <v>-45</v>
      </c>
      <c r="AH20" s="222">
        <v>-43</v>
      </c>
      <c r="AI20" s="223">
        <v>-44</v>
      </c>
      <c r="AJ20" s="217"/>
      <c r="AK20" s="197" t="s">
        <v>258</v>
      </c>
      <c r="AL20" s="198">
        <v>-57</v>
      </c>
      <c r="AM20" s="199">
        <v>-56</v>
      </c>
      <c r="AN20" s="199">
        <v>-59</v>
      </c>
      <c r="AO20" s="199">
        <v>-56</v>
      </c>
      <c r="AP20" s="199">
        <v>-53</v>
      </c>
      <c r="AQ20" s="199">
        <v>-54</v>
      </c>
      <c r="AR20" s="199">
        <v>-51</v>
      </c>
      <c r="AS20" s="199">
        <v>-51</v>
      </c>
      <c r="AT20" s="199">
        <v>-49</v>
      </c>
      <c r="AU20" s="200">
        <v>-50</v>
      </c>
      <c r="AW20" s="197" t="s">
        <v>258</v>
      </c>
      <c r="AX20" s="201">
        <f t="shared" si="3"/>
        <v>-62</v>
      </c>
      <c r="AY20" s="202">
        <f t="shared" si="2"/>
        <v>-61</v>
      </c>
      <c r="AZ20" s="202">
        <f t="shared" si="2"/>
        <v>-64</v>
      </c>
      <c r="BA20" s="202">
        <f t="shared" si="2"/>
        <v>-61</v>
      </c>
      <c r="BB20" s="202">
        <f t="shared" si="2"/>
        <v>-58</v>
      </c>
      <c r="BC20" s="202">
        <f t="shared" si="2"/>
        <v>-59</v>
      </c>
      <c r="BD20" s="202">
        <f t="shared" si="2"/>
        <v>-56</v>
      </c>
      <c r="BE20" s="202">
        <f t="shared" si="2"/>
        <v>-56</v>
      </c>
      <c r="BF20" s="202">
        <f t="shared" si="2"/>
        <v>-54</v>
      </c>
      <c r="BG20" s="203">
        <f t="shared" si="2"/>
        <v>-55</v>
      </c>
    </row>
    <row r="21" spans="1:59" thickBot="1" x14ac:dyDescent="0.35">
      <c r="A21" s="204" t="s">
        <v>265</v>
      </c>
      <c r="B21" s="207">
        <v>-44</v>
      </c>
      <c r="C21" s="205">
        <v>-44</v>
      </c>
      <c r="D21" s="205">
        <v>-44</v>
      </c>
      <c r="E21" s="205">
        <v>-45</v>
      </c>
      <c r="F21" s="205">
        <v>-42</v>
      </c>
      <c r="G21" s="205">
        <v>-42</v>
      </c>
      <c r="H21" s="205">
        <v>-42</v>
      </c>
      <c r="I21" s="205">
        <v>-38</v>
      </c>
      <c r="J21" s="205">
        <v>-38</v>
      </c>
      <c r="K21" s="206">
        <v>-36</v>
      </c>
      <c r="L21" s="217"/>
      <c r="M21" s="204" t="s">
        <v>265</v>
      </c>
      <c r="N21" s="207">
        <v>-49</v>
      </c>
      <c r="O21" s="205">
        <v>-47</v>
      </c>
      <c r="P21" s="205">
        <v>-47</v>
      </c>
      <c r="Q21" s="205">
        <v>-48</v>
      </c>
      <c r="R21" s="205">
        <v>-45</v>
      </c>
      <c r="S21" s="205">
        <v>-44</v>
      </c>
      <c r="T21" s="205">
        <v>-44</v>
      </c>
      <c r="U21" s="205">
        <v>-40</v>
      </c>
      <c r="V21" s="205">
        <v>-40</v>
      </c>
      <c r="W21" s="206">
        <v>-38</v>
      </c>
      <c r="X21" s="217"/>
      <c r="Y21" s="204" t="s">
        <v>265</v>
      </c>
      <c r="Z21" s="224">
        <v>-53</v>
      </c>
      <c r="AA21" s="225">
        <v>-51</v>
      </c>
      <c r="AB21" s="225">
        <v>-53</v>
      </c>
      <c r="AC21" s="225">
        <v>-52</v>
      </c>
      <c r="AD21" s="225">
        <v>-49</v>
      </c>
      <c r="AE21" s="225">
        <v>-48</v>
      </c>
      <c r="AF21" s="225">
        <v>-47</v>
      </c>
      <c r="AG21" s="225">
        <v>-42</v>
      </c>
      <c r="AH21" s="225">
        <v>-42</v>
      </c>
      <c r="AI21" s="226">
        <v>-40</v>
      </c>
      <c r="AJ21" s="217"/>
      <c r="AK21" s="208" t="s">
        <v>265</v>
      </c>
      <c r="AL21" s="209">
        <v>-58</v>
      </c>
      <c r="AM21" s="210">
        <v>-56</v>
      </c>
      <c r="AN21" s="210">
        <v>-58</v>
      </c>
      <c r="AO21" s="210">
        <v>-57</v>
      </c>
      <c r="AP21" s="210">
        <v>-54</v>
      </c>
      <c r="AQ21" s="210">
        <v>-53</v>
      </c>
      <c r="AR21" s="210">
        <v>-52</v>
      </c>
      <c r="AS21" s="210">
        <v>-48</v>
      </c>
      <c r="AT21" s="210">
        <v>-48</v>
      </c>
      <c r="AU21" s="211">
        <v>-46</v>
      </c>
      <c r="AW21" s="208" t="s">
        <v>265</v>
      </c>
      <c r="AX21" s="212">
        <f t="shared" si="3"/>
        <v>-63</v>
      </c>
      <c r="AY21" s="213">
        <f t="shared" si="2"/>
        <v>-61</v>
      </c>
      <c r="AZ21" s="213">
        <f t="shared" si="2"/>
        <v>-63</v>
      </c>
      <c r="BA21" s="213">
        <f t="shared" si="2"/>
        <v>-62</v>
      </c>
      <c r="BB21" s="213">
        <f t="shared" si="2"/>
        <v>-59</v>
      </c>
      <c r="BC21" s="213">
        <f t="shared" si="2"/>
        <v>-58</v>
      </c>
      <c r="BD21" s="213">
        <f t="shared" si="2"/>
        <v>-57</v>
      </c>
      <c r="BE21" s="213">
        <f t="shared" si="2"/>
        <v>-53</v>
      </c>
      <c r="BF21" s="213">
        <f t="shared" si="2"/>
        <v>-53</v>
      </c>
      <c r="BG21" s="214">
        <f t="shared" si="2"/>
        <v>-51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-49</v>
      </c>
      <c r="C26" s="186">
        <v>-44</v>
      </c>
      <c r="D26" s="186">
        <v>-45</v>
      </c>
      <c r="E26" s="186">
        <v>-44</v>
      </c>
      <c r="F26" s="186">
        <v>-49</v>
      </c>
      <c r="G26" s="186">
        <v>-48</v>
      </c>
      <c r="H26" s="186">
        <v>-43</v>
      </c>
      <c r="I26" s="186">
        <v>-39</v>
      </c>
      <c r="J26" s="186">
        <v>-43</v>
      </c>
      <c r="K26" s="187">
        <v>-42</v>
      </c>
      <c r="L26" s="217"/>
      <c r="M26" s="182" t="s">
        <v>187</v>
      </c>
      <c r="N26" s="185">
        <v>-56</v>
      </c>
      <c r="O26" s="186">
        <v>-49</v>
      </c>
      <c r="P26" s="186">
        <v>-50</v>
      </c>
      <c r="Q26" s="186">
        <v>-48</v>
      </c>
      <c r="R26" s="186">
        <v>-53</v>
      </c>
      <c r="S26" s="186">
        <v>-51</v>
      </c>
      <c r="T26" s="186">
        <v>-46</v>
      </c>
      <c r="U26" s="186">
        <v>-41</v>
      </c>
      <c r="V26" s="186">
        <v>-45</v>
      </c>
      <c r="W26" s="187">
        <v>-44</v>
      </c>
      <c r="X26" s="217"/>
      <c r="Y26" s="188" t="s">
        <v>187</v>
      </c>
      <c r="Z26" s="227">
        <v>-60</v>
      </c>
      <c r="AA26" s="228">
        <v>-53</v>
      </c>
      <c r="AB26" s="228">
        <v>-54</v>
      </c>
      <c r="AC26" s="228">
        <v>-53</v>
      </c>
      <c r="AD26" s="228">
        <v>-58</v>
      </c>
      <c r="AE26" s="228">
        <v>-56</v>
      </c>
      <c r="AF26" s="228">
        <v>-50</v>
      </c>
      <c r="AG26" s="228">
        <v>-45</v>
      </c>
      <c r="AH26" s="228">
        <v>-49</v>
      </c>
      <c r="AI26" s="229">
        <v>-48</v>
      </c>
      <c r="AJ26" s="217"/>
      <c r="AK26" s="188" t="s">
        <v>187</v>
      </c>
      <c r="AL26" s="189">
        <v>-65</v>
      </c>
      <c r="AM26" s="190">
        <v>-60</v>
      </c>
      <c r="AN26" s="190">
        <v>-61</v>
      </c>
      <c r="AO26" s="190">
        <v>-59</v>
      </c>
      <c r="AP26" s="190">
        <v>-64</v>
      </c>
      <c r="AQ26" s="190">
        <v>-62</v>
      </c>
      <c r="AR26" s="190">
        <v>-57</v>
      </c>
      <c r="AS26" s="190">
        <v>-53</v>
      </c>
      <c r="AT26" s="190">
        <v>-57</v>
      </c>
      <c r="AU26" s="191">
        <v>-56</v>
      </c>
      <c r="AW26" s="188" t="s">
        <v>187</v>
      </c>
      <c r="AX26" s="192">
        <f>AL26-5</f>
        <v>-70</v>
      </c>
      <c r="AY26" s="193">
        <f t="shared" ref="AY26:BG32" si="4">AM26-5</f>
        <v>-65</v>
      </c>
      <c r="AZ26" s="193">
        <f t="shared" si="4"/>
        <v>-66</v>
      </c>
      <c r="BA26" s="193">
        <f t="shared" si="4"/>
        <v>-64</v>
      </c>
      <c r="BB26" s="193">
        <f t="shared" si="4"/>
        <v>-69</v>
      </c>
      <c r="BC26" s="193">
        <f t="shared" si="4"/>
        <v>-67</v>
      </c>
      <c r="BD26" s="193">
        <f t="shared" si="4"/>
        <v>-62</v>
      </c>
      <c r="BE26" s="193">
        <f t="shared" si="4"/>
        <v>-58</v>
      </c>
      <c r="BF26" s="193">
        <f t="shared" si="4"/>
        <v>-62</v>
      </c>
      <c r="BG26" s="194">
        <f t="shared" si="4"/>
        <v>-61</v>
      </c>
    </row>
    <row r="27" spans="1:59" x14ac:dyDescent="0.25">
      <c r="A27" s="195" t="s">
        <v>214</v>
      </c>
      <c r="B27" s="196">
        <v>-51</v>
      </c>
      <c r="C27" s="183">
        <v>-45</v>
      </c>
      <c r="D27" s="183">
        <v>-45</v>
      </c>
      <c r="E27" s="183">
        <v>-45</v>
      </c>
      <c r="F27" s="183">
        <v>-49</v>
      </c>
      <c r="G27" s="183">
        <v>-49</v>
      </c>
      <c r="H27" s="183">
        <v>-45</v>
      </c>
      <c r="I27" s="183">
        <v>-39</v>
      </c>
      <c r="J27" s="183">
        <v>-42</v>
      </c>
      <c r="K27" s="184">
        <v>-44</v>
      </c>
      <c r="L27" s="217"/>
      <c r="M27" s="195" t="s">
        <v>214</v>
      </c>
      <c r="N27" s="196">
        <v>-58</v>
      </c>
      <c r="O27" s="183">
        <v>-50</v>
      </c>
      <c r="P27" s="183">
        <v>-50</v>
      </c>
      <c r="Q27" s="183">
        <v>-49</v>
      </c>
      <c r="R27" s="183">
        <v>-53</v>
      </c>
      <c r="S27" s="183">
        <v>-52</v>
      </c>
      <c r="T27" s="183">
        <v>-48</v>
      </c>
      <c r="U27" s="183">
        <v>-41</v>
      </c>
      <c r="V27" s="183">
        <v>-44</v>
      </c>
      <c r="W27" s="184">
        <v>-46</v>
      </c>
      <c r="X27" s="217"/>
      <c r="Y27" s="197" t="s">
        <v>214</v>
      </c>
      <c r="Z27" s="230">
        <v>-62</v>
      </c>
      <c r="AA27" s="231">
        <v>-54</v>
      </c>
      <c r="AB27" s="231">
        <v>-54</v>
      </c>
      <c r="AC27" s="231">
        <v>-54</v>
      </c>
      <c r="AD27" s="231">
        <v>-58</v>
      </c>
      <c r="AE27" s="231">
        <v>-57</v>
      </c>
      <c r="AF27" s="231">
        <v>-52</v>
      </c>
      <c r="AG27" s="231">
        <v>-45</v>
      </c>
      <c r="AH27" s="231">
        <v>-48</v>
      </c>
      <c r="AI27" s="232">
        <v>-50</v>
      </c>
      <c r="AJ27" s="217"/>
      <c r="AK27" s="197" t="s">
        <v>214</v>
      </c>
      <c r="AL27" s="198">
        <v>-67</v>
      </c>
      <c r="AM27" s="199">
        <v>-61</v>
      </c>
      <c r="AN27" s="199">
        <v>-61</v>
      </c>
      <c r="AO27" s="199">
        <v>-60</v>
      </c>
      <c r="AP27" s="199">
        <v>-64</v>
      </c>
      <c r="AQ27" s="199">
        <v>-63</v>
      </c>
      <c r="AR27" s="199">
        <v>-59</v>
      </c>
      <c r="AS27" s="199">
        <v>-53</v>
      </c>
      <c r="AT27" s="199">
        <v>-56</v>
      </c>
      <c r="AU27" s="200">
        <v>-58</v>
      </c>
      <c r="AW27" s="197" t="s">
        <v>214</v>
      </c>
      <c r="AX27" s="201">
        <f t="shared" ref="AX27:AX32" si="5">AL27-5</f>
        <v>-72</v>
      </c>
      <c r="AY27" s="202">
        <f t="shared" si="4"/>
        <v>-66</v>
      </c>
      <c r="AZ27" s="202">
        <f t="shared" si="4"/>
        <v>-66</v>
      </c>
      <c r="BA27" s="202">
        <f t="shared" si="4"/>
        <v>-65</v>
      </c>
      <c r="BB27" s="202">
        <f t="shared" si="4"/>
        <v>-69</v>
      </c>
      <c r="BC27" s="202">
        <f t="shared" si="4"/>
        <v>-68</v>
      </c>
      <c r="BD27" s="202">
        <f t="shared" si="4"/>
        <v>-64</v>
      </c>
      <c r="BE27" s="202">
        <f t="shared" si="4"/>
        <v>-58</v>
      </c>
      <c r="BF27" s="202">
        <f t="shared" si="4"/>
        <v>-61</v>
      </c>
      <c r="BG27" s="203">
        <f t="shared" si="4"/>
        <v>-63</v>
      </c>
    </row>
    <row r="28" spans="1:59" x14ac:dyDescent="0.25">
      <c r="A28" s="195" t="s">
        <v>233</v>
      </c>
      <c r="B28" s="196">
        <v>-56</v>
      </c>
      <c r="C28" s="183">
        <v>-51</v>
      </c>
      <c r="D28" s="183">
        <v>-50</v>
      </c>
      <c r="E28" s="183">
        <v>-49</v>
      </c>
      <c r="F28" s="183">
        <v>-48</v>
      </c>
      <c r="G28" s="183">
        <v>-48</v>
      </c>
      <c r="H28" s="183">
        <v>-45</v>
      </c>
      <c r="I28" s="183">
        <v>-45</v>
      </c>
      <c r="J28" s="183">
        <v>-41</v>
      </c>
      <c r="K28" s="184">
        <v>-44</v>
      </c>
      <c r="L28" s="217"/>
      <c r="M28" s="195" t="s">
        <v>233</v>
      </c>
      <c r="N28" s="196">
        <v>-63</v>
      </c>
      <c r="O28" s="183">
        <v>-56</v>
      </c>
      <c r="P28" s="183">
        <v>-55</v>
      </c>
      <c r="Q28" s="183">
        <v>-53</v>
      </c>
      <c r="R28" s="183">
        <v>-52</v>
      </c>
      <c r="S28" s="183">
        <v>-51</v>
      </c>
      <c r="T28" s="183">
        <v>-48</v>
      </c>
      <c r="U28" s="183">
        <v>-47</v>
      </c>
      <c r="V28" s="183">
        <v>-43</v>
      </c>
      <c r="W28" s="184">
        <v>-46</v>
      </c>
      <c r="X28" s="217"/>
      <c r="Y28" s="197" t="s">
        <v>233</v>
      </c>
      <c r="Z28" s="230">
        <v>-65</v>
      </c>
      <c r="AA28" s="231">
        <v>-60</v>
      </c>
      <c r="AB28" s="231">
        <v>-59</v>
      </c>
      <c r="AC28" s="231">
        <v>-58</v>
      </c>
      <c r="AD28" s="231">
        <v>-57</v>
      </c>
      <c r="AE28" s="231">
        <v>-56</v>
      </c>
      <c r="AF28" s="231">
        <v>-52</v>
      </c>
      <c r="AG28" s="231">
        <v>-51</v>
      </c>
      <c r="AH28" s="231">
        <v>-47</v>
      </c>
      <c r="AI28" s="232">
        <v>-50</v>
      </c>
      <c r="AJ28" s="217"/>
      <c r="AK28" s="197" t="s">
        <v>233</v>
      </c>
      <c r="AL28" s="198">
        <v>-68</v>
      </c>
      <c r="AM28" s="199">
        <v>-67</v>
      </c>
      <c r="AN28" s="199">
        <v>-66</v>
      </c>
      <c r="AO28" s="199">
        <v>-64</v>
      </c>
      <c r="AP28" s="199">
        <v>-63</v>
      </c>
      <c r="AQ28" s="199">
        <v>-62</v>
      </c>
      <c r="AR28" s="199">
        <v>-59</v>
      </c>
      <c r="AS28" s="199">
        <v>-59</v>
      </c>
      <c r="AT28" s="199">
        <v>-55</v>
      </c>
      <c r="AU28" s="200">
        <v>-58</v>
      </c>
      <c r="AW28" s="197" t="s">
        <v>233</v>
      </c>
      <c r="AX28" s="201">
        <f t="shared" si="5"/>
        <v>-73</v>
      </c>
      <c r="AY28" s="202">
        <f t="shared" si="4"/>
        <v>-72</v>
      </c>
      <c r="AZ28" s="202">
        <f t="shared" si="4"/>
        <v>-71</v>
      </c>
      <c r="BA28" s="202">
        <f t="shared" si="4"/>
        <v>-69</v>
      </c>
      <c r="BB28" s="202">
        <f t="shared" si="4"/>
        <v>-68</v>
      </c>
      <c r="BC28" s="202">
        <f t="shared" si="4"/>
        <v>-67</v>
      </c>
      <c r="BD28" s="202">
        <f t="shared" si="4"/>
        <v>-64</v>
      </c>
      <c r="BE28" s="202">
        <f t="shared" si="4"/>
        <v>-64</v>
      </c>
      <c r="BF28" s="202">
        <f t="shared" si="4"/>
        <v>-60</v>
      </c>
      <c r="BG28" s="203">
        <f t="shared" si="4"/>
        <v>-63</v>
      </c>
    </row>
    <row r="29" spans="1:59" x14ac:dyDescent="0.25">
      <c r="A29" s="195" t="s">
        <v>242</v>
      </c>
      <c r="B29" s="196">
        <v>-54</v>
      </c>
      <c r="C29" s="183">
        <v>-53</v>
      </c>
      <c r="D29" s="183">
        <v>-53</v>
      </c>
      <c r="E29" s="183">
        <v>-49</v>
      </c>
      <c r="F29" s="183">
        <v>-50</v>
      </c>
      <c r="G29" s="183">
        <v>-47</v>
      </c>
      <c r="H29" s="183">
        <v>-44</v>
      </c>
      <c r="I29" s="183">
        <v>-45</v>
      </c>
      <c r="J29" s="183">
        <v>-44</v>
      </c>
      <c r="K29" s="184">
        <v>-43</v>
      </c>
      <c r="L29" s="217"/>
      <c r="M29" s="195" t="s">
        <v>242</v>
      </c>
      <c r="N29" s="196">
        <v>-61</v>
      </c>
      <c r="O29" s="183">
        <v>-58</v>
      </c>
      <c r="P29" s="183">
        <v>-58</v>
      </c>
      <c r="Q29" s="183">
        <v>-53</v>
      </c>
      <c r="R29" s="183">
        <v>-54</v>
      </c>
      <c r="S29" s="183">
        <v>-50</v>
      </c>
      <c r="T29" s="183">
        <v>-47</v>
      </c>
      <c r="U29" s="183">
        <v>-47</v>
      </c>
      <c r="V29" s="183">
        <v>-46</v>
      </c>
      <c r="W29" s="184">
        <v>-45</v>
      </c>
      <c r="X29" s="217"/>
      <c r="Y29" s="197" t="s">
        <v>242</v>
      </c>
      <c r="Z29" s="230">
        <v>-65</v>
      </c>
      <c r="AA29" s="231">
        <v>-62</v>
      </c>
      <c r="AB29" s="231">
        <v>-62</v>
      </c>
      <c r="AC29" s="231">
        <v>-58</v>
      </c>
      <c r="AD29" s="231">
        <v>-59</v>
      </c>
      <c r="AE29" s="231">
        <v>-54</v>
      </c>
      <c r="AF29" s="231">
        <v>-50</v>
      </c>
      <c r="AG29" s="231">
        <v>-50</v>
      </c>
      <c r="AH29" s="231">
        <v>-49</v>
      </c>
      <c r="AI29" s="232">
        <v>-48</v>
      </c>
      <c r="AJ29" s="217"/>
      <c r="AK29" s="197" t="s">
        <v>242</v>
      </c>
      <c r="AL29" s="198">
        <v>-68</v>
      </c>
      <c r="AM29" s="199">
        <v>-67</v>
      </c>
      <c r="AN29" s="199">
        <v>-67</v>
      </c>
      <c r="AO29" s="199">
        <v>-63</v>
      </c>
      <c r="AP29" s="199">
        <v>-64</v>
      </c>
      <c r="AQ29" s="199">
        <v>-59</v>
      </c>
      <c r="AR29" s="199">
        <v>-55</v>
      </c>
      <c r="AS29" s="199">
        <v>-55</v>
      </c>
      <c r="AT29" s="199">
        <v>-54</v>
      </c>
      <c r="AU29" s="200">
        <v>-53</v>
      </c>
      <c r="AW29" s="197" t="s">
        <v>242</v>
      </c>
      <c r="AX29" s="201">
        <f t="shared" si="5"/>
        <v>-73</v>
      </c>
      <c r="AY29" s="202">
        <f t="shared" si="4"/>
        <v>-72</v>
      </c>
      <c r="AZ29" s="202">
        <f t="shared" si="4"/>
        <v>-72</v>
      </c>
      <c r="BA29" s="202">
        <f t="shared" si="4"/>
        <v>-68</v>
      </c>
      <c r="BB29" s="202">
        <f t="shared" si="4"/>
        <v>-69</v>
      </c>
      <c r="BC29" s="202">
        <f t="shared" si="4"/>
        <v>-64</v>
      </c>
      <c r="BD29" s="202">
        <f t="shared" si="4"/>
        <v>-60</v>
      </c>
      <c r="BE29" s="202">
        <f t="shared" si="4"/>
        <v>-60</v>
      </c>
      <c r="BF29" s="202">
        <f t="shared" si="4"/>
        <v>-59</v>
      </c>
      <c r="BG29" s="203">
        <f t="shared" si="4"/>
        <v>-58</v>
      </c>
    </row>
    <row r="30" spans="1:59" x14ac:dyDescent="0.25">
      <c r="A30" s="195" t="s">
        <v>250</v>
      </c>
      <c r="B30" s="196">
        <v>-54</v>
      </c>
      <c r="C30" s="183">
        <v>-55</v>
      </c>
      <c r="D30" s="183">
        <v>-53</v>
      </c>
      <c r="E30" s="183">
        <v>-52</v>
      </c>
      <c r="F30" s="183">
        <v>-50</v>
      </c>
      <c r="G30" s="183">
        <v>-47</v>
      </c>
      <c r="H30" s="183">
        <v>-43</v>
      </c>
      <c r="I30" s="183">
        <v>-48</v>
      </c>
      <c r="J30" s="183">
        <v>-42</v>
      </c>
      <c r="K30" s="184">
        <v>-42</v>
      </c>
      <c r="L30" s="217"/>
      <c r="M30" s="195" t="s">
        <v>250</v>
      </c>
      <c r="N30" s="196">
        <v>-61</v>
      </c>
      <c r="O30" s="183">
        <v>-60</v>
      </c>
      <c r="P30" s="183">
        <v>-58</v>
      </c>
      <c r="Q30" s="183">
        <v>-56</v>
      </c>
      <c r="R30" s="183">
        <v>-54</v>
      </c>
      <c r="S30" s="183">
        <v>-50</v>
      </c>
      <c r="T30" s="183">
        <v>-46</v>
      </c>
      <c r="U30" s="183">
        <v>-50</v>
      </c>
      <c r="V30" s="183">
        <v>-44</v>
      </c>
      <c r="W30" s="184">
        <v>-44</v>
      </c>
      <c r="X30" s="217"/>
      <c r="Y30" s="197" t="s">
        <v>250</v>
      </c>
      <c r="Z30" s="230">
        <v>-65</v>
      </c>
      <c r="AA30" s="231">
        <v>-64</v>
      </c>
      <c r="AB30" s="231">
        <v>-62</v>
      </c>
      <c r="AC30" s="231">
        <v>-61</v>
      </c>
      <c r="AD30" s="231">
        <v>-59</v>
      </c>
      <c r="AE30" s="231">
        <v>-54</v>
      </c>
      <c r="AF30" s="231">
        <v>-49</v>
      </c>
      <c r="AG30" s="231">
        <v>-53</v>
      </c>
      <c r="AH30" s="231">
        <v>-47</v>
      </c>
      <c r="AI30" s="232">
        <v>-47</v>
      </c>
      <c r="AJ30" s="217"/>
      <c r="AK30" s="197" t="s">
        <v>250</v>
      </c>
      <c r="AL30" s="198">
        <v>-68</v>
      </c>
      <c r="AM30" s="199">
        <v>-68</v>
      </c>
      <c r="AN30" s="199">
        <v>-67</v>
      </c>
      <c r="AO30" s="199">
        <v>-66</v>
      </c>
      <c r="AP30" s="199">
        <v>-64</v>
      </c>
      <c r="AQ30" s="199">
        <v>-59</v>
      </c>
      <c r="AR30" s="199">
        <v>-54</v>
      </c>
      <c r="AS30" s="199">
        <v>-58</v>
      </c>
      <c r="AT30" s="199">
        <v>-52</v>
      </c>
      <c r="AU30" s="200">
        <v>-52</v>
      </c>
      <c r="AW30" s="197" t="s">
        <v>250</v>
      </c>
      <c r="AX30" s="201">
        <f t="shared" si="5"/>
        <v>-73</v>
      </c>
      <c r="AY30" s="202">
        <f t="shared" si="4"/>
        <v>-73</v>
      </c>
      <c r="AZ30" s="202">
        <f t="shared" si="4"/>
        <v>-72</v>
      </c>
      <c r="BA30" s="202">
        <f t="shared" si="4"/>
        <v>-71</v>
      </c>
      <c r="BB30" s="202">
        <f t="shared" si="4"/>
        <v>-69</v>
      </c>
      <c r="BC30" s="202">
        <f t="shared" si="4"/>
        <v>-64</v>
      </c>
      <c r="BD30" s="202">
        <f t="shared" si="4"/>
        <v>-59</v>
      </c>
      <c r="BE30" s="202">
        <f t="shared" si="4"/>
        <v>-63</v>
      </c>
      <c r="BF30" s="202">
        <f t="shared" si="4"/>
        <v>-57</v>
      </c>
      <c r="BG30" s="203">
        <f t="shared" si="4"/>
        <v>-57</v>
      </c>
    </row>
    <row r="31" spans="1:59" x14ac:dyDescent="0.25">
      <c r="A31" s="195" t="s">
        <v>258</v>
      </c>
      <c r="B31" s="196">
        <v>-52</v>
      </c>
      <c r="C31" s="183">
        <v>-53</v>
      </c>
      <c r="D31" s="183">
        <v>-54</v>
      </c>
      <c r="E31" s="183">
        <v>-50</v>
      </c>
      <c r="F31" s="183">
        <v>-48</v>
      </c>
      <c r="G31" s="183">
        <v>-49</v>
      </c>
      <c r="H31" s="183">
        <v>-46</v>
      </c>
      <c r="I31" s="183">
        <v>-46</v>
      </c>
      <c r="J31" s="183">
        <v>-44</v>
      </c>
      <c r="K31" s="184">
        <v>-45</v>
      </c>
      <c r="L31" s="217"/>
      <c r="M31" s="195" t="s">
        <v>258</v>
      </c>
      <c r="N31" s="196">
        <v>-57</v>
      </c>
      <c r="O31" s="183">
        <v>-56</v>
      </c>
      <c r="P31" s="183">
        <v>-57</v>
      </c>
      <c r="Q31" s="183">
        <v>-53</v>
      </c>
      <c r="R31" s="183">
        <v>-51</v>
      </c>
      <c r="S31" s="183">
        <v>-51</v>
      </c>
      <c r="T31" s="183">
        <v>-48</v>
      </c>
      <c r="U31" s="183">
        <v>-48</v>
      </c>
      <c r="V31" s="183">
        <v>-46</v>
      </c>
      <c r="W31" s="184">
        <v>-47</v>
      </c>
      <c r="X31" s="217"/>
      <c r="Y31" s="197" t="s">
        <v>258</v>
      </c>
      <c r="Z31" s="230">
        <v>-61</v>
      </c>
      <c r="AA31" s="231">
        <v>-60</v>
      </c>
      <c r="AB31" s="231">
        <v>-63</v>
      </c>
      <c r="AC31" s="231">
        <v>-57</v>
      </c>
      <c r="AD31" s="231">
        <v>-55</v>
      </c>
      <c r="AE31" s="231">
        <v>-55</v>
      </c>
      <c r="AF31" s="231">
        <v>-51</v>
      </c>
      <c r="AG31" s="231">
        <v>-50</v>
      </c>
      <c r="AH31" s="231">
        <v>-48</v>
      </c>
      <c r="AI31" s="232">
        <v>-49</v>
      </c>
      <c r="AJ31" s="217"/>
      <c r="AK31" s="197" t="s">
        <v>258</v>
      </c>
      <c r="AL31" s="198">
        <v>-66</v>
      </c>
      <c r="AM31" s="199">
        <v>-65</v>
      </c>
      <c r="AN31" s="199">
        <v>-68</v>
      </c>
      <c r="AO31" s="199">
        <v>-62</v>
      </c>
      <c r="AP31" s="199">
        <v>-60</v>
      </c>
      <c r="AQ31" s="199">
        <v>-60</v>
      </c>
      <c r="AR31" s="199">
        <v>-56</v>
      </c>
      <c r="AS31" s="199">
        <v>-56</v>
      </c>
      <c r="AT31" s="199">
        <v>-54</v>
      </c>
      <c r="AU31" s="200">
        <v>-55</v>
      </c>
      <c r="AW31" s="197" t="s">
        <v>258</v>
      </c>
      <c r="AX31" s="201">
        <f t="shared" si="5"/>
        <v>-71</v>
      </c>
      <c r="AY31" s="202">
        <f t="shared" si="4"/>
        <v>-70</v>
      </c>
      <c r="AZ31" s="202">
        <f t="shared" si="4"/>
        <v>-73</v>
      </c>
      <c r="BA31" s="202">
        <f t="shared" si="4"/>
        <v>-67</v>
      </c>
      <c r="BB31" s="202">
        <f t="shared" si="4"/>
        <v>-65</v>
      </c>
      <c r="BC31" s="202">
        <f t="shared" si="4"/>
        <v>-65</v>
      </c>
      <c r="BD31" s="202">
        <f t="shared" si="4"/>
        <v>-61</v>
      </c>
      <c r="BE31" s="202">
        <f t="shared" si="4"/>
        <v>-61</v>
      </c>
      <c r="BF31" s="202">
        <f t="shared" si="4"/>
        <v>-59</v>
      </c>
      <c r="BG31" s="203">
        <f t="shared" si="4"/>
        <v>-60</v>
      </c>
    </row>
    <row r="32" spans="1:59" ht="15.75" thickBot="1" x14ac:dyDescent="0.3">
      <c r="A32" s="204" t="s">
        <v>265</v>
      </c>
      <c r="B32" s="207">
        <v>-53</v>
      </c>
      <c r="C32" s="205">
        <v>-53</v>
      </c>
      <c r="D32" s="205">
        <v>-53</v>
      </c>
      <c r="E32" s="205">
        <v>-51</v>
      </c>
      <c r="F32" s="205">
        <v>-49</v>
      </c>
      <c r="G32" s="205">
        <v>-48</v>
      </c>
      <c r="H32" s="205">
        <v>-47</v>
      </c>
      <c r="I32" s="205">
        <v>-43</v>
      </c>
      <c r="J32" s="205">
        <v>-43</v>
      </c>
      <c r="K32" s="206">
        <v>-41</v>
      </c>
      <c r="L32" s="217"/>
      <c r="M32" s="204" t="s">
        <v>265</v>
      </c>
      <c r="N32" s="207">
        <v>-58</v>
      </c>
      <c r="O32" s="205">
        <v>-56</v>
      </c>
      <c r="P32" s="205">
        <v>-56</v>
      </c>
      <c r="Q32" s="205">
        <v>-54</v>
      </c>
      <c r="R32" s="205">
        <v>-52</v>
      </c>
      <c r="S32" s="205">
        <v>-50</v>
      </c>
      <c r="T32" s="205">
        <v>-49</v>
      </c>
      <c r="U32" s="205">
        <v>-45</v>
      </c>
      <c r="V32" s="205">
        <v>-45</v>
      </c>
      <c r="W32" s="206">
        <v>-43</v>
      </c>
      <c r="X32" s="217"/>
      <c r="Y32" s="208" t="s">
        <v>265</v>
      </c>
      <c r="Z32" s="233">
        <v>-62</v>
      </c>
      <c r="AA32" s="234">
        <v>-60</v>
      </c>
      <c r="AB32" s="234">
        <v>-62</v>
      </c>
      <c r="AC32" s="234">
        <v>-58</v>
      </c>
      <c r="AD32" s="234">
        <v>-56</v>
      </c>
      <c r="AE32" s="234">
        <v>-54</v>
      </c>
      <c r="AF32" s="234">
        <v>-52</v>
      </c>
      <c r="AG32" s="234">
        <v>-47</v>
      </c>
      <c r="AH32" s="234">
        <v>-47</v>
      </c>
      <c r="AI32" s="235">
        <v>-45</v>
      </c>
      <c r="AJ32" s="217"/>
      <c r="AK32" s="208" t="s">
        <v>265</v>
      </c>
      <c r="AL32" s="209">
        <v>-67</v>
      </c>
      <c r="AM32" s="210">
        <v>-65</v>
      </c>
      <c r="AN32" s="210">
        <v>-67</v>
      </c>
      <c r="AO32" s="210">
        <v>-63</v>
      </c>
      <c r="AP32" s="210">
        <v>-61</v>
      </c>
      <c r="AQ32" s="210">
        <v>-59</v>
      </c>
      <c r="AR32" s="210">
        <v>-57</v>
      </c>
      <c r="AS32" s="210">
        <v>-53</v>
      </c>
      <c r="AT32" s="210">
        <v>-53</v>
      </c>
      <c r="AU32" s="211">
        <v>-51</v>
      </c>
      <c r="AW32" s="208" t="s">
        <v>265</v>
      </c>
      <c r="AX32" s="212">
        <f t="shared" si="5"/>
        <v>-72</v>
      </c>
      <c r="AY32" s="213">
        <f t="shared" si="4"/>
        <v>-70</v>
      </c>
      <c r="AZ32" s="213">
        <f t="shared" si="4"/>
        <v>-72</v>
      </c>
      <c r="BA32" s="213">
        <f t="shared" si="4"/>
        <v>-68</v>
      </c>
      <c r="BB32" s="213">
        <f t="shared" si="4"/>
        <v>-66</v>
      </c>
      <c r="BC32" s="213">
        <f t="shared" si="4"/>
        <v>-64</v>
      </c>
      <c r="BD32" s="213">
        <f t="shared" si="4"/>
        <v>-62</v>
      </c>
      <c r="BE32" s="213">
        <f t="shared" si="4"/>
        <v>-58</v>
      </c>
      <c r="BF32" s="213">
        <f t="shared" si="4"/>
        <v>-58</v>
      </c>
      <c r="BG32" s="214">
        <f t="shared" si="4"/>
        <v>-56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-55</v>
      </c>
      <c r="C37" s="186">
        <v>-52</v>
      </c>
      <c r="D37" s="186">
        <v>-55</v>
      </c>
      <c r="E37" s="186">
        <v>-55</v>
      </c>
      <c r="F37" s="186">
        <v>-58</v>
      </c>
      <c r="G37" s="186">
        <v>-57</v>
      </c>
      <c r="H37" s="186">
        <v>-52</v>
      </c>
      <c r="I37" s="186">
        <v>-49</v>
      </c>
      <c r="J37" s="186">
        <v>-53</v>
      </c>
      <c r="K37" s="187">
        <v>-52</v>
      </c>
      <c r="L37" s="217"/>
      <c r="M37" s="236" t="s">
        <v>187</v>
      </c>
      <c r="N37" s="185">
        <v>-61</v>
      </c>
      <c r="O37" s="186">
        <v>-58</v>
      </c>
      <c r="P37" s="186">
        <v>-60</v>
      </c>
      <c r="Q37" s="186">
        <v>-60</v>
      </c>
      <c r="R37" s="186">
        <v>-63</v>
      </c>
      <c r="S37" s="186">
        <v>-62</v>
      </c>
      <c r="T37" s="186">
        <v>-56</v>
      </c>
      <c r="U37" s="186">
        <v>-53</v>
      </c>
      <c r="V37" s="186">
        <v>-57</v>
      </c>
      <c r="W37" s="187">
        <v>-56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-69</v>
      </c>
      <c r="AG37" s="228">
        <v>-66</v>
      </c>
      <c r="AH37" s="228">
        <v>-69</v>
      </c>
      <c r="AI37" s="229">
        <v>-69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-57</v>
      </c>
      <c r="C38" s="183">
        <v>-53</v>
      </c>
      <c r="D38" s="183">
        <v>-55</v>
      </c>
      <c r="E38" s="183">
        <v>-56</v>
      </c>
      <c r="F38" s="183">
        <v>-58</v>
      </c>
      <c r="G38" s="183">
        <v>-58</v>
      </c>
      <c r="H38" s="183">
        <v>-54</v>
      </c>
      <c r="I38" s="183">
        <v>-49</v>
      </c>
      <c r="J38" s="183">
        <v>-52</v>
      </c>
      <c r="K38" s="184">
        <v>-54</v>
      </c>
      <c r="L38" s="217"/>
      <c r="M38" s="195" t="s">
        <v>214</v>
      </c>
      <c r="N38" s="196">
        <v>-63</v>
      </c>
      <c r="O38" s="183">
        <v>-59</v>
      </c>
      <c r="P38" s="183">
        <v>-60</v>
      </c>
      <c r="Q38" s="183">
        <v>-61</v>
      </c>
      <c r="R38" s="183">
        <v>-63</v>
      </c>
      <c r="S38" s="183">
        <v>-63</v>
      </c>
      <c r="T38" s="183">
        <v>-58</v>
      </c>
      <c r="U38" s="183">
        <v>-53</v>
      </c>
      <c r="V38" s="183">
        <v>-56</v>
      </c>
      <c r="W38" s="184">
        <v>-58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-66</v>
      </c>
      <c r="AH38" s="231">
        <v>-69</v>
      </c>
      <c r="AI38" s="232">
        <v>-69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-62</v>
      </c>
      <c r="C39" s="183">
        <v>-59</v>
      </c>
      <c r="D39" s="183">
        <v>-60</v>
      </c>
      <c r="E39" s="183">
        <v>-60</v>
      </c>
      <c r="F39" s="183">
        <v>-57</v>
      </c>
      <c r="G39" s="183">
        <v>-57</v>
      </c>
      <c r="H39" s="183">
        <v>-54</v>
      </c>
      <c r="I39" s="183">
        <v>-55</v>
      </c>
      <c r="J39" s="183">
        <v>-51</v>
      </c>
      <c r="K39" s="184">
        <v>-54</v>
      </c>
      <c r="L39" s="217"/>
      <c r="M39" s="195" t="s">
        <v>233</v>
      </c>
      <c r="N39" s="196">
        <v>-67</v>
      </c>
      <c r="O39" s="183">
        <v>-65</v>
      </c>
      <c r="P39" s="183">
        <v>-65</v>
      </c>
      <c r="Q39" s="183">
        <v>-65</v>
      </c>
      <c r="R39" s="183">
        <v>-62</v>
      </c>
      <c r="S39" s="183">
        <v>-62</v>
      </c>
      <c r="T39" s="183">
        <v>-58</v>
      </c>
      <c r="U39" s="183">
        <v>-59</v>
      </c>
      <c r="V39" s="183">
        <v>-55</v>
      </c>
      <c r="W39" s="184">
        <v>-58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-68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-63</v>
      </c>
      <c r="C40" s="183">
        <v>-63</v>
      </c>
      <c r="D40" s="183">
        <v>-63</v>
      </c>
      <c r="E40" s="183">
        <v>-60</v>
      </c>
      <c r="F40" s="183">
        <v>-59</v>
      </c>
      <c r="G40" s="183">
        <v>-56</v>
      </c>
      <c r="H40" s="183">
        <v>-53</v>
      </c>
      <c r="I40" s="183">
        <v>-54</v>
      </c>
      <c r="J40" s="183">
        <v>-53</v>
      </c>
      <c r="K40" s="184">
        <v>-52</v>
      </c>
      <c r="L40" s="217"/>
      <c r="M40" s="195" t="s">
        <v>242</v>
      </c>
      <c r="N40" s="196">
        <v>-67</v>
      </c>
      <c r="O40" s="183">
        <v>-67</v>
      </c>
      <c r="P40" s="183">
        <v>-67</v>
      </c>
      <c r="Q40" s="183">
        <v>-65</v>
      </c>
      <c r="R40" s="183">
        <v>-64</v>
      </c>
      <c r="S40" s="183">
        <v>-61</v>
      </c>
      <c r="T40" s="183">
        <v>-57</v>
      </c>
      <c r="U40" s="183">
        <v>-58</v>
      </c>
      <c r="V40" s="183">
        <v>-57</v>
      </c>
      <c r="W40" s="184">
        <v>-56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-69</v>
      </c>
      <c r="AG40" s="231">
        <v>-69</v>
      </c>
      <c r="AH40" s="231">
        <v>-69</v>
      </c>
      <c r="AI40" s="232">
        <v>-68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250</v>
      </c>
      <c r="B41" s="196">
        <v>-63</v>
      </c>
      <c r="C41" s="183">
        <v>-65</v>
      </c>
      <c r="D41" s="183">
        <v>-63</v>
      </c>
      <c r="E41" s="183">
        <v>-63</v>
      </c>
      <c r="F41" s="183">
        <v>-59</v>
      </c>
      <c r="G41" s="183">
        <v>-56</v>
      </c>
      <c r="H41" s="183">
        <v>-52</v>
      </c>
      <c r="I41" s="183">
        <v>-57</v>
      </c>
      <c r="J41" s="183">
        <v>-51</v>
      </c>
      <c r="K41" s="184">
        <v>-51</v>
      </c>
      <c r="L41" s="217"/>
      <c r="M41" s="195" t="s">
        <v>250</v>
      </c>
      <c r="N41" s="196">
        <v>-67</v>
      </c>
      <c r="O41" s="183">
        <v>-67</v>
      </c>
      <c r="P41" s="183">
        <v>-67</v>
      </c>
      <c r="Q41" s="183">
        <v>-67</v>
      </c>
      <c r="R41" s="183">
        <v>-64</v>
      </c>
      <c r="S41" s="183">
        <v>-61</v>
      </c>
      <c r="T41" s="183">
        <v>-56</v>
      </c>
      <c r="U41" s="183">
        <v>-61</v>
      </c>
      <c r="V41" s="183">
        <v>-55</v>
      </c>
      <c r="W41" s="184">
        <v>-55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-68</v>
      </c>
      <c r="AG41" s="231">
        <v>-69</v>
      </c>
      <c r="AH41" s="231">
        <v>-67</v>
      </c>
      <c r="AI41" s="232">
        <v>-67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258</v>
      </c>
      <c r="B42" s="196">
        <v>-62</v>
      </c>
      <c r="C42" s="183">
        <v>-63</v>
      </c>
      <c r="D42" s="183">
        <v>-64</v>
      </c>
      <c r="E42" s="183">
        <v>-61</v>
      </c>
      <c r="F42" s="183">
        <v>-57</v>
      </c>
      <c r="G42" s="183">
        <v>-57</v>
      </c>
      <c r="H42" s="183">
        <v>-54</v>
      </c>
      <c r="I42" s="183">
        <v>-54</v>
      </c>
      <c r="J42" s="183">
        <v>-52</v>
      </c>
      <c r="K42" s="184">
        <v>-53</v>
      </c>
      <c r="L42" s="217"/>
      <c r="M42" s="195" t="s">
        <v>258</v>
      </c>
      <c r="N42" s="196">
        <v>-67</v>
      </c>
      <c r="O42" s="183">
        <v>-67</v>
      </c>
      <c r="P42" s="183">
        <v>-67</v>
      </c>
      <c r="Q42" s="183">
        <v>-65</v>
      </c>
      <c r="R42" s="183">
        <v>-60</v>
      </c>
      <c r="S42" s="183">
        <v>-60</v>
      </c>
      <c r="T42" s="183">
        <v>-57</v>
      </c>
      <c r="U42" s="183">
        <v>-57</v>
      </c>
      <c r="V42" s="183">
        <v>-55</v>
      </c>
      <c r="W42" s="184">
        <v>-56</v>
      </c>
      <c r="X42" s="217"/>
      <c r="Y42" s="197" t="s">
        <v>258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-69</v>
      </c>
      <c r="AG42" s="231">
        <v>-69</v>
      </c>
      <c r="AH42" s="231">
        <v>-67</v>
      </c>
      <c r="AI42" s="232">
        <v>-68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-63</v>
      </c>
      <c r="C43" s="205">
        <v>-63</v>
      </c>
      <c r="D43" s="205">
        <v>-63</v>
      </c>
      <c r="E43" s="205">
        <v>-62</v>
      </c>
      <c r="F43" s="205">
        <v>-58</v>
      </c>
      <c r="G43" s="205">
        <v>-56</v>
      </c>
      <c r="H43" s="205">
        <v>-55</v>
      </c>
      <c r="I43" s="205">
        <v>-51</v>
      </c>
      <c r="J43" s="205">
        <v>-51</v>
      </c>
      <c r="K43" s="206">
        <v>-49</v>
      </c>
      <c r="L43" s="217"/>
      <c r="M43" s="204" t="s">
        <v>265</v>
      </c>
      <c r="N43" s="207">
        <v>-67</v>
      </c>
      <c r="O43" s="205">
        <v>-67</v>
      </c>
      <c r="P43" s="205">
        <v>-67</v>
      </c>
      <c r="Q43" s="205">
        <v>-66</v>
      </c>
      <c r="R43" s="205">
        <v>-61</v>
      </c>
      <c r="S43" s="205">
        <v>-59</v>
      </c>
      <c r="T43" s="205">
        <v>-58</v>
      </c>
      <c r="U43" s="205">
        <v>-54</v>
      </c>
      <c r="V43" s="205">
        <v>-54</v>
      </c>
      <c r="W43" s="206">
        <v>-52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-69</v>
      </c>
      <c r="AF43" s="234">
        <v>-69</v>
      </c>
      <c r="AG43" s="234">
        <v>-66</v>
      </c>
      <c r="AH43" s="234">
        <v>-66</v>
      </c>
      <c r="AI43" s="235">
        <v>-64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-69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-74</v>
      </c>
    </row>
  </sheetData>
  <sheetProtection algorithmName="SHA-512" hashValue="X0o2L+HtWavyIOiQLY7GrmTKftUNdxiChTHfO5AZseWk12tbjDI3j6nQUglbNjrpH9wLqpGuRaon5R5WP9iDRA==" saltValue="ePNEb6TDeGROeF8bKVCHr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797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-25</v>
      </c>
      <c r="C4" s="183">
        <v>-21</v>
      </c>
      <c r="D4" s="183">
        <v>-18</v>
      </c>
      <c r="E4" s="183">
        <v>-30</v>
      </c>
      <c r="F4" s="183">
        <v>-32</v>
      </c>
      <c r="G4" s="183">
        <v>-29</v>
      </c>
      <c r="H4" s="183">
        <v>-28</v>
      </c>
      <c r="I4" s="183">
        <v>-28</v>
      </c>
      <c r="J4" s="183">
        <v>-24</v>
      </c>
      <c r="K4" s="184">
        <v>-30</v>
      </c>
      <c r="L4" s="217"/>
      <c r="M4" s="182" t="s">
        <v>187</v>
      </c>
      <c r="N4" s="185">
        <v>-33</v>
      </c>
      <c r="O4" s="186">
        <v>-27</v>
      </c>
      <c r="P4" s="186">
        <v>-23</v>
      </c>
      <c r="Q4" s="186">
        <v>-34</v>
      </c>
      <c r="R4" s="186">
        <v>-36</v>
      </c>
      <c r="S4" s="186">
        <v>-33</v>
      </c>
      <c r="T4" s="186">
        <v>-31</v>
      </c>
      <c r="U4" s="186">
        <v>-30</v>
      </c>
      <c r="V4" s="186">
        <v>-26</v>
      </c>
      <c r="W4" s="187">
        <v>-32</v>
      </c>
      <c r="X4" s="217"/>
      <c r="Y4" s="188" t="s">
        <v>187</v>
      </c>
      <c r="Z4" s="189">
        <v>-36</v>
      </c>
      <c r="AA4" s="190">
        <v>-31</v>
      </c>
      <c r="AB4" s="190">
        <v>-28</v>
      </c>
      <c r="AC4" s="190">
        <v>-39</v>
      </c>
      <c r="AD4" s="190">
        <v>-41</v>
      </c>
      <c r="AE4" s="190">
        <v>-37</v>
      </c>
      <c r="AF4" s="190">
        <v>-35</v>
      </c>
      <c r="AG4" s="190">
        <v>-33</v>
      </c>
      <c r="AH4" s="190">
        <v>-29</v>
      </c>
      <c r="AI4" s="191">
        <v>-35</v>
      </c>
      <c r="AJ4" s="217"/>
      <c r="AK4" s="188" t="s">
        <v>187</v>
      </c>
      <c r="AL4" s="189">
        <v>-41</v>
      </c>
      <c r="AM4" s="190">
        <v>-35</v>
      </c>
      <c r="AN4" s="190">
        <v>-32</v>
      </c>
      <c r="AO4" s="190">
        <v>-43</v>
      </c>
      <c r="AP4" s="190">
        <v>-44</v>
      </c>
      <c r="AQ4" s="190">
        <v>-41</v>
      </c>
      <c r="AR4" s="190">
        <v>-40</v>
      </c>
      <c r="AS4" s="190">
        <v>-38</v>
      </c>
      <c r="AT4" s="190">
        <v>-34</v>
      </c>
      <c r="AU4" s="191">
        <v>-40</v>
      </c>
      <c r="AW4" s="188" t="s">
        <v>187</v>
      </c>
      <c r="AX4" s="192">
        <f>AL4-5</f>
        <v>-46</v>
      </c>
      <c r="AY4" s="193">
        <f t="shared" ref="AY4:BG10" si="0">AM4-5</f>
        <v>-40</v>
      </c>
      <c r="AZ4" s="193">
        <f t="shared" si="0"/>
        <v>-37</v>
      </c>
      <c r="BA4" s="193">
        <f t="shared" si="0"/>
        <v>-48</v>
      </c>
      <c r="BB4" s="193">
        <f t="shared" si="0"/>
        <v>-49</v>
      </c>
      <c r="BC4" s="193">
        <f t="shared" si="0"/>
        <v>-46</v>
      </c>
      <c r="BD4" s="193">
        <f t="shared" si="0"/>
        <v>-45</v>
      </c>
      <c r="BE4" s="193">
        <f t="shared" si="0"/>
        <v>-43</v>
      </c>
      <c r="BF4" s="193">
        <f t="shared" si="0"/>
        <v>-39</v>
      </c>
      <c r="BG4" s="194">
        <f t="shared" si="0"/>
        <v>-45</v>
      </c>
    </row>
    <row r="5" spans="1:59" ht="14.45" x14ac:dyDescent="0.3">
      <c r="A5" s="195" t="s">
        <v>214</v>
      </c>
      <c r="B5" s="183">
        <v>-26</v>
      </c>
      <c r="C5" s="183">
        <v>-20</v>
      </c>
      <c r="D5" s="183">
        <v>-19</v>
      </c>
      <c r="E5" s="183">
        <v>-28</v>
      </c>
      <c r="F5" s="183">
        <v>-32</v>
      </c>
      <c r="G5" s="183">
        <v>-32</v>
      </c>
      <c r="H5" s="183">
        <v>-26</v>
      </c>
      <c r="I5" s="183">
        <v>-29</v>
      </c>
      <c r="J5" s="183">
        <v>-27</v>
      </c>
      <c r="K5" s="184">
        <v>-30</v>
      </c>
      <c r="L5" s="217"/>
      <c r="M5" s="195" t="s">
        <v>214</v>
      </c>
      <c r="N5" s="196">
        <v>-34</v>
      </c>
      <c r="O5" s="183">
        <v>-26</v>
      </c>
      <c r="P5" s="183">
        <v>-24</v>
      </c>
      <c r="Q5" s="183">
        <v>-32</v>
      </c>
      <c r="R5" s="183">
        <v>-36</v>
      </c>
      <c r="S5" s="183">
        <v>-36</v>
      </c>
      <c r="T5" s="183">
        <v>-29</v>
      </c>
      <c r="U5" s="183">
        <v>-31</v>
      </c>
      <c r="V5" s="183">
        <v>-29</v>
      </c>
      <c r="W5" s="184">
        <v>-32</v>
      </c>
      <c r="X5" s="217"/>
      <c r="Y5" s="197" t="s">
        <v>214</v>
      </c>
      <c r="Z5" s="198">
        <v>-37</v>
      </c>
      <c r="AA5" s="199">
        <v>-30</v>
      </c>
      <c r="AB5" s="199">
        <v>-29</v>
      </c>
      <c r="AC5" s="199">
        <v>-37</v>
      </c>
      <c r="AD5" s="199">
        <v>-41</v>
      </c>
      <c r="AE5" s="199">
        <v>-40</v>
      </c>
      <c r="AF5" s="199">
        <v>-33</v>
      </c>
      <c r="AG5" s="199">
        <v>-34</v>
      </c>
      <c r="AH5" s="199">
        <v>-32</v>
      </c>
      <c r="AI5" s="200">
        <v>-35</v>
      </c>
      <c r="AJ5" s="217"/>
      <c r="AK5" s="197" t="s">
        <v>214</v>
      </c>
      <c r="AL5" s="198">
        <v>-42</v>
      </c>
      <c r="AM5" s="199">
        <v>-34</v>
      </c>
      <c r="AN5" s="199">
        <v>-33</v>
      </c>
      <c r="AO5" s="199">
        <v>-41</v>
      </c>
      <c r="AP5" s="199">
        <v>-44</v>
      </c>
      <c r="AQ5" s="199">
        <v>-44</v>
      </c>
      <c r="AR5" s="199">
        <v>-38</v>
      </c>
      <c r="AS5" s="199">
        <v>-39</v>
      </c>
      <c r="AT5" s="199">
        <v>-37</v>
      </c>
      <c r="AU5" s="200">
        <v>-40</v>
      </c>
      <c r="AW5" s="197" t="s">
        <v>214</v>
      </c>
      <c r="AX5" s="201">
        <f t="shared" ref="AX5:AX10" si="1">AL5-5</f>
        <v>-47</v>
      </c>
      <c r="AY5" s="202">
        <f t="shared" si="0"/>
        <v>-39</v>
      </c>
      <c r="AZ5" s="202">
        <f t="shared" si="0"/>
        <v>-38</v>
      </c>
      <c r="BA5" s="202">
        <f t="shared" si="0"/>
        <v>-46</v>
      </c>
      <c r="BB5" s="202">
        <f t="shared" si="0"/>
        <v>-49</v>
      </c>
      <c r="BC5" s="202">
        <f t="shared" si="0"/>
        <v>-49</v>
      </c>
      <c r="BD5" s="202">
        <f t="shared" si="0"/>
        <v>-43</v>
      </c>
      <c r="BE5" s="202">
        <f t="shared" si="0"/>
        <v>-44</v>
      </c>
      <c r="BF5" s="202">
        <f t="shared" si="0"/>
        <v>-42</v>
      </c>
      <c r="BG5" s="203">
        <f t="shared" si="0"/>
        <v>-45</v>
      </c>
    </row>
    <row r="6" spans="1:59" ht="14.45" x14ac:dyDescent="0.3">
      <c r="A6" s="195" t="s">
        <v>233</v>
      </c>
      <c r="B6" s="183">
        <v>-30</v>
      </c>
      <c r="C6" s="183">
        <v>-30</v>
      </c>
      <c r="D6" s="183">
        <v>-31</v>
      </c>
      <c r="E6" s="183">
        <v>-29</v>
      </c>
      <c r="F6" s="183">
        <v>-33</v>
      </c>
      <c r="G6" s="183">
        <v>-35</v>
      </c>
      <c r="H6" s="183">
        <v>-29</v>
      </c>
      <c r="I6" s="183">
        <v>-29</v>
      </c>
      <c r="J6" s="183">
        <v>-29</v>
      </c>
      <c r="K6" s="184">
        <v>-35</v>
      </c>
      <c r="L6" s="217"/>
      <c r="M6" s="195" t="s">
        <v>233</v>
      </c>
      <c r="N6" s="196">
        <v>-38</v>
      </c>
      <c r="O6" s="183">
        <v>-36</v>
      </c>
      <c r="P6" s="183">
        <v>-36</v>
      </c>
      <c r="Q6" s="183">
        <v>-33</v>
      </c>
      <c r="R6" s="183">
        <v>-37</v>
      </c>
      <c r="S6" s="183">
        <v>-39</v>
      </c>
      <c r="T6" s="183">
        <v>-32</v>
      </c>
      <c r="U6" s="183">
        <v>-31</v>
      </c>
      <c r="V6" s="183">
        <v>-31</v>
      </c>
      <c r="W6" s="184">
        <v>-37</v>
      </c>
      <c r="X6" s="217"/>
      <c r="Y6" s="197" t="s">
        <v>233</v>
      </c>
      <c r="Z6" s="198">
        <v>-41</v>
      </c>
      <c r="AA6" s="199">
        <v>-40</v>
      </c>
      <c r="AB6" s="199">
        <v>-41</v>
      </c>
      <c r="AC6" s="199">
        <v>-38</v>
      </c>
      <c r="AD6" s="199">
        <v>-42</v>
      </c>
      <c r="AE6" s="199">
        <v>-43</v>
      </c>
      <c r="AF6" s="199">
        <v>-36</v>
      </c>
      <c r="AG6" s="199">
        <v>-34</v>
      </c>
      <c r="AH6" s="199">
        <v>-34</v>
      </c>
      <c r="AI6" s="200">
        <v>-40</v>
      </c>
      <c r="AJ6" s="217"/>
      <c r="AK6" s="197" t="s">
        <v>233</v>
      </c>
      <c r="AL6" s="198">
        <v>-46</v>
      </c>
      <c r="AM6" s="199">
        <v>-44</v>
      </c>
      <c r="AN6" s="199">
        <v>-45</v>
      </c>
      <c r="AO6" s="199">
        <v>-42</v>
      </c>
      <c r="AP6" s="199">
        <v>-45</v>
      </c>
      <c r="AQ6" s="199">
        <v>-47</v>
      </c>
      <c r="AR6" s="199">
        <v>-41</v>
      </c>
      <c r="AS6" s="199">
        <v>-39</v>
      </c>
      <c r="AT6" s="199">
        <v>-39</v>
      </c>
      <c r="AU6" s="200">
        <v>-45</v>
      </c>
      <c r="AW6" s="197" t="s">
        <v>233</v>
      </c>
      <c r="AX6" s="201">
        <f t="shared" si="1"/>
        <v>-51</v>
      </c>
      <c r="AY6" s="202">
        <f t="shared" si="0"/>
        <v>-49</v>
      </c>
      <c r="AZ6" s="202">
        <f t="shared" si="0"/>
        <v>-50</v>
      </c>
      <c r="BA6" s="202">
        <f t="shared" si="0"/>
        <v>-47</v>
      </c>
      <c r="BB6" s="202">
        <f t="shared" si="0"/>
        <v>-50</v>
      </c>
      <c r="BC6" s="202">
        <f t="shared" si="0"/>
        <v>-52</v>
      </c>
      <c r="BD6" s="202">
        <f t="shared" si="0"/>
        <v>-46</v>
      </c>
      <c r="BE6" s="202">
        <f t="shared" si="0"/>
        <v>-44</v>
      </c>
      <c r="BF6" s="202">
        <f t="shared" si="0"/>
        <v>-44</v>
      </c>
      <c r="BG6" s="203">
        <f t="shared" si="0"/>
        <v>-50</v>
      </c>
    </row>
    <row r="7" spans="1:59" ht="14.45" x14ac:dyDescent="0.3">
      <c r="A7" s="195" t="s">
        <v>242</v>
      </c>
      <c r="B7" s="183">
        <v>-29</v>
      </c>
      <c r="C7" s="183">
        <v>-31</v>
      </c>
      <c r="D7" s="183">
        <v>-30</v>
      </c>
      <c r="E7" s="183">
        <v>-32</v>
      </c>
      <c r="F7" s="183">
        <v>-33</v>
      </c>
      <c r="G7" s="183">
        <v>-35</v>
      </c>
      <c r="H7" s="183">
        <v>-28</v>
      </c>
      <c r="I7" s="183">
        <v>-29</v>
      </c>
      <c r="J7" s="183">
        <v>-28</v>
      </c>
      <c r="K7" s="184">
        <v>-32</v>
      </c>
      <c r="L7" s="217"/>
      <c r="M7" s="195" t="s">
        <v>242</v>
      </c>
      <c r="N7" s="196">
        <v>-36</v>
      </c>
      <c r="O7" s="183">
        <v>-36</v>
      </c>
      <c r="P7" s="183">
        <v>-35</v>
      </c>
      <c r="Q7" s="183">
        <v>-36</v>
      </c>
      <c r="R7" s="183">
        <v>-37</v>
      </c>
      <c r="S7" s="183">
        <v>-39</v>
      </c>
      <c r="T7" s="183">
        <v>-31</v>
      </c>
      <c r="U7" s="183">
        <v>-31</v>
      </c>
      <c r="V7" s="183">
        <v>-30</v>
      </c>
      <c r="W7" s="184">
        <v>-34</v>
      </c>
      <c r="X7" s="217"/>
      <c r="Y7" s="197" t="s">
        <v>242</v>
      </c>
      <c r="Z7" s="198">
        <v>-40</v>
      </c>
      <c r="AA7" s="199">
        <v>-41</v>
      </c>
      <c r="AB7" s="199">
        <v>-39</v>
      </c>
      <c r="AC7" s="199">
        <v>-41</v>
      </c>
      <c r="AD7" s="199">
        <v>-42</v>
      </c>
      <c r="AE7" s="199">
        <v>-42</v>
      </c>
      <c r="AF7" s="199">
        <v>-34</v>
      </c>
      <c r="AG7" s="199">
        <v>-34</v>
      </c>
      <c r="AH7" s="199">
        <v>-33</v>
      </c>
      <c r="AI7" s="200">
        <v>-37</v>
      </c>
      <c r="AJ7" s="217"/>
      <c r="AK7" s="197" t="s">
        <v>242</v>
      </c>
      <c r="AL7" s="198">
        <v>-44</v>
      </c>
      <c r="AM7" s="199">
        <v>-44</v>
      </c>
      <c r="AN7" s="199">
        <v>-43</v>
      </c>
      <c r="AO7" s="199">
        <v>-44</v>
      </c>
      <c r="AP7" s="199">
        <v>-45</v>
      </c>
      <c r="AQ7" s="199">
        <v>-46</v>
      </c>
      <c r="AR7" s="199">
        <v>-39</v>
      </c>
      <c r="AS7" s="199">
        <v>-39</v>
      </c>
      <c r="AT7" s="199">
        <v>-38</v>
      </c>
      <c r="AU7" s="200">
        <v>-42</v>
      </c>
      <c r="AW7" s="197" t="s">
        <v>242</v>
      </c>
      <c r="AX7" s="201">
        <f t="shared" si="1"/>
        <v>-49</v>
      </c>
      <c r="AY7" s="202">
        <f t="shared" si="0"/>
        <v>-49</v>
      </c>
      <c r="AZ7" s="202">
        <f t="shared" si="0"/>
        <v>-48</v>
      </c>
      <c r="BA7" s="202">
        <f t="shared" si="0"/>
        <v>-49</v>
      </c>
      <c r="BB7" s="202">
        <f t="shared" si="0"/>
        <v>-50</v>
      </c>
      <c r="BC7" s="202">
        <f t="shared" si="0"/>
        <v>-51</v>
      </c>
      <c r="BD7" s="202">
        <f t="shared" si="0"/>
        <v>-44</v>
      </c>
      <c r="BE7" s="202">
        <f t="shared" si="0"/>
        <v>-44</v>
      </c>
      <c r="BF7" s="202">
        <f t="shared" si="0"/>
        <v>-43</v>
      </c>
      <c r="BG7" s="203">
        <f t="shared" si="0"/>
        <v>-47</v>
      </c>
    </row>
    <row r="8" spans="1:59" ht="14.45" x14ac:dyDescent="0.3">
      <c r="A8" s="195" t="s">
        <v>250</v>
      </c>
      <c r="B8" s="183">
        <v>-33</v>
      </c>
      <c r="C8" s="183">
        <v>-32</v>
      </c>
      <c r="D8" s="183">
        <v>-33</v>
      </c>
      <c r="E8" s="183">
        <v>-31</v>
      </c>
      <c r="F8" s="183">
        <v>-33</v>
      </c>
      <c r="G8" s="183">
        <v>-32</v>
      </c>
      <c r="H8" s="183">
        <v>-26</v>
      </c>
      <c r="I8" s="183">
        <v>-28</v>
      </c>
      <c r="J8" s="183">
        <v>-28</v>
      </c>
      <c r="K8" s="184">
        <v>-32</v>
      </c>
      <c r="L8" s="217"/>
      <c r="M8" s="195" t="s">
        <v>250</v>
      </c>
      <c r="N8" s="196">
        <v>-40</v>
      </c>
      <c r="O8" s="183">
        <v>-37</v>
      </c>
      <c r="P8" s="183">
        <v>-38</v>
      </c>
      <c r="Q8" s="183">
        <v>-35</v>
      </c>
      <c r="R8" s="183">
        <v>-37</v>
      </c>
      <c r="S8" s="183">
        <v>-36</v>
      </c>
      <c r="T8" s="183">
        <v>-29</v>
      </c>
      <c r="U8" s="183">
        <v>-30</v>
      </c>
      <c r="V8" s="183">
        <v>-30</v>
      </c>
      <c r="W8" s="184">
        <v>-34</v>
      </c>
      <c r="X8" s="217"/>
      <c r="Y8" s="197" t="s">
        <v>250</v>
      </c>
      <c r="Z8" s="198">
        <v>-44</v>
      </c>
      <c r="AA8" s="199">
        <v>-42</v>
      </c>
      <c r="AB8" s="199">
        <v>-42</v>
      </c>
      <c r="AC8" s="199">
        <v>-40</v>
      </c>
      <c r="AD8" s="199">
        <v>-42</v>
      </c>
      <c r="AE8" s="199">
        <v>-39</v>
      </c>
      <c r="AF8" s="199">
        <v>-32</v>
      </c>
      <c r="AG8" s="199">
        <v>-33</v>
      </c>
      <c r="AH8" s="199">
        <v>-33</v>
      </c>
      <c r="AI8" s="200">
        <v>-37</v>
      </c>
      <c r="AJ8" s="217"/>
      <c r="AK8" s="197" t="s">
        <v>250</v>
      </c>
      <c r="AL8" s="198">
        <v>-48</v>
      </c>
      <c r="AM8" s="199">
        <v>-45</v>
      </c>
      <c r="AN8" s="199">
        <v>-46</v>
      </c>
      <c r="AO8" s="199">
        <v>-43</v>
      </c>
      <c r="AP8" s="199">
        <v>-45</v>
      </c>
      <c r="AQ8" s="199">
        <v>-43</v>
      </c>
      <c r="AR8" s="199">
        <v>-37</v>
      </c>
      <c r="AS8" s="199">
        <v>-38</v>
      </c>
      <c r="AT8" s="199">
        <v>-38</v>
      </c>
      <c r="AU8" s="200">
        <v>-42</v>
      </c>
      <c r="AW8" s="197" t="s">
        <v>250</v>
      </c>
      <c r="AX8" s="201">
        <f t="shared" si="1"/>
        <v>-53</v>
      </c>
      <c r="AY8" s="202">
        <f t="shared" si="0"/>
        <v>-50</v>
      </c>
      <c r="AZ8" s="202">
        <f t="shared" si="0"/>
        <v>-51</v>
      </c>
      <c r="BA8" s="202">
        <f t="shared" si="0"/>
        <v>-48</v>
      </c>
      <c r="BB8" s="202">
        <f t="shared" si="0"/>
        <v>-50</v>
      </c>
      <c r="BC8" s="202">
        <f t="shared" si="0"/>
        <v>-48</v>
      </c>
      <c r="BD8" s="202">
        <f t="shared" si="0"/>
        <v>-42</v>
      </c>
      <c r="BE8" s="202">
        <f t="shared" si="0"/>
        <v>-43</v>
      </c>
      <c r="BF8" s="202">
        <f t="shared" si="0"/>
        <v>-43</v>
      </c>
      <c r="BG8" s="203">
        <f t="shared" si="0"/>
        <v>-47</v>
      </c>
    </row>
    <row r="9" spans="1:59" ht="14.45" x14ac:dyDescent="0.3">
      <c r="A9" s="195" t="s">
        <v>258</v>
      </c>
      <c r="B9" s="183">
        <v>-30</v>
      </c>
      <c r="C9" s="183">
        <v>-28</v>
      </c>
      <c r="D9" s="183">
        <v>-27</v>
      </c>
      <c r="E9" s="183">
        <v>-31</v>
      </c>
      <c r="F9" s="183">
        <v>-30</v>
      </c>
      <c r="G9" s="183">
        <v>-30</v>
      </c>
      <c r="H9" s="183">
        <v>-28</v>
      </c>
      <c r="I9" s="183">
        <v>-29</v>
      </c>
      <c r="J9" s="183">
        <v>-31</v>
      </c>
      <c r="K9" s="184">
        <v>-28</v>
      </c>
      <c r="L9" s="217"/>
      <c r="M9" s="195" t="s">
        <v>258</v>
      </c>
      <c r="N9" s="196">
        <v>-36</v>
      </c>
      <c r="O9" s="183">
        <v>-32</v>
      </c>
      <c r="P9" s="183">
        <v>-31</v>
      </c>
      <c r="Q9" s="183">
        <v>-35</v>
      </c>
      <c r="R9" s="183">
        <v>-34</v>
      </c>
      <c r="S9" s="183">
        <v>-33</v>
      </c>
      <c r="T9" s="183">
        <v>-30</v>
      </c>
      <c r="U9" s="183">
        <v>-31</v>
      </c>
      <c r="V9" s="183">
        <v>-33</v>
      </c>
      <c r="W9" s="184">
        <v>-30</v>
      </c>
      <c r="X9" s="217"/>
      <c r="Y9" s="197" t="s">
        <v>258</v>
      </c>
      <c r="Z9" s="198">
        <v>-41</v>
      </c>
      <c r="AA9" s="199">
        <v>-38</v>
      </c>
      <c r="AB9" s="199">
        <v>-36</v>
      </c>
      <c r="AC9" s="199">
        <v>-39</v>
      </c>
      <c r="AD9" s="199">
        <v>-38</v>
      </c>
      <c r="AE9" s="199">
        <v>-36</v>
      </c>
      <c r="AF9" s="199">
        <v>-33</v>
      </c>
      <c r="AG9" s="199">
        <v>-34</v>
      </c>
      <c r="AH9" s="199">
        <v>-36</v>
      </c>
      <c r="AI9" s="200">
        <v>-33</v>
      </c>
      <c r="AJ9" s="217"/>
      <c r="AK9" s="197" t="s">
        <v>258</v>
      </c>
      <c r="AL9" s="198">
        <v>-45</v>
      </c>
      <c r="AM9" s="199">
        <v>-41</v>
      </c>
      <c r="AN9" s="199">
        <v>-40</v>
      </c>
      <c r="AO9" s="199">
        <v>-42</v>
      </c>
      <c r="AP9" s="199">
        <v>-41</v>
      </c>
      <c r="AQ9" s="199">
        <v>-40</v>
      </c>
      <c r="AR9" s="199">
        <v>-38</v>
      </c>
      <c r="AS9" s="199">
        <v>-39</v>
      </c>
      <c r="AT9" s="199">
        <v>-41</v>
      </c>
      <c r="AU9" s="200">
        <v>-38</v>
      </c>
      <c r="AW9" s="197" t="s">
        <v>258</v>
      </c>
      <c r="AX9" s="201">
        <f t="shared" si="1"/>
        <v>-50</v>
      </c>
      <c r="AY9" s="202">
        <f t="shared" si="0"/>
        <v>-46</v>
      </c>
      <c r="AZ9" s="202">
        <f t="shared" si="0"/>
        <v>-45</v>
      </c>
      <c r="BA9" s="202">
        <f t="shared" si="0"/>
        <v>-47</v>
      </c>
      <c r="BB9" s="202">
        <f t="shared" si="0"/>
        <v>-46</v>
      </c>
      <c r="BC9" s="202">
        <f t="shared" si="0"/>
        <v>-45</v>
      </c>
      <c r="BD9" s="202">
        <f t="shared" si="0"/>
        <v>-43</v>
      </c>
      <c r="BE9" s="202">
        <f t="shared" si="0"/>
        <v>-44</v>
      </c>
      <c r="BF9" s="202">
        <f t="shared" si="0"/>
        <v>-46</v>
      </c>
      <c r="BG9" s="203">
        <f t="shared" si="0"/>
        <v>-43</v>
      </c>
    </row>
    <row r="10" spans="1:59" thickBot="1" x14ac:dyDescent="0.35">
      <c r="A10" s="204" t="s">
        <v>265</v>
      </c>
      <c r="B10" s="205">
        <v>-28</v>
      </c>
      <c r="C10" s="205">
        <v>-30</v>
      </c>
      <c r="D10" s="205">
        <v>-32</v>
      </c>
      <c r="E10" s="205">
        <v>-32</v>
      </c>
      <c r="F10" s="205">
        <v>-31</v>
      </c>
      <c r="G10" s="205">
        <v>-30</v>
      </c>
      <c r="H10" s="205">
        <v>-30</v>
      </c>
      <c r="I10" s="205">
        <v>-28</v>
      </c>
      <c r="J10" s="205">
        <v>-29</v>
      </c>
      <c r="K10" s="206">
        <v>-30</v>
      </c>
      <c r="L10" s="217"/>
      <c r="M10" s="204" t="s">
        <v>265</v>
      </c>
      <c r="N10" s="207">
        <v>-34</v>
      </c>
      <c r="O10" s="205">
        <v>-34</v>
      </c>
      <c r="P10" s="205">
        <v>-36</v>
      </c>
      <c r="Q10" s="205">
        <v>-36</v>
      </c>
      <c r="R10" s="205">
        <v>-35</v>
      </c>
      <c r="S10" s="205">
        <v>-33</v>
      </c>
      <c r="T10" s="205">
        <v>-32</v>
      </c>
      <c r="U10" s="205">
        <v>-30</v>
      </c>
      <c r="V10" s="205">
        <v>-31</v>
      </c>
      <c r="W10" s="206">
        <v>-32</v>
      </c>
      <c r="X10" s="217"/>
      <c r="Y10" s="208" t="s">
        <v>265</v>
      </c>
      <c r="Z10" s="209">
        <v>-39</v>
      </c>
      <c r="AA10" s="210">
        <v>-40</v>
      </c>
      <c r="AB10" s="210">
        <v>-41</v>
      </c>
      <c r="AC10" s="210">
        <v>-40</v>
      </c>
      <c r="AD10" s="210">
        <v>-39</v>
      </c>
      <c r="AE10" s="210">
        <v>-36</v>
      </c>
      <c r="AF10" s="210">
        <v>-35</v>
      </c>
      <c r="AG10" s="210">
        <v>-33</v>
      </c>
      <c r="AH10" s="210">
        <v>-34</v>
      </c>
      <c r="AI10" s="211">
        <v>-35</v>
      </c>
      <c r="AJ10" s="217"/>
      <c r="AK10" s="208" t="s">
        <v>265</v>
      </c>
      <c r="AL10" s="209">
        <v>-43</v>
      </c>
      <c r="AM10" s="210">
        <v>-43</v>
      </c>
      <c r="AN10" s="210">
        <v>-45</v>
      </c>
      <c r="AO10" s="210">
        <v>-43</v>
      </c>
      <c r="AP10" s="210">
        <v>-42</v>
      </c>
      <c r="AQ10" s="210">
        <v>-40</v>
      </c>
      <c r="AR10" s="210">
        <v>-40</v>
      </c>
      <c r="AS10" s="210">
        <v>-38</v>
      </c>
      <c r="AT10" s="210">
        <v>-39</v>
      </c>
      <c r="AU10" s="211">
        <v>-40</v>
      </c>
      <c r="AW10" s="208" t="s">
        <v>265</v>
      </c>
      <c r="AX10" s="212">
        <f t="shared" si="1"/>
        <v>-48</v>
      </c>
      <c r="AY10" s="213">
        <f t="shared" si="0"/>
        <v>-48</v>
      </c>
      <c r="AZ10" s="213">
        <f t="shared" si="0"/>
        <v>-50</v>
      </c>
      <c r="BA10" s="213">
        <f t="shared" si="0"/>
        <v>-48</v>
      </c>
      <c r="BB10" s="213">
        <f t="shared" si="0"/>
        <v>-47</v>
      </c>
      <c r="BC10" s="213">
        <f t="shared" si="0"/>
        <v>-45</v>
      </c>
      <c r="BD10" s="213">
        <f t="shared" si="0"/>
        <v>-45</v>
      </c>
      <c r="BE10" s="213">
        <f t="shared" si="0"/>
        <v>-43</v>
      </c>
      <c r="BF10" s="213">
        <f t="shared" si="0"/>
        <v>-44</v>
      </c>
      <c r="BG10" s="214">
        <f t="shared" si="0"/>
        <v>-45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-30</v>
      </c>
      <c r="C15" s="186">
        <v>-26</v>
      </c>
      <c r="D15" s="186">
        <v>-23</v>
      </c>
      <c r="E15" s="186">
        <v>-35</v>
      </c>
      <c r="F15" s="186">
        <v>-37</v>
      </c>
      <c r="G15" s="186">
        <v>-34</v>
      </c>
      <c r="H15" s="186">
        <v>-31</v>
      </c>
      <c r="I15" s="186">
        <v>-31</v>
      </c>
      <c r="J15" s="186">
        <v>-27</v>
      </c>
      <c r="K15" s="187">
        <v>-33</v>
      </c>
      <c r="L15" s="217"/>
      <c r="M15" s="182" t="s">
        <v>187</v>
      </c>
      <c r="N15" s="185">
        <v>-38</v>
      </c>
      <c r="O15" s="186">
        <v>-32</v>
      </c>
      <c r="P15" s="186">
        <v>-28</v>
      </c>
      <c r="Q15" s="186">
        <v>-39</v>
      </c>
      <c r="R15" s="186">
        <v>-41</v>
      </c>
      <c r="S15" s="186">
        <v>-38</v>
      </c>
      <c r="T15" s="186">
        <v>-34</v>
      </c>
      <c r="U15" s="186">
        <v>-33</v>
      </c>
      <c r="V15" s="186">
        <v>-29</v>
      </c>
      <c r="W15" s="187">
        <v>-35</v>
      </c>
      <c r="X15" s="217"/>
      <c r="Y15" s="182" t="s">
        <v>187</v>
      </c>
      <c r="Z15" s="218">
        <v>-41</v>
      </c>
      <c r="AA15" s="219">
        <v>-36</v>
      </c>
      <c r="AB15" s="219">
        <v>-33</v>
      </c>
      <c r="AC15" s="219">
        <v>-44</v>
      </c>
      <c r="AD15" s="219">
        <v>-46</v>
      </c>
      <c r="AE15" s="219">
        <v>-42</v>
      </c>
      <c r="AF15" s="219">
        <v>-38</v>
      </c>
      <c r="AG15" s="219">
        <v>-36</v>
      </c>
      <c r="AH15" s="219">
        <v>-32</v>
      </c>
      <c r="AI15" s="220">
        <v>-38</v>
      </c>
      <c r="AJ15" s="217"/>
      <c r="AK15" s="188" t="s">
        <v>187</v>
      </c>
      <c r="AL15" s="189">
        <v>-46</v>
      </c>
      <c r="AM15" s="190">
        <v>-40</v>
      </c>
      <c r="AN15" s="190">
        <v>-37</v>
      </c>
      <c r="AO15" s="190">
        <v>-48</v>
      </c>
      <c r="AP15" s="190">
        <v>-49</v>
      </c>
      <c r="AQ15" s="190">
        <v>-46</v>
      </c>
      <c r="AR15" s="190">
        <v>-43</v>
      </c>
      <c r="AS15" s="190">
        <v>-41</v>
      </c>
      <c r="AT15" s="190">
        <v>-37</v>
      </c>
      <c r="AU15" s="191">
        <v>-43</v>
      </c>
      <c r="AW15" s="188" t="s">
        <v>187</v>
      </c>
      <c r="AX15" s="192">
        <f>AL15-5</f>
        <v>-51</v>
      </c>
      <c r="AY15" s="193">
        <f t="shared" ref="AY15:BG21" si="2">AM15-5</f>
        <v>-45</v>
      </c>
      <c r="AZ15" s="193">
        <f t="shared" si="2"/>
        <v>-42</v>
      </c>
      <c r="BA15" s="193">
        <f t="shared" si="2"/>
        <v>-53</v>
      </c>
      <c r="BB15" s="193">
        <f t="shared" si="2"/>
        <v>-54</v>
      </c>
      <c r="BC15" s="193">
        <f t="shared" si="2"/>
        <v>-51</v>
      </c>
      <c r="BD15" s="193">
        <f t="shared" si="2"/>
        <v>-48</v>
      </c>
      <c r="BE15" s="193">
        <f t="shared" si="2"/>
        <v>-46</v>
      </c>
      <c r="BF15" s="193">
        <f t="shared" si="2"/>
        <v>-42</v>
      </c>
      <c r="BG15" s="194">
        <f t="shared" si="2"/>
        <v>-48</v>
      </c>
    </row>
    <row r="16" spans="1:59" ht="14.45" x14ac:dyDescent="0.3">
      <c r="A16" s="195" t="s">
        <v>214</v>
      </c>
      <c r="B16" s="196">
        <v>-31</v>
      </c>
      <c r="C16" s="183">
        <v>-25</v>
      </c>
      <c r="D16" s="183">
        <v>-24</v>
      </c>
      <c r="E16" s="183">
        <v>-33</v>
      </c>
      <c r="F16" s="183">
        <v>-37</v>
      </c>
      <c r="G16" s="183">
        <v>-37</v>
      </c>
      <c r="H16" s="183">
        <v>-29</v>
      </c>
      <c r="I16" s="183">
        <v>-32</v>
      </c>
      <c r="J16" s="183">
        <v>-30</v>
      </c>
      <c r="K16" s="184">
        <v>-33</v>
      </c>
      <c r="L16" s="217"/>
      <c r="M16" s="195" t="s">
        <v>214</v>
      </c>
      <c r="N16" s="196">
        <v>-39</v>
      </c>
      <c r="O16" s="183">
        <v>-31</v>
      </c>
      <c r="P16" s="183">
        <v>-29</v>
      </c>
      <c r="Q16" s="183">
        <v>-37</v>
      </c>
      <c r="R16" s="183">
        <v>-41</v>
      </c>
      <c r="S16" s="183">
        <v>-41</v>
      </c>
      <c r="T16" s="183">
        <v>-32</v>
      </c>
      <c r="U16" s="183">
        <v>-34</v>
      </c>
      <c r="V16" s="183">
        <v>-32</v>
      </c>
      <c r="W16" s="184">
        <v>-35</v>
      </c>
      <c r="X16" s="217"/>
      <c r="Y16" s="195" t="s">
        <v>214</v>
      </c>
      <c r="Z16" s="221">
        <v>-42</v>
      </c>
      <c r="AA16" s="222">
        <v>-35</v>
      </c>
      <c r="AB16" s="222">
        <v>-34</v>
      </c>
      <c r="AC16" s="222">
        <v>-42</v>
      </c>
      <c r="AD16" s="222">
        <v>-46</v>
      </c>
      <c r="AE16" s="222">
        <v>-45</v>
      </c>
      <c r="AF16" s="222">
        <v>-36</v>
      </c>
      <c r="AG16" s="222">
        <v>-37</v>
      </c>
      <c r="AH16" s="222">
        <v>-35</v>
      </c>
      <c r="AI16" s="223">
        <v>-38</v>
      </c>
      <c r="AJ16" s="217"/>
      <c r="AK16" s="197" t="s">
        <v>214</v>
      </c>
      <c r="AL16" s="198">
        <v>-47</v>
      </c>
      <c r="AM16" s="199">
        <v>-39</v>
      </c>
      <c r="AN16" s="199">
        <v>-38</v>
      </c>
      <c r="AO16" s="199">
        <v>-46</v>
      </c>
      <c r="AP16" s="199">
        <v>-49</v>
      </c>
      <c r="AQ16" s="199">
        <v>-49</v>
      </c>
      <c r="AR16" s="199">
        <v>-41</v>
      </c>
      <c r="AS16" s="199">
        <v>-42</v>
      </c>
      <c r="AT16" s="199">
        <v>-40</v>
      </c>
      <c r="AU16" s="200">
        <v>-43</v>
      </c>
      <c r="AW16" s="197" t="s">
        <v>214</v>
      </c>
      <c r="AX16" s="201">
        <f t="shared" ref="AX16:AX21" si="3">AL16-5</f>
        <v>-52</v>
      </c>
      <c r="AY16" s="202">
        <f t="shared" si="2"/>
        <v>-44</v>
      </c>
      <c r="AZ16" s="202">
        <f t="shared" si="2"/>
        <v>-43</v>
      </c>
      <c r="BA16" s="202">
        <f t="shared" si="2"/>
        <v>-51</v>
      </c>
      <c r="BB16" s="202">
        <f t="shared" si="2"/>
        <v>-54</v>
      </c>
      <c r="BC16" s="202">
        <f t="shared" si="2"/>
        <v>-54</v>
      </c>
      <c r="BD16" s="202">
        <f t="shared" si="2"/>
        <v>-46</v>
      </c>
      <c r="BE16" s="202">
        <f t="shared" si="2"/>
        <v>-47</v>
      </c>
      <c r="BF16" s="202">
        <f t="shared" si="2"/>
        <v>-45</v>
      </c>
      <c r="BG16" s="203">
        <f t="shared" si="2"/>
        <v>-48</v>
      </c>
    </row>
    <row r="17" spans="1:59" ht="14.45" x14ac:dyDescent="0.3">
      <c r="A17" s="195" t="s">
        <v>233</v>
      </c>
      <c r="B17" s="196">
        <v>-35</v>
      </c>
      <c r="C17" s="183">
        <v>-35</v>
      </c>
      <c r="D17" s="183">
        <v>-36</v>
      </c>
      <c r="E17" s="183">
        <v>-34</v>
      </c>
      <c r="F17" s="183">
        <v>-38</v>
      </c>
      <c r="G17" s="183">
        <v>-40</v>
      </c>
      <c r="H17" s="183">
        <v>-32</v>
      </c>
      <c r="I17" s="183">
        <v>-32</v>
      </c>
      <c r="J17" s="183">
        <v>-32</v>
      </c>
      <c r="K17" s="184">
        <v>-38</v>
      </c>
      <c r="L17" s="217"/>
      <c r="M17" s="195" t="s">
        <v>233</v>
      </c>
      <c r="N17" s="196">
        <v>-43</v>
      </c>
      <c r="O17" s="183">
        <v>-41</v>
      </c>
      <c r="P17" s="183">
        <v>-41</v>
      </c>
      <c r="Q17" s="183">
        <v>-38</v>
      </c>
      <c r="R17" s="183">
        <v>-42</v>
      </c>
      <c r="S17" s="183">
        <v>-44</v>
      </c>
      <c r="T17" s="183">
        <v>-35</v>
      </c>
      <c r="U17" s="183">
        <v>-34</v>
      </c>
      <c r="V17" s="183">
        <v>-34</v>
      </c>
      <c r="W17" s="184">
        <v>-40</v>
      </c>
      <c r="X17" s="217"/>
      <c r="Y17" s="195" t="s">
        <v>233</v>
      </c>
      <c r="Z17" s="221">
        <v>-46</v>
      </c>
      <c r="AA17" s="222">
        <v>-45</v>
      </c>
      <c r="AB17" s="222">
        <v>-46</v>
      </c>
      <c r="AC17" s="222">
        <v>-43</v>
      </c>
      <c r="AD17" s="222">
        <v>-47</v>
      </c>
      <c r="AE17" s="222">
        <v>-48</v>
      </c>
      <c r="AF17" s="222">
        <v>-39</v>
      </c>
      <c r="AG17" s="222">
        <v>-37</v>
      </c>
      <c r="AH17" s="222">
        <v>-37</v>
      </c>
      <c r="AI17" s="223">
        <v>-43</v>
      </c>
      <c r="AJ17" s="217"/>
      <c r="AK17" s="197" t="s">
        <v>233</v>
      </c>
      <c r="AL17" s="198">
        <v>-51</v>
      </c>
      <c r="AM17" s="199">
        <v>-49</v>
      </c>
      <c r="AN17" s="199">
        <v>-50</v>
      </c>
      <c r="AO17" s="199">
        <v>-47</v>
      </c>
      <c r="AP17" s="199">
        <v>-50</v>
      </c>
      <c r="AQ17" s="199">
        <v>-52</v>
      </c>
      <c r="AR17" s="199">
        <v>-44</v>
      </c>
      <c r="AS17" s="199">
        <v>-42</v>
      </c>
      <c r="AT17" s="199">
        <v>-42</v>
      </c>
      <c r="AU17" s="200">
        <v>-48</v>
      </c>
      <c r="AW17" s="197" t="s">
        <v>233</v>
      </c>
      <c r="AX17" s="201">
        <f t="shared" si="3"/>
        <v>-56</v>
      </c>
      <c r="AY17" s="202">
        <f t="shared" si="2"/>
        <v>-54</v>
      </c>
      <c r="AZ17" s="202">
        <f t="shared" si="2"/>
        <v>-55</v>
      </c>
      <c r="BA17" s="202">
        <f t="shared" si="2"/>
        <v>-52</v>
      </c>
      <c r="BB17" s="202">
        <f t="shared" si="2"/>
        <v>-55</v>
      </c>
      <c r="BC17" s="202">
        <f t="shared" si="2"/>
        <v>-57</v>
      </c>
      <c r="BD17" s="202">
        <f t="shared" si="2"/>
        <v>-49</v>
      </c>
      <c r="BE17" s="202">
        <f t="shared" si="2"/>
        <v>-47</v>
      </c>
      <c r="BF17" s="202">
        <f t="shared" si="2"/>
        <v>-47</v>
      </c>
      <c r="BG17" s="203">
        <f t="shared" si="2"/>
        <v>-53</v>
      </c>
    </row>
    <row r="18" spans="1:59" ht="14.45" x14ac:dyDescent="0.3">
      <c r="A18" s="195" t="s">
        <v>242</v>
      </c>
      <c r="B18" s="196">
        <v>-34</v>
      </c>
      <c r="C18" s="183">
        <v>-36</v>
      </c>
      <c r="D18" s="183">
        <v>-35</v>
      </c>
      <c r="E18" s="183">
        <v>-37</v>
      </c>
      <c r="F18" s="183">
        <v>-37</v>
      </c>
      <c r="G18" s="183">
        <v>-38</v>
      </c>
      <c r="H18" s="183">
        <v>-31</v>
      </c>
      <c r="I18" s="183">
        <v>-31</v>
      </c>
      <c r="J18" s="183">
        <v>-30</v>
      </c>
      <c r="K18" s="184">
        <v>-34</v>
      </c>
      <c r="L18" s="217"/>
      <c r="M18" s="195" t="s">
        <v>242</v>
      </c>
      <c r="N18" s="196">
        <v>-41</v>
      </c>
      <c r="O18" s="183">
        <v>-41</v>
      </c>
      <c r="P18" s="183">
        <v>-40</v>
      </c>
      <c r="Q18" s="183">
        <v>-41</v>
      </c>
      <c r="R18" s="183">
        <v>-41</v>
      </c>
      <c r="S18" s="183">
        <v>-42</v>
      </c>
      <c r="T18" s="183">
        <v>-34</v>
      </c>
      <c r="U18" s="183">
        <v>-33</v>
      </c>
      <c r="V18" s="183">
        <v>-32</v>
      </c>
      <c r="W18" s="184">
        <v>-36</v>
      </c>
      <c r="X18" s="217"/>
      <c r="Y18" s="195" t="s">
        <v>242</v>
      </c>
      <c r="Z18" s="221">
        <v>-45</v>
      </c>
      <c r="AA18" s="222">
        <v>-46</v>
      </c>
      <c r="AB18" s="222">
        <v>-44</v>
      </c>
      <c r="AC18" s="222">
        <v>-46</v>
      </c>
      <c r="AD18" s="222">
        <v>-46</v>
      </c>
      <c r="AE18" s="222">
        <v>-45</v>
      </c>
      <c r="AF18" s="222">
        <v>-37</v>
      </c>
      <c r="AG18" s="222">
        <v>-36</v>
      </c>
      <c r="AH18" s="222">
        <v>-35</v>
      </c>
      <c r="AI18" s="223">
        <v>-39</v>
      </c>
      <c r="AJ18" s="217"/>
      <c r="AK18" s="197" t="s">
        <v>242</v>
      </c>
      <c r="AL18" s="198">
        <v>-49</v>
      </c>
      <c r="AM18" s="199">
        <v>-49</v>
      </c>
      <c r="AN18" s="199">
        <v>-48</v>
      </c>
      <c r="AO18" s="199">
        <v>-49</v>
      </c>
      <c r="AP18" s="199">
        <v>-49</v>
      </c>
      <c r="AQ18" s="199">
        <v>-49</v>
      </c>
      <c r="AR18" s="199">
        <v>-42</v>
      </c>
      <c r="AS18" s="199">
        <v>-41</v>
      </c>
      <c r="AT18" s="199">
        <v>-40</v>
      </c>
      <c r="AU18" s="200">
        <v>-44</v>
      </c>
      <c r="AW18" s="197" t="s">
        <v>242</v>
      </c>
      <c r="AX18" s="201">
        <f t="shared" si="3"/>
        <v>-54</v>
      </c>
      <c r="AY18" s="202">
        <f t="shared" si="2"/>
        <v>-54</v>
      </c>
      <c r="AZ18" s="202">
        <f t="shared" si="2"/>
        <v>-53</v>
      </c>
      <c r="BA18" s="202">
        <f t="shared" si="2"/>
        <v>-54</v>
      </c>
      <c r="BB18" s="202">
        <f t="shared" si="2"/>
        <v>-54</v>
      </c>
      <c r="BC18" s="202">
        <f t="shared" si="2"/>
        <v>-54</v>
      </c>
      <c r="BD18" s="202">
        <f t="shared" si="2"/>
        <v>-47</v>
      </c>
      <c r="BE18" s="202">
        <f t="shared" si="2"/>
        <v>-46</v>
      </c>
      <c r="BF18" s="202">
        <f t="shared" si="2"/>
        <v>-45</v>
      </c>
      <c r="BG18" s="203">
        <f t="shared" si="2"/>
        <v>-49</v>
      </c>
    </row>
    <row r="19" spans="1:59" ht="14.45" x14ac:dyDescent="0.3">
      <c r="A19" s="195" t="s">
        <v>250</v>
      </c>
      <c r="B19" s="196">
        <v>-38</v>
      </c>
      <c r="C19" s="183">
        <v>-37</v>
      </c>
      <c r="D19" s="183">
        <v>-38</v>
      </c>
      <c r="E19" s="183">
        <v>-36</v>
      </c>
      <c r="F19" s="183">
        <v>-37</v>
      </c>
      <c r="G19" s="183">
        <v>-35</v>
      </c>
      <c r="H19" s="183">
        <v>-29</v>
      </c>
      <c r="I19" s="183">
        <v>-30</v>
      </c>
      <c r="J19" s="183">
        <v>-30</v>
      </c>
      <c r="K19" s="184">
        <v>-34</v>
      </c>
      <c r="L19" s="217"/>
      <c r="M19" s="195" t="s">
        <v>250</v>
      </c>
      <c r="N19" s="196">
        <v>-45</v>
      </c>
      <c r="O19" s="183">
        <v>-42</v>
      </c>
      <c r="P19" s="183">
        <v>-43</v>
      </c>
      <c r="Q19" s="183">
        <v>-40</v>
      </c>
      <c r="R19" s="183">
        <v>-41</v>
      </c>
      <c r="S19" s="183">
        <v>-39</v>
      </c>
      <c r="T19" s="183">
        <v>-32</v>
      </c>
      <c r="U19" s="183">
        <v>-32</v>
      </c>
      <c r="V19" s="183">
        <v>-32</v>
      </c>
      <c r="W19" s="184">
        <v>-36</v>
      </c>
      <c r="X19" s="217"/>
      <c r="Y19" s="195" t="s">
        <v>250</v>
      </c>
      <c r="Z19" s="221">
        <v>-49</v>
      </c>
      <c r="AA19" s="222">
        <v>-47</v>
      </c>
      <c r="AB19" s="222">
        <v>-47</v>
      </c>
      <c r="AC19" s="222">
        <v>-45</v>
      </c>
      <c r="AD19" s="222">
        <v>-46</v>
      </c>
      <c r="AE19" s="222">
        <v>-42</v>
      </c>
      <c r="AF19" s="222">
        <v>-35</v>
      </c>
      <c r="AG19" s="222">
        <v>-35</v>
      </c>
      <c r="AH19" s="222">
        <v>-35</v>
      </c>
      <c r="AI19" s="223">
        <v>-39</v>
      </c>
      <c r="AJ19" s="217"/>
      <c r="AK19" s="197" t="s">
        <v>250</v>
      </c>
      <c r="AL19" s="198">
        <v>-53</v>
      </c>
      <c r="AM19" s="199">
        <v>-50</v>
      </c>
      <c r="AN19" s="199">
        <v>-51</v>
      </c>
      <c r="AO19" s="199">
        <v>-48</v>
      </c>
      <c r="AP19" s="199">
        <v>-49</v>
      </c>
      <c r="AQ19" s="199">
        <v>-46</v>
      </c>
      <c r="AR19" s="199">
        <v>-40</v>
      </c>
      <c r="AS19" s="199">
        <v>-40</v>
      </c>
      <c r="AT19" s="199">
        <v>-40</v>
      </c>
      <c r="AU19" s="200">
        <v>-44</v>
      </c>
      <c r="AW19" s="197" t="s">
        <v>250</v>
      </c>
      <c r="AX19" s="201">
        <f t="shared" si="3"/>
        <v>-58</v>
      </c>
      <c r="AY19" s="202">
        <f t="shared" si="2"/>
        <v>-55</v>
      </c>
      <c r="AZ19" s="202">
        <f t="shared" si="2"/>
        <v>-56</v>
      </c>
      <c r="BA19" s="202">
        <f t="shared" si="2"/>
        <v>-53</v>
      </c>
      <c r="BB19" s="202">
        <f t="shared" si="2"/>
        <v>-54</v>
      </c>
      <c r="BC19" s="202">
        <f t="shared" si="2"/>
        <v>-51</v>
      </c>
      <c r="BD19" s="202">
        <f t="shared" si="2"/>
        <v>-45</v>
      </c>
      <c r="BE19" s="202">
        <f t="shared" si="2"/>
        <v>-45</v>
      </c>
      <c r="BF19" s="202">
        <f t="shared" si="2"/>
        <v>-45</v>
      </c>
      <c r="BG19" s="203">
        <f t="shared" si="2"/>
        <v>-49</v>
      </c>
    </row>
    <row r="20" spans="1:59" ht="14.45" x14ac:dyDescent="0.3">
      <c r="A20" s="195" t="s">
        <v>258</v>
      </c>
      <c r="B20" s="196">
        <v>-34</v>
      </c>
      <c r="C20" s="183">
        <v>-32</v>
      </c>
      <c r="D20" s="183">
        <v>-31</v>
      </c>
      <c r="E20" s="183">
        <v>-34</v>
      </c>
      <c r="F20" s="183">
        <v>-33</v>
      </c>
      <c r="G20" s="183">
        <v>-33</v>
      </c>
      <c r="H20" s="183">
        <v>-31</v>
      </c>
      <c r="I20" s="183">
        <v>-31</v>
      </c>
      <c r="J20" s="183">
        <v>-33</v>
      </c>
      <c r="K20" s="184">
        <v>-30</v>
      </c>
      <c r="L20" s="217"/>
      <c r="M20" s="195" t="s">
        <v>258</v>
      </c>
      <c r="N20" s="196">
        <v>-40</v>
      </c>
      <c r="O20" s="183">
        <v>-36</v>
      </c>
      <c r="P20" s="183">
        <v>-35</v>
      </c>
      <c r="Q20" s="183">
        <v>-38</v>
      </c>
      <c r="R20" s="183">
        <v>-37</v>
      </c>
      <c r="S20" s="183">
        <v>-36</v>
      </c>
      <c r="T20" s="183">
        <v>-33</v>
      </c>
      <c r="U20" s="183">
        <v>-33</v>
      </c>
      <c r="V20" s="183">
        <v>-35</v>
      </c>
      <c r="W20" s="184">
        <v>-32</v>
      </c>
      <c r="X20" s="217"/>
      <c r="Y20" s="195" t="s">
        <v>258</v>
      </c>
      <c r="Z20" s="221">
        <v>-45</v>
      </c>
      <c r="AA20" s="222">
        <v>-42</v>
      </c>
      <c r="AB20" s="222">
        <v>-40</v>
      </c>
      <c r="AC20" s="222">
        <v>-42</v>
      </c>
      <c r="AD20" s="222">
        <v>-41</v>
      </c>
      <c r="AE20" s="222">
        <v>-39</v>
      </c>
      <c r="AF20" s="222">
        <v>-36</v>
      </c>
      <c r="AG20" s="222">
        <v>-36</v>
      </c>
      <c r="AH20" s="222">
        <v>-38</v>
      </c>
      <c r="AI20" s="223">
        <v>-35</v>
      </c>
      <c r="AJ20" s="217"/>
      <c r="AK20" s="197" t="s">
        <v>258</v>
      </c>
      <c r="AL20" s="198">
        <v>-49</v>
      </c>
      <c r="AM20" s="199">
        <v>-45</v>
      </c>
      <c r="AN20" s="199">
        <v>-44</v>
      </c>
      <c r="AO20" s="199">
        <v>-45</v>
      </c>
      <c r="AP20" s="199">
        <v>-44</v>
      </c>
      <c r="AQ20" s="199">
        <v>-43</v>
      </c>
      <c r="AR20" s="199">
        <v>-41</v>
      </c>
      <c r="AS20" s="199">
        <v>-41</v>
      </c>
      <c r="AT20" s="199">
        <v>-43</v>
      </c>
      <c r="AU20" s="200">
        <v>-40</v>
      </c>
      <c r="AW20" s="197" t="s">
        <v>258</v>
      </c>
      <c r="AX20" s="201">
        <f t="shared" si="3"/>
        <v>-54</v>
      </c>
      <c r="AY20" s="202">
        <f t="shared" si="2"/>
        <v>-50</v>
      </c>
      <c r="AZ20" s="202">
        <f t="shared" si="2"/>
        <v>-49</v>
      </c>
      <c r="BA20" s="202">
        <f t="shared" si="2"/>
        <v>-50</v>
      </c>
      <c r="BB20" s="202">
        <f t="shared" si="2"/>
        <v>-49</v>
      </c>
      <c r="BC20" s="202">
        <f t="shared" si="2"/>
        <v>-48</v>
      </c>
      <c r="BD20" s="202">
        <f t="shared" si="2"/>
        <v>-46</v>
      </c>
      <c r="BE20" s="202">
        <f t="shared" si="2"/>
        <v>-46</v>
      </c>
      <c r="BF20" s="202">
        <f t="shared" si="2"/>
        <v>-48</v>
      </c>
      <c r="BG20" s="203">
        <f t="shared" si="2"/>
        <v>-45</v>
      </c>
    </row>
    <row r="21" spans="1:59" thickBot="1" x14ac:dyDescent="0.35">
      <c r="A21" s="204" t="s">
        <v>265</v>
      </c>
      <c r="B21" s="207">
        <v>-32</v>
      </c>
      <c r="C21" s="205">
        <v>-34</v>
      </c>
      <c r="D21" s="205">
        <v>-36</v>
      </c>
      <c r="E21" s="205">
        <v>-35</v>
      </c>
      <c r="F21" s="205">
        <v>-34</v>
      </c>
      <c r="G21" s="205">
        <v>-33</v>
      </c>
      <c r="H21" s="205">
        <v>-33</v>
      </c>
      <c r="I21" s="205">
        <v>-30</v>
      </c>
      <c r="J21" s="205">
        <v>-31</v>
      </c>
      <c r="K21" s="206">
        <v>-32</v>
      </c>
      <c r="L21" s="217"/>
      <c r="M21" s="204" t="s">
        <v>265</v>
      </c>
      <c r="N21" s="207">
        <v>-38</v>
      </c>
      <c r="O21" s="205">
        <v>-38</v>
      </c>
      <c r="P21" s="205">
        <v>-40</v>
      </c>
      <c r="Q21" s="205">
        <v>-39</v>
      </c>
      <c r="R21" s="205">
        <v>-38</v>
      </c>
      <c r="S21" s="205">
        <v>-36</v>
      </c>
      <c r="T21" s="205">
        <v>-35</v>
      </c>
      <c r="U21" s="205">
        <v>-32</v>
      </c>
      <c r="V21" s="205">
        <v>-33</v>
      </c>
      <c r="W21" s="206">
        <v>-34</v>
      </c>
      <c r="X21" s="217"/>
      <c r="Y21" s="204" t="s">
        <v>265</v>
      </c>
      <c r="Z21" s="224">
        <v>-43</v>
      </c>
      <c r="AA21" s="225">
        <v>-44</v>
      </c>
      <c r="AB21" s="225">
        <v>-45</v>
      </c>
      <c r="AC21" s="225">
        <v>-43</v>
      </c>
      <c r="AD21" s="225">
        <v>-42</v>
      </c>
      <c r="AE21" s="225">
        <v>-39</v>
      </c>
      <c r="AF21" s="225">
        <v>-38</v>
      </c>
      <c r="AG21" s="225">
        <v>-35</v>
      </c>
      <c r="AH21" s="225">
        <v>-36</v>
      </c>
      <c r="AI21" s="226">
        <v>-37</v>
      </c>
      <c r="AJ21" s="217"/>
      <c r="AK21" s="208" t="s">
        <v>265</v>
      </c>
      <c r="AL21" s="209">
        <v>-47</v>
      </c>
      <c r="AM21" s="210">
        <v>-47</v>
      </c>
      <c r="AN21" s="210">
        <v>-49</v>
      </c>
      <c r="AO21" s="210">
        <v>-46</v>
      </c>
      <c r="AP21" s="210">
        <v>-45</v>
      </c>
      <c r="AQ21" s="210">
        <v>-43</v>
      </c>
      <c r="AR21" s="210">
        <v>-43</v>
      </c>
      <c r="AS21" s="210">
        <v>-40</v>
      </c>
      <c r="AT21" s="210">
        <v>-41</v>
      </c>
      <c r="AU21" s="211">
        <v>-42</v>
      </c>
      <c r="AW21" s="208" t="s">
        <v>265</v>
      </c>
      <c r="AX21" s="212">
        <f t="shared" si="3"/>
        <v>-52</v>
      </c>
      <c r="AY21" s="213">
        <f t="shared" si="2"/>
        <v>-52</v>
      </c>
      <c r="AZ21" s="213">
        <f t="shared" si="2"/>
        <v>-54</v>
      </c>
      <c r="BA21" s="213">
        <f t="shared" si="2"/>
        <v>-51</v>
      </c>
      <c r="BB21" s="213">
        <f t="shared" si="2"/>
        <v>-50</v>
      </c>
      <c r="BC21" s="213">
        <f t="shared" si="2"/>
        <v>-48</v>
      </c>
      <c r="BD21" s="213">
        <f t="shared" si="2"/>
        <v>-48</v>
      </c>
      <c r="BE21" s="213">
        <f t="shared" si="2"/>
        <v>-45</v>
      </c>
      <c r="BF21" s="213">
        <f t="shared" si="2"/>
        <v>-46</v>
      </c>
      <c r="BG21" s="214">
        <f t="shared" si="2"/>
        <v>-47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-40</v>
      </c>
      <c r="C26" s="186">
        <v>-35</v>
      </c>
      <c r="D26" s="186">
        <v>-31</v>
      </c>
      <c r="E26" s="186">
        <v>-41</v>
      </c>
      <c r="F26" s="186">
        <v>-43</v>
      </c>
      <c r="G26" s="186">
        <v>-39</v>
      </c>
      <c r="H26" s="186">
        <v>-37</v>
      </c>
      <c r="I26" s="186">
        <v>-36</v>
      </c>
      <c r="J26" s="186">
        <v>-32</v>
      </c>
      <c r="K26" s="187">
        <v>-38</v>
      </c>
      <c r="L26" s="217"/>
      <c r="M26" s="182" t="s">
        <v>187</v>
      </c>
      <c r="N26" s="185">
        <v>-48</v>
      </c>
      <c r="O26" s="186">
        <v>-41</v>
      </c>
      <c r="P26" s="186">
        <v>-36</v>
      </c>
      <c r="Q26" s="186">
        <v>-45</v>
      </c>
      <c r="R26" s="186">
        <v>-47</v>
      </c>
      <c r="S26" s="186">
        <v>-43</v>
      </c>
      <c r="T26" s="186">
        <v>-40</v>
      </c>
      <c r="U26" s="186">
        <v>-38</v>
      </c>
      <c r="V26" s="186">
        <v>-34</v>
      </c>
      <c r="W26" s="187">
        <v>-40</v>
      </c>
      <c r="X26" s="217"/>
      <c r="Y26" s="188" t="s">
        <v>187</v>
      </c>
      <c r="Z26" s="227">
        <v>-51</v>
      </c>
      <c r="AA26" s="228">
        <v>-45</v>
      </c>
      <c r="AB26" s="228">
        <v>-41</v>
      </c>
      <c r="AC26" s="228">
        <v>-50</v>
      </c>
      <c r="AD26" s="228">
        <v>-52</v>
      </c>
      <c r="AE26" s="228">
        <v>-47</v>
      </c>
      <c r="AF26" s="228">
        <v>-44</v>
      </c>
      <c r="AG26" s="228">
        <v>-41</v>
      </c>
      <c r="AH26" s="228">
        <v>-37</v>
      </c>
      <c r="AI26" s="229">
        <v>-43</v>
      </c>
      <c r="AJ26" s="217"/>
      <c r="AK26" s="188" t="s">
        <v>187</v>
      </c>
      <c r="AL26" s="189">
        <v>-56</v>
      </c>
      <c r="AM26" s="190">
        <v>-49</v>
      </c>
      <c r="AN26" s="190">
        <v>-45</v>
      </c>
      <c r="AO26" s="190">
        <v>-54</v>
      </c>
      <c r="AP26" s="190">
        <v>-55</v>
      </c>
      <c r="AQ26" s="190">
        <v>-51</v>
      </c>
      <c r="AR26" s="190">
        <v>-49</v>
      </c>
      <c r="AS26" s="190">
        <v>-46</v>
      </c>
      <c r="AT26" s="190">
        <v>-42</v>
      </c>
      <c r="AU26" s="191">
        <v>-48</v>
      </c>
      <c r="AW26" s="188" t="s">
        <v>187</v>
      </c>
      <c r="AX26" s="192">
        <f>AL26-5</f>
        <v>-61</v>
      </c>
      <c r="AY26" s="193">
        <f t="shared" ref="AY26:BG32" si="4">AM26-5</f>
        <v>-54</v>
      </c>
      <c r="AZ26" s="193">
        <f t="shared" si="4"/>
        <v>-50</v>
      </c>
      <c r="BA26" s="193">
        <f t="shared" si="4"/>
        <v>-59</v>
      </c>
      <c r="BB26" s="193">
        <f t="shared" si="4"/>
        <v>-60</v>
      </c>
      <c r="BC26" s="193">
        <f t="shared" si="4"/>
        <v>-56</v>
      </c>
      <c r="BD26" s="193">
        <f t="shared" si="4"/>
        <v>-54</v>
      </c>
      <c r="BE26" s="193">
        <f t="shared" si="4"/>
        <v>-51</v>
      </c>
      <c r="BF26" s="193">
        <f t="shared" si="4"/>
        <v>-47</v>
      </c>
      <c r="BG26" s="194">
        <f t="shared" si="4"/>
        <v>-53</v>
      </c>
    </row>
    <row r="27" spans="1:59" x14ac:dyDescent="0.25">
      <c r="A27" s="195" t="s">
        <v>214</v>
      </c>
      <c r="B27" s="196">
        <v>-41</v>
      </c>
      <c r="C27" s="183">
        <v>-34</v>
      </c>
      <c r="D27" s="183">
        <v>-32</v>
      </c>
      <c r="E27" s="183">
        <v>-39</v>
      </c>
      <c r="F27" s="183">
        <v>-43</v>
      </c>
      <c r="G27" s="183">
        <v>-42</v>
      </c>
      <c r="H27" s="183">
        <v>-35</v>
      </c>
      <c r="I27" s="183">
        <v>-37</v>
      </c>
      <c r="J27" s="183">
        <v>-35</v>
      </c>
      <c r="K27" s="184">
        <v>-38</v>
      </c>
      <c r="L27" s="217"/>
      <c r="M27" s="195" t="s">
        <v>214</v>
      </c>
      <c r="N27" s="196">
        <v>-49</v>
      </c>
      <c r="O27" s="183">
        <v>-40</v>
      </c>
      <c r="P27" s="183">
        <v>-37</v>
      </c>
      <c r="Q27" s="183">
        <v>-43</v>
      </c>
      <c r="R27" s="183">
        <v>-47</v>
      </c>
      <c r="S27" s="183">
        <v>-46</v>
      </c>
      <c r="T27" s="183">
        <v>-38</v>
      </c>
      <c r="U27" s="183">
        <v>-39</v>
      </c>
      <c r="V27" s="183">
        <v>-37</v>
      </c>
      <c r="W27" s="184">
        <v>-40</v>
      </c>
      <c r="X27" s="217"/>
      <c r="Y27" s="197" t="s">
        <v>214</v>
      </c>
      <c r="Z27" s="230">
        <v>-52</v>
      </c>
      <c r="AA27" s="231">
        <v>-44</v>
      </c>
      <c r="AB27" s="231">
        <v>-42</v>
      </c>
      <c r="AC27" s="231">
        <v>-48</v>
      </c>
      <c r="AD27" s="231">
        <v>-52</v>
      </c>
      <c r="AE27" s="231">
        <v>-50</v>
      </c>
      <c r="AF27" s="231">
        <v>-42</v>
      </c>
      <c r="AG27" s="231">
        <v>-42</v>
      </c>
      <c r="AH27" s="231">
        <v>-40</v>
      </c>
      <c r="AI27" s="232">
        <v>-43</v>
      </c>
      <c r="AJ27" s="217"/>
      <c r="AK27" s="197" t="s">
        <v>214</v>
      </c>
      <c r="AL27" s="198">
        <v>-57</v>
      </c>
      <c r="AM27" s="199">
        <v>-48</v>
      </c>
      <c r="AN27" s="199">
        <v>-46</v>
      </c>
      <c r="AO27" s="199">
        <v>-52</v>
      </c>
      <c r="AP27" s="199">
        <v>-55</v>
      </c>
      <c r="AQ27" s="199">
        <v>-54</v>
      </c>
      <c r="AR27" s="199">
        <v>-47</v>
      </c>
      <c r="AS27" s="199">
        <v>-47</v>
      </c>
      <c r="AT27" s="199">
        <v>-45</v>
      </c>
      <c r="AU27" s="200">
        <v>-48</v>
      </c>
      <c r="AW27" s="197" t="s">
        <v>214</v>
      </c>
      <c r="AX27" s="201">
        <f t="shared" ref="AX27:AX32" si="5">AL27-5</f>
        <v>-62</v>
      </c>
      <c r="AY27" s="202">
        <f t="shared" si="4"/>
        <v>-53</v>
      </c>
      <c r="AZ27" s="202">
        <f t="shared" si="4"/>
        <v>-51</v>
      </c>
      <c r="BA27" s="202">
        <f t="shared" si="4"/>
        <v>-57</v>
      </c>
      <c r="BB27" s="202">
        <f t="shared" si="4"/>
        <v>-60</v>
      </c>
      <c r="BC27" s="202">
        <f t="shared" si="4"/>
        <v>-59</v>
      </c>
      <c r="BD27" s="202">
        <f t="shared" si="4"/>
        <v>-52</v>
      </c>
      <c r="BE27" s="202">
        <f t="shared" si="4"/>
        <v>-52</v>
      </c>
      <c r="BF27" s="202">
        <f t="shared" si="4"/>
        <v>-50</v>
      </c>
      <c r="BG27" s="203">
        <f t="shared" si="4"/>
        <v>-53</v>
      </c>
    </row>
    <row r="28" spans="1:59" x14ac:dyDescent="0.25">
      <c r="A28" s="195" t="s">
        <v>233</v>
      </c>
      <c r="B28" s="196">
        <v>-45</v>
      </c>
      <c r="C28" s="183">
        <v>-44</v>
      </c>
      <c r="D28" s="183">
        <v>-44</v>
      </c>
      <c r="E28" s="183">
        <v>-40</v>
      </c>
      <c r="F28" s="183">
        <v>-44</v>
      </c>
      <c r="G28" s="183">
        <v>-45</v>
      </c>
      <c r="H28" s="183">
        <v>-38</v>
      </c>
      <c r="I28" s="183">
        <v>-37</v>
      </c>
      <c r="J28" s="183">
        <v>-37</v>
      </c>
      <c r="K28" s="184">
        <v>-43</v>
      </c>
      <c r="L28" s="217"/>
      <c r="M28" s="195" t="s">
        <v>233</v>
      </c>
      <c r="N28" s="196">
        <v>-53</v>
      </c>
      <c r="O28" s="183">
        <v>-50</v>
      </c>
      <c r="P28" s="183">
        <v>-49</v>
      </c>
      <c r="Q28" s="183">
        <v>-44</v>
      </c>
      <c r="R28" s="183">
        <v>-48</v>
      </c>
      <c r="S28" s="183">
        <v>-49</v>
      </c>
      <c r="T28" s="183">
        <v>-41</v>
      </c>
      <c r="U28" s="183">
        <v>-39</v>
      </c>
      <c r="V28" s="183">
        <v>-39</v>
      </c>
      <c r="W28" s="184">
        <v>-45</v>
      </c>
      <c r="X28" s="217"/>
      <c r="Y28" s="197" t="s">
        <v>233</v>
      </c>
      <c r="Z28" s="230">
        <v>-56</v>
      </c>
      <c r="AA28" s="231">
        <v>-54</v>
      </c>
      <c r="AB28" s="231">
        <v>-54</v>
      </c>
      <c r="AC28" s="231">
        <v>-49</v>
      </c>
      <c r="AD28" s="231">
        <v>-53</v>
      </c>
      <c r="AE28" s="231">
        <v>-53</v>
      </c>
      <c r="AF28" s="231">
        <v>-45</v>
      </c>
      <c r="AG28" s="231">
        <v>-42</v>
      </c>
      <c r="AH28" s="231">
        <v>-42</v>
      </c>
      <c r="AI28" s="232">
        <v>-48</v>
      </c>
      <c r="AJ28" s="217"/>
      <c r="AK28" s="197" t="s">
        <v>233</v>
      </c>
      <c r="AL28" s="198">
        <v>-61</v>
      </c>
      <c r="AM28" s="199">
        <v>-58</v>
      </c>
      <c r="AN28" s="199">
        <v>-58</v>
      </c>
      <c r="AO28" s="199">
        <v>-53</v>
      </c>
      <c r="AP28" s="199">
        <v>-56</v>
      </c>
      <c r="AQ28" s="199">
        <v>-57</v>
      </c>
      <c r="AR28" s="199">
        <v>-50</v>
      </c>
      <c r="AS28" s="199">
        <v>-47</v>
      </c>
      <c r="AT28" s="199">
        <v>-47</v>
      </c>
      <c r="AU28" s="200">
        <v>-53</v>
      </c>
      <c r="AW28" s="197" t="s">
        <v>233</v>
      </c>
      <c r="AX28" s="201">
        <f t="shared" si="5"/>
        <v>-66</v>
      </c>
      <c r="AY28" s="202">
        <f t="shared" si="4"/>
        <v>-63</v>
      </c>
      <c r="AZ28" s="202">
        <f t="shared" si="4"/>
        <v>-63</v>
      </c>
      <c r="BA28" s="202">
        <f t="shared" si="4"/>
        <v>-58</v>
      </c>
      <c r="BB28" s="202">
        <f t="shared" si="4"/>
        <v>-61</v>
      </c>
      <c r="BC28" s="202">
        <f t="shared" si="4"/>
        <v>-62</v>
      </c>
      <c r="BD28" s="202">
        <f t="shared" si="4"/>
        <v>-55</v>
      </c>
      <c r="BE28" s="202">
        <f t="shared" si="4"/>
        <v>-52</v>
      </c>
      <c r="BF28" s="202">
        <f t="shared" si="4"/>
        <v>-52</v>
      </c>
      <c r="BG28" s="203">
        <f t="shared" si="4"/>
        <v>-58</v>
      </c>
    </row>
    <row r="29" spans="1:59" x14ac:dyDescent="0.25">
      <c r="A29" s="195" t="s">
        <v>242</v>
      </c>
      <c r="B29" s="196">
        <v>-43</v>
      </c>
      <c r="C29" s="183">
        <v>-44</v>
      </c>
      <c r="D29" s="183">
        <v>-42</v>
      </c>
      <c r="E29" s="183">
        <v>-43</v>
      </c>
      <c r="F29" s="183">
        <v>-44</v>
      </c>
      <c r="G29" s="183">
        <v>-45</v>
      </c>
      <c r="H29" s="183">
        <v>-37</v>
      </c>
      <c r="I29" s="183">
        <v>-37</v>
      </c>
      <c r="J29" s="183">
        <v>-36</v>
      </c>
      <c r="K29" s="184">
        <v>-40</v>
      </c>
      <c r="L29" s="217"/>
      <c r="M29" s="195" t="s">
        <v>242</v>
      </c>
      <c r="N29" s="196">
        <v>-50</v>
      </c>
      <c r="O29" s="183">
        <v>-49</v>
      </c>
      <c r="P29" s="183">
        <v>-47</v>
      </c>
      <c r="Q29" s="183">
        <v>-47</v>
      </c>
      <c r="R29" s="183">
        <v>-48</v>
      </c>
      <c r="S29" s="183">
        <v>-49</v>
      </c>
      <c r="T29" s="183">
        <v>-40</v>
      </c>
      <c r="U29" s="183">
        <v>-39</v>
      </c>
      <c r="V29" s="183">
        <v>-38</v>
      </c>
      <c r="W29" s="184">
        <v>-42</v>
      </c>
      <c r="X29" s="217"/>
      <c r="Y29" s="197" t="s">
        <v>242</v>
      </c>
      <c r="Z29" s="230">
        <v>-54</v>
      </c>
      <c r="AA29" s="231">
        <v>-54</v>
      </c>
      <c r="AB29" s="231">
        <v>-51</v>
      </c>
      <c r="AC29" s="231">
        <v>-52</v>
      </c>
      <c r="AD29" s="231">
        <v>-53</v>
      </c>
      <c r="AE29" s="231">
        <v>-52</v>
      </c>
      <c r="AF29" s="231">
        <v>-43</v>
      </c>
      <c r="AG29" s="231">
        <v>-42</v>
      </c>
      <c r="AH29" s="231">
        <v>-41</v>
      </c>
      <c r="AI29" s="232">
        <v>-45</v>
      </c>
      <c r="AJ29" s="217"/>
      <c r="AK29" s="197" t="s">
        <v>242</v>
      </c>
      <c r="AL29" s="198">
        <v>-58</v>
      </c>
      <c r="AM29" s="199">
        <v>-57</v>
      </c>
      <c r="AN29" s="199">
        <v>-55</v>
      </c>
      <c r="AO29" s="199">
        <v>-55</v>
      </c>
      <c r="AP29" s="199">
        <v>-56</v>
      </c>
      <c r="AQ29" s="199">
        <v>-56</v>
      </c>
      <c r="AR29" s="199">
        <v>-48</v>
      </c>
      <c r="AS29" s="199">
        <v>-47</v>
      </c>
      <c r="AT29" s="199">
        <v>-46</v>
      </c>
      <c r="AU29" s="200">
        <v>-50</v>
      </c>
      <c r="AW29" s="197" t="s">
        <v>242</v>
      </c>
      <c r="AX29" s="201">
        <f t="shared" si="5"/>
        <v>-63</v>
      </c>
      <c r="AY29" s="202">
        <f t="shared" si="4"/>
        <v>-62</v>
      </c>
      <c r="AZ29" s="202">
        <f t="shared" si="4"/>
        <v>-60</v>
      </c>
      <c r="BA29" s="202">
        <f t="shared" si="4"/>
        <v>-60</v>
      </c>
      <c r="BB29" s="202">
        <f t="shared" si="4"/>
        <v>-61</v>
      </c>
      <c r="BC29" s="202">
        <f t="shared" si="4"/>
        <v>-61</v>
      </c>
      <c r="BD29" s="202">
        <f t="shared" si="4"/>
        <v>-53</v>
      </c>
      <c r="BE29" s="202">
        <f t="shared" si="4"/>
        <v>-52</v>
      </c>
      <c r="BF29" s="202">
        <f t="shared" si="4"/>
        <v>-51</v>
      </c>
      <c r="BG29" s="203">
        <f t="shared" si="4"/>
        <v>-55</v>
      </c>
    </row>
    <row r="30" spans="1:59" x14ac:dyDescent="0.25">
      <c r="A30" s="195" t="s">
        <v>250</v>
      </c>
      <c r="B30" s="196">
        <v>-47</v>
      </c>
      <c r="C30" s="183">
        <v>-45</v>
      </c>
      <c r="D30" s="183">
        <v>-45</v>
      </c>
      <c r="E30" s="183">
        <v>-42</v>
      </c>
      <c r="F30" s="183">
        <v>-44</v>
      </c>
      <c r="G30" s="183">
        <v>-42</v>
      </c>
      <c r="H30" s="183">
        <v>-35</v>
      </c>
      <c r="I30" s="183">
        <v>-36</v>
      </c>
      <c r="J30" s="183">
        <v>-36</v>
      </c>
      <c r="K30" s="184">
        <v>-40</v>
      </c>
      <c r="L30" s="217"/>
      <c r="M30" s="195" t="s">
        <v>250</v>
      </c>
      <c r="N30" s="196">
        <v>-54</v>
      </c>
      <c r="O30" s="183">
        <v>-50</v>
      </c>
      <c r="P30" s="183">
        <v>-50</v>
      </c>
      <c r="Q30" s="183">
        <v>-46</v>
      </c>
      <c r="R30" s="183">
        <v>-48</v>
      </c>
      <c r="S30" s="183">
        <v>-46</v>
      </c>
      <c r="T30" s="183">
        <v>-38</v>
      </c>
      <c r="U30" s="183">
        <v>-38</v>
      </c>
      <c r="V30" s="183">
        <v>-38</v>
      </c>
      <c r="W30" s="184">
        <v>-42</v>
      </c>
      <c r="X30" s="217"/>
      <c r="Y30" s="197" t="s">
        <v>250</v>
      </c>
      <c r="Z30" s="230">
        <v>-58</v>
      </c>
      <c r="AA30" s="231">
        <v>-55</v>
      </c>
      <c r="AB30" s="231">
        <v>-54</v>
      </c>
      <c r="AC30" s="231">
        <v>-51</v>
      </c>
      <c r="AD30" s="231">
        <v>-53</v>
      </c>
      <c r="AE30" s="231">
        <v>-49</v>
      </c>
      <c r="AF30" s="231">
        <v>-41</v>
      </c>
      <c r="AG30" s="231">
        <v>-41</v>
      </c>
      <c r="AH30" s="231">
        <v>-41</v>
      </c>
      <c r="AI30" s="232">
        <v>-45</v>
      </c>
      <c r="AJ30" s="217"/>
      <c r="AK30" s="197" t="s">
        <v>250</v>
      </c>
      <c r="AL30" s="198">
        <v>-62</v>
      </c>
      <c r="AM30" s="199">
        <v>-58</v>
      </c>
      <c r="AN30" s="199">
        <v>-58</v>
      </c>
      <c r="AO30" s="199">
        <v>-54</v>
      </c>
      <c r="AP30" s="199">
        <v>-56</v>
      </c>
      <c r="AQ30" s="199">
        <v>-53</v>
      </c>
      <c r="AR30" s="199">
        <v>-46</v>
      </c>
      <c r="AS30" s="199">
        <v>-46</v>
      </c>
      <c r="AT30" s="199">
        <v>-46</v>
      </c>
      <c r="AU30" s="200">
        <v>-50</v>
      </c>
      <c r="AW30" s="197" t="s">
        <v>250</v>
      </c>
      <c r="AX30" s="201">
        <f t="shared" si="5"/>
        <v>-67</v>
      </c>
      <c r="AY30" s="202">
        <f t="shared" si="4"/>
        <v>-63</v>
      </c>
      <c r="AZ30" s="202">
        <f t="shared" si="4"/>
        <v>-63</v>
      </c>
      <c r="BA30" s="202">
        <f t="shared" si="4"/>
        <v>-59</v>
      </c>
      <c r="BB30" s="202">
        <f t="shared" si="4"/>
        <v>-61</v>
      </c>
      <c r="BC30" s="202">
        <f t="shared" si="4"/>
        <v>-58</v>
      </c>
      <c r="BD30" s="202">
        <f t="shared" si="4"/>
        <v>-51</v>
      </c>
      <c r="BE30" s="202">
        <f t="shared" si="4"/>
        <v>-51</v>
      </c>
      <c r="BF30" s="202">
        <f t="shared" si="4"/>
        <v>-51</v>
      </c>
      <c r="BG30" s="203">
        <f t="shared" si="4"/>
        <v>-55</v>
      </c>
    </row>
    <row r="31" spans="1:59" x14ac:dyDescent="0.25">
      <c r="A31" s="195" t="s">
        <v>258</v>
      </c>
      <c r="B31" s="196">
        <v>-41</v>
      </c>
      <c r="C31" s="183">
        <v>-39</v>
      </c>
      <c r="D31" s="183">
        <v>-38</v>
      </c>
      <c r="E31" s="183">
        <v>-42</v>
      </c>
      <c r="F31" s="183">
        <v>-40</v>
      </c>
      <c r="G31" s="183">
        <v>-39</v>
      </c>
      <c r="H31" s="183">
        <v>-37</v>
      </c>
      <c r="I31" s="183">
        <v>-37</v>
      </c>
      <c r="J31" s="183">
        <v>-39</v>
      </c>
      <c r="K31" s="184">
        <v>-36</v>
      </c>
      <c r="L31" s="217"/>
      <c r="M31" s="195" t="s">
        <v>258</v>
      </c>
      <c r="N31" s="196">
        <v>-47</v>
      </c>
      <c r="O31" s="183">
        <v>-43</v>
      </c>
      <c r="P31" s="183">
        <v>-42</v>
      </c>
      <c r="Q31" s="183">
        <v>-46</v>
      </c>
      <c r="R31" s="183">
        <v>-44</v>
      </c>
      <c r="S31" s="183">
        <v>-42</v>
      </c>
      <c r="T31" s="183">
        <v>-39</v>
      </c>
      <c r="U31" s="183">
        <v>-39</v>
      </c>
      <c r="V31" s="183">
        <v>-41</v>
      </c>
      <c r="W31" s="184">
        <v>-38</v>
      </c>
      <c r="X31" s="217"/>
      <c r="Y31" s="197" t="s">
        <v>258</v>
      </c>
      <c r="Z31" s="230">
        <v>-52</v>
      </c>
      <c r="AA31" s="231">
        <v>-49</v>
      </c>
      <c r="AB31" s="231">
        <v>-47</v>
      </c>
      <c r="AC31" s="231">
        <v>-50</v>
      </c>
      <c r="AD31" s="231">
        <v>-48</v>
      </c>
      <c r="AE31" s="231">
        <v>-45</v>
      </c>
      <c r="AF31" s="231">
        <v>-42</v>
      </c>
      <c r="AG31" s="231">
        <v>-42</v>
      </c>
      <c r="AH31" s="231">
        <v>-44</v>
      </c>
      <c r="AI31" s="232">
        <v>-41</v>
      </c>
      <c r="AJ31" s="217"/>
      <c r="AK31" s="197" t="s">
        <v>258</v>
      </c>
      <c r="AL31" s="198">
        <v>-56</v>
      </c>
      <c r="AM31" s="199">
        <v>-52</v>
      </c>
      <c r="AN31" s="199">
        <v>-51</v>
      </c>
      <c r="AO31" s="199">
        <v>-53</v>
      </c>
      <c r="AP31" s="199">
        <v>-51</v>
      </c>
      <c r="AQ31" s="199">
        <v>-49</v>
      </c>
      <c r="AR31" s="199">
        <v>-47</v>
      </c>
      <c r="AS31" s="199">
        <v>-47</v>
      </c>
      <c r="AT31" s="199">
        <v>-49</v>
      </c>
      <c r="AU31" s="200">
        <v>-46</v>
      </c>
      <c r="AW31" s="197" t="s">
        <v>258</v>
      </c>
      <c r="AX31" s="201">
        <f t="shared" si="5"/>
        <v>-61</v>
      </c>
      <c r="AY31" s="202">
        <f t="shared" si="4"/>
        <v>-57</v>
      </c>
      <c r="AZ31" s="202">
        <f t="shared" si="4"/>
        <v>-56</v>
      </c>
      <c r="BA31" s="202">
        <f t="shared" si="4"/>
        <v>-58</v>
      </c>
      <c r="BB31" s="202">
        <f t="shared" si="4"/>
        <v>-56</v>
      </c>
      <c r="BC31" s="202">
        <f t="shared" si="4"/>
        <v>-54</v>
      </c>
      <c r="BD31" s="202">
        <f t="shared" si="4"/>
        <v>-52</v>
      </c>
      <c r="BE31" s="202">
        <f t="shared" si="4"/>
        <v>-52</v>
      </c>
      <c r="BF31" s="202">
        <f t="shared" si="4"/>
        <v>-54</v>
      </c>
      <c r="BG31" s="203">
        <f t="shared" si="4"/>
        <v>-51</v>
      </c>
    </row>
    <row r="32" spans="1:59" ht="15.75" thickBot="1" x14ac:dyDescent="0.3">
      <c r="A32" s="204" t="s">
        <v>265</v>
      </c>
      <c r="B32" s="207">
        <v>-39</v>
      </c>
      <c r="C32" s="205">
        <v>-41</v>
      </c>
      <c r="D32" s="205">
        <v>-43</v>
      </c>
      <c r="E32" s="205">
        <v>-43</v>
      </c>
      <c r="F32" s="205">
        <v>-41</v>
      </c>
      <c r="G32" s="205">
        <v>-39</v>
      </c>
      <c r="H32" s="205">
        <v>-39</v>
      </c>
      <c r="I32" s="205">
        <v>-36</v>
      </c>
      <c r="J32" s="205">
        <v>-37</v>
      </c>
      <c r="K32" s="206">
        <v>-38</v>
      </c>
      <c r="L32" s="217"/>
      <c r="M32" s="204" t="s">
        <v>265</v>
      </c>
      <c r="N32" s="207">
        <v>-45</v>
      </c>
      <c r="O32" s="205">
        <v>-45</v>
      </c>
      <c r="P32" s="205">
        <v>-47</v>
      </c>
      <c r="Q32" s="205">
        <v>-47</v>
      </c>
      <c r="R32" s="205">
        <v>-45</v>
      </c>
      <c r="S32" s="205">
        <v>-42</v>
      </c>
      <c r="T32" s="205">
        <v>-41</v>
      </c>
      <c r="U32" s="205">
        <v>-38</v>
      </c>
      <c r="V32" s="205">
        <v>-39</v>
      </c>
      <c r="W32" s="206">
        <v>-40</v>
      </c>
      <c r="X32" s="217"/>
      <c r="Y32" s="208" t="s">
        <v>265</v>
      </c>
      <c r="Z32" s="233">
        <v>-50</v>
      </c>
      <c r="AA32" s="234">
        <v>-51</v>
      </c>
      <c r="AB32" s="234">
        <v>-52</v>
      </c>
      <c r="AC32" s="234">
        <v>-51</v>
      </c>
      <c r="AD32" s="234">
        <v>-49</v>
      </c>
      <c r="AE32" s="234">
        <v>-45</v>
      </c>
      <c r="AF32" s="234">
        <v>-44</v>
      </c>
      <c r="AG32" s="234">
        <v>-41</v>
      </c>
      <c r="AH32" s="234">
        <v>-42</v>
      </c>
      <c r="AI32" s="235">
        <v>-43</v>
      </c>
      <c r="AJ32" s="217"/>
      <c r="AK32" s="208" t="s">
        <v>265</v>
      </c>
      <c r="AL32" s="209">
        <v>-54</v>
      </c>
      <c r="AM32" s="210">
        <v>-54</v>
      </c>
      <c r="AN32" s="210">
        <v>-56</v>
      </c>
      <c r="AO32" s="210">
        <v>-54</v>
      </c>
      <c r="AP32" s="210">
        <v>-52</v>
      </c>
      <c r="AQ32" s="210">
        <v>-49</v>
      </c>
      <c r="AR32" s="210">
        <v>-49</v>
      </c>
      <c r="AS32" s="210">
        <v>-46</v>
      </c>
      <c r="AT32" s="210">
        <v>-47</v>
      </c>
      <c r="AU32" s="211">
        <v>-48</v>
      </c>
      <c r="AW32" s="208" t="s">
        <v>265</v>
      </c>
      <c r="AX32" s="212">
        <f t="shared" si="5"/>
        <v>-59</v>
      </c>
      <c r="AY32" s="213">
        <f t="shared" si="4"/>
        <v>-59</v>
      </c>
      <c r="AZ32" s="213">
        <f t="shared" si="4"/>
        <v>-61</v>
      </c>
      <c r="BA32" s="213">
        <f t="shared" si="4"/>
        <v>-59</v>
      </c>
      <c r="BB32" s="213">
        <f t="shared" si="4"/>
        <v>-57</v>
      </c>
      <c r="BC32" s="213">
        <f t="shared" si="4"/>
        <v>-54</v>
      </c>
      <c r="BD32" s="213">
        <f t="shared" si="4"/>
        <v>-54</v>
      </c>
      <c r="BE32" s="213">
        <f t="shared" si="4"/>
        <v>-51</v>
      </c>
      <c r="BF32" s="213">
        <f t="shared" si="4"/>
        <v>-52</v>
      </c>
      <c r="BG32" s="214">
        <f t="shared" si="4"/>
        <v>-53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-50</v>
      </c>
      <c r="C37" s="186">
        <v>-45</v>
      </c>
      <c r="D37" s="186">
        <v>-40</v>
      </c>
      <c r="E37" s="186">
        <v>-50</v>
      </c>
      <c r="F37" s="186">
        <v>-51</v>
      </c>
      <c r="G37" s="186">
        <v>-48</v>
      </c>
      <c r="H37" s="186">
        <v>-46</v>
      </c>
      <c r="I37" s="186">
        <v>-46</v>
      </c>
      <c r="J37" s="186">
        <v>-42</v>
      </c>
      <c r="K37" s="187">
        <v>-48</v>
      </c>
      <c r="L37" s="217"/>
      <c r="M37" s="236" t="s">
        <v>187</v>
      </c>
      <c r="N37" s="185">
        <v>-56</v>
      </c>
      <c r="O37" s="186">
        <v>-51</v>
      </c>
      <c r="P37" s="186">
        <v>-46</v>
      </c>
      <c r="Q37" s="186">
        <v>-55</v>
      </c>
      <c r="R37" s="186">
        <v>-56</v>
      </c>
      <c r="S37" s="186">
        <v>-51</v>
      </c>
      <c r="T37" s="186">
        <v>-49</v>
      </c>
      <c r="U37" s="186">
        <v>-49</v>
      </c>
      <c r="V37" s="186">
        <v>-45</v>
      </c>
      <c r="W37" s="187">
        <v>-51</v>
      </c>
      <c r="X37" s="217"/>
      <c r="Y37" s="237" t="s">
        <v>187</v>
      </c>
      <c r="Z37" s="227">
        <v>-69</v>
      </c>
      <c r="AA37" s="228">
        <v>-65</v>
      </c>
      <c r="AB37" s="228">
        <v>-59</v>
      </c>
      <c r="AC37" s="228">
        <v>-68</v>
      </c>
      <c r="AD37" s="228">
        <v>-69</v>
      </c>
      <c r="AE37" s="228">
        <v>-66</v>
      </c>
      <c r="AF37" s="228">
        <v>-64</v>
      </c>
      <c r="AG37" s="228">
        <v>-63</v>
      </c>
      <c r="AH37" s="228">
        <v>-59</v>
      </c>
      <c r="AI37" s="229">
        <v>-65</v>
      </c>
      <c r="AJ37" s="217"/>
      <c r="AK37" s="237" t="s">
        <v>187</v>
      </c>
      <c r="AL37" s="189">
        <v>-71</v>
      </c>
      <c r="AM37" s="190">
        <v>-70</v>
      </c>
      <c r="AN37" s="190">
        <v>-64</v>
      </c>
      <c r="AO37" s="190">
        <v>-71</v>
      </c>
      <c r="AP37" s="190">
        <v>-71</v>
      </c>
      <c r="AQ37" s="190">
        <v>-71</v>
      </c>
      <c r="AR37" s="190">
        <v>-69</v>
      </c>
      <c r="AS37" s="190">
        <v>-68</v>
      </c>
      <c r="AT37" s="190">
        <v>-64</v>
      </c>
      <c r="AU37" s="191">
        <v>-70</v>
      </c>
      <c r="AW37" s="237" t="s">
        <v>187</v>
      </c>
      <c r="AX37" s="192">
        <f>AL37-5</f>
        <v>-76</v>
      </c>
      <c r="AY37" s="193">
        <f t="shared" ref="AY37:BG43" si="6">AM37-5</f>
        <v>-75</v>
      </c>
      <c r="AZ37" s="193">
        <f t="shared" si="6"/>
        <v>-69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-74</v>
      </c>
      <c r="BE37" s="193">
        <f t="shared" si="6"/>
        <v>-73</v>
      </c>
      <c r="BF37" s="193">
        <f t="shared" si="6"/>
        <v>-69</v>
      </c>
      <c r="BG37" s="194">
        <f t="shared" si="6"/>
        <v>-75</v>
      </c>
    </row>
    <row r="38" spans="1:59" x14ac:dyDescent="0.25">
      <c r="A38" s="195" t="s">
        <v>214</v>
      </c>
      <c r="B38" s="196">
        <v>-51</v>
      </c>
      <c r="C38" s="183">
        <v>-44</v>
      </c>
      <c r="D38" s="183">
        <v>-41</v>
      </c>
      <c r="E38" s="183">
        <v>-48</v>
      </c>
      <c r="F38" s="183">
        <v>-51</v>
      </c>
      <c r="G38" s="183">
        <v>-51</v>
      </c>
      <c r="H38" s="183">
        <v>-44</v>
      </c>
      <c r="I38" s="183">
        <v>-47</v>
      </c>
      <c r="J38" s="183">
        <v>-45</v>
      </c>
      <c r="K38" s="184">
        <v>-48</v>
      </c>
      <c r="L38" s="217"/>
      <c r="M38" s="195" t="s">
        <v>214</v>
      </c>
      <c r="N38" s="196">
        <v>-57</v>
      </c>
      <c r="O38" s="183">
        <v>-50</v>
      </c>
      <c r="P38" s="183">
        <v>-47</v>
      </c>
      <c r="Q38" s="183">
        <v>-53</v>
      </c>
      <c r="R38" s="183">
        <v>-56</v>
      </c>
      <c r="S38" s="183">
        <v>-54</v>
      </c>
      <c r="T38" s="183">
        <v>-47</v>
      </c>
      <c r="U38" s="183">
        <v>-50</v>
      </c>
      <c r="V38" s="183">
        <v>-48</v>
      </c>
      <c r="W38" s="184">
        <v>-51</v>
      </c>
      <c r="X38" s="217"/>
      <c r="Y38" s="197" t="s">
        <v>214</v>
      </c>
      <c r="Z38" s="230">
        <v>-69</v>
      </c>
      <c r="AA38" s="231">
        <v>-64</v>
      </c>
      <c r="AB38" s="231">
        <v>-60</v>
      </c>
      <c r="AC38" s="231">
        <v>-66</v>
      </c>
      <c r="AD38" s="231">
        <v>-69</v>
      </c>
      <c r="AE38" s="231">
        <v>-69</v>
      </c>
      <c r="AF38" s="231">
        <v>-62</v>
      </c>
      <c r="AG38" s="231">
        <v>-64</v>
      </c>
      <c r="AH38" s="231">
        <v>-62</v>
      </c>
      <c r="AI38" s="232">
        <v>-65</v>
      </c>
      <c r="AJ38" s="217"/>
      <c r="AK38" s="197" t="s">
        <v>214</v>
      </c>
      <c r="AL38" s="198">
        <v>-71</v>
      </c>
      <c r="AM38" s="199">
        <v>-69</v>
      </c>
      <c r="AN38" s="199">
        <v>-65</v>
      </c>
      <c r="AO38" s="199">
        <v>-71</v>
      </c>
      <c r="AP38" s="199">
        <v>-71</v>
      </c>
      <c r="AQ38" s="199">
        <v>-71</v>
      </c>
      <c r="AR38" s="199">
        <v>-67</v>
      </c>
      <c r="AS38" s="199">
        <v>-69</v>
      </c>
      <c r="AT38" s="199">
        <v>-67</v>
      </c>
      <c r="AU38" s="200">
        <v>-70</v>
      </c>
      <c r="AW38" s="197" t="s">
        <v>214</v>
      </c>
      <c r="AX38" s="201">
        <f t="shared" ref="AX38:AX43" si="7">AL38-5</f>
        <v>-76</v>
      </c>
      <c r="AY38" s="202">
        <f t="shared" si="6"/>
        <v>-74</v>
      </c>
      <c r="AZ38" s="202">
        <f t="shared" si="6"/>
        <v>-70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-72</v>
      </c>
      <c r="BE38" s="202">
        <f t="shared" si="6"/>
        <v>-74</v>
      </c>
      <c r="BF38" s="202">
        <f t="shared" si="6"/>
        <v>-72</v>
      </c>
      <c r="BG38" s="203">
        <f t="shared" si="6"/>
        <v>-75</v>
      </c>
    </row>
    <row r="39" spans="1:59" x14ac:dyDescent="0.25">
      <c r="A39" s="195" t="s">
        <v>233</v>
      </c>
      <c r="B39" s="196">
        <v>-55</v>
      </c>
      <c r="C39" s="183">
        <v>-54</v>
      </c>
      <c r="D39" s="183">
        <v>-53</v>
      </c>
      <c r="E39" s="183">
        <v>-49</v>
      </c>
      <c r="F39" s="183">
        <v>-52</v>
      </c>
      <c r="G39" s="183">
        <v>-54</v>
      </c>
      <c r="H39" s="183">
        <v>-47</v>
      </c>
      <c r="I39" s="183">
        <v>-47</v>
      </c>
      <c r="J39" s="183">
        <v>-47</v>
      </c>
      <c r="K39" s="184">
        <v>-53</v>
      </c>
      <c r="L39" s="217"/>
      <c r="M39" s="195" t="s">
        <v>233</v>
      </c>
      <c r="N39" s="196">
        <v>-61</v>
      </c>
      <c r="O39" s="183">
        <v>-60</v>
      </c>
      <c r="P39" s="183">
        <v>-59</v>
      </c>
      <c r="Q39" s="183">
        <v>-54</v>
      </c>
      <c r="R39" s="183">
        <v>-57</v>
      </c>
      <c r="S39" s="183">
        <v>-57</v>
      </c>
      <c r="T39" s="183">
        <v>-50</v>
      </c>
      <c r="U39" s="183">
        <v>-50</v>
      </c>
      <c r="V39" s="183">
        <v>-50</v>
      </c>
      <c r="W39" s="184">
        <v>-56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-67</v>
      </c>
      <c r="AD39" s="231">
        <v>-69</v>
      </c>
      <c r="AE39" s="231">
        <v>-69</v>
      </c>
      <c r="AF39" s="231">
        <v>-65</v>
      </c>
      <c r="AG39" s="231">
        <v>-64</v>
      </c>
      <c r="AH39" s="231">
        <v>-64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-70</v>
      </c>
      <c r="AS39" s="199">
        <v>-69</v>
      </c>
      <c r="AT39" s="199">
        <v>-69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-75</v>
      </c>
      <c r="BE39" s="202">
        <f t="shared" si="6"/>
        <v>-74</v>
      </c>
      <c r="BF39" s="202">
        <f t="shared" si="6"/>
        <v>-74</v>
      </c>
      <c r="BG39" s="203">
        <f t="shared" si="6"/>
        <v>-76</v>
      </c>
    </row>
    <row r="40" spans="1:59" x14ac:dyDescent="0.25">
      <c r="A40" s="195" t="s">
        <v>242</v>
      </c>
      <c r="B40" s="196">
        <v>-54</v>
      </c>
      <c r="C40" s="183">
        <v>-55</v>
      </c>
      <c r="D40" s="183">
        <v>-52</v>
      </c>
      <c r="E40" s="183">
        <v>-52</v>
      </c>
      <c r="F40" s="183">
        <v>-52</v>
      </c>
      <c r="G40" s="183">
        <v>-54</v>
      </c>
      <c r="H40" s="183">
        <v>-46</v>
      </c>
      <c r="I40" s="183">
        <v>-47</v>
      </c>
      <c r="J40" s="183">
        <v>-46</v>
      </c>
      <c r="K40" s="184">
        <v>-50</v>
      </c>
      <c r="L40" s="217"/>
      <c r="M40" s="195" t="s">
        <v>242</v>
      </c>
      <c r="N40" s="196">
        <v>-60</v>
      </c>
      <c r="O40" s="183">
        <v>-60</v>
      </c>
      <c r="P40" s="183">
        <v>-57</v>
      </c>
      <c r="Q40" s="183">
        <v>-57</v>
      </c>
      <c r="R40" s="183">
        <v>-56</v>
      </c>
      <c r="S40" s="183">
        <v>-57</v>
      </c>
      <c r="T40" s="183">
        <v>-49</v>
      </c>
      <c r="U40" s="183">
        <v>-50</v>
      </c>
      <c r="V40" s="183">
        <v>-49</v>
      </c>
      <c r="W40" s="184">
        <v>-53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-64</v>
      </c>
      <c r="AG40" s="231">
        <v>-63</v>
      </c>
      <c r="AH40" s="231">
        <v>-62</v>
      </c>
      <c r="AI40" s="232">
        <v>-66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-69</v>
      </c>
      <c r="AS40" s="199">
        <v>-68</v>
      </c>
      <c r="AT40" s="199">
        <v>-67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-74</v>
      </c>
      <c r="BE40" s="202">
        <f t="shared" si="6"/>
        <v>-73</v>
      </c>
      <c r="BF40" s="202">
        <f t="shared" si="6"/>
        <v>-72</v>
      </c>
      <c r="BG40" s="203">
        <f t="shared" si="6"/>
        <v>-76</v>
      </c>
    </row>
    <row r="41" spans="1:59" x14ac:dyDescent="0.25">
      <c r="A41" s="195" t="s">
        <v>250</v>
      </c>
      <c r="B41" s="196">
        <v>-58</v>
      </c>
      <c r="C41" s="183">
        <v>-56</v>
      </c>
      <c r="D41" s="183">
        <v>-55</v>
      </c>
      <c r="E41" s="183">
        <v>-51</v>
      </c>
      <c r="F41" s="183">
        <v>-52</v>
      </c>
      <c r="G41" s="183">
        <v>-51</v>
      </c>
      <c r="H41" s="183">
        <v>-44</v>
      </c>
      <c r="I41" s="183">
        <v>-46</v>
      </c>
      <c r="J41" s="183">
        <v>-46</v>
      </c>
      <c r="K41" s="184">
        <v>-50</v>
      </c>
      <c r="L41" s="217"/>
      <c r="M41" s="195" t="s">
        <v>250</v>
      </c>
      <c r="N41" s="196">
        <v>-64</v>
      </c>
      <c r="O41" s="183">
        <v>-61</v>
      </c>
      <c r="P41" s="183">
        <v>-60</v>
      </c>
      <c r="Q41" s="183">
        <v>-56</v>
      </c>
      <c r="R41" s="183">
        <v>-56</v>
      </c>
      <c r="S41" s="183">
        <v>-54</v>
      </c>
      <c r="T41" s="183">
        <v>-47</v>
      </c>
      <c r="U41" s="183">
        <v>-49</v>
      </c>
      <c r="V41" s="183">
        <v>-49</v>
      </c>
      <c r="W41" s="184">
        <v>-53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-62</v>
      </c>
      <c r="AG41" s="231">
        <v>-62</v>
      </c>
      <c r="AH41" s="231">
        <v>-62</v>
      </c>
      <c r="AI41" s="232">
        <v>-66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-67</v>
      </c>
      <c r="AS41" s="199">
        <v>-67</v>
      </c>
      <c r="AT41" s="199">
        <v>-67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-72</v>
      </c>
      <c r="BE41" s="202">
        <f t="shared" si="6"/>
        <v>-72</v>
      </c>
      <c r="BF41" s="202">
        <f t="shared" si="6"/>
        <v>-72</v>
      </c>
      <c r="BG41" s="203">
        <f t="shared" si="6"/>
        <v>-76</v>
      </c>
    </row>
    <row r="42" spans="1:59" x14ac:dyDescent="0.25">
      <c r="A42" s="195" t="s">
        <v>258</v>
      </c>
      <c r="B42" s="196">
        <v>-55</v>
      </c>
      <c r="C42" s="183">
        <v>-52</v>
      </c>
      <c r="D42" s="183">
        <v>-49</v>
      </c>
      <c r="E42" s="183">
        <v>-51</v>
      </c>
      <c r="F42" s="183">
        <v>-48</v>
      </c>
      <c r="G42" s="183">
        <v>-48</v>
      </c>
      <c r="H42" s="183">
        <v>-46</v>
      </c>
      <c r="I42" s="183">
        <v>-47</v>
      </c>
      <c r="J42" s="183">
        <v>-49</v>
      </c>
      <c r="K42" s="184">
        <v>-46</v>
      </c>
      <c r="L42" s="217"/>
      <c r="M42" s="195" t="s">
        <v>258</v>
      </c>
      <c r="N42" s="196">
        <v>-60</v>
      </c>
      <c r="O42" s="183">
        <v>-56</v>
      </c>
      <c r="P42" s="183">
        <v>-53</v>
      </c>
      <c r="Q42" s="183">
        <v>-55</v>
      </c>
      <c r="R42" s="183">
        <v>-51</v>
      </c>
      <c r="S42" s="183">
        <v>-51</v>
      </c>
      <c r="T42" s="183">
        <v>-49</v>
      </c>
      <c r="U42" s="183">
        <v>-49</v>
      </c>
      <c r="V42" s="183">
        <v>-51</v>
      </c>
      <c r="W42" s="184">
        <v>-48</v>
      </c>
      <c r="X42" s="217"/>
      <c r="Y42" s="197" t="s">
        <v>258</v>
      </c>
      <c r="Z42" s="230">
        <v>-69</v>
      </c>
      <c r="AA42" s="231">
        <v>-68</v>
      </c>
      <c r="AB42" s="231">
        <v>-65</v>
      </c>
      <c r="AC42" s="231">
        <v>-67</v>
      </c>
      <c r="AD42" s="231">
        <v>-64</v>
      </c>
      <c r="AE42" s="231">
        <v>-64</v>
      </c>
      <c r="AF42" s="231">
        <v>-61</v>
      </c>
      <c r="AG42" s="231">
        <v>-61</v>
      </c>
      <c r="AH42" s="231">
        <v>-63</v>
      </c>
      <c r="AI42" s="232">
        <v>-60</v>
      </c>
      <c r="AJ42" s="217"/>
      <c r="AK42" s="197" t="s">
        <v>258</v>
      </c>
      <c r="AL42" s="198">
        <v>-71</v>
      </c>
      <c r="AM42" s="199">
        <v>-71</v>
      </c>
      <c r="AN42" s="199">
        <v>-70</v>
      </c>
      <c r="AO42" s="199">
        <v>-71</v>
      </c>
      <c r="AP42" s="199">
        <v>-69</v>
      </c>
      <c r="AQ42" s="199">
        <v>-69</v>
      </c>
      <c r="AR42" s="199">
        <v>-66</v>
      </c>
      <c r="AS42" s="199">
        <v>-66</v>
      </c>
      <c r="AT42" s="199">
        <v>-68</v>
      </c>
      <c r="AU42" s="200">
        <v>-65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-75</v>
      </c>
      <c r="BA42" s="202">
        <f t="shared" si="6"/>
        <v>-76</v>
      </c>
      <c r="BB42" s="202">
        <f t="shared" si="6"/>
        <v>-74</v>
      </c>
      <c r="BC42" s="202">
        <f t="shared" si="6"/>
        <v>-74</v>
      </c>
      <c r="BD42" s="202">
        <f t="shared" si="6"/>
        <v>-71</v>
      </c>
      <c r="BE42" s="202">
        <f t="shared" si="6"/>
        <v>-71</v>
      </c>
      <c r="BF42" s="202">
        <f t="shared" si="6"/>
        <v>-73</v>
      </c>
      <c r="BG42" s="203">
        <f t="shared" si="6"/>
        <v>-70</v>
      </c>
    </row>
    <row r="43" spans="1:59" ht="15.75" thickBot="1" x14ac:dyDescent="0.3">
      <c r="A43" s="204" t="s">
        <v>265</v>
      </c>
      <c r="B43" s="207">
        <v>-53</v>
      </c>
      <c r="C43" s="205">
        <v>-54</v>
      </c>
      <c r="D43" s="205">
        <v>-54</v>
      </c>
      <c r="E43" s="205">
        <v>-52</v>
      </c>
      <c r="F43" s="205">
        <v>-49</v>
      </c>
      <c r="G43" s="205">
        <v>-48</v>
      </c>
      <c r="H43" s="205">
        <v>-48</v>
      </c>
      <c r="I43" s="205">
        <v>-46</v>
      </c>
      <c r="J43" s="205">
        <v>-47</v>
      </c>
      <c r="K43" s="206">
        <v>-48</v>
      </c>
      <c r="L43" s="217"/>
      <c r="M43" s="204" t="s">
        <v>265</v>
      </c>
      <c r="N43" s="207">
        <v>-58</v>
      </c>
      <c r="O43" s="205">
        <v>-58</v>
      </c>
      <c r="P43" s="205">
        <v>-58</v>
      </c>
      <c r="Q43" s="205">
        <v>-56</v>
      </c>
      <c r="R43" s="205">
        <v>-52</v>
      </c>
      <c r="S43" s="205">
        <v>-51</v>
      </c>
      <c r="T43" s="205">
        <v>-51</v>
      </c>
      <c r="U43" s="205">
        <v>-48</v>
      </c>
      <c r="V43" s="205">
        <v>-49</v>
      </c>
      <c r="W43" s="206">
        <v>-50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-68</v>
      </c>
      <c r="AD43" s="234">
        <v>-65</v>
      </c>
      <c r="AE43" s="234">
        <v>-64</v>
      </c>
      <c r="AF43" s="234">
        <v>-63</v>
      </c>
      <c r="AG43" s="234">
        <v>-60</v>
      </c>
      <c r="AH43" s="234">
        <v>-61</v>
      </c>
      <c r="AI43" s="235">
        <v>-62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-70</v>
      </c>
      <c r="AQ43" s="210">
        <v>-69</v>
      </c>
      <c r="AR43" s="210">
        <v>-68</v>
      </c>
      <c r="AS43" s="210">
        <v>-65</v>
      </c>
      <c r="AT43" s="210">
        <v>-66</v>
      </c>
      <c r="AU43" s="211">
        <v>-67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-75</v>
      </c>
      <c r="BC43" s="213">
        <f t="shared" si="6"/>
        <v>-74</v>
      </c>
      <c r="BD43" s="213">
        <f t="shared" si="6"/>
        <v>-73</v>
      </c>
      <c r="BE43" s="213">
        <f t="shared" si="6"/>
        <v>-70</v>
      </c>
      <c r="BF43" s="213">
        <f t="shared" si="6"/>
        <v>-71</v>
      </c>
      <c r="BG43" s="214">
        <f t="shared" si="6"/>
        <v>-72</v>
      </c>
    </row>
  </sheetData>
  <sheetProtection algorithmName="SHA-512" hashValue="Tpu8zXOXSock3Lx/keS9ulOUezRJ8KS9Swj9TeMZW0UyWrCHAJONX8BOkNZuFLTggrm92bNuSrj1mS45mg1BJQ==" saltValue="38CGp5GoUkMoV482GELaNg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798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-31</v>
      </c>
      <c r="C4" s="183">
        <v>-27</v>
      </c>
      <c r="D4" s="183">
        <v>-27</v>
      </c>
      <c r="E4" s="183">
        <v>-29</v>
      </c>
      <c r="F4" s="183">
        <v>-37</v>
      </c>
      <c r="G4" s="183">
        <v>-33</v>
      </c>
      <c r="H4" s="183">
        <v>-33</v>
      </c>
      <c r="I4" s="183">
        <v>-32</v>
      </c>
      <c r="J4" s="183">
        <v>-30</v>
      </c>
      <c r="K4" s="184">
        <v>-30</v>
      </c>
      <c r="L4" s="217"/>
      <c r="M4" s="182" t="s">
        <v>187</v>
      </c>
      <c r="N4" s="185">
        <v>-38</v>
      </c>
      <c r="O4" s="186">
        <v>-33</v>
      </c>
      <c r="P4" s="186">
        <v>-32</v>
      </c>
      <c r="Q4" s="186">
        <v>-34</v>
      </c>
      <c r="R4" s="186">
        <v>-42</v>
      </c>
      <c r="S4" s="186">
        <v>-38</v>
      </c>
      <c r="T4" s="186">
        <v>-37</v>
      </c>
      <c r="U4" s="186">
        <v>-35</v>
      </c>
      <c r="V4" s="186">
        <v>-33</v>
      </c>
      <c r="W4" s="187">
        <v>-33</v>
      </c>
      <c r="X4" s="217"/>
      <c r="Y4" s="188" t="s">
        <v>187</v>
      </c>
      <c r="Z4" s="189">
        <v>-43</v>
      </c>
      <c r="AA4" s="190">
        <v>-38</v>
      </c>
      <c r="AB4" s="190">
        <v>-38</v>
      </c>
      <c r="AC4" s="190">
        <v>-39</v>
      </c>
      <c r="AD4" s="190">
        <v>-46</v>
      </c>
      <c r="AE4" s="190">
        <v>-42</v>
      </c>
      <c r="AF4" s="190">
        <v>-41</v>
      </c>
      <c r="AG4" s="190">
        <v>-40</v>
      </c>
      <c r="AH4" s="190">
        <v>-38</v>
      </c>
      <c r="AI4" s="191">
        <v>-38</v>
      </c>
      <c r="AJ4" s="217"/>
      <c r="AK4" s="188" t="s">
        <v>187</v>
      </c>
      <c r="AL4" s="189">
        <v>-51</v>
      </c>
      <c r="AM4" s="190">
        <v>-47</v>
      </c>
      <c r="AN4" s="190">
        <v>-46</v>
      </c>
      <c r="AO4" s="190">
        <v>-48</v>
      </c>
      <c r="AP4" s="190">
        <v>-55</v>
      </c>
      <c r="AQ4" s="190">
        <v>-51</v>
      </c>
      <c r="AR4" s="190">
        <v>-50</v>
      </c>
      <c r="AS4" s="190">
        <v>-48</v>
      </c>
      <c r="AT4" s="190">
        <v>-46</v>
      </c>
      <c r="AU4" s="191">
        <v>-46</v>
      </c>
      <c r="AW4" s="188" t="s">
        <v>187</v>
      </c>
      <c r="AX4" s="192">
        <f>AL4-5</f>
        <v>-56</v>
      </c>
      <c r="AY4" s="193">
        <f t="shared" ref="AY4:BG10" si="0">AM4-5</f>
        <v>-52</v>
      </c>
      <c r="AZ4" s="193">
        <f t="shared" si="0"/>
        <v>-51</v>
      </c>
      <c r="BA4" s="193">
        <f t="shared" si="0"/>
        <v>-53</v>
      </c>
      <c r="BB4" s="193">
        <f t="shared" si="0"/>
        <v>-60</v>
      </c>
      <c r="BC4" s="193">
        <f t="shared" si="0"/>
        <v>-56</v>
      </c>
      <c r="BD4" s="193">
        <f t="shared" si="0"/>
        <v>-55</v>
      </c>
      <c r="BE4" s="193">
        <f t="shared" si="0"/>
        <v>-53</v>
      </c>
      <c r="BF4" s="193">
        <f t="shared" si="0"/>
        <v>-51</v>
      </c>
      <c r="BG4" s="194">
        <f t="shared" si="0"/>
        <v>-51</v>
      </c>
    </row>
    <row r="5" spans="1:59" ht="14.45" x14ac:dyDescent="0.3">
      <c r="A5" s="195" t="s">
        <v>214</v>
      </c>
      <c r="B5" s="183">
        <v>-27</v>
      </c>
      <c r="C5" s="183">
        <v>-25</v>
      </c>
      <c r="D5" s="183">
        <v>-26</v>
      </c>
      <c r="E5" s="183">
        <v>-31</v>
      </c>
      <c r="F5" s="183">
        <v>-35</v>
      </c>
      <c r="G5" s="183">
        <v>-32</v>
      </c>
      <c r="H5" s="183">
        <v>-30</v>
      </c>
      <c r="I5" s="183">
        <v>-30</v>
      </c>
      <c r="J5" s="183">
        <v>-33</v>
      </c>
      <c r="K5" s="184">
        <v>-31</v>
      </c>
      <c r="L5" s="217"/>
      <c r="M5" s="195" t="s">
        <v>214</v>
      </c>
      <c r="N5" s="196">
        <v>-34</v>
      </c>
      <c r="O5" s="183">
        <v>-31</v>
      </c>
      <c r="P5" s="183">
        <v>-31</v>
      </c>
      <c r="Q5" s="183">
        <v>-36</v>
      </c>
      <c r="R5" s="183">
        <v>-40</v>
      </c>
      <c r="S5" s="183">
        <v>-37</v>
      </c>
      <c r="T5" s="183">
        <v>-34</v>
      </c>
      <c r="U5" s="183">
        <v>-33</v>
      </c>
      <c r="V5" s="183">
        <v>-36</v>
      </c>
      <c r="W5" s="184">
        <v>-34</v>
      </c>
      <c r="X5" s="217"/>
      <c r="Y5" s="197" t="s">
        <v>214</v>
      </c>
      <c r="Z5" s="198">
        <v>-39</v>
      </c>
      <c r="AA5" s="199">
        <v>-36</v>
      </c>
      <c r="AB5" s="199">
        <v>-37</v>
      </c>
      <c r="AC5" s="199">
        <v>-41</v>
      </c>
      <c r="AD5" s="199">
        <v>-44</v>
      </c>
      <c r="AE5" s="199">
        <v>-41</v>
      </c>
      <c r="AF5" s="199">
        <v>-38</v>
      </c>
      <c r="AG5" s="199">
        <v>-38</v>
      </c>
      <c r="AH5" s="199">
        <v>-41</v>
      </c>
      <c r="AI5" s="200">
        <v>-39</v>
      </c>
      <c r="AJ5" s="217"/>
      <c r="AK5" s="197" t="s">
        <v>214</v>
      </c>
      <c r="AL5" s="198">
        <v>-47</v>
      </c>
      <c r="AM5" s="199">
        <v>-45</v>
      </c>
      <c r="AN5" s="199">
        <v>-45</v>
      </c>
      <c r="AO5" s="199">
        <v>-50</v>
      </c>
      <c r="AP5" s="199">
        <v>-53</v>
      </c>
      <c r="AQ5" s="199">
        <v>-50</v>
      </c>
      <c r="AR5" s="199">
        <v>-47</v>
      </c>
      <c r="AS5" s="199">
        <v>-46</v>
      </c>
      <c r="AT5" s="199">
        <v>-49</v>
      </c>
      <c r="AU5" s="200">
        <v>-47</v>
      </c>
      <c r="AW5" s="197" t="s">
        <v>214</v>
      </c>
      <c r="AX5" s="201">
        <f t="shared" ref="AX5:AX10" si="1">AL5-5</f>
        <v>-52</v>
      </c>
      <c r="AY5" s="202">
        <f t="shared" si="0"/>
        <v>-50</v>
      </c>
      <c r="AZ5" s="202">
        <f t="shared" si="0"/>
        <v>-50</v>
      </c>
      <c r="BA5" s="202">
        <f t="shared" si="0"/>
        <v>-55</v>
      </c>
      <c r="BB5" s="202">
        <f t="shared" si="0"/>
        <v>-58</v>
      </c>
      <c r="BC5" s="202">
        <f t="shared" si="0"/>
        <v>-55</v>
      </c>
      <c r="BD5" s="202">
        <f t="shared" si="0"/>
        <v>-52</v>
      </c>
      <c r="BE5" s="202">
        <f t="shared" si="0"/>
        <v>-51</v>
      </c>
      <c r="BF5" s="202">
        <f t="shared" si="0"/>
        <v>-54</v>
      </c>
      <c r="BG5" s="203">
        <f t="shared" si="0"/>
        <v>-52</v>
      </c>
    </row>
    <row r="6" spans="1:59" ht="14.45" x14ac:dyDescent="0.3">
      <c r="A6" s="195" t="s">
        <v>233</v>
      </c>
      <c r="B6" s="183">
        <v>-32</v>
      </c>
      <c r="C6" s="183">
        <v>-29</v>
      </c>
      <c r="D6" s="183">
        <v>-28</v>
      </c>
      <c r="E6" s="183">
        <v>-33</v>
      </c>
      <c r="F6" s="183">
        <v>-35</v>
      </c>
      <c r="G6" s="183">
        <v>-32</v>
      </c>
      <c r="H6" s="183">
        <v>-31</v>
      </c>
      <c r="I6" s="183">
        <v>-33</v>
      </c>
      <c r="J6" s="183">
        <v>-32</v>
      </c>
      <c r="K6" s="184">
        <v>-38</v>
      </c>
      <c r="L6" s="217"/>
      <c r="M6" s="195" t="s">
        <v>233</v>
      </c>
      <c r="N6" s="196">
        <v>-39</v>
      </c>
      <c r="O6" s="183">
        <v>-35</v>
      </c>
      <c r="P6" s="183">
        <v>-33</v>
      </c>
      <c r="Q6" s="183">
        <v>-38</v>
      </c>
      <c r="R6" s="183">
        <v>-40</v>
      </c>
      <c r="S6" s="183">
        <v>-37</v>
      </c>
      <c r="T6" s="183">
        <v>-35</v>
      </c>
      <c r="U6" s="183">
        <v>-36</v>
      </c>
      <c r="V6" s="183">
        <v>-35</v>
      </c>
      <c r="W6" s="184">
        <v>-41</v>
      </c>
      <c r="X6" s="217"/>
      <c r="Y6" s="197" t="s">
        <v>233</v>
      </c>
      <c r="Z6" s="198">
        <v>-44</v>
      </c>
      <c r="AA6" s="199">
        <v>-40</v>
      </c>
      <c r="AB6" s="199">
        <v>-39</v>
      </c>
      <c r="AC6" s="199">
        <v>-43</v>
      </c>
      <c r="AD6" s="199">
        <v>-44</v>
      </c>
      <c r="AE6" s="199">
        <v>-41</v>
      </c>
      <c r="AF6" s="199">
        <v>-39</v>
      </c>
      <c r="AG6" s="199">
        <v>-41</v>
      </c>
      <c r="AH6" s="199">
        <v>-40</v>
      </c>
      <c r="AI6" s="200">
        <v>-46</v>
      </c>
      <c r="AJ6" s="217"/>
      <c r="AK6" s="197" t="s">
        <v>233</v>
      </c>
      <c r="AL6" s="198">
        <v>-52</v>
      </c>
      <c r="AM6" s="199">
        <v>-49</v>
      </c>
      <c r="AN6" s="199">
        <v>-47</v>
      </c>
      <c r="AO6" s="199">
        <v>-52</v>
      </c>
      <c r="AP6" s="199">
        <v>-53</v>
      </c>
      <c r="AQ6" s="199">
        <v>-50</v>
      </c>
      <c r="AR6" s="199">
        <v>-48</v>
      </c>
      <c r="AS6" s="199">
        <v>-49</v>
      </c>
      <c r="AT6" s="199">
        <v>-48</v>
      </c>
      <c r="AU6" s="200">
        <v>-54</v>
      </c>
      <c r="AW6" s="197" t="s">
        <v>233</v>
      </c>
      <c r="AX6" s="201">
        <f t="shared" si="1"/>
        <v>-57</v>
      </c>
      <c r="AY6" s="202">
        <f t="shared" si="0"/>
        <v>-54</v>
      </c>
      <c r="AZ6" s="202">
        <f t="shared" si="0"/>
        <v>-52</v>
      </c>
      <c r="BA6" s="202">
        <f t="shared" si="0"/>
        <v>-57</v>
      </c>
      <c r="BB6" s="202">
        <f t="shared" si="0"/>
        <v>-58</v>
      </c>
      <c r="BC6" s="202">
        <f t="shared" si="0"/>
        <v>-55</v>
      </c>
      <c r="BD6" s="202">
        <f t="shared" si="0"/>
        <v>-53</v>
      </c>
      <c r="BE6" s="202">
        <f t="shared" si="0"/>
        <v>-54</v>
      </c>
      <c r="BF6" s="202">
        <f t="shared" si="0"/>
        <v>-53</v>
      </c>
      <c r="BG6" s="203">
        <f t="shared" si="0"/>
        <v>-59</v>
      </c>
    </row>
    <row r="7" spans="1:59" ht="14.45" x14ac:dyDescent="0.3">
      <c r="A7" s="195" t="s">
        <v>242</v>
      </c>
      <c r="B7" s="183">
        <v>-33</v>
      </c>
      <c r="C7" s="183">
        <v>-34</v>
      </c>
      <c r="D7" s="183">
        <v>-33</v>
      </c>
      <c r="E7" s="183">
        <v>-30</v>
      </c>
      <c r="F7" s="183">
        <v>-35</v>
      </c>
      <c r="G7" s="183">
        <v>-30</v>
      </c>
      <c r="H7" s="183">
        <v>-29</v>
      </c>
      <c r="I7" s="183">
        <v>-29</v>
      </c>
      <c r="J7" s="183">
        <v>-32</v>
      </c>
      <c r="K7" s="184">
        <v>-37</v>
      </c>
      <c r="L7" s="217"/>
      <c r="M7" s="195" t="s">
        <v>242</v>
      </c>
      <c r="N7" s="196">
        <v>-40</v>
      </c>
      <c r="O7" s="183">
        <v>-40</v>
      </c>
      <c r="P7" s="183">
        <v>-38</v>
      </c>
      <c r="Q7" s="183">
        <v>-35</v>
      </c>
      <c r="R7" s="183">
        <v>-40</v>
      </c>
      <c r="S7" s="183">
        <v>-34</v>
      </c>
      <c r="T7" s="183">
        <v>-32</v>
      </c>
      <c r="U7" s="183">
        <v>-32</v>
      </c>
      <c r="V7" s="183">
        <v>-35</v>
      </c>
      <c r="W7" s="184">
        <v>-40</v>
      </c>
      <c r="X7" s="217"/>
      <c r="Y7" s="197" t="s">
        <v>242</v>
      </c>
      <c r="Z7" s="198">
        <v>-45</v>
      </c>
      <c r="AA7" s="199">
        <v>-46</v>
      </c>
      <c r="AB7" s="199">
        <v>-43</v>
      </c>
      <c r="AC7" s="199">
        <v>-40</v>
      </c>
      <c r="AD7" s="199">
        <v>-44</v>
      </c>
      <c r="AE7" s="199">
        <v>-39</v>
      </c>
      <c r="AF7" s="199">
        <v>-37</v>
      </c>
      <c r="AG7" s="199">
        <v>-37</v>
      </c>
      <c r="AH7" s="199">
        <v>-40</v>
      </c>
      <c r="AI7" s="200">
        <v>-45</v>
      </c>
      <c r="AJ7" s="217"/>
      <c r="AK7" s="197" t="s">
        <v>242</v>
      </c>
      <c r="AL7" s="198">
        <v>-49</v>
      </c>
      <c r="AM7" s="199">
        <v>-50</v>
      </c>
      <c r="AN7" s="199">
        <v>-48</v>
      </c>
      <c r="AO7" s="199">
        <v>-45</v>
      </c>
      <c r="AP7" s="199">
        <v>-50</v>
      </c>
      <c r="AQ7" s="199">
        <v>-45</v>
      </c>
      <c r="AR7" s="199">
        <v>-43</v>
      </c>
      <c r="AS7" s="199">
        <v>-41</v>
      </c>
      <c r="AT7" s="199">
        <v>-44</v>
      </c>
      <c r="AU7" s="200">
        <v>-49</v>
      </c>
      <c r="AW7" s="197" t="s">
        <v>242</v>
      </c>
      <c r="AX7" s="201">
        <f t="shared" si="1"/>
        <v>-54</v>
      </c>
      <c r="AY7" s="202">
        <f t="shared" si="0"/>
        <v>-55</v>
      </c>
      <c r="AZ7" s="202">
        <f t="shared" si="0"/>
        <v>-53</v>
      </c>
      <c r="BA7" s="202">
        <f t="shared" si="0"/>
        <v>-50</v>
      </c>
      <c r="BB7" s="202">
        <f t="shared" si="0"/>
        <v>-55</v>
      </c>
      <c r="BC7" s="202">
        <f t="shared" si="0"/>
        <v>-50</v>
      </c>
      <c r="BD7" s="202">
        <f t="shared" si="0"/>
        <v>-48</v>
      </c>
      <c r="BE7" s="202">
        <f t="shared" si="0"/>
        <v>-46</v>
      </c>
      <c r="BF7" s="202">
        <f t="shared" si="0"/>
        <v>-49</v>
      </c>
      <c r="BG7" s="203">
        <f t="shared" si="0"/>
        <v>-54</v>
      </c>
    </row>
    <row r="8" spans="1:59" ht="14.45" x14ac:dyDescent="0.3">
      <c r="A8" s="195" t="s">
        <v>250</v>
      </c>
      <c r="B8" s="183">
        <v>-37</v>
      </c>
      <c r="C8" s="183">
        <v>-35</v>
      </c>
      <c r="D8" s="183">
        <v>-36</v>
      </c>
      <c r="E8" s="183">
        <v>-36</v>
      </c>
      <c r="F8" s="183">
        <v>-32</v>
      </c>
      <c r="G8" s="183">
        <v>-35</v>
      </c>
      <c r="H8" s="183">
        <v>-31</v>
      </c>
      <c r="I8" s="183">
        <v>-34</v>
      </c>
      <c r="J8" s="183">
        <v>-34</v>
      </c>
      <c r="K8" s="184">
        <v>-37</v>
      </c>
      <c r="L8" s="217"/>
      <c r="M8" s="195" t="s">
        <v>250</v>
      </c>
      <c r="N8" s="196">
        <v>-44</v>
      </c>
      <c r="O8" s="183">
        <v>-41</v>
      </c>
      <c r="P8" s="183">
        <v>-41</v>
      </c>
      <c r="Q8" s="183">
        <v>-41</v>
      </c>
      <c r="R8" s="183">
        <v>-37</v>
      </c>
      <c r="S8" s="183">
        <v>-39</v>
      </c>
      <c r="T8" s="183">
        <v>-34</v>
      </c>
      <c r="U8" s="183">
        <v>-37</v>
      </c>
      <c r="V8" s="183">
        <v>-37</v>
      </c>
      <c r="W8" s="184">
        <v>-40</v>
      </c>
      <c r="X8" s="217"/>
      <c r="Y8" s="197" t="s">
        <v>250</v>
      </c>
      <c r="Z8" s="198">
        <v>-49</v>
      </c>
      <c r="AA8" s="199">
        <v>-47</v>
      </c>
      <c r="AB8" s="199">
        <v>-46</v>
      </c>
      <c r="AC8" s="199">
        <v>-46</v>
      </c>
      <c r="AD8" s="199">
        <v>-41</v>
      </c>
      <c r="AE8" s="199">
        <v>-44</v>
      </c>
      <c r="AF8" s="199">
        <v>-39</v>
      </c>
      <c r="AG8" s="199">
        <v>-42</v>
      </c>
      <c r="AH8" s="199">
        <v>-42</v>
      </c>
      <c r="AI8" s="200">
        <v>-45</v>
      </c>
      <c r="AJ8" s="217"/>
      <c r="AK8" s="197" t="s">
        <v>250</v>
      </c>
      <c r="AL8" s="198">
        <v>-53</v>
      </c>
      <c r="AM8" s="199">
        <v>-51</v>
      </c>
      <c r="AN8" s="199">
        <v>-51</v>
      </c>
      <c r="AO8" s="199">
        <v>-51</v>
      </c>
      <c r="AP8" s="199">
        <v>-47</v>
      </c>
      <c r="AQ8" s="199">
        <v>-50</v>
      </c>
      <c r="AR8" s="199">
        <v>-45</v>
      </c>
      <c r="AS8" s="199">
        <v>-46</v>
      </c>
      <c r="AT8" s="199">
        <v>-46</v>
      </c>
      <c r="AU8" s="200">
        <v>-49</v>
      </c>
      <c r="AW8" s="197" t="s">
        <v>250</v>
      </c>
      <c r="AX8" s="201">
        <f t="shared" si="1"/>
        <v>-58</v>
      </c>
      <c r="AY8" s="202">
        <f t="shared" si="0"/>
        <v>-56</v>
      </c>
      <c r="AZ8" s="202">
        <f t="shared" si="0"/>
        <v>-56</v>
      </c>
      <c r="BA8" s="202">
        <f t="shared" si="0"/>
        <v>-56</v>
      </c>
      <c r="BB8" s="202">
        <f t="shared" si="0"/>
        <v>-52</v>
      </c>
      <c r="BC8" s="202">
        <f t="shared" si="0"/>
        <v>-55</v>
      </c>
      <c r="BD8" s="202">
        <f t="shared" si="0"/>
        <v>-50</v>
      </c>
      <c r="BE8" s="202">
        <f t="shared" si="0"/>
        <v>-51</v>
      </c>
      <c r="BF8" s="202">
        <f t="shared" si="0"/>
        <v>-51</v>
      </c>
      <c r="BG8" s="203">
        <f t="shared" si="0"/>
        <v>-54</v>
      </c>
    </row>
    <row r="9" spans="1:59" ht="14.45" x14ac:dyDescent="0.3">
      <c r="A9" s="195" t="s">
        <v>258</v>
      </c>
      <c r="B9" s="183">
        <v>-40</v>
      </c>
      <c r="C9" s="183">
        <v>-38</v>
      </c>
      <c r="D9" s="183">
        <v>-34</v>
      </c>
      <c r="E9" s="183">
        <v>-34</v>
      </c>
      <c r="F9" s="183">
        <v>-33</v>
      </c>
      <c r="G9" s="183">
        <v>-33</v>
      </c>
      <c r="H9" s="183">
        <v>-31</v>
      </c>
      <c r="I9" s="183">
        <v>-31</v>
      </c>
      <c r="J9" s="183">
        <v>-33</v>
      </c>
      <c r="K9" s="184">
        <v>-35</v>
      </c>
      <c r="L9" s="217"/>
      <c r="M9" s="195" t="s">
        <v>258</v>
      </c>
      <c r="N9" s="196">
        <v>-47</v>
      </c>
      <c r="O9" s="183">
        <v>-44</v>
      </c>
      <c r="P9" s="183">
        <v>-39</v>
      </c>
      <c r="Q9" s="183">
        <v>-39</v>
      </c>
      <c r="R9" s="183">
        <v>-37</v>
      </c>
      <c r="S9" s="183">
        <v>-37</v>
      </c>
      <c r="T9" s="183">
        <v>-34</v>
      </c>
      <c r="U9" s="183">
        <v>-34</v>
      </c>
      <c r="V9" s="183">
        <v>-36</v>
      </c>
      <c r="W9" s="184">
        <v>-38</v>
      </c>
      <c r="X9" s="217"/>
      <c r="Y9" s="197" t="s">
        <v>258</v>
      </c>
      <c r="Z9" s="198">
        <v>-50</v>
      </c>
      <c r="AA9" s="199">
        <v>-48</v>
      </c>
      <c r="AB9" s="199">
        <v>-43</v>
      </c>
      <c r="AC9" s="199">
        <v>-42</v>
      </c>
      <c r="AD9" s="199">
        <v>-41</v>
      </c>
      <c r="AE9" s="199">
        <v>-40</v>
      </c>
      <c r="AF9" s="199">
        <v>-38</v>
      </c>
      <c r="AG9" s="199">
        <v>-38</v>
      </c>
      <c r="AH9" s="199">
        <v>-40</v>
      </c>
      <c r="AI9" s="200">
        <v>-42</v>
      </c>
      <c r="AJ9" s="217"/>
      <c r="AK9" s="197" t="s">
        <v>258</v>
      </c>
      <c r="AL9" s="198">
        <v>-54</v>
      </c>
      <c r="AM9" s="199">
        <v>-51</v>
      </c>
      <c r="AN9" s="199">
        <v>-47</v>
      </c>
      <c r="AO9" s="199">
        <v>-47</v>
      </c>
      <c r="AP9" s="199">
        <v>-46</v>
      </c>
      <c r="AQ9" s="199">
        <v>-45</v>
      </c>
      <c r="AR9" s="199">
        <v>-42</v>
      </c>
      <c r="AS9" s="199">
        <v>-42</v>
      </c>
      <c r="AT9" s="199">
        <v>-44</v>
      </c>
      <c r="AU9" s="200">
        <v>-46</v>
      </c>
      <c r="AW9" s="197" t="s">
        <v>258</v>
      </c>
      <c r="AX9" s="201">
        <f t="shared" si="1"/>
        <v>-59</v>
      </c>
      <c r="AY9" s="202">
        <f t="shared" si="0"/>
        <v>-56</v>
      </c>
      <c r="AZ9" s="202">
        <f t="shared" si="0"/>
        <v>-52</v>
      </c>
      <c r="BA9" s="202">
        <f t="shared" si="0"/>
        <v>-52</v>
      </c>
      <c r="BB9" s="202">
        <f t="shared" si="0"/>
        <v>-51</v>
      </c>
      <c r="BC9" s="202">
        <f t="shared" si="0"/>
        <v>-50</v>
      </c>
      <c r="BD9" s="202">
        <f t="shared" si="0"/>
        <v>-47</v>
      </c>
      <c r="BE9" s="202">
        <f t="shared" si="0"/>
        <v>-47</v>
      </c>
      <c r="BF9" s="202">
        <f t="shared" si="0"/>
        <v>-49</v>
      </c>
      <c r="BG9" s="203">
        <f t="shared" si="0"/>
        <v>-51</v>
      </c>
    </row>
    <row r="10" spans="1:59" thickBot="1" x14ac:dyDescent="0.35">
      <c r="A10" s="204" t="s">
        <v>265</v>
      </c>
      <c r="B10" s="205">
        <v>-39</v>
      </c>
      <c r="C10" s="205">
        <v>-38</v>
      </c>
      <c r="D10" s="205">
        <v>-38</v>
      </c>
      <c r="E10" s="205">
        <v>-37</v>
      </c>
      <c r="F10" s="205">
        <v>-34</v>
      </c>
      <c r="G10" s="205">
        <v>-32</v>
      </c>
      <c r="H10" s="205">
        <v>-33</v>
      </c>
      <c r="I10" s="205">
        <v>-34</v>
      </c>
      <c r="J10" s="205">
        <v>-33</v>
      </c>
      <c r="K10" s="206">
        <v>-29</v>
      </c>
      <c r="L10" s="217"/>
      <c r="M10" s="204" t="s">
        <v>265</v>
      </c>
      <c r="N10" s="207">
        <v>-46</v>
      </c>
      <c r="O10" s="205">
        <v>-44</v>
      </c>
      <c r="P10" s="205">
        <v>-43</v>
      </c>
      <c r="Q10" s="205">
        <v>-42</v>
      </c>
      <c r="R10" s="205">
        <v>-38</v>
      </c>
      <c r="S10" s="205">
        <v>-36</v>
      </c>
      <c r="T10" s="205">
        <v>-36</v>
      </c>
      <c r="U10" s="205">
        <v>-37</v>
      </c>
      <c r="V10" s="205">
        <v>-36</v>
      </c>
      <c r="W10" s="206">
        <v>-32</v>
      </c>
      <c r="X10" s="217"/>
      <c r="Y10" s="208" t="s">
        <v>265</v>
      </c>
      <c r="Z10" s="209">
        <v>-49</v>
      </c>
      <c r="AA10" s="210">
        <v>-48</v>
      </c>
      <c r="AB10" s="210">
        <v>-47</v>
      </c>
      <c r="AC10" s="210">
        <v>-45</v>
      </c>
      <c r="AD10" s="210">
        <v>-42</v>
      </c>
      <c r="AE10" s="210">
        <v>-39</v>
      </c>
      <c r="AF10" s="210">
        <v>-40</v>
      </c>
      <c r="AG10" s="210">
        <v>-41</v>
      </c>
      <c r="AH10" s="210">
        <v>-40</v>
      </c>
      <c r="AI10" s="211">
        <v>-36</v>
      </c>
      <c r="AJ10" s="217"/>
      <c r="AK10" s="208" t="s">
        <v>265</v>
      </c>
      <c r="AL10" s="209">
        <v>-53</v>
      </c>
      <c r="AM10" s="210">
        <v>-51</v>
      </c>
      <c r="AN10" s="210">
        <v>-51</v>
      </c>
      <c r="AO10" s="210">
        <v>-50</v>
      </c>
      <c r="AP10" s="210">
        <v>-47</v>
      </c>
      <c r="AQ10" s="210">
        <v>-44</v>
      </c>
      <c r="AR10" s="210">
        <v>-44</v>
      </c>
      <c r="AS10" s="210">
        <v>-45</v>
      </c>
      <c r="AT10" s="210">
        <v>-44</v>
      </c>
      <c r="AU10" s="211">
        <v>-40</v>
      </c>
      <c r="AW10" s="208" t="s">
        <v>265</v>
      </c>
      <c r="AX10" s="212">
        <f t="shared" si="1"/>
        <v>-58</v>
      </c>
      <c r="AY10" s="213">
        <f t="shared" si="0"/>
        <v>-56</v>
      </c>
      <c r="AZ10" s="213">
        <f t="shared" si="0"/>
        <v>-56</v>
      </c>
      <c r="BA10" s="213">
        <f t="shared" si="0"/>
        <v>-55</v>
      </c>
      <c r="BB10" s="213">
        <f t="shared" si="0"/>
        <v>-52</v>
      </c>
      <c r="BC10" s="213">
        <f t="shared" si="0"/>
        <v>-49</v>
      </c>
      <c r="BD10" s="213">
        <f t="shared" si="0"/>
        <v>-49</v>
      </c>
      <c r="BE10" s="213">
        <f t="shared" si="0"/>
        <v>-50</v>
      </c>
      <c r="BF10" s="213">
        <f t="shared" si="0"/>
        <v>-49</v>
      </c>
      <c r="BG10" s="214">
        <f t="shared" si="0"/>
        <v>-45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-36</v>
      </c>
      <c r="C15" s="186">
        <v>-31</v>
      </c>
      <c r="D15" s="186">
        <v>-31</v>
      </c>
      <c r="E15" s="186">
        <v>-33</v>
      </c>
      <c r="F15" s="186">
        <v>-41</v>
      </c>
      <c r="G15" s="186">
        <v>-37</v>
      </c>
      <c r="H15" s="186">
        <v>-36</v>
      </c>
      <c r="I15" s="186">
        <v>-35</v>
      </c>
      <c r="J15" s="186">
        <v>-33</v>
      </c>
      <c r="K15" s="187">
        <v>-33</v>
      </c>
      <c r="L15" s="217"/>
      <c r="M15" s="182" t="s">
        <v>187</v>
      </c>
      <c r="N15" s="185">
        <v>-43</v>
      </c>
      <c r="O15" s="186">
        <v>-37</v>
      </c>
      <c r="P15" s="186">
        <v>-36</v>
      </c>
      <c r="Q15" s="186">
        <v>-38</v>
      </c>
      <c r="R15" s="186">
        <v>-46</v>
      </c>
      <c r="S15" s="186">
        <v>-42</v>
      </c>
      <c r="T15" s="186">
        <v>-40</v>
      </c>
      <c r="U15" s="186">
        <v>-38</v>
      </c>
      <c r="V15" s="186">
        <v>-36</v>
      </c>
      <c r="W15" s="187">
        <v>-36</v>
      </c>
      <c r="X15" s="217"/>
      <c r="Y15" s="182" t="s">
        <v>187</v>
      </c>
      <c r="Z15" s="218">
        <v>-48</v>
      </c>
      <c r="AA15" s="219">
        <v>-42</v>
      </c>
      <c r="AB15" s="219">
        <v>-42</v>
      </c>
      <c r="AC15" s="219">
        <v>-43</v>
      </c>
      <c r="AD15" s="219">
        <v>-50</v>
      </c>
      <c r="AE15" s="219">
        <v>-46</v>
      </c>
      <c r="AF15" s="219">
        <v>-44</v>
      </c>
      <c r="AG15" s="219">
        <v>-43</v>
      </c>
      <c r="AH15" s="219">
        <v>-41</v>
      </c>
      <c r="AI15" s="220">
        <v>-41</v>
      </c>
      <c r="AJ15" s="217"/>
      <c r="AK15" s="188" t="s">
        <v>187</v>
      </c>
      <c r="AL15" s="189">
        <v>-56</v>
      </c>
      <c r="AM15" s="190">
        <v>-51</v>
      </c>
      <c r="AN15" s="190">
        <v>-50</v>
      </c>
      <c r="AO15" s="190">
        <v>-52</v>
      </c>
      <c r="AP15" s="190">
        <v>-59</v>
      </c>
      <c r="AQ15" s="190">
        <v>-55</v>
      </c>
      <c r="AR15" s="190">
        <v>-53</v>
      </c>
      <c r="AS15" s="190">
        <v>-51</v>
      </c>
      <c r="AT15" s="190">
        <v>-49</v>
      </c>
      <c r="AU15" s="191">
        <v>-49</v>
      </c>
      <c r="AW15" s="188" t="s">
        <v>187</v>
      </c>
      <c r="AX15" s="192">
        <f>AL15-5</f>
        <v>-61</v>
      </c>
      <c r="AY15" s="193">
        <f t="shared" ref="AY15:BG21" si="2">AM15-5</f>
        <v>-56</v>
      </c>
      <c r="AZ15" s="193">
        <f t="shared" si="2"/>
        <v>-55</v>
      </c>
      <c r="BA15" s="193">
        <f t="shared" si="2"/>
        <v>-57</v>
      </c>
      <c r="BB15" s="193">
        <f t="shared" si="2"/>
        <v>-64</v>
      </c>
      <c r="BC15" s="193">
        <f t="shared" si="2"/>
        <v>-60</v>
      </c>
      <c r="BD15" s="193">
        <f t="shared" si="2"/>
        <v>-58</v>
      </c>
      <c r="BE15" s="193">
        <f t="shared" si="2"/>
        <v>-56</v>
      </c>
      <c r="BF15" s="193">
        <f t="shared" si="2"/>
        <v>-54</v>
      </c>
      <c r="BG15" s="194">
        <f t="shared" si="2"/>
        <v>-54</v>
      </c>
    </row>
    <row r="16" spans="1:59" ht="14.45" x14ac:dyDescent="0.3">
      <c r="A16" s="195" t="s">
        <v>214</v>
      </c>
      <c r="B16" s="196">
        <v>-32</v>
      </c>
      <c r="C16" s="183">
        <v>-29</v>
      </c>
      <c r="D16" s="183">
        <v>-30</v>
      </c>
      <c r="E16" s="183">
        <v>-35</v>
      </c>
      <c r="F16" s="183">
        <v>-39</v>
      </c>
      <c r="G16" s="183">
        <v>-36</v>
      </c>
      <c r="H16" s="183">
        <v>-33</v>
      </c>
      <c r="I16" s="183">
        <v>-33</v>
      </c>
      <c r="J16" s="183">
        <v>-36</v>
      </c>
      <c r="K16" s="184">
        <v>-34</v>
      </c>
      <c r="L16" s="217"/>
      <c r="M16" s="195" t="s">
        <v>214</v>
      </c>
      <c r="N16" s="196">
        <v>-39</v>
      </c>
      <c r="O16" s="183">
        <v>-35</v>
      </c>
      <c r="P16" s="183">
        <v>-35</v>
      </c>
      <c r="Q16" s="183">
        <v>-40</v>
      </c>
      <c r="R16" s="183">
        <v>-44</v>
      </c>
      <c r="S16" s="183">
        <v>-41</v>
      </c>
      <c r="T16" s="183">
        <v>-37</v>
      </c>
      <c r="U16" s="183">
        <v>-36</v>
      </c>
      <c r="V16" s="183">
        <v>-39</v>
      </c>
      <c r="W16" s="184">
        <v>-37</v>
      </c>
      <c r="X16" s="217"/>
      <c r="Y16" s="195" t="s">
        <v>214</v>
      </c>
      <c r="Z16" s="221">
        <v>-44</v>
      </c>
      <c r="AA16" s="222">
        <v>-40</v>
      </c>
      <c r="AB16" s="222">
        <v>-41</v>
      </c>
      <c r="AC16" s="222">
        <v>-45</v>
      </c>
      <c r="AD16" s="222">
        <v>-48</v>
      </c>
      <c r="AE16" s="222">
        <v>-45</v>
      </c>
      <c r="AF16" s="222">
        <v>-41</v>
      </c>
      <c r="AG16" s="222">
        <v>-41</v>
      </c>
      <c r="AH16" s="222">
        <v>-44</v>
      </c>
      <c r="AI16" s="223">
        <v>-42</v>
      </c>
      <c r="AJ16" s="217"/>
      <c r="AK16" s="197" t="s">
        <v>214</v>
      </c>
      <c r="AL16" s="198">
        <v>-52</v>
      </c>
      <c r="AM16" s="199">
        <v>-49</v>
      </c>
      <c r="AN16" s="199">
        <v>-49</v>
      </c>
      <c r="AO16" s="199">
        <v>-54</v>
      </c>
      <c r="AP16" s="199">
        <v>-57</v>
      </c>
      <c r="AQ16" s="199">
        <v>-54</v>
      </c>
      <c r="AR16" s="199">
        <v>-50</v>
      </c>
      <c r="AS16" s="199">
        <v>-49</v>
      </c>
      <c r="AT16" s="199">
        <v>-52</v>
      </c>
      <c r="AU16" s="200">
        <v>-50</v>
      </c>
      <c r="AW16" s="197" t="s">
        <v>214</v>
      </c>
      <c r="AX16" s="201">
        <f t="shared" ref="AX16:AX21" si="3">AL16-5</f>
        <v>-57</v>
      </c>
      <c r="AY16" s="202">
        <f t="shared" si="2"/>
        <v>-54</v>
      </c>
      <c r="AZ16" s="202">
        <f t="shared" si="2"/>
        <v>-54</v>
      </c>
      <c r="BA16" s="202">
        <f t="shared" si="2"/>
        <v>-59</v>
      </c>
      <c r="BB16" s="202">
        <f t="shared" si="2"/>
        <v>-62</v>
      </c>
      <c r="BC16" s="202">
        <f t="shared" si="2"/>
        <v>-59</v>
      </c>
      <c r="BD16" s="202">
        <f t="shared" si="2"/>
        <v>-55</v>
      </c>
      <c r="BE16" s="202">
        <f t="shared" si="2"/>
        <v>-54</v>
      </c>
      <c r="BF16" s="202">
        <f t="shared" si="2"/>
        <v>-57</v>
      </c>
      <c r="BG16" s="203">
        <f t="shared" si="2"/>
        <v>-55</v>
      </c>
    </row>
    <row r="17" spans="1:59" ht="14.45" x14ac:dyDescent="0.3">
      <c r="A17" s="195" t="s">
        <v>233</v>
      </c>
      <c r="B17" s="196">
        <v>-37</v>
      </c>
      <c r="C17" s="183">
        <v>-33</v>
      </c>
      <c r="D17" s="183">
        <v>-32</v>
      </c>
      <c r="E17" s="183">
        <v>-37</v>
      </c>
      <c r="F17" s="183">
        <v>-39</v>
      </c>
      <c r="G17" s="183">
        <v>-36</v>
      </c>
      <c r="H17" s="183">
        <v>-34</v>
      </c>
      <c r="I17" s="183">
        <v>-36</v>
      </c>
      <c r="J17" s="183">
        <v>-35</v>
      </c>
      <c r="K17" s="184">
        <v>-41</v>
      </c>
      <c r="L17" s="217"/>
      <c r="M17" s="195" t="s">
        <v>233</v>
      </c>
      <c r="N17" s="196">
        <v>-44</v>
      </c>
      <c r="O17" s="183">
        <v>-39</v>
      </c>
      <c r="P17" s="183">
        <v>-37</v>
      </c>
      <c r="Q17" s="183">
        <v>-42</v>
      </c>
      <c r="R17" s="183">
        <v>-44</v>
      </c>
      <c r="S17" s="183">
        <v>-41</v>
      </c>
      <c r="T17" s="183">
        <v>-38</v>
      </c>
      <c r="U17" s="183">
        <v>-39</v>
      </c>
      <c r="V17" s="183">
        <v>-38</v>
      </c>
      <c r="W17" s="184">
        <v>-44</v>
      </c>
      <c r="X17" s="217"/>
      <c r="Y17" s="195" t="s">
        <v>233</v>
      </c>
      <c r="Z17" s="221">
        <v>-49</v>
      </c>
      <c r="AA17" s="222">
        <v>-44</v>
      </c>
      <c r="AB17" s="222">
        <v>-43</v>
      </c>
      <c r="AC17" s="222">
        <v>-47</v>
      </c>
      <c r="AD17" s="222">
        <v>-48</v>
      </c>
      <c r="AE17" s="222">
        <v>-45</v>
      </c>
      <c r="AF17" s="222">
        <v>-42</v>
      </c>
      <c r="AG17" s="222">
        <v>-44</v>
      </c>
      <c r="AH17" s="222">
        <v>-43</v>
      </c>
      <c r="AI17" s="223">
        <v>-49</v>
      </c>
      <c r="AJ17" s="217"/>
      <c r="AK17" s="197" t="s">
        <v>233</v>
      </c>
      <c r="AL17" s="198">
        <v>-57</v>
      </c>
      <c r="AM17" s="199">
        <v>-53</v>
      </c>
      <c r="AN17" s="199">
        <v>-51</v>
      </c>
      <c r="AO17" s="199">
        <v>-56</v>
      </c>
      <c r="AP17" s="199">
        <v>-57</v>
      </c>
      <c r="AQ17" s="199">
        <v>-54</v>
      </c>
      <c r="AR17" s="199">
        <v>-51</v>
      </c>
      <c r="AS17" s="199">
        <v>-52</v>
      </c>
      <c r="AT17" s="199">
        <v>-51</v>
      </c>
      <c r="AU17" s="200">
        <v>-57</v>
      </c>
      <c r="AW17" s="197" t="s">
        <v>233</v>
      </c>
      <c r="AX17" s="201">
        <f t="shared" si="3"/>
        <v>-62</v>
      </c>
      <c r="AY17" s="202">
        <f t="shared" si="2"/>
        <v>-58</v>
      </c>
      <c r="AZ17" s="202">
        <f t="shared" si="2"/>
        <v>-56</v>
      </c>
      <c r="BA17" s="202">
        <f t="shared" si="2"/>
        <v>-61</v>
      </c>
      <c r="BB17" s="202">
        <f t="shared" si="2"/>
        <v>-62</v>
      </c>
      <c r="BC17" s="202">
        <f t="shared" si="2"/>
        <v>-59</v>
      </c>
      <c r="BD17" s="202">
        <f t="shared" si="2"/>
        <v>-56</v>
      </c>
      <c r="BE17" s="202">
        <f t="shared" si="2"/>
        <v>-57</v>
      </c>
      <c r="BF17" s="202">
        <f t="shared" si="2"/>
        <v>-56</v>
      </c>
      <c r="BG17" s="203">
        <f t="shared" si="2"/>
        <v>-62</v>
      </c>
    </row>
    <row r="18" spans="1:59" ht="14.45" x14ac:dyDescent="0.3">
      <c r="A18" s="195" t="s">
        <v>242</v>
      </c>
      <c r="B18" s="196">
        <v>-37</v>
      </c>
      <c r="C18" s="183">
        <v>-38</v>
      </c>
      <c r="D18" s="183">
        <v>-37</v>
      </c>
      <c r="E18" s="183">
        <v>-34</v>
      </c>
      <c r="F18" s="183">
        <v>-39</v>
      </c>
      <c r="G18" s="183">
        <v>-33</v>
      </c>
      <c r="H18" s="183">
        <v>-32</v>
      </c>
      <c r="I18" s="183">
        <v>-32</v>
      </c>
      <c r="J18" s="183">
        <v>-35</v>
      </c>
      <c r="K18" s="184">
        <v>-40</v>
      </c>
      <c r="L18" s="217"/>
      <c r="M18" s="195" t="s">
        <v>242</v>
      </c>
      <c r="N18" s="196">
        <v>-44</v>
      </c>
      <c r="O18" s="183">
        <v>-44</v>
      </c>
      <c r="P18" s="183">
        <v>-42</v>
      </c>
      <c r="Q18" s="183">
        <v>-39</v>
      </c>
      <c r="R18" s="183">
        <v>-44</v>
      </c>
      <c r="S18" s="183">
        <v>-37</v>
      </c>
      <c r="T18" s="183">
        <v>-35</v>
      </c>
      <c r="U18" s="183">
        <v>-35</v>
      </c>
      <c r="V18" s="183">
        <v>-38</v>
      </c>
      <c r="W18" s="184">
        <v>-43</v>
      </c>
      <c r="X18" s="217"/>
      <c r="Y18" s="195" t="s">
        <v>242</v>
      </c>
      <c r="Z18" s="221">
        <v>-49</v>
      </c>
      <c r="AA18" s="222">
        <v>-50</v>
      </c>
      <c r="AB18" s="222">
        <v>-47</v>
      </c>
      <c r="AC18" s="222">
        <v>-44</v>
      </c>
      <c r="AD18" s="222">
        <v>-48</v>
      </c>
      <c r="AE18" s="222">
        <v>-42</v>
      </c>
      <c r="AF18" s="222">
        <v>-40</v>
      </c>
      <c r="AG18" s="222">
        <v>-40</v>
      </c>
      <c r="AH18" s="222">
        <v>-43</v>
      </c>
      <c r="AI18" s="223">
        <v>-48</v>
      </c>
      <c r="AJ18" s="217"/>
      <c r="AK18" s="197" t="s">
        <v>242</v>
      </c>
      <c r="AL18" s="198">
        <v>-53</v>
      </c>
      <c r="AM18" s="199">
        <v>-54</v>
      </c>
      <c r="AN18" s="199">
        <v>-52</v>
      </c>
      <c r="AO18" s="199">
        <v>-49</v>
      </c>
      <c r="AP18" s="199">
        <v>-54</v>
      </c>
      <c r="AQ18" s="199">
        <v>-48</v>
      </c>
      <c r="AR18" s="199">
        <v>-46</v>
      </c>
      <c r="AS18" s="199">
        <v>-44</v>
      </c>
      <c r="AT18" s="199">
        <v>-47</v>
      </c>
      <c r="AU18" s="200">
        <v>-52</v>
      </c>
      <c r="AW18" s="197" t="s">
        <v>242</v>
      </c>
      <c r="AX18" s="201">
        <f t="shared" si="3"/>
        <v>-58</v>
      </c>
      <c r="AY18" s="202">
        <f t="shared" si="2"/>
        <v>-59</v>
      </c>
      <c r="AZ18" s="202">
        <f t="shared" si="2"/>
        <v>-57</v>
      </c>
      <c r="BA18" s="202">
        <f t="shared" si="2"/>
        <v>-54</v>
      </c>
      <c r="BB18" s="202">
        <f t="shared" si="2"/>
        <v>-59</v>
      </c>
      <c r="BC18" s="202">
        <f t="shared" si="2"/>
        <v>-53</v>
      </c>
      <c r="BD18" s="202">
        <f t="shared" si="2"/>
        <v>-51</v>
      </c>
      <c r="BE18" s="202">
        <f t="shared" si="2"/>
        <v>-49</v>
      </c>
      <c r="BF18" s="202">
        <f t="shared" si="2"/>
        <v>-52</v>
      </c>
      <c r="BG18" s="203">
        <f t="shared" si="2"/>
        <v>-57</v>
      </c>
    </row>
    <row r="19" spans="1:59" ht="14.45" x14ac:dyDescent="0.3">
      <c r="A19" s="195" t="s">
        <v>250</v>
      </c>
      <c r="B19" s="196">
        <v>-41</v>
      </c>
      <c r="C19" s="183">
        <v>-39</v>
      </c>
      <c r="D19" s="183">
        <v>-40</v>
      </c>
      <c r="E19" s="183">
        <v>-40</v>
      </c>
      <c r="F19" s="183">
        <v>-36</v>
      </c>
      <c r="G19" s="183">
        <v>-38</v>
      </c>
      <c r="H19" s="183">
        <v>-34</v>
      </c>
      <c r="I19" s="183">
        <v>-37</v>
      </c>
      <c r="J19" s="183">
        <v>-37</v>
      </c>
      <c r="K19" s="184">
        <v>-40</v>
      </c>
      <c r="L19" s="217"/>
      <c r="M19" s="195" t="s">
        <v>250</v>
      </c>
      <c r="N19" s="196">
        <v>-48</v>
      </c>
      <c r="O19" s="183">
        <v>-45</v>
      </c>
      <c r="P19" s="183">
        <v>-45</v>
      </c>
      <c r="Q19" s="183">
        <v>-45</v>
      </c>
      <c r="R19" s="183">
        <v>-41</v>
      </c>
      <c r="S19" s="183">
        <v>-42</v>
      </c>
      <c r="T19" s="183">
        <v>-37</v>
      </c>
      <c r="U19" s="183">
        <v>-40</v>
      </c>
      <c r="V19" s="183">
        <v>-40</v>
      </c>
      <c r="W19" s="184">
        <v>-43</v>
      </c>
      <c r="X19" s="217"/>
      <c r="Y19" s="195" t="s">
        <v>250</v>
      </c>
      <c r="Z19" s="221">
        <v>-53</v>
      </c>
      <c r="AA19" s="222">
        <v>-51</v>
      </c>
      <c r="AB19" s="222">
        <v>-50</v>
      </c>
      <c r="AC19" s="222">
        <v>-50</v>
      </c>
      <c r="AD19" s="222">
        <v>-45</v>
      </c>
      <c r="AE19" s="222">
        <v>-47</v>
      </c>
      <c r="AF19" s="222">
        <v>-42</v>
      </c>
      <c r="AG19" s="222">
        <v>-45</v>
      </c>
      <c r="AH19" s="222">
        <v>-45</v>
      </c>
      <c r="AI19" s="223">
        <v>-48</v>
      </c>
      <c r="AJ19" s="217"/>
      <c r="AK19" s="197" t="s">
        <v>250</v>
      </c>
      <c r="AL19" s="198">
        <v>-57</v>
      </c>
      <c r="AM19" s="199">
        <v>-55</v>
      </c>
      <c r="AN19" s="199">
        <v>-55</v>
      </c>
      <c r="AO19" s="199">
        <v>-55</v>
      </c>
      <c r="AP19" s="199">
        <v>-51</v>
      </c>
      <c r="AQ19" s="199">
        <v>-53</v>
      </c>
      <c r="AR19" s="199">
        <v>-48</v>
      </c>
      <c r="AS19" s="199">
        <v>-49</v>
      </c>
      <c r="AT19" s="199">
        <v>-49</v>
      </c>
      <c r="AU19" s="200">
        <v>-52</v>
      </c>
      <c r="AW19" s="197" t="s">
        <v>250</v>
      </c>
      <c r="AX19" s="201">
        <f t="shared" si="3"/>
        <v>-62</v>
      </c>
      <c r="AY19" s="202">
        <f t="shared" si="2"/>
        <v>-60</v>
      </c>
      <c r="AZ19" s="202">
        <f t="shared" si="2"/>
        <v>-60</v>
      </c>
      <c r="BA19" s="202">
        <f t="shared" si="2"/>
        <v>-60</v>
      </c>
      <c r="BB19" s="202">
        <f t="shared" si="2"/>
        <v>-56</v>
      </c>
      <c r="BC19" s="202">
        <f t="shared" si="2"/>
        <v>-58</v>
      </c>
      <c r="BD19" s="202">
        <f t="shared" si="2"/>
        <v>-53</v>
      </c>
      <c r="BE19" s="202">
        <f t="shared" si="2"/>
        <v>-54</v>
      </c>
      <c r="BF19" s="202">
        <f t="shared" si="2"/>
        <v>-54</v>
      </c>
      <c r="BG19" s="203">
        <f t="shared" si="2"/>
        <v>-57</v>
      </c>
    </row>
    <row r="20" spans="1:59" ht="14.45" x14ac:dyDescent="0.3">
      <c r="A20" s="195" t="s">
        <v>258</v>
      </c>
      <c r="B20" s="196">
        <v>-44</v>
      </c>
      <c r="C20" s="183">
        <v>-42</v>
      </c>
      <c r="D20" s="183">
        <v>-38</v>
      </c>
      <c r="E20" s="183">
        <v>-38</v>
      </c>
      <c r="F20" s="183">
        <v>-37</v>
      </c>
      <c r="G20" s="183">
        <v>-36</v>
      </c>
      <c r="H20" s="183">
        <v>-34</v>
      </c>
      <c r="I20" s="183">
        <v>-33</v>
      </c>
      <c r="J20" s="183">
        <v>-35</v>
      </c>
      <c r="K20" s="184">
        <v>-37</v>
      </c>
      <c r="L20" s="217"/>
      <c r="M20" s="195" t="s">
        <v>258</v>
      </c>
      <c r="N20" s="196">
        <v>-51</v>
      </c>
      <c r="O20" s="183">
        <v>-48</v>
      </c>
      <c r="P20" s="183">
        <v>-43</v>
      </c>
      <c r="Q20" s="183">
        <v>-43</v>
      </c>
      <c r="R20" s="183">
        <v>-41</v>
      </c>
      <c r="S20" s="183">
        <v>-40</v>
      </c>
      <c r="T20" s="183">
        <v>-37</v>
      </c>
      <c r="U20" s="183">
        <v>-36</v>
      </c>
      <c r="V20" s="183">
        <v>-38</v>
      </c>
      <c r="W20" s="184">
        <v>-40</v>
      </c>
      <c r="X20" s="217"/>
      <c r="Y20" s="195" t="s">
        <v>258</v>
      </c>
      <c r="Z20" s="221">
        <v>-54</v>
      </c>
      <c r="AA20" s="222">
        <v>-52</v>
      </c>
      <c r="AB20" s="222">
        <v>-47</v>
      </c>
      <c r="AC20" s="222">
        <v>-46</v>
      </c>
      <c r="AD20" s="222">
        <v>-45</v>
      </c>
      <c r="AE20" s="222">
        <v>-43</v>
      </c>
      <c r="AF20" s="222">
        <v>-41</v>
      </c>
      <c r="AG20" s="222">
        <v>-40</v>
      </c>
      <c r="AH20" s="222">
        <v>-42</v>
      </c>
      <c r="AI20" s="223">
        <v>-44</v>
      </c>
      <c r="AJ20" s="217"/>
      <c r="AK20" s="197" t="s">
        <v>258</v>
      </c>
      <c r="AL20" s="198">
        <v>-58</v>
      </c>
      <c r="AM20" s="199">
        <v>-55</v>
      </c>
      <c r="AN20" s="199">
        <v>-51</v>
      </c>
      <c r="AO20" s="199">
        <v>-51</v>
      </c>
      <c r="AP20" s="199">
        <v>-50</v>
      </c>
      <c r="AQ20" s="199">
        <v>-48</v>
      </c>
      <c r="AR20" s="199">
        <v>-45</v>
      </c>
      <c r="AS20" s="199">
        <v>-44</v>
      </c>
      <c r="AT20" s="199">
        <v>-46</v>
      </c>
      <c r="AU20" s="200">
        <v>-48</v>
      </c>
      <c r="AW20" s="197" t="s">
        <v>258</v>
      </c>
      <c r="AX20" s="201">
        <f t="shared" si="3"/>
        <v>-63</v>
      </c>
      <c r="AY20" s="202">
        <f t="shared" si="2"/>
        <v>-60</v>
      </c>
      <c r="AZ20" s="202">
        <f t="shared" si="2"/>
        <v>-56</v>
      </c>
      <c r="BA20" s="202">
        <f t="shared" si="2"/>
        <v>-56</v>
      </c>
      <c r="BB20" s="202">
        <f t="shared" si="2"/>
        <v>-55</v>
      </c>
      <c r="BC20" s="202">
        <f t="shared" si="2"/>
        <v>-53</v>
      </c>
      <c r="BD20" s="202">
        <f t="shared" si="2"/>
        <v>-50</v>
      </c>
      <c r="BE20" s="202">
        <f t="shared" si="2"/>
        <v>-49</v>
      </c>
      <c r="BF20" s="202">
        <f t="shared" si="2"/>
        <v>-51</v>
      </c>
      <c r="BG20" s="203">
        <f t="shared" si="2"/>
        <v>-53</v>
      </c>
    </row>
    <row r="21" spans="1:59" thickBot="1" x14ac:dyDescent="0.35">
      <c r="A21" s="204" t="s">
        <v>265</v>
      </c>
      <c r="B21" s="207">
        <v>-43</v>
      </c>
      <c r="C21" s="205">
        <v>-42</v>
      </c>
      <c r="D21" s="205">
        <v>-42</v>
      </c>
      <c r="E21" s="205">
        <v>-41</v>
      </c>
      <c r="F21" s="205">
        <v>-38</v>
      </c>
      <c r="G21" s="205">
        <v>-35</v>
      </c>
      <c r="H21" s="205">
        <v>-36</v>
      </c>
      <c r="I21" s="205">
        <v>-36</v>
      </c>
      <c r="J21" s="205">
        <v>-35</v>
      </c>
      <c r="K21" s="206">
        <v>-31</v>
      </c>
      <c r="L21" s="217"/>
      <c r="M21" s="204" t="s">
        <v>265</v>
      </c>
      <c r="N21" s="207">
        <v>-50</v>
      </c>
      <c r="O21" s="205">
        <v>-48</v>
      </c>
      <c r="P21" s="205">
        <v>-47</v>
      </c>
      <c r="Q21" s="205">
        <v>-46</v>
      </c>
      <c r="R21" s="205">
        <v>-42</v>
      </c>
      <c r="S21" s="205">
        <v>-39</v>
      </c>
      <c r="T21" s="205">
        <v>-39</v>
      </c>
      <c r="U21" s="205">
        <v>-39</v>
      </c>
      <c r="V21" s="205">
        <v>-38</v>
      </c>
      <c r="W21" s="206">
        <v>-34</v>
      </c>
      <c r="X21" s="217"/>
      <c r="Y21" s="204" t="s">
        <v>265</v>
      </c>
      <c r="Z21" s="224">
        <v>-53</v>
      </c>
      <c r="AA21" s="225">
        <v>-52</v>
      </c>
      <c r="AB21" s="225">
        <v>-51</v>
      </c>
      <c r="AC21" s="225">
        <v>-49</v>
      </c>
      <c r="AD21" s="225">
        <v>-46</v>
      </c>
      <c r="AE21" s="225">
        <v>-42</v>
      </c>
      <c r="AF21" s="225">
        <v>-43</v>
      </c>
      <c r="AG21" s="225">
        <v>-43</v>
      </c>
      <c r="AH21" s="225">
        <v>-42</v>
      </c>
      <c r="AI21" s="226">
        <v>-38</v>
      </c>
      <c r="AJ21" s="217"/>
      <c r="AK21" s="208" t="s">
        <v>265</v>
      </c>
      <c r="AL21" s="209">
        <v>-57</v>
      </c>
      <c r="AM21" s="210">
        <v>-55</v>
      </c>
      <c r="AN21" s="210">
        <v>-55</v>
      </c>
      <c r="AO21" s="210">
        <v>-54</v>
      </c>
      <c r="AP21" s="210">
        <v>-51</v>
      </c>
      <c r="AQ21" s="210">
        <v>-47</v>
      </c>
      <c r="AR21" s="210">
        <v>-47</v>
      </c>
      <c r="AS21" s="210">
        <v>-47</v>
      </c>
      <c r="AT21" s="210">
        <v>-46</v>
      </c>
      <c r="AU21" s="211">
        <v>-42</v>
      </c>
      <c r="AW21" s="208" t="s">
        <v>265</v>
      </c>
      <c r="AX21" s="212">
        <f t="shared" si="3"/>
        <v>-62</v>
      </c>
      <c r="AY21" s="213">
        <f t="shared" si="2"/>
        <v>-60</v>
      </c>
      <c r="AZ21" s="213">
        <f t="shared" si="2"/>
        <v>-60</v>
      </c>
      <c r="BA21" s="213">
        <f t="shared" si="2"/>
        <v>-59</v>
      </c>
      <c r="BB21" s="213">
        <f t="shared" si="2"/>
        <v>-56</v>
      </c>
      <c r="BC21" s="213">
        <f t="shared" si="2"/>
        <v>-52</v>
      </c>
      <c r="BD21" s="213">
        <f t="shared" si="2"/>
        <v>-52</v>
      </c>
      <c r="BE21" s="213">
        <f t="shared" si="2"/>
        <v>-52</v>
      </c>
      <c r="BF21" s="213">
        <f t="shared" si="2"/>
        <v>-51</v>
      </c>
      <c r="BG21" s="214">
        <f t="shared" si="2"/>
        <v>-47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-44</v>
      </c>
      <c r="C26" s="186">
        <v>-40</v>
      </c>
      <c r="D26" s="186">
        <v>-38</v>
      </c>
      <c r="E26" s="186">
        <v>-40</v>
      </c>
      <c r="F26" s="186">
        <v>-48</v>
      </c>
      <c r="G26" s="186">
        <v>-44</v>
      </c>
      <c r="H26" s="186">
        <v>-42</v>
      </c>
      <c r="I26" s="186">
        <v>-41</v>
      </c>
      <c r="J26" s="186">
        <v>-39</v>
      </c>
      <c r="K26" s="187">
        <v>-39</v>
      </c>
      <c r="L26" s="217"/>
      <c r="M26" s="182" t="s">
        <v>187</v>
      </c>
      <c r="N26" s="185">
        <v>-51</v>
      </c>
      <c r="O26" s="186">
        <v>-46</v>
      </c>
      <c r="P26" s="186">
        <v>-43</v>
      </c>
      <c r="Q26" s="186">
        <v>-45</v>
      </c>
      <c r="R26" s="186">
        <v>-53</v>
      </c>
      <c r="S26" s="186">
        <v>-49</v>
      </c>
      <c r="T26" s="186">
        <v>-46</v>
      </c>
      <c r="U26" s="186">
        <v>-44</v>
      </c>
      <c r="V26" s="186">
        <v>-42</v>
      </c>
      <c r="W26" s="187">
        <v>-42</v>
      </c>
      <c r="X26" s="217"/>
      <c r="Y26" s="188" t="s">
        <v>187</v>
      </c>
      <c r="Z26" s="227">
        <v>-56</v>
      </c>
      <c r="AA26" s="228">
        <v>-51</v>
      </c>
      <c r="AB26" s="228">
        <v>-49</v>
      </c>
      <c r="AC26" s="228">
        <v>-50</v>
      </c>
      <c r="AD26" s="228">
        <v>-57</v>
      </c>
      <c r="AE26" s="228">
        <v>-53</v>
      </c>
      <c r="AF26" s="228">
        <v>-50</v>
      </c>
      <c r="AG26" s="228">
        <v>-49</v>
      </c>
      <c r="AH26" s="228">
        <v>-47</v>
      </c>
      <c r="AI26" s="229">
        <v>-47</v>
      </c>
      <c r="AJ26" s="217"/>
      <c r="AK26" s="188" t="s">
        <v>187</v>
      </c>
      <c r="AL26" s="189">
        <v>-64</v>
      </c>
      <c r="AM26" s="190">
        <v>-60</v>
      </c>
      <c r="AN26" s="190">
        <v>-57</v>
      </c>
      <c r="AO26" s="190">
        <v>-59</v>
      </c>
      <c r="AP26" s="190">
        <v>-66</v>
      </c>
      <c r="AQ26" s="190">
        <v>-62</v>
      </c>
      <c r="AR26" s="190">
        <v>-59</v>
      </c>
      <c r="AS26" s="190">
        <v>-57</v>
      </c>
      <c r="AT26" s="190">
        <v>-55</v>
      </c>
      <c r="AU26" s="191">
        <v>-55</v>
      </c>
      <c r="AW26" s="188" t="s">
        <v>187</v>
      </c>
      <c r="AX26" s="192">
        <f>AL26-5</f>
        <v>-69</v>
      </c>
      <c r="AY26" s="193">
        <f t="shared" ref="AY26:BG32" si="4">AM26-5</f>
        <v>-65</v>
      </c>
      <c r="AZ26" s="193">
        <f t="shared" si="4"/>
        <v>-62</v>
      </c>
      <c r="BA26" s="193">
        <f t="shared" si="4"/>
        <v>-64</v>
      </c>
      <c r="BB26" s="193">
        <f t="shared" si="4"/>
        <v>-71</v>
      </c>
      <c r="BC26" s="193">
        <f t="shared" si="4"/>
        <v>-67</v>
      </c>
      <c r="BD26" s="193">
        <f t="shared" si="4"/>
        <v>-64</v>
      </c>
      <c r="BE26" s="193">
        <f t="shared" si="4"/>
        <v>-62</v>
      </c>
      <c r="BF26" s="193">
        <f t="shared" si="4"/>
        <v>-60</v>
      </c>
      <c r="BG26" s="194">
        <f t="shared" si="4"/>
        <v>-60</v>
      </c>
    </row>
    <row r="27" spans="1:59" x14ac:dyDescent="0.25">
      <c r="A27" s="195" t="s">
        <v>214</v>
      </c>
      <c r="B27" s="196">
        <v>-40</v>
      </c>
      <c r="C27" s="183">
        <v>-38</v>
      </c>
      <c r="D27" s="183">
        <v>-37</v>
      </c>
      <c r="E27" s="183">
        <v>-42</v>
      </c>
      <c r="F27" s="183">
        <v>-46</v>
      </c>
      <c r="G27" s="183">
        <v>-43</v>
      </c>
      <c r="H27" s="183">
        <v>-39</v>
      </c>
      <c r="I27" s="183">
        <v>-39</v>
      </c>
      <c r="J27" s="183">
        <v>-42</v>
      </c>
      <c r="K27" s="184">
        <v>-40</v>
      </c>
      <c r="L27" s="217"/>
      <c r="M27" s="195" t="s">
        <v>214</v>
      </c>
      <c r="N27" s="196">
        <v>-47</v>
      </c>
      <c r="O27" s="183">
        <v>-44</v>
      </c>
      <c r="P27" s="183">
        <v>-42</v>
      </c>
      <c r="Q27" s="183">
        <v>-47</v>
      </c>
      <c r="R27" s="183">
        <v>-51</v>
      </c>
      <c r="S27" s="183">
        <v>-48</v>
      </c>
      <c r="T27" s="183">
        <v>-43</v>
      </c>
      <c r="U27" s="183">
        <v>-42</v>
      </c>
      <c r="V27" s="183">
        <v>-45</v>
      </c>
      <c r="W27" s="184">
        <v>-43</v>
      </c>
      <c r="X27" s="217"/>
      <c r="Y27" s="197" t="s">
        <v>214</v>
      </c>
      <c r="Z27" s="230">
        <v>-52</v>
      </c>
      <c r="AA27" s="231">
        <v>-49</v>
      </c>
      <c r="AB27" s="231">
        <v>-48</v>
      </c>
      <c r="AC27" s="231">
        <v>-52</v>
      </c>
      <c r="AD27" s="231">
        <v>-55</v>
      </c>
      <c r="AE27" s="231">
        <v>-52</v>
      </c>
      <c r="AF27" s="231">
        <v>-47</v>
      </c>
      <c r="AG27" s="231">
        <v>-47</v>
      </c>
      <c r="AH27" s="231">
        <v>-50</v>
      </c>
      <c r="AI27" s="232">
        <v>-48</v>
      </c>
      <c r="AJ27" s="217"/>
      <c r="AK27" s="197" t="s">
        <v>214</v>
      </c>
      <c r="AL27" s="198">
        <v>-60</v>
      </c>
      <c r="AM27" s="199">
        <v>-58</v>
      </c>
      <c r="AN27" s="199">
        <v>-56</v>
      </c>
      <c r="AO27" s="199">
        <v>-61</v>
      </c>
      <c r="AP27" s="199">
        <v>-64</v>
      </c>
      <c r="AQ27" s="199">
        <v>-61</v>
      </c>
      <c r="AR27" s="199">
        <v>-56</v>
      </c>
      <c r="AS27" s="199">
        <v>-55</v>
      </c>
      <c r="AT27" s="199">
        <v>-58</v>
      </c>
      <c r="AU27" s="200">
        <v>-56</v>
      </c>
      <c r="AW27" s="197" t="s">
        <v>214</v>
      </c>
      <c r="AX27" s="201">
        <f t="shared" ref="AX27:AX32" si="5">AL27-5</f>
        <v>-65</v>
      </c>
      <c r="AY27" s="202">
        <f t="shared" si="4"/>
        <v>-63</v>
      </c>
      <c r="AZ27" s="202">
        <f t="shared" si="4"/>
        <v>-61</v>
      </c>
      <c r="BA27" s="202">
        <f t="shared" si="4"/>
        <v>-66</v>
      </c>
      <c r="BB27" s="202">
        <f t="shared" si="4"/>
        <v>-69</v>
      </c>
      <c r="BC27" s="202">
        <f t="shared" si="4"/>
        <v>-66</v>
      </c>
      <c r="BD27" s="202">
        <f t="shared" si="4"/>
        <v>-61</v>
      </c>
      <c r="BE27" s="202">
        <f t="shared" si="4"/>
        <v>-60</v>
      </c>
      <c r="BF27" s="202">
        <f t="shared" si="4"/>
        <v>-63</v>
      </c>
      <c r="BG27" s="203">
        <f t="shared" si="4"/>
        <v>-61</v>
      </c>
    </row>
    <row r="28" spans="1:59" x14ac:dyDescent="0.25">
      <c r="A28" s="195" t="s">
        <v>233</v>
      </c>
      <c r="B28" s="196">
        <v>-45</v>
      </c>
      <c r="C28" s="183">
        <v>-42</v>
      </c>
      <c r="D28" s="183">
        <v>-39</v>
      </c>
      <c r="E28" s="183">
        <v>-44</v>
      </c>
      <c r="F28" s="183">
        <v>-46</v>
      </c>
      <c r="G28" s="183">
        <v>-43</v>
      </c>
      <c r="H28" s="183">
        <v>-40</v>
      </c>
      <c r="I28" s="183">
        <v>-42</v>
      </c>
      <c r="J28" s="183">
        <v>-41</v>
      </c>
      <c r="K28" s="184">
        <v>-47</v>
      </c>
      <c r="L28" s="217"/>
      <c r="M28" s="195" t="s">
        <v>233</v>
      </c>
      <c r="N28" s="196">
        <v>-52</v>
      </c>
      <c r="O28" s="183">
        <v>-48</v>
      </c>
      <c r="P28" s="183">
        <v>-44</v>
      </c>
      <c r="Q28" s="183">
        <v>-49</v>
      </c>
      <c r="R28" s="183">
        <v>-51</v>
      </c>
      <c r="S28" s="183">
        <v>-48</v>
      </c>
      <c r="T28" s="183">
        <v>-44</v>
      </c>
      <c r="U28" s="183">
        <v>-45</v>
      </c>
      <c r="V28" s="183">
        <v>-44</v>
      </c>
      <c r="W28" s="184">
        <v>-50</v>
      </c>
      <c r="X28" s="217"/>
      <c r="Y28" s="197" t="s">
        <v>233</v>
      </c>
      <c r="Z28" s="230">
        <v>-57</v>
      </c>
      <c r="AA28" s="231">
        <v>-53</v>
      </c>
      <c r="AB28" s="231">
        <v>-50</v>
      </c>
      <c r="AC28" s="231">
        <v>-54</v>
      </c>
      <c r="AD28" s="231">
        <v>-55</v>
      </c>
      <c r="AE28" s="231">
        <v>-52</v>
      </c>
      <c r="AF28" s="231">
        <v>-48</v>
      </c>
      <c r="AG28" s="231">
        <v>-50</v>
      </c>
      <c r="AH28" s="231">
        <v>-49</v>
      </c>
      <c r="AI28" s="232">
        <v>-55</v>
      </c>
      <c r="AJ28" s="217"/>
      <c r="AK28" s="197" t="s">
        <v>233</v>
      </c>
      <c r="AL28" s="198">
        <v>-65</v>
      </c>
      <c r="AM28" s="199">
        <v>-62</v>
      </c>
      <c r="AN28" s="199">
        <v>-58</v>
      </c>
      <c r="AO28" s="199">
        <v>-63</v>
      </c>
      <c r="AP28" s="199">
        <v>-64</v>
      </c>
      <c r="AQ28" s="199">
        <v>-61</v>
      </c>
      <c r="AR28" s="199">
        <v>-57</v>
      </c>
      <c r="AS28" s="199">
        <v>-58</v>
      </c>
      <c r="AT28" s="199">
        <v>-57</v>
      </c>
      <c r="AU28" s="200">
        <v>-63</v>
      </c>
      <c r="AW28" s="197" t="s">
        <v>233</v>
      </c>
      <c r="AX28" s="201">
        <f t="shared" si="5"/>
        <v>-70</v>
      </c>
      <c r="AY28" s="202">
        <f t="shared" si="4"/>
        <v>-67</v>
      </c>
      <c r="AZ28" s="202">
        <f t="shared" si="4"/>
        <v>-63</v>
      </c>
      <c r="BA28" s="202">
        <f t="shared" si="4"/>
        <v>-68</v>
      </c>
      <c r="BB28" s="202">
        <f t="shared" si="4"/>
        <v>-69</v>
      </c>
      <c r="BC28" s="202">
        <f t="shared" si="4"/>
        <v>-66</v>
      </c>
      <c r="BD28" s="202">
        <f t="shared" si="4"/>
        <v>-62</v>
      </c>
      <c r="BE28" s="202">
        <f t="shared" si="4"/>
        <v>-63</v>
      </c>
      <c r="BF28" s="202">
        <f t="shared" si="4"/>
        <v>-62</v>
      </c>
      <c r="BG28" s="203">
        <f t="shared" si="4"/>
        <v>-68</v>
      </c>
    </row>
    <row r="29" spans="1:59" x14ac:dyDescent="0.25">
      <c r="A29" s="195" t="s">
        <v>242</v>
      </c>
      <c r="B29" s="196">
        <v>-45</v>
      </c>
      <c r="C29" s="183">
        <v>-46</v>
      </c>
      <c r="D29" s="183">
        <v>-45</v>
      </c>
      <c r="E29" s="183">
        <v>-41</v>
      </c>
      <c r="F29" s="183">
        <v>-46</v>
      </c>
      <c r="G29" s="183">
        <v>-40</v>
      </c>
      <c r="H29" s="183">
        <v>-39</v>
      </c>
      <c r="I29" s="183">
        <v>-38</v>
      </c>
      <c r="J29" s="183">
        <v>-41</v>
      </c>
      <c r="K29" s="184">
        <v>-46</v>
      </c>
      <c r="L29" s="217"/>
      <c r="M29" s="195" t="s">
        <v>242</v>
      </c>
      <c r="N29" s="196">
        <v>-52</v>
      </c>
      <c r="O29" s="183">
        <v>-52</v>
      </c>
      <c r="P29" s="183">
        <v>-50</v>
      </c>
      <c r="Q29" s="183">
        <v>-46</v>
      </c>
      <c r="R29" s="183">
        <v>-51</v>
      </c>
      <c r="S29" s="183">
        <v>-44</v>
      </c>
      <c r="T29" s="183">
        <v>-42</v>
      </c>
      <c r="U29" s="183">
        <v>-41</v>
      </c>
      <c r="V29" s="183">
        <v>-44</v>
      </c>
      <c r="W29" s="184">
        <v>-49</v>
      </c>
      <c r="X29" s="217"/>
      <c r="Y29" s="197" t="s">
        <v>242</v>
      </c>
      <c r="Z29" s="230">
        <v>-57</v>
      </c>
      <c r="AA29" s="231">
        <v>-58</v>
      </c>
      <c r="AB29" s="231">
        <v>-55</v>
      </c>
      <c r="AC29" s="231">
        <v>-51</v>
      </c>
      <c r="AD29" s="231">
        <v>-55</v>
      </c>
      <c r="AE29" s="231">
        <v>-49</v>
      </c>
      <c r="AF29" s="231">
        <v>-47</v>
      </c>
      <c r="AG29" s="231">
        <v>-46</v>
      </c>
      <c r="AH29" s="231">
        <v>-49</v>
      </c>
      <c r="AI29" s="232">
        <v>-54</v>
      </c>
      <c r="AJ29" s="217"/>
      <c r="AK29" s="197" t="s">
        <v>242</v>
      </c>
      <c r="AL29" s="198">
        <v>-61</v>
      </c>
      <c r="AM29" s="199">
        <v>-62</v>
      </c>
      <c r="AN29" s="199">
        <v>-60</v>
      </c>
      <c r="AO29" s="199">
        <v>-56</v>
      </c>
      <c r="AP29" s="199">
        <v>-61</v>
      </c>
      <c r="AQ29" s="199">
        <v>-55</v>
      </c>
      <c r="AR29" s="199">
        <v>-53</v>
      </c>
      <c r="AS29" s="199">
        <v>-50</v>
      </c>
      <c r="AT29" s="199">
        <v>-53</v>
      </c>
      <c r="AU29" s="200">
        <v>-58</v>
      </c>
      <c r="AW29" s="197" t="s">
        <v>242</v>
      </c>
      <c r="AX29" s="201">
        <f t="shared" si="5"/>
        <v>-66</v>
      </c>
      <c r="AY29" s="202">
        <f t="shared" si="4"/>
        <v>-67</v>
      </c>
      <c r="AZ29" s="202">
        <f t="shared" si="4"/>
        <v>-65</v>
      </c>
      <c r="BA29" s="202">
        <f t="shared" si="4"/>
        <v>-61</v>
      </c>
      <c r="BB29" s="202">
        <f t="shared" si="4"/>
        <v>-66</v>
      </c>
      <c r="BC29" s="202">
        <f t="shared" si="4"/>
        <v>-60</v>
      </c>
      <c r="BD29" s="202">
        <f t="shared" si="4"/>
        <v>-58</v>
      </c>
      <c r="BE29" s="202">
        <f t="shared" si="4"/>
        <v>-55</v>
      </c>
      <c r="BF29" s="202">
        <f t="shared" si="4"/>
        <v>-58</v>
      </c>
      <c r="BG29" s="203">
        <f t="shared" si="4"/>
        <v>-63</v>
      </c>
    </row>
    <row r="30" spans="1:59" x14ac:dyDescent="0.25">
      <c r="A30" s="195" t="s">
        <v>250</v>
      </c>
      <c r="B30" s="196">
        <v>-49</v>
      </c>
      <c r="C30" s="183">
        <v>-47</v>
      </c>
      <c r="D30" s="183">
        <v>-48</v>
      </c>
      <c r="E30" s="183">
        <v>-47</v>
      </c>
      <c r="F30" s="183">
        <v>-43</v>
      </c>
      <c r="G30" s="183">
        <v>-45</v>
      </c>
      <c r="H30" s="183">
        <v>-41</v>
      </c>
      <c r="I30" s="183">
        <v>-43</v>
      </c>
      <c r="J30" s="183">
        <v>-43</v>
      </c>
      <c r="K30" s="184">
        <v>-46</v>
      </c>
      <c r="L30" s="217"/>
      <c r="M30" s="195" t="s">
        <v>250</v>
      </c>
      <c r="N30" s="196">
        <v>-56</v>
      </c>
      <c r="O30" s="183">
        <v>-53</v>
      </c>
      <c r="P30" s="183">
        <v>-53</v>
      </c>
      <c r="Q30" s="183">
        <v>-52</v>
      </c>
      <c r="R30" s="183">
        <v>-48</v>
      </c>
      <c r="S30" s="183">
        <v>-49</v>
      </c>
      <c r="T30" s="183">
        <v>-44</v>
      </c>
      <c r="U30" s="183">
        <v>-46</v>
      </c>
      <c r="V30" s="183">
        <v>-46</v>
      </c>
      <c r="W30" s="184">
        <v>-49</v>
      </c>
      <c r="X30" s="217"/>
      <c r="Y30" s="197" t="s">
        <v>250</v>
      </c>
      <c r="Z30" s="230">
        <v>-61</v>
      </c>
      <c r="AA30" s="231">
        <v>-59</v>
      </c>
      <c r="AB30" s="231">
        <v>-58</v>
      </c>
      <c r="AC30" s="231">
        <v>-57</v>
      </c>
      <c r="AD30" s="231">
        <v>-52</v>
      </c>
      <c r="AE30" s="231">
        <v>-54</v>
      </c>
      <c r="AF30" s="231">
        <v>-49</v>
      </c>
      <c r="AG30" s="231">
        <v>-51</v>
      </c>
      <c r="AH30" s="231">
        <v>-51</v>
      </c>
      <c r="AI30" s="232">
        <v>-54</v>
      </c>
      <c r="AJ30" s="217"/>
      <c r="AK30" s="197" t="s">
        <v>250</v>
      </c>
      <c r="AL30" s="198">
        <v>-65</v>
      </c>
      <c r="AM30" s="199">
        <v>-63</v>
      </c>
      <c r="AN30" s="199">
        <v>-63</v>
      </c>
      <c r="AO30" s="199">
        <v>-62</v>
      </c>
      <c r="AP30" s="199">
        <v>-58</v>
      </c>
      <c r="AQ30" s="199">
        <v>-60</v>
      </c>
      <c r="AR30" s="199">
        <v>-55</v>
      </c>
      <c r="AS30" s="199">
        <v>-55</v>
      </c>
      <c r="AT30" s="199">
        <v>-55</v>
      </c>
      <c r="AU30" s="200">
        <v>-58</v>
      </c>
      <c r="AW30" s="197" t="s">
        <v>250</v>
      </c>
      <c r="AX30" s="201">
        <f t="shared" si="5"/>
        <v>-70</v>
      </c>
      <c r="AY30" s="202">
        <f t="shared" si="4"/>
        <v>-68</v>
      </c>
      <c r="AZ30" s="202">
        <f t="shared" si="4"/>
        <v>-68</v>
      </c>
      <c r="BA30" s="202">
        <f t="shared" si="4"/>
        <v>-67</v>
      </c>
      <c r="BB30" s="202">
        <f t="shared" si="4"/>
        <v>-63</v>
      </c>
      <c r="BC30" s="202">
        <f t="shared" si="4"/>
        <v>-65</v>
      </c>
      <c r="BD30" s="202">
        <f t="shared" si="4"/>
        <v>-60</v>
      </c>
      <c r="BE30" s="202">
        <f t="shared" si="4"/>
        <v>-60</v>
      </c>
      <c r="BF30" s="202">
        <f t="shared" si="4"/>
        <v>-60</v>
      </c>
      <c r="BG30" s="203">
        <f t="shared" si="4"/>
        <v>-63</v>
      </c>
    </row>
    <row r="31" spans="1:59" x14ac:dyDescent="0.25">
      <c r="A31" s="195" t="s">
        <v>258</v>
      </c>
      <c r="B31" s="196">
        <v>-52</v>
      </c>
      <c r="C31" s="183">
        <v>-50</v>
      </c>
      <c r="D31" s="183">
        <v>-45</v>
      </c>
      <c r="E31" s="183">
        <v>-44</v>
      </c>
      <c r="F31" s="183">
        <v>-43</v>
      </c>
      <c r="G31" s="183">
        <v>-42</v>
      </c>
      <c r="H31" s="183">
        <v>-40</v>
      </c>
      <c r="I31" s="183">
        <v>-40</v>
      </c>
      <c r="J31" s="183">
        <v>-42</v>
      </c>
      <c r="K31" s="184">
        <v>-44</v>
      </c>
      <c r="L31" s="217"/>
      <c r="M31" s="195" t="s">
        <v>258</v>
      </c>
      <c r="N31" s="196">
        <v>-59</v>
      </c>
      <c r="O31" s="183">
        <v>-56</v>
      </c>
      <c r="P31" s="183">
        <v>-50</v>
      </c>
      <c r="Q31" s="183">
        <v>-49</v>
      </c>
      <c r="R31" s="183">
        <v>-47</v>
      </c>
      <c r="S31" s="183">
        <v>-46</v>
      </c>
      <c r="T31" s="183">
        <v>-43</v>
      </c>
      <c r="U31" s="183">
        <v>-43</v>
      </c>
      <c r="V31" s="183">
        <v>-45</v>
      </c>
      <c r="W31" s="184">
        <v>-47</v>
      </c>
      <c r="X31" s="217"/>
      <c r="Y31" s="197" t="s">
        <v>258</v>
      </c>
      <c r="Z31" s="230">
        <v>-62</v>
      </c>
      <c r="AA31" s="231">
        <v>-60</v>
      </c>
      <c r="AB31" s="231">
        <v>-54</v>
      </c>
      <c r="AC31" s="231">
        <v>-52</v>
      </c>
      <c r="AD31" s="231">
        <v>-51</v>
      </c>
      <c r="AE31" s="231">
        <v>-49</v>
      </c>
      <c r="AF31" s="231">
        <v>-47</v>
      </c>
      <c r="AG31" s="231">
        <v>-47</v>
      </c>
      <c r="AH31" s="231">
        <v>-49</v>
      </c>
      <c r="AI31" s="232">
        <v>-51</v>
      </c>
      <c r="AJ31" s="217"/>
      <c r="AK31" s="197" t="s">
        <v>258</v>
      </c>
      <c r="AL31" s="198">
        <v>-66</v>
      </c>
      <c r="AM31" s="199">
        <v>-63</v>
      </c>
      <c r="AN31" s="199">
        <v>-58</v>
      </c>
      <c r="AO31" s="199">
        <v>-57</v>
      </c>
      <c r="AP31" s="199">
        <v>-56</v>
      </c>
      <c r="AQ31" s="199">
        <v>-54</v>
      </c>
      <c r="AR31" s="199">
        <v>-51</v>
      </c>
      <c r="AS31" s="199">
        <v>-51</v>
      </c>
      <c r="AT31" s="199">
        <v>-53</v>
      </c>
      <c r="AU31" s="200">
        <v>-55</v>
      </c>
      <c r="AW31" s="197" t="s">
        <v>258</v>
      </c>
      <c r="AX31" s="201">
        <f t="shared" si="5"/>
        <v>-71</v>
      </c>
      <c r="AY31" s="202">
        <f t="shared" si="4"/>
        <v>-68</v>
      </c>
      <c r="AZ31" s="202">
        <f t="shared" si="4"/>
        <v>-63</v>
      </c>
      <c r="BA31" s="202">
        <f t="shared" si="4"/>
        <v>-62</v>
      </c>
      <c r="BB31" s="202">
        <f t="shared" si="4"/>
        <v>-61</v>
      </c>
      <c r="BC31" s="202">
        <f t="shared" si="4"/>
        <v>-59</v>
      </c>
      <c r="BD31" s="202">
        <f t="shared" si="4"/>
        <v>-56</v>
      </c>
      <c r="BE31" s="202">
        <f t="shared" si="4"/>
        <v>-56</v>
      </c>
      <c r="BF31" s="202">
        <f t="shared" si="4"/>
        <v>-58</v>
      </c>
      <c r="BG31" s="203">
        <f t="shared" si="4"/>
        <v>-60</v>
      </c>
    </row>
    <row r="32" spans="1:59" ht="15.75" thickBot="1" x14ac:dyDescent="0.3">
      <c r="A32" s="204" t="s">
        <v>265</v>
      </c>
      <c r="B32" s="207">
        <v>-51</v>
      </c>
      <c r="C32" s="205">
        <v>-50</v>
      </c>
      <c r="D32" s="205">
        <v>-49</v>
      </c>
      <c r="E32" s="205">
        <v>-47</v>
      </c>
      <c r="F32" s="205">
        <v>-44</v>
      </c>
      <c r="G32" s="205">
        <v>-41</v>
      </c>
      <c r="H32" s="205">
        <v>-42</v>
      </c>
      <c r="I32" s="205">
        <v>-43</v>
      </c>
      <c r="J32" s="205">
        <v>-42</v>
      </c>
      <c r="K32" s="206">
        <v>-38</v>
      </c>
      <c r="L32" s="217"/>
      <c r="M32" s="204" t="s">
        <v>265</v>
      </c>
      <c r="N32" s="207">
        <v>-58</v>
      </c>
      <c r="O32" s="205">
        <v>-56</v>
      </c>
      <c r="P32" s="205">
        <v>-54</v>
      </c>
      <c r="Q32" s="205">
        <v>-52</v>
      </c>
      <c r="R32" s="205">
        <v>-48</v>
      </c>
      <c r="S32" s="205">
        <v>-45</v>
      </c>
      <c r="T32" s="205">
        <v>-45</v>
      </c>
      <c r="U32" s="205">
        <v>-46</v>
      </c>
      <c r="V32" s="205">
        <v>-45</v>
      </c>
      <c r="W32" s="206">
        <v>-41</v>
      </c>
      <c r="X32" s="217"/>
      <c r="Y32" s="208" t="s">
        <v>265</v>
      </c>
      <c r="Z32" s="233">
        <v>-61</v>
      </c>
      <c r="AA32" s="234">
        <v>-60</v>
      </c>
      <c r="AB32" s="234">
        <v>-58</v>
      </c>
      <c r="AC32" s="234">
        <v>-55</v>
      </c>
      <c r="AD32" s="234">
        <v>-52</v>
      </c>
      <c r="AE32" s="234">
        <v>-48</v>
      </c>
      <c r="AF32" s="234">
        <v>-49</v>
      </c>
      <c r="AG32" s="234">
        <v>-50</v>
      </c>
      <c r="AH32" s="234">
        <v>-49</v>
      </c>
      <c r="AI32" s="235">
        <v>-45</v>
      </c>
      <c r="AJ32" s="217"/>
      <c r="AK32" s="208" t="s">
        <v>265</v>
      </c>
      <c r="AL32" s="209">
        <v>-65</v>
      </c>
      <c r="AM32" s="210">
        <v>-63</v>
      </c>
      <c r="AN32" s="210">
        <v>-62</v>
      </c>
      <c r="AO32" s="210">
        <v>-60</v>
      </c>
      <c r="AP32" s="210">
        <v>-57</v>
      </c>
      <c r="AQ32" s="210">
        <v>-53</v>
      </c>
      <c r="AR32" s="210">
        <v>-53</v>
      </c>
      <c r="AS32" s="210">
        <v>-54</v>
      </c>
      <c r="AT32" s="210">
        <v>-53</v>
      </c>
      <c r="AU32" s="211">
        <v>-49</v>
      </c>
      <c r="AW32" s="208" t="s">
        <v>265</v>
      </c>
      <c r="AX32" s="212">
        <f t="shared" si="5"/>
        <v>-70</v>
      </c>
      <c r="AY32" s="213">
        <f t="shared" si="4"/>
        <v>-68</v>
      </c>
      <c r="AZ32" s="213">
        <f t="shared" si="4"/>
        <v>-67</v>
      </c>
      <c r="BA32" s="213">
        <f t="shared" si="4"/>
        <v>-65</v>
      </c>
      <c r="BB32" s="213">
        <f t="shared" si="4"/>
        <v>-62</v>
      </c>
      <c r="BC32" s="213">
        <f t="shared" si="4"/>
        <v>-58</v>
      </c>
      <c r="BD32" s="213">
        <f t="shared" si="4"/>
        <v>-58</v>
      </c>
      <c r="BE32" s="213">
        <f t="shared" si="4"/>
        <v>-59</v>
      </c>
      <c r="BF32" s="213">
        <f t="shared" si="4"/>
        <v>-58</v>
      </c>
      <c r="BG32" s="214">
        <f t="shared" si="4"/>
        <v>-54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-57</v>
      </c>
      <c r="C37" s="186">
        <v>-52</v>
      </c>
      <c r="D37" s="186">
        <v>-52</v>
      </c>
      <c r="E37" s="186">
        <v>-53</v>
      </c>
      <c r="F37" s="186">
        <v>-61</v>
      </c>
      <c r="G37" s="186">
        <v>-57</v>
      </c>
      <c r="H37" s="186">
        <v>-56</v>
      </c>
      <c r="I37" s="186">
        <v>-54</v>
      </c>
      <c r="J37" s="186">
        <v>-52</v>
      </c>
      <c r="K37" s="187">
        <v>-52</v>
      </c>
      <c r="L37" s="217"/>
      <c r="M37" s="236" t="s">
        <v>187</v>
      </c>
      <c r="N37" s="185">
        <v>-63</v>
      </c>
      <c r="O37" s="186">
        <v>-58</v>
      </c>
      <c r="P37" s="186">
        <v>-57</v>
      </c>
      <c r="Q37" s="186">
        <v>-58</v>
      </c>
      <c r="R37" s="186">
        <v>-66</v>
      </c>
      <c r="S37" s="186">
        <v>-61</v>
      </c>
      <c r="T37" s="186">
        <v>-60</v>
      </c>
      <c r="U37" s="186">
        <v>-58</v>
      </c>
      <c r="V37" s="186">
        <v>-56</v>
      </c>
      <c r="W37" s="187">
        <v>-56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-69</v>
      </c>
      <c r="AG37" s="228">
        <v>-69</v>
      </c>
      <c r="AH37" s="228">
        <v>-69</v>
      </c>
      <c r="AI37" s="229">
        <v>-69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-53</v>
      </c>
      <c r="C38" s="183">
        <v>-50</v>
      </c>
      <c r="D38" s="183">
        <v>-51</v>
      </c>
      <c r="E38" s="183">
        <v>-55</v>
      </c>
      <c r="F38" s="183">
        <v>-59</v>
      </c>
      <c r="G38" s="183">
        <v>-56</v>
      </c>
      <c r="H38" s="183">
        <v>-53</v>
      </c>
      <c r="I38" s="183">
        <v>-52</v>
      </c>
      <c r="J38" s="183">
        <v>-55</v>
      </c>
      <c r="K38" s="184">
        <v>-53</v>
      </c>
      <c r="L38" s="217"/>
      <c r="M38" s="195" t="s">
        <v>214</v>
      </c>
      <c r="N38" s="196">
        <v>-59</v>
      </c>
      <c r="O38" s="183">
        <v>-56</v>
      </c>
      <c r="P38" s="183">
        <v>-56</v>
      </c>
      <c r="Q38" s="183">
        <v>-60</v>
      </c>
      <c r="R38" s="183">
        <v>-64</v>
      </c>
      <c r="S38" s="183">
        <v>-60</v>
      </c>
      <c r="T38" s="183">
        <v>-57</v>
      </c>
      <c r="U38" s="183">
        <v>-56</v>
      </c>
      <c r="V38" s="183">
        <v>-59</v>
      </c>
      <c r="W38" s="184">
        <v>-57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-69</v>
      </c>
      <c r="AH38" s="231">
        <v>-69</v>
      </c>
      <c r="AI38" s="232">
        <v>-69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-58</v>
      </c>
      <c r="C39" s="183">
        <v>-54</v>
      </c>
      <c r="D39" s="183">
        <v>-53</v>
      </c>
      <c r="E39" s="183">
        <v>-57</v>
      </c>
      <c r="F39" s="183">
        <v>-59</v>
      </c>
      <c r="G39" s="183">
        <v>-56</v>
      </c>
      <c r="H39" s="183">
        <v>-54</v>
      </c>
      <c r="I39" s="183">
        <v>-55</v>
      </c>
      <c r="J39" s="183">
        <v>-54</v>
      </c>
      <c r="K39" s="184">
        <v>-60</v>
      </c>
      <c r="L39" s="217"/>
      <c r="M39" s="195" t="s">
        <v>233</v>
      </c>
      <c r="N39" s="196">
        <v>-64</v>
      </c>
      <c r="O39" s="183">
        <v>-60</v>
      </c>
      <c r="P39" s="183">
        <v>-58</v>
      </c>
      <c r="Q39" s="183">
        <v>-62</v>
      </c>
      <c r="R39" s="183">
        <v>-64</v>
      </c>
      <c r="S39" s="183">
        <v>-60</v>
      </c>
      <c r="T39" s="183">
        <v>-58</v>
      </c>
      <c r="U39" s="183">
        <v>-59</v>
      </c>
      <c r="V39" s="183">
        <v>-58</v>
      </c>
      <c r="W39" s="184">
        <v>-64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-69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-59</v>
      </c>
      <c r="C40" s="183">
        <v>-59</v>
      </c>
      <c r="D40" s="183">
        <v>-58</v>
      </c>
      <c r="E40" s="183">
        <v>-54</v>
      </c>
      <c r="F40" s="183">
        <v>-59</v>
      </c>
      <c r="G40" s="183">
        <v>-54</v>
      </c>
      <c r="H40" s="183">
        <v>-51</v>
      </c>
      <c r="I40" s="183">
        <v>-51</v>
      </c>
      <c r="J40" s="183">
        <v>-54</v>
      </c>
      <c r="K40" s="184">
        <v>-59</v>
      </c>
      <c r="L40" s="217"/>
      <c r="M40" s="195" t="s">
        <v>242</v>
      </c>
      <c r="N40" s="196">
        <v>-63</v>
      </c>
      <c r="O40" s="183">
        <v>-63</v>
      </c>
      <c r="P40" s="183">
        <v>-62</v>
      </c>
      <c r="Q40" s="183">
        <v>-58</v>
      </c>
      <c r="R40" s="183">
        <v>-63</v>
      </c>
      <c r="S40" s="183">
        <v>-57</v>
      </c>
      <c r="T40" s="183">
        <v>-54</v>
      </c>
      <c r="U40" s="183">
        <v>-54</v>
      </c>
      <c r="V40" s="183">
        <v>-57</v>
      </c>
      <c r="W40" s="184">
        <v>-62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-68</v>
      </c>
      <c r="AG40" s="231">
        <v>-68</v>
      </c>
      <c r="AH40" s="231">
        <v>-69</v>
      </c>
      <c r="AI40" s="232">
        <v>-69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250</v>
      </c>
      <c r="B41" s="196">
        <v>-63</v>
      </c>
      <c r="C41" s="183">
        <v>-60</v>
      </c>
      <c r="D41" s="183">
        <v>-61</v>
      </c>
      <c r="E41" s="183">
        <v>-60</v>
      </c>
      <c r="F41" s="183">
        <v>-56</v>
      </c>
      <c r="G41" s="183">
        <v>-59</v>
      </c>
      <c r="H41" s="183">
        <v>-53</v>
      </c>
      <c r="I41" s="183">
        <v>-56</v>
      </c>
      <c r="J41" s="183">
        <v>-56</v>
      </c>
      <c r="K41" s="184">
        <v>-59</v>
      </c>
      <c r="L41" s="217"/>
      <c r="M41" s="195" t="s">
        <v>250</v>
      </c>
      <c r="N41" s="196">
        <v>-67</v>
      </c>
      <c r="O41" s="183">
        <v>-64</v>
      </c>
      <c r="P41" s="183">
        <v>-65</v>
      </c>
      <c r="Q41" s="183">
        <v>-64</v>
      </c>
      <c r="R41" s="183">
        <v>-60</v>
      </c>
      <c r="S41" s="183">
        <v>-62</v>
      </c>
      <c r="T41" s="183">
        <v>-56</v>
      </c>
      <c r="U41" s="183">
        <v>-59</v>
      </c>
      <c r="V41" s="183">
        <v>-59</v>
      </c>
      <c r="W41" s="184">
        <v>-62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-69</v>
      </c>
      <c r="AG41" s="231">
        <v>-69</v>
      </c>
      <c r="AH41" s="231">
        <v>-69</v>
      </c>
      <c r="AI41" s="232">
        <v>-69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258</v>
      </c>
      <c r="B42" s="196">
        <v>-65</v>
      </c>
      <c r="C42" s="183">
        <v>-62</v>
      </c>
      <c r="D42" s="183">
        <v>-58</v>
      </c>
      <c r="E42" s="183">
        <v>-57</v>
      </c>
      <c r="F42" s="183">
        <v>-56</v>
      </c>
      <c r="G42" s="183">
        <v>-56</v>
      </c>
      <c r="H42" s="183">
        <v>-51</v>
      </c>
      <c r="I42" s="183">
        <v>-50</v>
      </c>
      <c r="J42" s="183">
        <v>-52</v>
      </c>
      <c r="K42" s="184">
        <v>-54</v>
      </c>
      <c r="L42" s="217"/>
      <c r="M42" s="195" t="s">
        <v>258</v>
      </c>
      <c r="N42" s="196">
        <v>-67</v>
      </c>
      <c r="O42" s="183">
        <v>-66</v>
      </c>
      <c r="P42" s="183">
        <v>-62</v>
      </c>
      <c r="Q42" s="183">
        <v>-61</v>
      </c>
      <c r="R42" s="183">
        <v>-60</v>
      </c>
      <c r="S42" s="183">
        <v>-59</v>
      </c>
      <c r="T42" s="183">
        <v>-54</v>
      </c>
      <c r="U42" s="183">
        <v>-53</v>
      </c>
      <c r="V42" s="183">
        <v>-55</v>
      </c>
      <c r="W42" s="184">
        <v>-57</v>
      </c>
      <c r="X42" s="217"/>
      <c r="Y42" s="197" t="s">
        <v>258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-65</v>
      </c>
      <c r="AG42" s="231">
        <v>-63</v>
      </c>
      <c r="AH42" s="231">
        <v>-65</v>
      </c>
      <c r="AI42" s="232">
        <v>-67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-64</v>
      </c>
      <c r="C43" s="205">
        <v>-62</v>
      </c>
      <c r="D43" s="205">
        <v>-62</v>
      </c>
      <c r="E43" s="205">
        <v>-60</v>
      </c>
      <c r="F43" s="205">
        <v>-57</v>
      </c>
      <c r="G43" s="205">
        <v>-55</v>
      </c>
      <c r="H43" s="205">
        <v>-53</v>
      </c>
      <c r="I43" s="205">
        <v>-53</v>
      </c>
      <c r="J43" s="205">
        <v>-52</v>
      </c>
      <c r="K43" s="206">
        <v>-48</v>
      </c>
      <c r="L43" s="217"/>
      <c r="M43" s="204" t="s">
        <v>265</v>
      </c>
      <c r="N43" s="207">
        <v>-67</v>
      </c>
      <c r="O43" s="205">
        <v>-66</v>
      </c>
      <c r="P43" s="205">
        <v>-66</v>
      </c>
      <c r="Q43" s="205">
        <v>-64</v>
      </c>
      <c r="R43" s="205">
        <v>-61</v>
      </c>
      <c r="S43" s="205">
        <v>-58</v>
      </c>
      <c r="T43" s="205">
        <v>-56</v>
      </c>
      <c r="U43" s="205">
        <v>-56</v>
      </c>
      <c r="V43" s="205">
        <v>-55</v>
      </c>
      <c r="W43" s="206">
        <v>-51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-69</v>
      </c>
      <c r="AF43" s="234">
        <v>-67</v>
      </c>
      <c r="AG43" s="234">
        <v>-66</v>
      </c>
      <c r="AH43" s="234">
        <v>-65</v>
      </c>
      <c r="AI43" s="235">
        <v>-61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-71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-76</v>
      </c>
    </row>
  </sheetData>
  <sheetProtection algorithmName="SHA-512" hashValue="bYh1rpLLRkHvRdF0PHL8g1eoNIQIXdLs0i/5EhnkxP6gO4qzei7Tk1eGKEkJDwqFjTot7AbOU9oywse85kzGiA==" saltValue="6J2SN7H2tT2j8PLjpCRwL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799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-24</v>
      </c>
      <c r="C4" s="183">
        <v>-20</v>
      </c>
      <c r="D4" s="183">
        <v>-18</v>
      </c>
      <c r="E4" s="183">
        <v>-25</v>
      </c>
      <c r="F4" s="183">
        <v>-29</v>
      </c>
      <c r="G4" s="183">
        <v>-29</v>
      </c>
      <c r="H4" s="183">
        <v>-28</v>
      </c>
      <c r="I4" s="183">
        <v>-26</v>
      </c>
      <c r="J4" s="183">
        <v>-28</v>
      </c>
      <c r="K4" s="184">
        <v>-28</v>
      </c>
      <c r="L4" s="217"/>
      <c r="M4" s="182" t="s">
        <v>187</v>
      </c>
      <c r="N4" s="185">
        <v>-31</v>
      </c>
      <c r="O4" s="186">
        <v>-26</v>
      </c>
      <c r="P4" s="186">
        <v>-24</v>
      </c>
      <c r="Q4" s="186">
        <v>-30</v>
      </c>
      <c r="R4" s="186">
        <v>-34</v>
      </c>
      <c r="S4" s="186">
        <v>-32</v>
      </c>
      <c r="T4" s="186">
        <v>-31</v>
      </c>
      <c r="U4" s="186">
        <v>-28</v>
      </c>
      <c r="V4" s="186">
        <v>-30</v>
      </c>
      <c r="W4" s="187">
        <v>-30</v>
      </c>
      <c r="X4" s="217"/>
      <c r="Y4" s="188" t="s">
        <v>187</v>
      </c>
      <c r="Z4" s="189">
        <v>-36</v>
      </c>
      <c r="AA4" s="190">
        <v>-30</v>
      </c>
      <c r="AB4" s="190">
        <v>-28</v>
      </c>
      <c r="AC4" s="190">
        <v>-35</v>
      </c>
      <c r="AD4" s="190">
        <v>-38</v>
      </c>
      <c r="AE4" s="190">
        <v>-36</v>
      </c>
      <c r="AF4" s="190">
        <v>-35</v>
      </c>
      <c r="AG4" s="190">
        <v>-33</v>
      </c>
      <c r="AH4" s="190">
        <v>-35</v>
      </c>
      <c r="AI4" s="191">
        <v>-35</v>
      </c>
      <c r="AJ4" s="217"/>
      <c r="AK4" s="188" t="s">
        <v>187</v>
      </c>
      <c r="AL4" s="189">
        <v>-45</v>
      </c>
      <c r="AM4" s="190">
        <v>-41</v>
      </c>
      <c r="AN4" s="190">
        <v>-39</v>
      </c>
      <c r="AO4" s="190">
        <v>-45</v>
      </c>
      <c r="AP4" s="190">
        <v>-47</v>
      </c>
      <c r="AQ4" s="190">
        <v>-46</v>
      </c>
      <c r="AR4" s="190">
        <v>-44</v>
      </c>
      <c r="AS4" s="190">
        <v>-42</v>
      </c>
      <c r="AT4" s="190">
        <v>-44</v>
      </c>
      <c r="AU4" s="191">
        <v>-44</v>
      </c>
      <c r="AW4" s="188" t="s">
        <v>187</v>
      </c>
      <c r="AX4" s="192">
        <f>AL4-5</f>
        <v>-50</v>
      </c>
      <c r="AY4" s="193">
        <f t="shared" ref="AY4:BG10" si="0">AM4-5</f>
        <v>-46</v>
      </c>
      <c r="AZ4" s="193">
        <f t="shared" si="0"/>
        <v>-44</v>
      </c>
      <c r="BA4" s="193">
        <f t="shared" si="0"/>
        <v>-50</v>
      </c>
      <c r="BB4" s="193">
        <f t="shared" si="0"/>
        <v>-52</v>
      </c>
      <c r="BC4" s="193">
        <f t="shared" si="0"/>
        <v>-51</v>
      </c>
      <c r="BD4" s="193">
        <f t="shared" si="0"/>
        <v>-49</v>
      </c>
      <c r="BE4" s="193">
        <f t="shared" si="0"/>
        <v>-47</v>
      </c>
      <c r="BF4" s="193">
        <f t="shared" si="0"/>
        <v>-49</v>
      </c>
      <c r="BG4" s="194">
        <f t="shared" si="0"/>
        <v>-49</v>
      </c>
    </row>
    <row r="5" spans="1:59" ht="14.45" x14ac:dyDescent="0.3">
      <c r="A5" s="195" t="s">
        <v>214</v>
      </c>
      <c r="B5" s="183">
        <v>-21</v>
      </c>
      <c r="C5" s="183">
        <v>-19</v>
      </c>
      <c r="D5" s="183">
        <v>-18</v>
      </c>
      <c r="E5" s="183">
        <v>-25</v>
      </c>
      <c r="F5" s="183">
        <v>-30</v>
      </c>
      <c r="G5" s="183">
        <v>-29</v>
      </c>
      <c r="H5" s="183">
        <v>-26</v>
      </c>
      <c r="I5" s="183">
        <v>-28</v>
      </c>
      <c r="J5" s="183">
        <v>-26</v>
      </c>
      <c r="K5" s="184">
        <v>-28</v>
      </c>
      <c r="L5" s="217"/>
      <c r="M5" s="195" t="s">
        <v>214</v>
      </c>
      <c r="N5" s="196">
        <v>-28</v>
      </c>
      <c r="O5" s="183">
        <v>-25</v>
      </c>
      <c r="P5" s="183">
        <v>-24</v>
      </c>
      <c r="Q5" s="183">
        <v>-30</v>
      </c>
      <c r="R5" s="183">
        <v>-35</v>
      </c>
      <c r="S5" s="183">
        <v>-32</v>
      </c>
      <c r="T5" s="183">
        <v>-29</v>
      </c>
      <c r="U5" s="183">
        <v>-30</v>
      </c>
      <c r="V5" s="183">
        <v>-28</v>
      </c>
      <c r="W5" s="184">
        <v>-30</v>
      </c>
      <c r="X5" s="217"/>
      <c r="Y5" s="197" t="s">
        <v>214</v>
      </c>
      <c r="Z5" s="198">
        <v>-33</v>
      </c>
      <c r="AA5" s="199">
        <v>-29</v>
      </c>
      <c r="AB5" s="199">
        <v>-28</v>
      </c>
      <c r="AC5" s="199">
        <v>-35</v>
      </c>
      <c r="AD5" s="199">
        <v>-39</v>
      </c>
      <c r="AE5" s="199">
        <v>-36</v>
      </c>
      <c r="AF5" s="199">
        <v>-33</v>
      </c>
      <c r="AG5" s="199">
        <v>-35</v>
      </c>
      <c r="AH5" s="199">
        <v>-33</v>
      </c>
      <c r="AI5" s="200">
        <v>-35</v>
      </c>
      <c r="AJ5" s="217"/>
      <c r="AK5" s="197" t="s">
        <v>214</v>
      </c>
      <c r="AL5" s="198">
        <v>-42</v>
      </c>
      <c r="AM5" s="199">
        <v>-40</v>
      </c>
      <c r="AN5" s="199">
        <v>-39</v>
      </c>
      <c r="AO5" s="199">
        <v>-45</v>
      </c>
      <c r="AP5" s="199">
        <v>-48</v>
      </c>
      <c r="AQ5" s="199">
        <v>-46</v>
      </c>
      <c r="AR5" s="199">
        <v>-42</v>
      </c>
      <c r="AS5" s="199">
        <v>-44</v>
      </c>
      <c r="AT5" s="199">
        <v>-42</v>
      </c>
      <c r="AU5" s="200">
        <v>-44</v>
      </c>
      <c r="AW5" s="197" t="s">
        <v>214</v>
      </c>
      <c r="AX5" s="201">
        <f t="shared" ref="AX5:AX10" si="1">AL5-5</f>
        <v>-47</v>
      </c>
      <c r="AY5" s="202">
        <f t="shared" si="0"/>
        <v>-45</v>
      </c>
      <c r="AZ5" s="202">
        <f t="shared" si="0"/>
        <v>-44</v>
      </c>
      <c r="BA5" s="202">
        <f t="shared" si="0"/>
        <v>-50</v>
      </c>
      <c r="BB5" s="202">
        <f t="shared" si="0"/>
        <v>-53</v>
      </c>
      <c r="BC5" s="202">
        <f t="shared" si="0"/>
        <v>-51</v>
      </c>
      <c r="BD5" s="202">
        <f t="shared" si="0"/>
        <v>-47</v>
      </c>
      <c r="BE5" s="202">
        <f t="shared" si="0"/>
        <v>-49</v>
      </c>
      <c r="BF5" s="202">
        <f t="shared" si="0"/>
        <v>-47</v>
      </c>
      <c r="BG5" s="203">
        <f t="shared" si="0"/>
        <v>-49</v>
      </c>
    </row>
    <row r="6" spans="1:59" ht="14.45" x14ac:dyDescent="0.3">
      <c r="A6" s="195" t="s">
        <v>233</v>
      </c>
      <c r="B6" s="183">
        <v>-27</v>
      </c>
      <c r="C6" s="183">
        <v>-25</v>
      </c>
      <c r="D6" s="183">
        <v>-23</v>
      </c>
      <c r="E6" s="183">
        <v>-29</v>
      </c>
      <c r="F6" s="183">
        <v>-32</v>
      </c>
      <c r="G6" s="183">
        <v>-30</v>
      </c>
      <c r="H6" s="183">
        <v>-27</v>
      </c>
      <c r="I6" s="183">
        <v>-28</v>
      </c>
      <c r="J6" s="183">
        <v>-26</v>
      </c>
      <c r="K6" s="184">
        <v>-33</v>
      </c>
      <c r="L6" s="217"/>
      <c r="M6" s="195" t="s">
        <v>233</v>
      </c>
      <c r="N6" s="196">
        <v>-34</v>
      </c>
      <c r="O6" s="183">
        <v>-31</v>
      </c>
      <c r="P6" s="183">
        <v>-29</v>
      </c>
      <c r="Q6" s="183">
        <v>-34</v>
      </c>
      <c r="R6" s="183">
        <v>-37</v>
      </c>
      <c r="S6" s="183">
        <v>-33</v>
      </c>
      <c r="T6" s="183">
        <v>-30</v>
      </c>
      <c r="U6" s="183">
        <v>-30</v>
      </c>
      <c r="V6" s="183">
        <v>-28</v>
      </c>
      <c r="W6" s="184">
        <v>-35</v>
      </c>
      <c r="X6" s="217"/>
      <c r="Y6" s="197" t="s">
        <v>233</v>
      </c>
      <c r="Z6" s="198">
        <v>-39</v>
      </c>
      <c r="AA6" s="199">
        <v>-35</v>
      </c>
      <c r="AB6" s="199">
        <v>-33</v>
      </c>
      <c r="AC6" s="199">
        <v>-39</v>
      </c>
      <c r="AD6" s="199">
        <v>-41</v>
      </c>
      <c r="AE6" s="199">
        <v>-37</v>
      </c>
      <c r="AF6" s="199">
        <v>-34</v>
      </c>
      <c r="AG6" s="199">
        <v>-35</v>
      </c>
      <c r="AH6" s="199">
        <v>-33</v>
      </c>
      <c r="AI6" s="200">
        <v>-40</v>
      </c>
      <c r="AJ6" s="217"/>
      <c r="AK6" s="197" t="s">
        <v>233</v>
      </c>
      <c r="AL6" s="198">
        <v>-48</v>
      </c>
      <c r="AM6" s="199">
        <v>-46</v>
      </c>
      <c r="AN6" s="199">
        <v>-44</v>
      </c>
      <c r="AO6" s="199">
        <v>-49</v>
      </c>
      <c r="AP6" s="199">
        <v>-50</v>
      </c>
      <c r="AQ6" s="199">
        <v>-47</v>
      </c>
      <c r="AR6" s="199">
        <v>-43</v>
      </c>
      <c r="AS6" s="199">
        <v>-44</v>
      </c>
      <c r="AT6" s="199">
        <v>-42</v>
      </c>
      <c r="AU6" s="200">
        <v>-49</v>
      </c>
      <c r="AW6" s="197" t="s">
        <v>233</v>
      </c>
      <c r="AX6" s="201">
        <f t="shared" si="1"/>
        <v>-53</v>
      </c>
      <c r="AY6" s="202">
        <f t="shared" si="0"/>
        <v>-51</v>
      </c>
      <c r="AZ6" s="202">
        <f t="shared" si="0"/>
        <v>-49</v>
      </c>
      <c r="BA6" s="202">
        <f t="shared" si="0"/>
        <v>-54</v>
      </c>
      <c r="BB6" s="202">
        <f t="shared" si="0"/>
        <v>-55</v>
      </c>
      <c r="BC6" s="202">
        <f t="shared" si="0"/>
        <v>-52</v>
      </c>
      <c r="BD6" s="202">
        <f t="shared" si="0"/>
        <v>-48</v>
      </c>
      <c r="BE6" s="202">
        <f t="shared" si="0"/>
        <v>-49</v>
      </c>
      <c r="BF6" s="202">
        <f t="shared" si="0"/>
        <v>-47</v>
      </c>
      <c r="BG6" s="203">
        <f t="shared" si="0"/>
        <v>-54</v>
      </c>
    </row>
    <row r="7" spans="1:59" ht="14.45" x14ac:dyDescent="0.3">
      <c r="A7" s="195" t="s">
        <v>242</v>
      </c>
      <c r="B7" s="183">
        <v>-29</v>
      </c>
      <c r="C7" s="183">
        <v>-28</v>
      </c>
      <c r="D7" s="183">
        <v>-28</v>
      </c>
      <c r="E7" s="183">
        <v>-27</v>
      </c>
      <c r="F7" s="183">
        <v>-30</v>
      </c>
      <c r="G7" s="183">
        <v>-28</v>
      </c>
      <c r="H7" s="183">
        <v>-25</v>
      </c>
      <c r="I7" s="183">
        <v>-28</v>
      </c>
      <c r="J7" s="183">
        <v>-29</v>
      </c>
      <c r="K7" s="184">
        <v>-32</v>
      </c>
      <c r="L7" s="217"/>
      <c r="M7" s="195" t="s">
        <v>242</v>
      </c>
      <c r="N7" s="196">
        <v>-36</v>
      </c>
      <c r="O7" s="183">
        <v>-34</v>
      </c>
      <c r="P7" s="183">
        <v>-34</v>
      </c>
      <c r="Q7" s="183">
        <v>-31</v>
      </c>
      <c r="R7" s="183">
        <v>-34</v>
      </c>
      <c r="S7" s="183">
        <v>-31</v>
      </c>
      <c r="T7" s="183">
        <v>-28</v>
      </c>
      <c r="U7" s="183">
        <v>-31</v>
      </c>
      <c r="V7" s="183">
        <v>-32</v>
      </c>
      <c r="W7" s="184">
        <v>-35</v>
      </c>
      <c r="X7" s="217"/>
      <c r="Y7" s="197" t="s">
        <v>242</v>
      </c>
      <c r="Z7" s="198">
        <v>-40</v>
      </c>
      <c r="AA7" s="199">
        <v>-38</v>
      </c>
      <c r="AB7" s="199">
        <v>-38</v>
      </c>
      <c r="AC7" s="199">
        <v>-36</v>
      </c>
      <c r="AD7" s="199">
        <v>-39</v>
      </c>
      <c r="AE7" s="199">
        <v>-35</v>
      </c>
      <c r="AF7" s="199">
        <v>-32</v>
      </c>
      <c r="AG7" s="199">
        <v>-35</v>
      </c>
      <c r="AH7" s="199">
        <v>-36</v>
      </c>
      <c r="AI7" s="200">
        <v>-39</v>
      </c>
      <c r="AJ7" s="217"/>
      <c r="AK7" s="197" t="s">
        <v>242</v>
      </c>
      <c r="AL7" s="198">
        <v>-45</v>
      </c>
      <c r="AM7" s="199">
        <v>-43</v>
      </c>
      <c r="AN7" s="199">
        <v>-43</v>
      </c>
      <c r="AO7" s="199">
        <v>-41</v>
      </c>
      <c r="AP7" s="199">
        <v>-44</v>
      </c>
      <c r="AQ7" s="199">
        <v>-42</v>
      </c>
      <c r="AR7" s="199">
        <v>-37</v>
      </c>
      <c r="AS7" s="199">
        <v>-40</v>
      </c>
      <c r="AT7" s="199">
        <v>-41</v>
      </c>
      <c r="AU7" s="200">
        <v>-44</v>
      </c>
      <c r="AW7" s="197" t="s">
        <v>242</v>
      </c>
      <c r="AX7" s="201">
        <f t="shared" si="1"/>
        <v>-50</v>
      </c>
      <c r="AY7" s="202">
        <f t="shared" si="0"/>
        <v>-48</v>
      </c>
      <c r="AZ7" s="202">
        <f t="shared" si="0"/>
        <v>-48</v>
      </c>
      <c r="BA7" s="202">
        <f t="shared" si="0"/>
        <v>-46</v>
      </c>
      <c r="BB7" s="202">
        <f t="shared" si="0"/>
        <v>-49</v>
      </c>
      <c r="BC7" s="202">
        <f t="shared" si="0"/>
        <v>-47</v>
      </c>
      <c r="BD7" s="202">
        <f t="shared" si="0"/>
        <v>-42</v>
      </c>
      <c r="BE7" s="202">
        <f t="shared" si="0"/>
        <v>-45</v>
      </c>
      <c r="BF7" s="202">
        <f t="shared" si="0"/>
        <v>-46</v>
      </c>
      <c r="BG7" s="203">
        <f t="shared" si="0"/>
        <v>-49</v>
      </c>
    </row>
    <row r="8" spans="1:59" ht="14.45" x14ac:dyDescent="0.3">
      <c r="A8" s="195" t="s">
        <v>250</v>
      </c>
      <c r="B8" s="183">
        <v>-32</v>
      </c>
      <c r="C8" s="183">
        <v>-34</v>
      </c>
      <c r="D8" s="183">
        <v>-32</v>
      </c>
      <c r="E8" s="183">
        <v>-30</v>
      </c>
      <c r="F8" s="183">
        <v>-28</v>
      </c>
      <c r="G8" s="183">
        <v>-26</v>
      </c>
      <c r="H8" s="183">
        <v>-26</v>
      </c>
      <c r="I8" s="183">
        <v>-28</v>
      </c>
      <c r="J8" s="183">
        <v>-27</v>
      </c>
      <c r="K8" s="184">
        <v>-34</v>
      </c>
      <c r="L8" s="217"/>
      <c r="M8" s="195" t="s">
        <v>250</v>
      </c>
      <c r="N8" s="196">
        <v>-39</v>
      </c>
      <c r="O8" s="183">
        <v>-40</v>
      </c>
      <c r="P8" s="183">
        <v>-38</v>
      </c>
      <c r="Q8" s="183">
        <v>-34</v>
      </c>
      <c r="R8" s="183">
        <v>-32</v>
      </c>
      <c r="S8" s="183">
        <v>-29</v>
      </c>
      <c r="T8" s="183">
        <v>-29</v>
      </c>
      <c r="U8" s="183">
        <v>-31</v>
      </c>
      <c r="V8" s="183">
        <v>-30</v>
      </c>
      <c r="W8" s="184">
        <v>-37</v>
      </c>
      <c r="X8" s="217"/>
      <c r="Y8" s="197" t="s">
        <v>250</v>
      </c>
      <c r="Z8" s="198">
        <v>-43</v>
      </c>
      <c r="AA8" s="199">
        <v>-44</v>
      </c>
      <c r="AB8" s="199">
        <v>-42</v>
      </c>
      <c r="AC8" s="199">
        <v>-39</v>
      </c>
      <c r="AD8" s="199">
        <v>-37</v>
      </c>
      <c r="AE8" s="199">
        <v>-33</v>
      </c>
      <c r="AF8" s="199">
        <v>-33</v>
      </c>
      <c r="AG8" s="199">
        <v>-35</v>
      </c>
      <c r="AH8" s="199">
        <v>-34</v>
      </c>
      <c r="AI8" s="200">
        <v>-41</v>
      </c>
      <c r="AJ8" s="217"/>
      <c r="AK8" s="197" t="s">
        <v>250</v>
      </c>
      <c r="AL8" s="198">
        <v>-48</v>
      </c>
      <c r="AM8" s="199">
        <v>-49</v>
      </c>
      <c r="AN8" s="199">
        <v>-47</v>
      </c>
      <c r="AO8" s="199">
        <v>-44</v>
      </c>
      <c r="AP8" s="199">
        <v>-42</v>
      </c>
      <c r="AQ8" s="199">
        <v>-40</v>
      </c>
      <c r="AR8" s="199">
        <v>-38</v>
      </c>
      <c r="AS8" s="199">
        <v>-40</v>
      </c>
      <c r="AT8" s="199">
        <v>-39</v>
      </c>
      <c r="AU8" s="200">
        <v>-46</v>
      </c>
      <c r="AW8" s="197" t="s">
        <v>250</v>
      </c>
      <c r="AX8" s="201">
        <f t="shared" si="1"/>
        <v>-53</v>
      </c>
      <c r="AY8" s="202">
        <f t="shared" si="0"/>
        <v>-54</v>
      </c>
      <c r="AZ8" s="202">
        <f t="shared" si="0"/>
        <v>-52</v>
      </c>
      <c r="BA8" s="202">
        <f t="shared" si="0"/>
        <v>-49</v>
      </c>
      <c r="BB8" s="202">
        <f t="shared" si="0"/>
        <v>-47</v>
      </c>
      <c r="BC8" s="202">
        <f t="shared" si="0"/>
        <v>-45</v>
      </c>
      <c r="BD8" s="202">
        <f t="shared" si="0"/>
        <v>-43</v>
      </c>
      <c r="BE8" s="202">
        <f t="shared" si="0"/>
        <v>-45</v>
      </c>
      <c r="BF8" s="202">
        <f t="shared" si="0"/>
        <v>-44</v>
      </c>
      <c r="BG8" s="203">
        <f t="shared" si="0"/>
        <v>-51</v>
      </c>
    </row>
    <row r="9" spans="1:59" ht="14.45" x14ac:dyDescent="0.3">
      <c r="A9" s="195" t="s">
        <v>258</v>
      </c>
      <c r="B9" s="183">
        <v>-32</v>
      </c>
      <c r="C9" s="183">
        <v>-30</v>
      </c>
      <c r="D9" s="183">
        <v>-31</v>
      </c>
      <c r="E9" s="183">
        <v>-29</v>
      </c>
      <c r="F9" s="183">
        <v>-27</v>
      </c>
      <c r="G9" s="183">
        <v>-24</v>
      </c>
      <c r="H9" s="183">
        <v>-23</v>
      </c>
      <c r="I9" s="183">
        <v>-29</v>
      </c>
      <c r="J9" s="183">
        <v>-28</v>
      </c>
      <c r="K9" s="184">
        <v>-33</v>
      </c>
      <c r="L9" s="217"/>
      <c r="M9" s="195" t="s">
        <v>258</v>
      </c>
      <c r="N9" s="196">
        <v>-39</v>
      </c>
      <c r="O9" s="183">
        <v>-36</v>
      </c>
      <c r="P9" s="183">
        <v>-37</v>
      </c>
      <c r="Q9" s="183">
        <v>-33</v>
      </c>
      <c r="R9" s="183">
        <v>-31</v>
      </c>
      <c r="S9" s="183">
        <v>-27</v>
      </c>
      <c r="T9" s="183">
        <v>-26</v>
      </c>
      <c r="U9" s="183">
        <v>-32</v>
      </c>
      <c r="V9" s="183">
        <v>-31</v>
      </c>
      <c r="W9" s="184">
        <v>-36</v>
      </c>
      <c r="X9" s="217"/>
      <c r="Y9" s="197" t="s">
        <v>258</v>
      </c>
      <c r="Z9" s="198">
        <v>-42</v>
      </c>
      <c r="AA9" s="199">
        <v>-40</v>
      </c>
      <c r="AB9" s="199">
        <v>-41</v>
      </c>
      <c r="AC9" s="199">
        <v>-38</v>
      </c>
      <c r="AD9" s="199">
        <v>-35</v>
      </c>
      <c r="AE9" s="199">
        <v>-32</v>
      </c>
      <c r="AF9" s="199">
        <v>-31</v>
      </c>
      <c r="AG9" s="199">
        <v>-37</v>
      </c>
      <c r="AH9" s="199">
        <v>-36</v>
      </c>
      <c r="AI9" s="200">
        <v>-41</v>
      </c>
      <c r="AJ9" s="217"/>
      <c r="AK9" s="197" t="s">
        <v>258</v>
      </c>
      <c r="AL9" s="198">
        <v>-47</v>
      </c>
      <c r="AM9" s="199">
        <v>-45</v>
      </c>
      <c r="AN9" s="199">
        <v>-46</v>
      </c>
      <c r="AO9" s="199">
        <v>-42</v>
      </c>
      <c r="AP9" s="199">
        <v>-40</v>
      </c>
      <c r="AQ9" s="199">
        <v>-36</v>
      </c>
      <c r="AR9" s="199">
        <v>-34</v>
      </c>
      <c r="AS9" s="199">
        <v>-40</v>
      </c>
      <c r="AT9" s="199">
        <v>-39</v>
      </c>
      <c r="AU9" s="200">
        <v>-44</v>
      </c>
      <c r="AW9" s="197" t="s">
        <v>258</v>
      </c>
      <c r="AX9" s="201">
        <f t="shared" si="1"/>
        <v>-52</v>
      </c>
      <c r="AY9" s="202">
        <f t="shared" si="0"/>
        <v>-50</v>
      </c>
      <c r="AZ9" s="202">
        <f t="shared" si="0"/>
        <v>-51</v>
      </c>
      <c r="BA9" s="202">
        <f t="shared" si="0"/>
        <v>-47</v>
      </c>
      <c r="BB9" s="202">
        <f t="shared" si="0"/>
        <v>-45</v>
      </c>
      <c r="BC9" s="202">
        <f t="shared" si="0"/>
        <v>-41</v>
      </c>
      <c r="BD9" s="202">
        <f t="shared" si="0"/>
        <v>-39</v>
      </c>
      <c r="BE9" s="202">
        <f t="shared" si="0"/>
        <v>-45</v>
      </c>
      <c r="BF9" s="202">
        <f t="shared" si="0"/>
        <v>-44</v>
      </c>
      <c r="BG9" s="203">
        <f t="shared" si="0"/>
        <v>-49</v>
      </c>
    </row>
    <row r="10" spans="1:59" thickBot="1" x14ac:dyDescent="0.35">
      <c r="A10" s="204" t="s">
        <v>265</v>
      </c>
      <c r="B10" s="205">
        <v>-37</v>
      </c>
      <c r="C10" s="205">
        <v>-34</v>
      </c>
      <c r="D10" s="205">
        <v>-36</v>
      </c>
      <c r="E10" s="205">
        <v>-33</v>
      </c>
      <c r="F10" s="205">
        <v>-29</v>
      </c>
      <c r="G10" s="205">
        <v>-28</v>
      </c>
      <c r="H10" s="205">
        <v>-23</v>
      </c>
      <c r="I10" s="205">
        <v>-28</v>
      </c>
      <c r="J10" s="205">
        <v>-29</v>
      </c>
      <c r="K10" s="206">
        <v>-28</v>
      </c>
      <c r="L10" s="217"/>
      <c r="M10" s="204" t="s">
        <v>265</v>
      </c>
      <c r="N10" s="207">
        <v>-44</v>
      </c>
      <c r="O10" s="205">
        <v>-40</v>
      </c>
      <c r="P10" s="205">
        <v>-42</v>
      </c>
      <c r="Q10" s="205">
        <v>-37</v>
      </c>
      <c r="R10" s="205">
        <v>-33</v>
      </c>
      <c r="S10" s="205">
        <v>-31</v>
      </c>
      <c r="T10" s="205">
        <v>-26</v>
      </c>
      <c r="U10" s="205">
        <v>-31</v>
      </c>
      <c r="V10" s="205">
        <v>-32</v>
      </c>
      <c r="W10" s="206">
        <v>-31</v>
      </c>
      <c r="X10" s="217"/>
      <c r="Y10" s="208" t="s">
        <v>265</v>
      </c>
      <c r="Z10" s="209">
        <v>-47</v>
      </c>
      <c r="AA10" s="210">
        <v>-44</v>
      </c>
      <c r="AB10" s="210">
        <v>-46</v>
      </c>
      <c r="AC10" s="210">
        <v>-42</v>
      </c>
      <c r="AD10" s="210">
        <v>-37</v>
      </c>
      <c r="AE10" s="210">
        <v>-36</v>
      </c>
      <c r="AF10" s="210">
        <v>-31</v>
      </c>
      <c r="AG10" s="210">
        <v>-36</v>
      </c>
      <c r="AH10" s="210">
        <v>-37</v>
      </c>
      <c r="AI10" s="211">
        <v>-36</v>
      </c>
      <c r="AJ10" s="217"/>
      <c r="AK10" s="208" t="s">
        <v>265</v>
      </c>
      <c r="AL10" s="209">
        <v>-52</v>
      </c>
      <c r="AM10" s="210">
        <v>-49</v>
      </c>
      <c r="AN10" s="210">
        <v>-51</v>
      </c>
      <c r="AO10" s="210">
        <v>-46</v>
      </c>
      <c r="AP10" s="210">
        <v>-42</v>
      </c>
      <c r="AQ10" s="210">
        <v>-40</v>
      </c>
      <c r="AR10" s="210">
        <v>-34</v>
      </c>
      <c r="AS10" s="210">
        <v>-39</v>
      </c>
      <c r="AT10" s="210">
        <v>-40</v>
      </c>
      <c r="AU10" s="211">
        <v>-39</v>
      </c>
      <c r="AW10" s="208" t="s">
        <v>265</v>
      </c>
      <c r="AX10" s="212">
        <f t="shared" si="1"/>
        <v>-57</v>
      </c>
      <c r="AY10" s="213">
        <f t="shared" si="0"/>
        <v>-54</v>
      </c>
      <c r="AZ10" s="213">
        <f t="shared" si="0"/>
        <v>-56</v>
      </c>
      <c r="BA10" s="213">
        <f t="shared" si="0"/>
        <v>-51</v>
      </c>
      <c r="BB10" s="213">
        <f t="shared" si="0"/>
        <v>-47</v>
      </c>
      <c r="BC10" s="213">
        <f t="shared" si="0"/>
        <v>-45</v>
      </c>
      <c r="BD10" s="213">
        <f t="shared" si="0"/>
        <v>-39</v>
      </c>
      <c r="BE10" s="213">
        <f t="shared" si="0"/>
        <v>-44</v>
      </c>
      <c r="BF10" s="213">
        <f t="shared" si="0"/>
        <v>-45</v>
      </c>
      <c r="BG10" s="214">
        <f t="shared" si="0"/>
        <v>-44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-29</v>
      </c>
      <c r="C15" s="186">
        <v>-25</v>
      </c>
      <c r="D15" s="186">
        <v>-23</v>
      </c>
      <c r="E15" s="186">
        <v>-30</v>
      </c>
      <c r="F15" s="186">
        <v>-33</v>
      </c>
      <c r="G15" s="186">
        <v>-33</v>
      </c>
      <c r="H15" s="186">
        <v>-31</v>
      </c>
      <c r="I15" s="186">
        <v>-29</v>
      </c>
      <c r="J15" s="186">
        <v>-31</v>
      </c>
      <c r="K15" s="187">
        <v>-31</v>
      </c>
      <c r="L15" s="217"/>
      <c r="M15" s="182" t="s">
        <v>187</v>
      </c>
      <c r="N15" s="185">
        <v>-36</v>
      </c>
      <c r="O15" s="186">
        <v>-31</v>
      </c>
      <c r="P15" s="186">
        <v>-29</v>
      </c>
      <c r="Q15" s="186">
        <v>-35</v>
      </c>
      <c r="R15" s="186">
        <v>-38</v>
      </c>
      <c r="S15" s="186">
        <v>-36</v>
      </c>
      <c r="T15" s="186">
        <v>-34</v>
      </c>
      <c r="U15" s="186">
        <v>-31</v>
      </c>
      <c r="V15" s="186">
        <v>-33</v>
      </c>
      <c r="W15" s="187">
        <v>-33</v>
      </c>
      <c r="X15" s="217"/>
      <c r="Y15" s="182" t="s">
        <v>187</v>
      </c>
      <c r="Z15" s="218">
        <v>-41</v>
      </c>
      <c r="AA15" s="219">
        <v>-35</v>
      </c>
      <c r="AB15" s="219">
        <v>-33</v>
      </c>
      <c r="AC15" s="219">
        <v>-40</v>
      </c>
      <c r="AD15" s="219">
        <v>-42</v>
      </c>
      <c r="AE15" s="219">
        <v>-40</v>
      </c>
      <c r="AF15" s="219">
        <v>-38</v>
      </c>
      <c r="AG15" s="219">
        <v>-36</v>
      </c>
      <c r="AH15" s="219">
        <v>-38</v>
      </c>
      <c r="AI15" s="220">
        <v>-38</v>
      </c>
      <c r="AJ15" s="217"/>
      <c r="AK15" s="188" t="s">
        <v>187</v>
      </c>
      <c r="AL15" s="189">
        <v>-50</v>
      </c>
      <c r="AM15" s="190">
        <v>-46</v>
      </c>
      <c r="AN15" s="190">
        <v>-44</v>
      </c>
      <c r="AO15" s="190">
        <v>-50</v>
      </c>
      <c r="AP15" s="190">
        <v>-51</v>
      </c>
      <c r="AQ15" s="190">
        <v>-50</v>
      </c>
      <c r="AR15" s="190">
        <v>-47</v>
      </c>
      <c r="AS15" s="190">
        <v>-45</v>
      </c>
      <c r="AT15" s="190">
        <v>-47</v>
      </c>
      <c r="AU15" s="191">
        <v>-47</v>
      </c>
      <c r="AW15" s="188" t="s">
        <v>187</v>
      </c>
      <c r="AX15" s="192">
        <f>AL15-5</f>
        <v>-55</v>
      </c>
      <c r="AY15" s="193">
        <f t="shared" ref="AY15:BG21" si="2">AM15-5</f>
        <v>-51</v>
      </c>
      <c r="AZ15" s="193">
        <f t="shared" si="2"/>
        <v>-49</v>
      </c>
      <c r="BA15" s="193">
        <f t="shared" si="2"/>
        <v>-55</v>
      </c>
      <c r="BB15" s="193">
        <f t="shared" si="2"/>
        <v>-56</v>
      </c>
      <c r="BC15" s="193">
        <f t="shared" si="2"/>
        <v>-55</v>
      </c>
      <c r="BD15" s="193">
        <f t="shared" si="2"/>
        <v>-52</v>
      </c>
      <c r="BE15" s="193">
        <f t="shared" si="2"/>
        <v>-50</v>
      </c>
      <c r="BF15" s="193">
        <f t="shared" si="2"/>
        <v>-52</v>
      </c>
      <c r="BG15" s="194">
        <f t="shared" si="2"/>
        <v>-52</v>
      </c>
    </row>
    <row r="16" spans="1:59" ht="14.45" x14ac:dyDescent="0.3">
      <c r="A16" s="195" t="s">
        <v>214</v>
      </c>
      <c r="B16" s="196">
        <v>-26</v>
      </c>
      <c r="C16" s="183">
        <v>-24</v>
      </c>
      <c r="D16" s="183">
        <v>-23</v>
      </c>
      <c r="E16" s="183">
        <v>-30</v>
      </c>
      <c r="F16" s="183">
        <v>-34</v>
      </c>
      <c r="G16" s="183">
        <v>-33</v>
      </c>
      <c r="H16" s="183">
        <v>-29</v>
      </c>
      <c r="I16" s="183">
        <v>-31</v>
      </c>
      <c r="J16" s="183">
        <v>-29</v>
      </c>
      <c r="K16" s="184">
        <v>-31</v>
      </c>
      <c r="L16" s="217"/>
      <c r="M16" s="195" t="s">
        <v>214</v>
      </c>
      <c r="N16" s="196">
        <v>-33</v>
      </c>
      <c r="O16" s="183">
        <v>-30</v>
      </c>
      <c r="P16" s="183">
        <v>-29</v>
      </c>
      <c r="Q16" s="183">
        <v>-35</v>
      </c>
      <c r="R16" s="183">
        <v>-39</v>
      </c>
      <c r="S16" s="183">
        <v>-36</v>
      </c>
      <c r="T16" s="183">
        <v>-32</v>
      </c>
      <c r="U16" s="183">
        <v>-33</v>
      </c>
      <c r="V16" s="183">
        <v>-31</v>
      </c>
      <c r="W16" s="184">
        <v>-33</v>
      </c>
      <c r="X16" s="217"/>
      <c r="Y16" s="195" t="s">
        <v>214</v>
      </c>
      <c r="Z16" s="221">
        <v>-38</v>
      </c>
      <c r="AA16" s="222">
        <v>-34</v>
      </c>
      <c r="AB16" s="222">
        <v>-33</v>
      </c>
      <c r="AC16" s="222">
        <v>-40</v>
      </c>
      <c r="AD16" s="222">
        <v>-43</v>
      </c>
      <c r="AE16" s="222">
        <v>-40</v>
      </c>
      <c r="AF16" s="222">
        <v>-36</v>
      </c>
      <c r="AG16" s="222">
        <v>-38</v>
      </c>
      <c r="AH16" s="222">
        <v>-36</v>
      </c>
      <c r="AI16" s="223">
        <v>-38</v>
      </c>
      <c r="AJ16" s="217"/>
      <c r="AK16" s="197" t="s">
        <v>214</v>
      </c>
      <c r="AL16" s="198">
        <v>-47</v>
      </c>
      <c r="AM16" s="199">
        <v>-45</v>
      </c>
      <c r="AN16" s="199">
        <v>-44</v>
      </c>
      <c r="AO16" s="199">
        <v>-50</v>
      </c>
      <c r="AP16" s="199">
        <v>-52</v>
      </c>
      <c r="AQ16" s="199">
        <v>-50</v>
      </c>
      <c r="AR16" s="199">
        <v>-45</v>
      </c>
      <c r="AS16" s="199">
        <v>-47</v>
      </c>
      <c r="AT16" s="199">
        <v>-45</v>
      </c>
      <c r="AU16" s="200">
        <v>-47</v>
      </c>
      <c r="AW16" s="197" t="s">
        <v>214</v>
      </c>
      <c r="AX16" s="201">
        <f t="shared" ref="AX16:AX21" si="3">AL16-5</f>
        <v>-52</v>
      </c>
      <c r="AY16" s="202">
        <f t="shared" si="2"/>
        <v>-50</v>
      </c>
      <c r="AZ16" s="202">
        <f t="shared" si="2"/>
        <v>-49</v>
      </c>
      <c r="BA16" s="202">
        <f t="shared" si="2"/>
        <v>-55</v>
      </c>
      <c r="BB16" s="202">
        <f t="shared" si="2"/>
        <v>-57</v>
      </c>
      <c r="BC16" s="202">
        <f t="shared" si="2"/>
        <v>-55</v>
      </c>
      <c r="BD16" s="202">
        <f t="shared" si="2"/>
        <v>-50</v>
      </c>
      <c r="BE16" s="202">
        <f t="shared" si="2"/>
        <v>-52</v>
      </c>
      <c r="BF16" s="202">
        <f t="shared" si="2"/>
        <v>-50</v>
      </c>
      <c r="BG16" s="203">
        <f t="shared" si="2"/>
        <v>-52</v>
      </c>
    </row>
    <row r="17" spans="1:59" ht="14.45" x14ac:dyDescent="0.3">
      <c r="A17" s="195" t="s">
        <v>233</v>
      </c>
      <c r="B17" s="196">
        <v>-32</v>
      </c>
      <c r="C17" s="183">
        <v>-30</v>
      </c>
      <c r="D17" s="183">
        <v>-28</v>
      </c>
      <c r="E17" s="183">
        <v>-34</v>
      </c>
      <c r="F17" s="183">
        <v>-36</v>
      </c>
      <c r="G17" s="183">
        <v>-34</v>
      </c>
      <c r="H17" s="183">
        <v>-30</v>
      </c>
      <c r="I17" s="183">
        <v>-31</v>
      </c>
      <c r="J17" s="183">
        <v>-29</v>
      </c>
      <c r="K17" s="184">
        <v>-36</v>
      </c>
      <c r="L17" s="217"/>
      <c r="M17" s="195" t="s">
        <v>233</v>
      </c>
      <c r="N17" s="196">
        <v>-39</v>
      </c>
      <c r="O17" s="183">
        <v>-36</v>
      </c>
      <c r="P17" s="183">
        <v>-34</v>
      </c>
      <c r="Q17" s="183">
        <v>-39</v>
      </c>
      <c r="R17" s="183">
        <v>-41</v>
      </c>
      <c r="S17" s="183">
        <v>-37</v>
      </c>
      <c r="T17" s="183">
        <v>-33</v>
      </c>
      <c r="U17" s="183">
        <v>-33</v>
      </c>
      <c r="V17" s="183">
        <v>-31</v>
      </c>
      <c r="W17" s="184">
        <v>-38</v>
      </c>
      <c r="X17" s="217"/>
      <c r="Y17" s="195" t="s">
        <v>233</v>
      </c>
      <c r="Z17" s="221">
        <v>-44</v>
      </c>
      <c r="AA17" s="222">
        <v>-40</v>
      </c>
      <c r="AB17" s="222">
        <v>-38</v>
      </c>
      <c r="AC17" s="222">
        <v>-44</v>
      </c>
      <c r="AD17" s="222">
        <v>-45</v>
      </c>
      <c r="AE17" s="222">
        <v>-41</v>
      </c>
      <c r="AF17" s="222">
        <v>-37</v>
      </c>
      <c r="AG17" s="222">
        <v>-38</v>
      </c>
      <c r="AH17" s="222">
        <v>-36</v>
      </c>
      <c r="AI17" s="223">
        <v>-43</v>
      </c>
      <c r="AJ17" s="217"/>
      <c r="AK17" s="197" t="s">
        <v>233</v>
      </c>
      <c r="AL17" s="198">
        <v>-53</v>
      </c>
      <c r="AM17" s="199">
        <v>-51</v>
      </c>
      <c r="AN17" s="199">
        <v>-49</v>
      </c>
      <c r="AO17" s="199">
        <v>-54</v>
      </c>
      <c r="AP17" s="199">
        <v>-54</v>
      </c>
      <c r="AQ17" s="199">
        <v>-51</v>
      </c>
      <c r="AR17" s="199">
        <v>-46</v>
      </c>
      <c r="AS17" s="199">
        <v>-47</v>
      </c>
      <c r="AT17" s="199">
        <v>-45</v>
      </c>
      <c r="AU17" s="200">
        <v>-52</v>
      </c>
      <c r="AW17" s="197" t="s">
        <v>233</v>
      </c>
      <c r="AX17" s="201">
        <f t="shared" si="3"/>
        <v>-58</v>
      </c>
      <c r="AY17" s="202">
        <f t="shared" si="2"/>
        <v>-56</v>
      </c>
      <c r="AZ17" s="202">
        <f t="shared" si="2"/>
        <v>-54</v>
      </c>
      <c r="BA17" s="202">
        <f t="shared" si="2"/>
        <v>-59</v>
      </c>
      <c r="BB17" s="202">
        <f t="shared" si="2"/>
        <v>-59</v>
      </c>
      <c r="BC17" s="202">
        <f t="shared" si="2"/>
        <v>-56</v>
      </c>
      <c r="BD17" s="202">
        <f t="shared" si="2"/>
        <v>-51</v>
      </c>
      <c r="BE17" s="202">
        <f t="shared" si="2"/>
        <v>-52</v>
      </c>
      <c r="BF17" s="202">
        <f t="shared" si="2"/>
        <v>-50</v>
      </c>
      <c r="BG17" s="203">
        <f t="shared" si="2"/>
        <v>-57</v>
      </c>
    </row>
    <row r="18" spans="1:59" ht="14.45" x14ac:dyDescent="0.3">
      <c r="A18" s="195" t="s">
        <v>242</v>
      </c>
      <c r="B18" s="196">
        <v>-33</v>
      </c>
      <c r="C18" s="183">
        <v>-32</v>
      </c>
      <c r="D18" s="183">
        <v>-32</v>
      </c>
      <c r="E18" s="183">
        <v>-31</v>
      </c>
      <c r="F18" s="183">
        <v>-33</v>
      </c>
      <c r="G18" s="183">
        <v>-31</v>
      </c>
      <c r="H18" s="183">
        <v>-28</v>
      </c>
      <c r="I18" s="183">
        <v>-31</v>
      </c>
      <c r="J18" s="183">
        <v>-32</v>
      </c>
      <c r="K18" s="184">
        <v>-35</v>
      </c>
      <c r="L18" s="217"/>
      <c r="M18" s="195" t="s">
        <v>242</v>
      </c>
      <c r="N18" s="196">
        <v>-40</v>
      </c>
      <c r="O18" s="183">
        <v>-38</v>
      </c>
      <c r="P18" s="183">
        <v>-38</v>
      </c>
      <c r="Q18" s="183">
        <v>-35</v>
      </c>
      <c r="R18" s="183">
        <v>-37</v>
      </c>
      <c r="S18" s="183">
        <v>-34</v>
      </c>
      <c r="T18" s="183">
        <v>-31</v>
      </c>
      <c r="U18" s="183">
        <v>-34</v>
      </c>
      <c r="V18" s="183">
        <v>-35</v>
      </c>
      <c r="W18" s="184">
        <v>-38</v>
      </c>
      <c r="X18" s="217"/>
      <c r="Y18" s="195" t="s">
        <v>242</v>
      </c>
      <c r="Z18" s="221">
        <v>-44</v>
      </c>
      <c r="AA18" s="222">
        <v>-42</v>
      </c>
      <c r="AB18" s="222">
        <v>-42</v>
      </c>
      <c r="AC18" s="222">
        <v>-40</v>
      </c>
      <c r="AD18" s="222">
        <v>-42</v>
      </c>
      <c r="AE18" s="222">
        <v>-38</v>
      </c>
      <c r="AF18" s="222">
        <v>-35</v>
      </c>
      <c r="AG18" s="222">
        <v>-38</v>
      </c>
      <c r="AH18" s="222">
        <v>-39</v>
      </c>
      <c r="AI18" s="223">
        <v>-42</v>
      </c>
      <c r="AJ18" s="217"/>
      <c r="AK18" s="197" t="s">
        <v>242</v>
      </c>
      <c r="AL18" s="198">
        <v>-49</v>
      </c>
      <c r="AM18" s="199">
        <v>-47</v>
      </c>
      <c r="AN18" s="199">
        <v>-47</v>
      </c>
      <c r="AO18" s="199">
        <v>-45</v>
      </c>
      <c r="AP18" s="199">
        <v>-47</v>
      </c>
      <c r="AQ18" s="199">
        <v>-45</v>
      </c>
      <c r="AR18" s="199">
        <v>-40</v>
      </c>
      <c r="AS18" s="199">
        <v>-43</v>
      </c>
      <c r="AT18" s="199">
        <v>-44</v>
      </c>
      <c r="AU18" s="200">
        <v>-47</v>
      </c>
      <c r="AW18" s="197" t="s">
        <v>242</v>
      </c>
      <c r="AX18" s="201">
        <f t="shared" si="3"/>
        <v>-54</v>
      </c>
      <c r="AY18" s="202">
        <f t="shared" si="2"/>
        <v>-52</v>
      </c>
      <c r="AZ18" s="202">
        <f t="shared" si="2"/>
        <v>-52</v>
      </c>
      <c r="BA18" s="202">
        <f t="shared" si="2"/>
        <v>-50</v>
      </c>
      <c r="BB18" s="202">
        <f t="shared" si="2"/>
        <v>-52</v>
      </c>
      <c r="BC18" s="202">
        <f t="shared" si="2"/>
        <v>-50</v>
      </c>
      <c r="BD18" s="202">
        <f t="shared" si="2"/>
        <v>-45</v>
      </c>
      <c r="BE18" s="202">
        <f t="shared" si="2"/>
        <v>-48</v>
      </c>
      <c r="BF18" s="202">
        <f t="shared" si="2"/>
        <v>-49</v>
      </c>
      <c r="BG18" s="203">
        <f t="shared" si="2"/>
        <v>-52</v>
      </c>
    </row>
    <row r="19" spans="1:59" ht="14.45" x14ac:dyDescent="0.3">
      <c r="A19" s="195" t="s">
        <v>250</v>
      </c>
      <c r="B19" s="196">
        <v>-36</v>
      </c>
      <c r="C19" s="183">
        <v>-38</v>
      </c>
      <c r="D19" s="183">
        <v>-36</v>
      </c>
      <c r="E19" s="183">
        <v>-34</v>
      </c>
      <c r="F19" s="183">
        <v>-31</v>
      </c>
      <c r="G19" s="183">
        <v>-29</v>
      </c>
      <c r="H19" s="183">
        <v>-29</v>
      </c>
      <c r="I19" s="183">
        <v>-31</v>
      </c>
      <c r="J19" s="183">
        <v>-30</v>
      </c>
      <c r="K19" s="184">
        <v>-37</v>
      </c>
      <c r="L19" s="217"/>
      <c r="M19" s="195" t="s">
        <v>250</v>
      </c>
      <c r="N19" s="196">
        <v>-43</v>
      </c>
      <c r="O19" s="183">
        <v>-44</v>
      </c>
      <c r="P19" s="183">
        <v>-42</v>
      </c>
      <c r="Q19" s="183">
        <v>-38</v>
      </c>
      <c r="R19" s="183">
        <v>-35</v>
      </c>
      <c r="S19" s="183">
        <v>-32</v>
      </c>
      <c r="T19" s="183">
        <v>-32</v>
      </c>
      <c r="U19" s="183">
        <v>-34</v>
      </c>
      <c r="V19" s="183">
        <v>-33</v>
      </c>
      <c r="W19" s="184">
        <v>-40</v>
      </c>
      <c r="X19" s="217"/>
      <c r="Y19" s="195" t="s">
        <v>250</v>
      </c>
      <c r="Z19" s="221">
        <v>-47</v>
      </c>
      <c r="AA19" s="222">
        <v>-48</v>
      </c>
      <c r="AB19" s="222">
        <v>-46</v>
      </c>
      <c r="AC19" s="222">
        <v>-43</v>
      </c>
      <c r="AD19" s="222">
        <v>-40</v>
      </c>
      <c r="AE19" s="222">
        <v>-36</v>
      </c>
      <c r="AF19" s="222">
        <v>-36</v>
      </c>
      <c r="AG19" s="222">
        <v>-38</v>
      </c>
      <c r="AH19" s="222">
        <v>-37</v>
      </c>
      <c r="AI19" s="223">
        <v>-44</v>
      </c>
      <c r="AJ19" s="217"/>
      <c r="AK19" s="197" t="s">
        <v>250</v>
      </c>
      <c r="AL19" s="198">
        <v>-52</v>
      </c>
      <c r="AM19" s="199">
        <v>-53</v>
      </c>
      <c r="AN19" s="199">
        <v>-51</v>
      </c>
      <c r="AO19" s="199">
        <v>-48</v>
      </c>
      <c r="AP19" s="199">
        <v>-45</v>
      </c>
      <c r="AQ19" s="199">
        <v>-43</v>
      </c>
      <c r="AR19" s="199">
        <v>-41</v>
      </c>
      <c r="AS19" s="199">
        <v>-43</v>
      </c>
      <c r="AT19" s="199">
        <v>-42</v>
      </c>
      <c r="AU19" s="200">
        <v>-49</v>
      </c>
      <c r="AW19" s="197" t="s">
        <v>250</v>
      </c>
      <c r="AX19" s="201">
        <f t="shared" si="3"/>
        <v>-57</v>
      </c>
      <c r="AY19" s="202">
        <f t="shared" si="2"/>
        <v>-58</v>
      </c>
      <c r="AZ19" s="202">
        <f t="shared" si="2"/>
        <v>-56</v>
      </c>
      <c r="BA19" s="202">
        <f t="shared" si="2"/>
        <v>-53</v>
      </c>
      <c r="BB19" s="202">
        <f t="shared" si="2"/>
        <v>-50</v>
      </c>
      <c r="BC19" s="202">
        <f t="shared" si="2"/>
        <v>-48</v>
      </c>
      <c r="BD19" s="202">
        <f t="shared" si="2"/>
        <v>-46</v>
      </c>
      <c r="BE19" s="202">
        <f t="shared" si="2"/>
        <v>-48</v>
      </c>
      <c r="BF19" s="202">
        <f t="shared" si="2"/>
        <v>-47</v>
      </c>
      <c r="BG19" s="203">
        <f t="shared" si="2"/>
        <v>-54</v>
      </c>
    </row>
    <row r="20" spans="1:59" ht="14.45" x14ac:dyDescent="0.3">
      <c r="A20" s="195" t="s">
        <v>258</v>
      </c>
      <c r="B20" s="196">
        <v>-36</v>
      </c>
      <c r="C20" s="183">
        <v>-34</v>
      </c>
      <c r="D20" s="183">
        <v>-35</v>
      </c>
      <c r="E20" s="183">
        <v>-33</v>
      </c>
      <c r="F20" s="183">
        <v>-30</v>
      </c>
      <c r="G20" s="183">
        <v>-27</v>
      </c>
      <c r="H20" s="183">
        <v>-25</v>
      </c>
      <c r="I20" s="183">
        <v>-31</v>
      </c>
      <c r="J20" s="183">
        <v>-30</v>
      </c>
      <c r="K20" s="184">
        <v>-35</v>
      </c>
      <c r="L20" s="217"/>
      <c r="M20" s="195" t="s">
        <v>258</v>
      </c>
      <c r="N20" s="196">
        <v>-43</v>
      </c>
      <c r="O20" s="183">
        <v>-40</v>
      </c>
      <c r="P20" s="183">
        <v>-41</v>
      </c>
      <c r="Q20" s="183">
        <v>-37</v>
      </c>
      <c r="R20" s="183">
        <v>-34</v>
      </c>
      <c r="S20" s="183">
        <v>-30</v>
      </c>
      <c r="T20" s="183">
        <v>-28</v>
      </c>
      <c r="U20" s="183">
        <v>-34</v>
      </c>
      <c r="V20" s="183">
        <v>-33</v>
      </c>
      <c r="W20" s="184">
        <v>-38</v>
      </c>
      <c r="X20" s="217"/>
      <c r="Y20" s="195" t="s">
        <v>258</v>
      </c>
      <c r="Z20" s="221">
        <v>-46</v>
      </c>
      <c r="AA20" s="222">
        <v>-44</v>
      </c>
      <c r="AB20" s="222">
        <v>-45</v>
      </c>
      <c r="AC20" s="222">
        <v>-42</v>
      </c>
      <c r="AD20" s="222">
        <v>-38</v>
      </c>
      <c r="AE20" s="222">
        <v>-35</v>
      </c>
      <c r="AF20" s="222">
        <v>-33</v>
      </c>
      <c r="AG20" s="222">
        <v>-39</v>
      </c>
      <c r="AH20" s="222">
        <v>-38</v>
      </c>
      <c r="AI20" s="223">
        <v>-43</v>
      </c>
      <c r="AJ20" s="217"/>
      <c r="AK20" s="197" t="s">
        <v>258</v>
      </c>
      <c r="AL20" s="198">
        <v>-51</v>
      </c>
      <c r="AM20" s="199">
        <v>-49</v>
      </c>
      <c r="AN20" s="199">
        <v>-50</v>
      </c>
      <c r="AO20" s="199">
        <v>-46</v>
      </c>
      <c r="AP20" s="199">
        <v>-43</v>
      </c>
      <c r="AQ20" s="199">
        <v>-39</v>
      </c>
      <c r="AR20" s="199">
        <v>-36</v>
      </c>
      <c r="AS20" s="199">
        <v>-42</v>
      </c>
      <c r="AT20" s="199">
        <v>-41</v>
      </c>
      <c r="AU20" s="200">
        <v>-46</v>
      </c>
      <c r="AW20" s="197" t="s">
        <v>258</v>
      </c>
      <c r="AX20" s="201">
        <f t="shared" si="3"/>
        <v>-56</v>
      </c>
      <c r="AY20" s="202">
        <f t="shared" si="2"/>
        <v>-54</v>
      </c>
      <c r="AZ20" s="202">
        <f t="shared" si="2"/>
        <v>-55</v>
      </c>
      <c r="BA20" s="202">
        <f t="shared" si="2"/>
        <v>-51</v>
      </c>
      <c r="BB20" s="202">
        <f t="shared" si="2"/>
        <v>-48</v>
      </c>
      <c r="BC20" s="202">
        <f t="shared" si="2"/>
        <v>-44</v>
      </c>
      <c r="BD20" s="202">
        <f t="shared" si="2"/>
        <v>-41</v>
      </c>
      <c r="BE20" s="202">
        <f t="shared" si="2"/>
        <v>-47</v>
      </c>
      <c r="BF20" s="202">
        <f t="shared" si="2"/>
        <v>-46</v>
      </c>
      <c r="BG20" s="203">
        <f t="shared" si="2"/>
        <v>-51</v>
      </c>
    </row>
    <row r="21" spans="1:59" thickBot="1" x14ac:dyDescent="0.35">
      <c r="A21" s="204" t="s">
        <v>265</v>
      </c>
      <c r="B21" s="207">
        <v>-41</v>
      </c>
      <c r="C21" s="205">
        <v>-38</v>
      </c>
      <c r="D21" s="205">
        <v>-40</v>
      </c>
      <c r="E21" s="205">
        <v>-37</v>
      </c>
      <c r="F21" s="205">
        <v>-32</v>
      </c>
      <c r="G21" s="205">
        <v>-31</v>
      </c>
      <c r="H21" s="205">
        <v>-25</v>
      </c>
      <c r="I21" s="205">
        <v>-30</v>
      </c>
      <c r="J21" s="205">
        <v>-31</v>
      </c>
      <c r="K21" s="206">
        <v>-30</v>
      </c>
      <c r="L21" s="217"/>
      <c r="M21" s="204" t="s">
        <v>265</v>
      </c>
      <c r="N21" s="207">
        <v>-48</v>
      </c>
      <c r="O21" s="205">
        <v>-44</v>
      </c>
      <c r="P21" s="205">
        <v>-46</v>
      </c>
      <c r="Q21" s="205">
        <v>-41</v>
      </c>
      <c r="R21" s="205">
        <v>-36</v>
      </c>
      <c r="S21" s="205">
        <v>-34</v>
      </c>
      <c r="T21" s="205">
        <v>-28</v>
      </c>
      <c r="U21" s="205">
        <v>-33</v>
      </c>
      <c r="V21" s="205">
        <v>-34</v>
      </c>
      <c r="W21" s="206">
        <v>-33</v>
      </c>
      <c r="X21" s="217"/>
      <c r="Y21" s="204" t="s">
        <v>265</v>
      </c>
      <c r="Z21" s="224">
        <v>-51</v>
      </c>
      <c r="AA21" s="225">
        <v>-48</v>
      </c>
      <c r="AB21" s="225">
        <v>-50</v>
      </c>
      <c r="AC21" s="225">
        <v>-46</v>
      </c>
      <c r="AD21" s="225">
        <v>-40</v>
      </c>
      <c r="AE21" s="225">
        <v>-39</v>
      </c>
      <c r="AF21" s="225">
        <v>-33</v>
      </c>
      <c r="AG21" s="225">
        <v>-38</v>
      </c>
      <c r="AH21" s="225">
        <v>-39</v>
      </c>
      <c r="AI21" s="226">
        <v>-38</v>
      </c>
      <c r="AJ21" s="217"/>
      <c r="AK21" s="208" t="s">
        <v>265</v>
      </c>
      <c r="AL21" s="209">
        <v>-56</v>
      </c>
      <c r="AM21" s="210">
        <v>-53</v>
      </c>
      <c r="AN21" s="210">
        <v>-55</v>
      </c>
      <c r="AO21" s="210">
        <v>-50</v>
      </c>
      <c r="AP21" s="210">
        <v>-45</v>
      </c>
      <c r="AQ21" s="210">
        <v>-43</v>
      </c>
      <c r="AR21" s="210">
        <v>-36</v>
      </c>
      <c r="AS21" s="210">
        <v>-41</v>
      </c>
      <c r="AT21" s="210">
        <v>-42</v>
      </c>
      <c r="AU21" s="211">
        <v>-41</v>
      </c>
      <c r="AW21" s="208" t="s">
        <v>265</v>
      </c>
      <c r="AX21" s="212">
        <f t="shared" si="3"/>
        <v>-61</v>
      </c>
      <c r="AY21" s="213">
        <f t="shared" si="2"/>
        <v>-58</v>
      </c>
      <c r="AZ21" s="213">
        <f t="shared" si="2"/>
        <v>-60</v>
      </c>
      <c r="BA21" s="213">
        <f t="shared" si="2"/>
        <v>-55</v>
      </c>
      <c r="BB21" s="213">
        <f t="shared" si="2"/>
        <v>-50</v>
      </c>
      <c r="BC21" s="213">
        <f t="shared" si="2"/>
        <v>-48</v>
      </c>
      <c r="BD21" s="213">
        <f t="shared" si="2"/>
        <v>-41</v>
      </c>
      <c r="BE21" s="213">
        <f t="shared" si="2"/>
        <v>-46</v>
      </c>
      <c r="BF21" s="213">
        <f t="shared" si="2"/>
        <v>-47</v>
      </c>
      <c r="BG21" s="214">
        <f t="shared" si="2"/>
        <v>-46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-37</v>
      </c>
      <c r="C26" s="186">
        <v>-33</v>
      </c>
      <c r="D26" s="186">
        <v>-31</v>
      </c>
      <c r="E26" s="186">
        <v>-37</v>
      </c>
      <c r="F26" s="186">
        <v>-40</v>
      </c>
      <c r="G26" s="186">
        <v>-40</v>
      </c>
      <c r="H26" s="186">
        <v>-38</v>
      </c>
      <c r="I26" s="186">
        <v>-35</v>
      </c>
      <c r="J26" s="186">
        <v>-37</v>
      </c>
      <c r="K26" s="187">
        <v>-37</v>
      </c>
      <c r="L26" s="217"/>
      <c r="M26" s="182" t="s">
        <v>187</v>
      </c>
      <c r="N26" s="185">
        <v>-44</v>
      </c>
      <c r="O26" s="186">
        <v>-39</v>
      </c>
      <c r="P26" s="186">
        <v>-37</v>
      </c>
      <c r="Q26" s="186">
        <v>-42</v>
      </c>
      <c r="R26" s="186">
        <v>-45</v>
      </c>
      <c r="S26" s="186">
        <v>-43</v>
      </c>
      <c r="T26" s="186">
        <v>-41</v>
      </c>
      <c r="U26" s="186">
        <v>-37</v>
      </c>
      <c r="V26" s="186">
        <v>-39</v>
      </c>
      <c r="W26" s="187">
        <v>-39</v>
      </c>
      <c r="X26" s="217"/>
      <c r="Y26" s="188" t="s">
        <v>187</v>
      </c>
      <c r="Z26" s="227">
        <v>-49</v>
      </c>
      <c r="AA26" s="228">
        <v>-43</v>
      </c>
      <c r="AB26" s="228">
        <v>-41</v>
      </c>
      <c r="AC26" s="228">
        <v>-47</v>
      </c>
      <c r="AD26" s="228">
        <v>-49</v>
      </c>
      <c r="AE26" s="228">
        <v>-47</v>
      </c>
      <c r="AF26" s="228">
        <v>-45</v>
      </c>
      <c r="AG26" s="228">
        <v>-42</v>
      </c>
      <c r="AH26" s="228">
        <v>-44</v>
      </c>
      <c r="AI26" s="229">
        <v>-44</v>
      </c>
      <c r="AJ26" s="217"/>
      <c r="AK26" s="188" t="s">
        <v>187</v>
      </c>
      <c r="AL26" s="189">
        <v>-58</v>
      </c>
      <c r="AM26" s="190">
        <v>-54</v>
      </c>
      <c r="AN26" s="190">
        <v>-52</v>
      </c>
      <c r="AO26" s="190">
        <v>-57</v>
      </c>
      <c r="AP26" s="190">
        <v>-58</v>
      </c>
      <c r="AQ26" s="190">
        <v>-57</v>
      </c>
      <c r="AR26" s="190">
        <v>-54</v>
      </c>
      <c r="AS26" s="190">
        <v>-51</v>
      </c>
      <c r="AT26" s="190">
        <v>-53</v>
      </c>
      <c r="AU26" s="191">
        <v>-53</v>
      </c>
      <c r="AW26" s="188" t="s">
        <v>187</v>
      </c>
      <c r="AX26" s="192">
        <f>AL26-5</f>
        <v>-63</v>
      </c>
      <c r="AY26" s="193">
        <f t="shared" ref="AY26:BG32" si="4">AM26-5</f>
        <v>-59</v>
      </c>
      <c r="AZ26" s="193">
        <f t="shared" si="4"/>
        <v>-57</v>
      </c>
      <c r="BA26" s="193">
        <f t="shared" si="4"/>
        <v>-62</v>
      </c>
      <c r="BB26" s="193">
        <f t="shared" si="4"/>
        <v>-63</v>
      </c>
      <c r="BC26" s="193">
        <f t="shared" si="4"/>
        <v>-62</v>
      </c>
      <c r="BD26" s="193">
        <f t="shared" si="4"/>
        <v>-59</v>
      </c>
      <c r="BE26" s="193">
        <f t="shared" si="4"/>
        <v>-56</v>
      </c>
      <c r="BF26" s="193">
        <f t="shared" si="4"/>
        <v>-58</v>
      </c>
      <c r="BG26" s="194">
        <f t="shared" si="4"/>
        <v>-58</v>
      </c>
    </row>
    <row r="27" spans="1:59" x14ac:dyDescent="0.25">
      <c r="A27" s="195" t="s">
        <v>214</v>
      </c>
      <c r="B27" s="196">
        <v>-34</v>
      </c>
      <c r="C27" s="183">
        <v>-32</v>
      </c>
      <c r="D27" s="183">
        <v>-31</v>
      </c>
      <c r="E27" s="183">
        <v>-37</v>
      </c>
      <c r="F27" s="183">
        <v>-41</v>
      </c>
      <c r="G27" s="183">
        <v>-40</v>
      </c>
      <c r="H27" s="183">
        <v>-36</v>
      </c>
      <c r="I27" s="183">
        <v>-37</v>
      </c>
      <c r="J27" s="183">
        <v>-35</v>
      </c>
      <c r="K27" s="184">
        <v>-37</v>
      </c>
      <c r="L27" s="217"/>
      <c r="M27" s="195" t="s">
        <v>214</v>
      </c>
      <c r="N27" s="196">
        <v>-41</v>
      </c>
      <c r="O27" s="183">
        <v>-38</v>
      </c>
      <c r="P27" s="183">
        <v>-37</v>
      </c>
      <c r="Q27" s="183">
        <v>-42</v>
      </c>
      <c r="R27" s="183">
        <v>-46</v>
      </c>
      <c r="S27" s="183">
        <v>-43</v>
      </c>
      <c r="T27" s="183">
        <v>-39</v>
      </c>
      <c r="U27" s="183">
        <v>-39</v>
      </c>
      <c r="V27" s="183">
        <v>-37</v>
      </c>
      <c r="W27" s="184">
        <v>-39</v>
      </c>
      <c r="X27" s="217"/>
      <c r="Y27" s="197" t="s">
        <v>214</v>
      </c>
      <c r="Z27" s="230">
        <v>-46</v>
      </c>
      <c r="AA27" s="231">
        <v>-42</v>
      </c>
      <c r="AB27" s="231">
        <v>-41</v>
      </c>
      <c r="AC27" s="231">
        <v>-47</v>
      </c>
      <c r="AD27" s="231">
        <v>-50</v>
      </c>
      <c r="AE27" s="231">
        <v>-47</v>
      </c>
      <c r="AF27" s="231">
        <v>-43</v>
      </c>
      <c r="AG27" s="231">
        <v>-44</v>
      </c>
      <c r="AH27" s="231">
        <v>-42</v>
      </c>
      <c r="AI27" s="232">
        <v>-44</v>
      </c>
      <c r="AJ27" s="217"/>
      <c r="AK27" s="197" t="s">
        <v>214</v>
      </c>
      <c r="AL27" s="198">
        <v>-55</v>
      </c>
      <c r="AM27" s="199">
        <v>-53</v>
      </c>
      <c r="AN27" s="199">
        <v>-52</v>
      </c>
      <c r="AO27" s="199">
        <v>-57</v>
      </c>
      <c r="AP27" s="199">
        <v>-59</v>
      </c>
      <c r="AQ27" s="199">
        <v>-57</v>
      </c>
      <c r="AR27" s="199">
        <v>-52</v>
      </c>
      <c r="AS27" s="199">
        <v>-53</v>
      </c>
      <c r="AT27" s="199">
        <v>-51</v>
      </c>
      <c r="AU27" s="200">
        <v>-53</v>
      </c>
      <c r="AW27" s="197" t="s">
        <v>214</v>
      </c>
      <c r="AX27" s="201">
        <f t="shared" ref="AX27:AX32" si="5">AL27-5</f>
        <v>-60</v>
      </c>
      <c r="AY27" s="202">
        <f t="shared" si="4"/>
        <v>-58</v>
      </c>
      <c r="AZ27" s="202">
        <f t="shared" si="4"/>
        <v>-57</v>
      </c>
      <c r="BA27" s="202">
        <f t="shared" si="4"/>
        <v>-62</v>
      </c>
      <c r="BB27" s="202">
        <f t="shared" si="4"/>
        <v>-64</v>
      </c>
      <c r="BC27" s="202">
        <f t="shared" si="4"/>
        <v>-62</v>
      </c>
      <c r="BD27" s="202">
        <f t="shared" si="4"/>
        <v>-57</v>
      </c>
      <c r="BE27" s="202">
        <f t="shared" si="4"/>
        <v>-58</v>
      </c>
      <c r="BF27" s="202">
        <f t="shared" si="4"/>
        <v>-56</v>
      </c>
      <c r="BG27" s="203">
        <f t="shared" si="4"/>
        <v>-58</v>
      </c>
    </row>
    <row r="28" spans="1:59" x14ac:dyDescent="0.25">
      <c r="A28" s="195" t="s">
        <v>233</v>
      </c>
      <c r="B28" s="196">
        <v>-40</v>
      </c>
      <c r="C28" s="183">
        <v>-38</v>
      </c>
      <c r="D28" s="183">
        <v>-36</v>
      </c>
      <c r="E28" s="183">
        <v>-41</v>
      </c>
      <c r="F28" s="183">
        <v>-43</v>
      </c>
      <c r="G28" s="183">
        <v>-41</v>
      </c>
      <c r="H28" s="183">
        <v>-37</v>
      </c>
      <c r="I28" s="183">
        <v>-37</v>
      </c>
      <c r="J28" s="183">
        <v>-35</v>
      </c>
      <c r="K28" s="184">
        <v>-42</v>
      </c>
      <c r="L28" s="217"/>
      <c r="M28" s="195" t="s">
        <v>233</v>
      </c>
      <c r="N28" s="196">
        <v>-47</v>
      </c>
      <c r="O28" s="183">
        <v>-44</v>
      </c>
      <c r="P28" s="183">
        <v>-42</v>
      </c>
      <c r="Q28" s="183">
        <v>-46</v>
      </c>
      <c r="R28" s="183">
        <v>-48</v>
      </c>
      <c r="S28" s="183">
        <v>-44</v>
      </c>
      <c r="T28" s="183">
        <v>-40</v>
      </c>
      <c r="U28" s="183">
        <v>-39</v>
      </c>
      <c r="V28" s="183">
        <v>-37</v>
      </c>
      <c r="W28" s="184">
        <v>-44</v>
      </c>
      <c r="X28" s="217"/>
      <c r="Y28" s="197" t="s">
        <v>233</v>
      </c>
      <c r="Z28" s="230">
        <v>-52</v>
      </c>
      <c r="AA28" s="231">
        <v>-48</v>
      </c>
      <c r="AB28" s="231">
        <v>-46</v>
      </c>
      <c r="AC28" s="231">
        <v>-51</v>
      </c>
      <c r="AD28" s="231">
        <v>-52</v>
      </c>
      <c r="AE28" s="231">
        <v>-48</v>
      </c>
      <c r="AF28" s="231">
        <v>-44</v>
      </c>
      <c r="AG28" s="231">
        <v>-44</v>
      </c>
      <c r="AH28" s="231">
        <v>-42</v>
      </c>
      <c r="AI28" s="232">
        <v>-49</v>
      </c>
      <c r="AJ28" s="217"/>
      <c r="AK28" s="197" t="s">
        <v>233</v>
      </c>
      <c r="AL28" s="198">
        <v>-61</v>
      </c>
      <c r="AM28" s="199">
        <v>-59</v>
      </c>
      <c r="AN28" s="199">
        <v>-57</v>
      </c>
      <c r="AO28" s="199">
        <v>-61</v>
      </c>
      <c r="AP28" s="199">
        <v>-61</v>
      </c>
      <c r="AQ28" s="199">
        <v>-58</v>
      </c>
      <c r="AR28" s="199">
        <v>-53</v>
      </c>
      <c r="AS28" s="199">
        <v>-53</v>
      </c>
      <c r="AT28" s="199">
        <v>-51</v>
      </c>
      <c r="AU28" s="200">
        <v>-58</v>
      </c>
      <c r="AW28" s="197" t="s">
        <v>233</v>
      </c>
      <c r="AX28" s="201">
        <f t="shared" si="5"/>
        <v>-66</v>
      </c>
      <c r="AY28" s="202">
        <f t="shared" si="4"/>
        <v>-64</v>
      </c>
      <c r="AZ28" s="202">
        <f t="shared" si="4"/>
        <v>-62</v>
      </c>
      <c r="BA28" s="202">
        <f t="shared" si="4"/>
        <v>-66</v>
      </c>
      <c r="BB28" s="202">
        <f t="shared" si="4"/>
        <v>-66</v>
      </c>
      <c r="BC28" s="202">
        <f t="shared" si="4"/>
        <v>-63</v>
      </c>
      <c r="BD28" s="202">
        <f t="shared" si="4"/>
        <v>-58</v>
      </c>
      <c r="BE28" s="202">
        <f t="shared" si="4"/>
        <v>-58</v>
      </c>
      <c r="BF28" s="202">
        <f t="shared" si="4"/>
        <v>-56</v>
      </c>
      <c r="BG28" s="203">
        <f t="shared" si="4"/>
        <v>-63</v>
      </c>
    </row>
    <row r="29" spans="1:59" x14ac:dyDescent="0.25">
      <c r="A29" s="195" t="s">
        <v>242</v>
      </c>
      <c r="B29" s="196">
        <v>-41</v>
      </c>
      <c r="C29" s="183">
        <v>-40</v>
      </c>
      <c r="D29" s="183">
        <v>-40</v>
      </c>
      <c r="E29" s="183">
        <v>-38</v>
      </c>
      <c r="F29" s="183">
        <v>-40</v>
      </c>
      <c r="G29" s="183">
        <v>-38</v>
      </c>
      <c r="H29" s="183">
        <v>-34</v>
      </c>
      <c r="I29" s="183">
        <v>-36</v>
      </c>
      <c r="J29" s="183">
        <v>-37</v>
      </c>
      <c r="K29" s="184">
        <v>-40</v>
      </c>
      <c r="L29" s="217"/>
      <c r="M29" s="195" t="s">
        <v>242</v>
      </c>
      <c r="N29" s="196">
        <v>-48</v>
      </c>
      <c r="O29" s="183">
        <v>-46</v>
      </c>
      <c r="P29" s="183">
        <v>-46</v>
      </c>
      <c r="Q29" s="183">
        <v>-42</v>
      </c>
      <c r="R29" s="183">
        <v>-44</v>
      </c>
      <c r="S29" s="183">
        <v>-41</v>
      </c>
      <c r="T29" s="183">
        <v>-37</v>
      </c>
      <c r="U29" s="183">
        <v>-39</v>
      </c>
      <c r="V29" s="183">
        <v>-40</v>
      </c>
      <c r="W29" s="184">
        <v>-43</v>
      </c>
      <c r="X29" s="217"/>
      <c r="Y29" s="197" t="s">
        <v>242</v>
      </c>
      <c r="Z29" s="230">
        <v>-52</v>
      </c>
      <c r="AA29" s="231">
        <v>-50</v>
      </c>
      <c r="AB29" s="231">
        <v>-50</v>
      </c>
      <c r="AC29" s="231">
        <v>-47</v>
      </c>
      <c r="AD29" s="231">
        <v>-49</v>
      </c>
      <c r="AE29" s="231">
        <v>-45</v>
      </c>
      <c r="AF29" s="231">
        <v>-41</v>
      </c>
      <c r="AG29" s="231">
        <v>-43</v>
      </c>
      <c r="AH29" s="231">
        <v>-44</v>
      </c>
      <c r="AI29" s="232">
        <v>-47</v>
      </c>
      <c r="AJ29" s="217"/>
      <c r="AK29" s="197" t="s">
        <v>242</v>
      </c>
      <c r="AL29" s="198">
        <v>-57</v>
      </c>
      <c r="AM29" s="199">
        <v>-55</v>
      </c>
      <c r="AN29" s="199">
        <v>-55</v>
      </c>
      <c r="AO29" s="199">
        <v>-52</v>
      </c>
      <c r="AP29" s="199">
        <v>-54</v>
      </c>
      <c r="AQ29" s="199">
        <v>-52</v>
      </c>
      <c r="AR29" s="199">
        <v>-46</v>
      </c>
      <c r="AS29" s="199">
        <v>-48</v>
      </c>
      <c r="AT29" s="199">
        <v>-49</v>
      </c>
      <c r="AU29" s="200">
        <v>-52</v>
      </c>
      <c r="AW29" s="197" t="s">
        <v>242</v>
      </c>
      <c r="AX29" s="201">
        <f t="shared" si="5"/>
        <v>-62</v>
      </c>
      <c r="AY29" s="202">
        <f t="shared" si="4"/>
        <v>-60</v>
      </c>
      <c r="AZ29" s="202">
        <f t="shared" si="4"/>
        <v>-60</v>
      </c>
      <c r="BA29" s="202">
        <f t="shared" si="4"/>
        <v>-57</v>
      </c>
      <c r="BB29" s="202">
        <f t="shared" si="4"/>
        <v>-59</v>
      </c>
      <c r="BC29" s="202">
        <f t="shared" si="4"/>
        <v>-57</v>
      </c>
      <c r="BD29" s="202">
        <f t="shared" si="4"/>
        <v>-51</v>
      </c>
      <c r="BE29" s="202">
        <f t="shared" si="4"/>
        <v>-53</v>
      </c>
      <c r="BF29" s="202">
        <f t="shared" si="4"/>
        <v>-54</v>
      </c>
      <c r="BG29" s="203">
        <f t="shared" si="4"/>
        <v>-57</v>
      </c>
    </row>
    <row r="30" spans="1:59" x14ac:dyDescent="0.25">
      <c r="A30" s="195" t="s">
        <v>250</v>
      </c>
      <c r="B30" s="196">
        <v>-44</v>
      </c>
      <c r="C30" s="183">
        <v>-46</v>
      </c>
      <c r="D30" s="183">
        <v>-44</v>
      </c>
      <c r="E30" s="183">
        <v>-41</v>
      </c>
      <c r="F30" s="183">
        <v>-38</v>
      </c>
      <c r="G30" s="183">
        <v>-36</v>
      </c>
      <c r="H30" s="183">
        <v>-35</v>
      </c>
      <c r="I30" s="183">
        <v>-36</v>
      </c>
      <c r="J30" s="183">
        <v>-35</v>
      </c>
      <c r="K30" s="184">
        <v>-42</v>
      </c>
      <c r="L30" s="217"/>
      <c r="M30" s="195" t="s">
        <v>250</v>
      </c>
      <c r="N30" s="196">
        <v>-51</v>
      </c>
      <c r="O30" s="183">
        <v>-52</v>
      </c>
      <c r="P30" s="183">
        <v>-50</v>
      </c>
      <c r="Q30" s="183">
        <v>-45</v>
      </c>
      <c r="R30" s="183">
        <v>-42</v>
      </c>
      <c r="S30" s="183">
        <v>-39</v>
      </c>
      <c r="T30" s="183">
        <v>-38</v>
      </c>
      <c r="U30" s="183">
        <v>-39</v>
      </c>
      <c r="V30" s="183">
        <v>-38</v>
      </c>
      <c r="W30" s="184">
        <v>-45</v>
      </c>
      <c r="X30" s="217"/>
      <c r="Y30" s="197" t="s">
        <v>250</v>
      </c>
      <c r="Z30" s="230">
        <v>-55</v>
      </c>
      <c r="AA30" s="231">
        <v>-56</v>
      </c>
      <c r="AB30" s="231">
        <v>-54</v>
      </c>
      <c r="AC30" s="231">
        <v>-50</v>
      </c>
      <c r="AD30" s="231">
        <v>-47</v>
      </c>
      <c r="AE30" s="231">
        <v>-43</v>
      </c>
      <c r="AF30" s="231">
        <v>-42</v>
      </c>
      <c r="AG30" s="231">
        <v>-43</v>
      </c>
      <c r="AH30" s="231">
        <v>-42</v>
      </c>
      <c r="AI30" s="232">
        <v>-49</v>
      </c>
      <c r="AJ30" s="217"/>
      <c r="AK30" s="197" t="s">
        <v>250</v>
      </c>
      <c r="AL30" s="198">
        <v>-60</v>
      </c>
      <c r="AM30" s="199">
        <v>-61</v>
      </c>
      <c r="AN30" s="199">
        <v>-59</v>
      </c>
      <c r="AO30" s="199">
        <v>-55</v>
      </c>
      <c r="AP30" s="199">
        <v>-52</v>
      </c>
      <c r="AQ30" s="199">
        <v>-50</v>
      </c>
      <c r="AR30" s="199">
        <v>-47</v>
      </c>
      <c r="AS30" s="199">
        <v>-48</v>
      </c>
      <c r="AT30" s="199">
        <v>-47</v>
      </c>
      <c r="AU30" s="200">
        <v>-54</v>
      </c>
      <c r="AW30" s="197" t="s">
        <v>250</v>
      </c>
      <c r="AX30" s="201">
        <f t="shared" si="5"/>
        <v>-65</v>
      </c>
      <c r="AY30" s="202">
        <f t="shared" si="4"/>
        <v>-66</v>
      </c>
      <c r="AZ30" s="202">
        <f t="shared" si="4"/>
        <v>-64</v>
      </c>
      <c r="BA30" s="202">
        <f t="shared" si="4"/>
        <v>-60</v>
      </c>
      <c r="BB30" s="202">
        <f t="shared" si="4"/>
        <v>-57</v>
      </c>
      <c r="BC30" s="202">
        <f t="shared" si="4"/>
        <v>-55</v>
      </c>
      <c r="BD30" s="202">
        <f t="shared" si="4"/>
        <v>-52</v>
      </c>
      <c r="BE30" s="202">
        <f t="shared" si="4"/>
        <v>-53</v>
      </c>
      <c r="BF30" s="202">
        <f t="shared" si="4"/>
        <v>-52</v>
      </c>
      <c r="BG30" s="203">
        <f t="shared" si="4"/>
        <v>-59</v>
      </c>
    </row>
    <row r="31" spans="1:59" x14ac:dyDescent="0.25">
      <c r="A31" s="195" t="s">
        <v>258</v>
      </c>
      <c r="B31" s="196">
        <v>-44</v>
      </c>
      <c r="C31" s="183">
        <v>-42</v>
      </c>
      <c r="D31" s="183">
        <v>-43</v>
      </c>
      <c r="E31" s="183">
        <v>-40</v>
      </c>
      <c r="F31" s="183">
        <v>-37</v>
      </c>
      <c r="G31" s="183">
        <v>-34</v>
      </c>
      <c r="H31" s="183">
        <v>-32</v>
      </c>
      <c r="I31" s="183">
        <v>-37</v>
      </c>
      <c r="J31" s="183">
        <v>-36</v>
      </c>
      <c r="K31" s="184">
        <v>-41</v>
      </c>
      <c r="L31" s="217"/>
      <c r="M31" s="195" t="s">
        <v>258</v>
      </c>
      <c r="N31" s="196">
        <v>-51</v>
      </c>
      <c r="O31" s="183">
        <v>-48</v>
      </c>
      <c r="P31" s="183">
        <v>-49</v>
      </c>
      <c r="Q31" s="183">
        <v>-44</v>
      </c>
      <c r="R31" s="183">
        <v>-41</v>
      </c>
      <c r="S31" s="183">
        <v>-37</v>
      </c>
      <c r="T31" s="183">
        <v>-35</v>
      </c>
      <c r="U31" s="183">
        <v>-40</v>
      </c>
      <c r="V31" s="183">
        <v>-39</v>
      </c>
      <c r="W31" s="184">
        <v>-44</v>
      </c>
      <c r="X31" s="217"/>
      <c r="Y31" s="197" t="s">
        <v>258</v>
      </c>
      <c r="Z31" s="230">
        <v>-54</v>
      </c>
      <c r="AA31" s="231">
        <v>-52</v>
      </c>
      <c r="AB31" s="231">
        <v>-53</v>
      </c>
      <c r="AC31" s="231">
        <v>-49</v>
      </c>
      <c r="AD31" s="231">
        <v>-45</v>
      </c>
      <c r="AE31" s="231">
        <v>-42</v>
      </c>
      <c r="AF31" s="231">
        <v>-40</v>
      </c>
      <c r="AG31" s="231">
        <v>-45</v>
      </c>
      <c r="AH31" s="231">
        <v>-44</v>
      </c>
      <c r="AI31" s="232">
        <v>-49</v>
      </c>
      <c r="AJ31" s="217"/>
      <c r="AK31" s="197" t="s">
        <v>258</v>
      </c>
      <c r="AL31" s="198">
        <v>-59</v>
      </c>
      <c r="AM31" s="199">
        <v>-57</v>
      </c>
      <c r="AN31" s="199">
        <v>-58</v>
      </c>
      <c r="AO31" s="199">
        <v>-53</v>
      </c>
      <c r="AP31" s="199">
        <v>-50</v>
      </c>
      <c r="AQ31" s="199">
        <v>-46</v>
      </c>
      <c r="AR31" s="199">
        <v>-43</v>
      </c>
      <c r="AS31" s="199">
        <v>-48</v>
      </c>
      <c r="AT31" s="199">
        <v>-47</v>
      </c>
      <c r="AU31" s="200">
        <v>-52</v>
      </c>
      <c r="AW31" s="197" t="s">
        <v>258</v>
      </c>
      <c r="AX31" s="201">
        <f t="shared" si="5"/>
        <v>-64</v>
      </c>
      <c r="AY31" s="202">
        <f t="shared" si="4"/>
        <v>-62</v>
      </c>
      <c r="AZ31" s="202">
        <f t="shared" si="4"/>
        <v>-63</v>
      </c>
      <c r="BA31" s="202">
        <f t="shared" si="4"/>
        <v>-58</v>
      </c>
      <c r="BB31" s="202">
        <f t="shared" si="4"/>
        <v>-55</v>
      </c>
      <c r="BC31" s="202">
        <f t="shared" si="4"/>
        <v>-51</v>
      </c>
      <c r="BD31" s="202">
        <f t="shared" si="4"/>
        <v>-48</v>
      </c>
      <c r="BE31" s="202">
        <f t="shared" si="4"/>
        <v>-53</v>
      </c>
      <c r="BF31" s="202">
        <f t="shared" si="4"/>
        <v>-52</v>
      </c>
      <c r="BG31" s="203">
        <f t="shared" si="4"/>
        <v>-57</v>
      </c>
    </row>
    <row r="32" spans="1:59" ht="15.75" thickBot="1" x14ac:dyDescent="0.3">
      <c r="A32" s="204" t="s">
        <v>265</v>
      </c>
      <c r="B32" s="207">
        <v>-49</v>
      </c>
      <c r="C32" s="205">
        <v>-46</v>
      </c>
      <c r="D32" s="205">
        <v>-48</v>
      </c>
      <c r="E32" s="205">
        <v>-44</v>
      </c>
      <c r="F32" s="205">
        <v>-39</v>
      </c>
      <c r="G32" s="205">
        <v>-38</v>
      </c>
      <c r="H32" s="205">
        <v>-32</v>
      </c>
      <c r="I32" s="205">
        <v>-36</v>
      </c>
      <c r="J32" s="205">
        <v>-37</v>
      </c>
      <c r="K32" s="206">
        <v>-36</v>
      </c>
      <c r="L32" s="217"/>
      <c r="M32" s="204" t="s">
        <v>265</v>
      </c>
      <c r="N32" s="207">
        <v>-56</v>
      </c>
      <c r="O32" s="205">
        <v>-52</v>
      </c>
      <c r="P32" s="205">
        <v>-54</v>
      </c>
      <c r="Q32" s="205">
        <v>-48</v>
      </c>
      <c r="R32" s="205">
        <v>-43</v>
      </c>
      <c r="S32" s="205">
        <v>-41</v>
      </c>
      <c r="T32" s="205">
        <v>-35</v>
      </c>
      <c r="U32" s="205">
        <v>-39</v>
      </c>
      <c r="V32" s="205">
        <v>-40</v>
      </c>
      <c r="W32" s="206">
        <v>-39</v>
      </c>
      <c r="X32" s="217"/>
      <c r="Y32" s="208" t="s">
        <v>265</v>
      </c>
      <c r="Z32" s="233">
        <v>-59</v>
      </c>
      <c r="AA32" s="234">
        <v>-56</v>
      </c>
      <c r="AB32" s="234">
        <v>-58</v>
      </c>
      <c r="AC32" s="234">
        <v>-53</v>
      </c>
      <c r="AD32" s="234">
        <v>-47</v>
      </c>
      <c r="AE32" s="234">
        <v>-46</v>
      </c>
      <c r="AF32" s="234">
        <v>-40</v>
      </c>
      <c r="AG32" s="234">
        <v>-44</v>
      </c>
      <c r="AH32" s="234">
        <v>-45</v>
      </c>
      <c r="AI32" s="235">
        <v>-44</v>
      </c>
      <c r="AJ32" s="217"/>
      <c r="AK32" s="208" t="s">
        <v>265</v>
      </c>
      <c r="AL32" s="209">
        <v>-64</v>
      </c>
      <c r="AM32" s="210">
        <v>-61</v>
      </c>
      <c r="AN32" s="210">
        <v>-63</v>
      </c>
      <c r="AO32" s="210">
        <v>-57</v>
      </c>
      <c r="AP32" s="210">
        <v>-52</v>
      </c>
      <c r="AQ32" s="210">
        <v>-50</v>
      </c>
      <c r="AR32" s="210">
        <v>-43</v>
      </c>
      <c r="AS32" s="210">
        <v>-47</v>
      </c>
      <c r="AT32" s="210">
        <v>-48</v>
      </c>
      <c r="AU32" s="211">
        <v>-47</v>
      </c>
      <c r="AW32" s="208" t="s">
        <v>265</v>
      </c>
      <c r="AX32" s="212">
        <f t="shared" si="5"/>
        <v>-69</v>
      </c>
      <c r="AY32" s="213">
        <f t="shared" si="4"/>
        <v>-66</v>
      </c>
      <c r="AZ32" s="213">
        <f t="shared" si="4"/>
        <v>-68</v>
      </c>
      <c r="BA32" s="213">
        <f t="shared" si="4"/>
        <v>-62</v>
      </c>
      <c r="BB32" s="213">
        <f t="shared" si="4"/>
        <v>-57</v>
      </c>
      <c r="BC32" s="213">
        <f t="shared" si="4"/>
        <v>-55</v>
      </c>
      <c r="BD32" s="213">
        <f t="shared" si="4"/>
        <v>-48</v>
      </c>
      <c r="BE32" s="213">
        <f t="shared" si="4"/>
        <v>-52</v>
      </c>
      <c r="BF32" s="213">
        <f t="shared" si="4"/>
        <v>-53</v>
      </c>
      <c r="BG32" s="214">
        <f t="shared" si="4"/>
        <v>-52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-50</v>
      </c>
      <c r="C37" s="186">
        <v>-46</v>
      </c>
      <c r="D37" s="186">
        <v>-43</v>
      </c>
      <c r="E37" s="186">
        <v>-50</v>
      </c>
      <c r="F37" s="186">
        <v>-53</v>
      </c>
      <c r="G37" s="186">
        <v>-52</v>
      </c>
      <c r="H37" s="186">
        <v>-51</v>
      </c>
      <c r="I37" s="186">
        <v>-49</v>
      </c>
      <c r="J37" s="186">
        <v>-51</v>
      </c>
      <c r="K37" s="187">
        <v>-51</v>
      </c>
      <c r="L37" s="217"/>
      <c r="M37" s="236" t="s">
        <v>187</v>
      </c>
      <c r="N37" s="185">
        <v>-57</v>
      </c>
      <c r="O37" s="186">
        <v>-53</v>
      </c>
      <c r="P37" s="186">
        <v>-50</v>
      </c>
      <c r="Q37" s="186">
        <v>-56</v>
      </c>
      <c r="R37" s="186">
        <v>-59</v>
      </c>
      <c r="S37" s="186">
        <v>-56</v>
      </c>
      <c r="T37" s="186">
        <v>-55</v>
      </c>
      <c r="U37" s="186">
        <v>-53</v>
      </c>
      <c r="V37" s="186">
        <v>-55</v>
      </c>
      <c r="W37" s="187">
        <v>-55</v>
      </c>
      <c r="X37" s="217"/>
      <c r="Y37" s="237" t="s">
        <v>187</v>
      </c>
      <c r="Z37" s="227">
        <v>-69</v>
      </c>
      <c r="AA37" s="228">
        <v>-65</v>
      </c>
      <c r="AB37" s="228">
        <v>-61</v>
      </c>
      <c r="AC37" s="228">
        <v>-68</v>
      </c>
      <c r="AD37" s="228">
        <v>-69</v>
      </c>
      <c r="AE37" s="228">
        <v>-69</v>
      </c>
      <c r="AF37" s="228">
        <v>-68</v>
      </c>
      <c r="AG37" s="228">
        <v>-65</v>
      </c>
      <c r="AH37" s="228">
        <v>-67</v>
      </c>
      <c r="AI37" s="229">
        <v>-67</v>
      </c>
      <c r="AJ37" s="217"/>
      <c r="AK37" s="237" t="s">
        <v>187</v>
      </c>
      <c r="AL37" s="189">
        <v>-71</v>
      </c>
      <c r="AM37" s="190">
        <v>-71</v>
      </c>
      <c r="AN37" s="190">
        <v>-68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-73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-47</v>
      </c>
      <c r="C38" s="183">
        <v>-45</v>
      </c>
      <c r="D38" s="183">
        <v>-43</v>
      </c>
      <c r="E38" s="183">
        <v>-50</v>
      </c>
      <c r="F38" s="183">
        <v>-54</v>
      </c>
      <c r="G38" s="183">
        <v>-52</v>
      </c>
      <c r="H38" s="183">
        <v>-49</v>
      </c>
      <c r="I38" s="183">
        <v>-51</v>
      </c>
      <c r="J38" s="183">
        <v>-49</v>
      </c>
      <c r="K38" s="184">
        <v>-51</v>
      </c>
      <c r="L38" s="217"/>
      <c r="M38" s="195" t="s">
        <v>214</v>
      </c>
      <c r="N38" s="196">
        <v>-54</v>
      </c>
      <c r="O38" s="183">
        <v>-52</v>
      </c>
      <c r="P38" s="183">
        <v>-50</v>
      </c>
      <c r="Q38" s="183">
        <v>-56</v>
      </c>
      <c r="R38" s="183">
        <v>-60</v>
      </c>
      <c r="S38" s="183">
        <v>-56</v>
      </c>
      <c r="T38" s="183">
        <v>-53</v>
      </c>
      <c r="U38" s="183">
        <v>-55</v>
      </c>
      <c r="V38" s="183">
        <v>-53</v>
      </c>
      <c r="W38" s="184">
        <v>-55</v>
      </c>
      <c r="X38" s="217"/>
      <c r="Y38" s="197" t="s">
        <v>214</v>
      </c>
      <c r="Z38" s="230">
        <v>-66</v>
      </c>
      <c r="AA38" s="231">
        <v>-64</v>
      </c>
      <c r="AB38" s="231">
        <v>-61</v>
      </c>
      <c r="AC38" s="231">
        <v>-68</v>
      </c>
      <c r="AD38" s="231">
        <v>-69</v>
      </c>
      <c r="AE38" s="231">
        <v>-69</v>
      </c>
      <c r="AF38" s="231">
        <v>-66</v>
      </c>
      <c r="AG38" s="231">
        <v>-67</v>
      </c>
      <c r="AH38" s="231">
        <v>-65</v>
      </c>
      <c r="AI38" s="232">
        <v>-67</v>
      </c>
      <c r="AJ38" s="217"/>
      <c r="AK38" s="197" t="s">
        <v>214</v>
      </c>
      <c r="AL38" s="198">
        <v>-71</v>
      </c>
      <c r="AM38" s="199">
        <v>-70</v>
      </c>
      <c r="AN38" s="199">
        <v>-68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-75</v>
      </c>
      <c r="AZ38" s="202">
        <f t="shared" si="6"/>
        <v>-73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-53</v>
      </c>
      <c r="C39" s="183">
        <v>-51</v>
      </c>
      <c r="D39" s="183">
        <v>-48</v>
      </c>
      <c r="E39" s="183">
        <v>-54</v>
      </c>
      <c r="F39" s="183">
        <v>-56</v>
      </c>
      <c r="G39" s="183">
        <v>-53</v>
      </c>
      <c r="H39" s="183">
        <v>-50</v>
      </c>
      <c r="I39" s="183">
        <v>-51</v>
      </c>
      <c r="J39" s="183">
        <v>-49</v>
      </c>
      <c r="K39" s="184">
        <v>-56</v>
      </c>
      <c r="L39" s="217"/>
      <c r="M39" s="195" t="s">
        <v>233</v>
      </c>
      <c r="N39" s="196">
        <v>-60</v>
      </c>
      <c r="O39" s="183">
        <v>-58</v>
      </c>
      <c r="P39" s="183">
        <v>-55</v>
      </c>
      <c r="Q39" s="183">
        <v>-60</v>
      </c>
      <c r="R39" s="183">
        <v>-62</v>
      </c>
      <c r="S39" s="183">
        <v>-57</v>
      </c>
      <c r="T39" s="183">
        <v>-54</v>
      </c>
      <c r="U39" s="183">
        <v>-55</v>
      </c>
      <c r="V39" s="183">
        <v>-53</v>
      </c>
      <c r="W39" s="184">
        <v>-60</v>
      </c>
      <c r="X39" s="217"/>
      <c r="Y39" s="197" t="s">
        <v>233</v>
      </c>
      <c r="Z39" s="230">
        <v>-69</v>
      </c>
      <c r="AA39" s="231">
        <v>-69</v>
      </c>
      <c r="AB39" s="231">
        <v>-66</v>
      </c>
      <c r="AC39" s="231">
        <v>-69</v>
      </c>
      <c r="AD39" s="231">
        <v>-69</v>
      </c>
      <c r="AE39" s="231">
        <v>-69</v>
      </c>
      <c r="AF39" s="231">
        <v>-67</v>
      </c>
      <c r="AG39" s="231">
        <v>-67</v>
      </c>
      <c r="AH39" s="231">
        <v>-65</v>
      </c>
      <c r="AI39" s="232">
        <v>-69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-55</v>
      </c>
      <c r="C40" s="183">
        <v>-53</v>
      </c>
      <c r="D40" s="183">
        <v>-53</v>
      </c>
      <c r="E40" s="183">
        <v>-51</v>
      </c>
      <c r="F40" s="183">
        <v>-54</v>
      </c>
      <c r="G40" s="183">
        <v>-52</v>
      </c>
      <c r="H40" s="183">
        <v>-48</v>
      </c>
      <c r="I40" s="183">
        <v>-51</v>
      </c>
      <c r="J40" s="183">
        <v>-52</v>
      </c>
      <c r="K40" s="184">
        <v>-55</v>
      </c>
      <c r="L40" s="217"/>
      <c r="M40" s="195" t="s">
        <v>242</v>
      </c>
      <c r="N40" s="196">
        <v>-59</v>
      </c>
      <c r="O40" s="183">
        <v>-56</v>
      </c>
      <c r="P40" s="183">
        <v>-56</v>
      </c>
      <c r="Q40" s="183">
        <v>-54</v>
      </c>
      <c r="R40" s="183">
        <v>-57</v>
      </c>
      <c r="S40" s="183">
        <v>-55</v>
      </c>
      <c r="T40" s="183">
        <v>-51</v>
      </c>
      <c r="U40" s="183">
        <v>-54</v>
      </c>
      <c r="V40" s="183">
        <v>-55</v>
      </c>
      <c r="W40" s="184">
        <v>-58</v>
      </c>
      <c r="X40" s="217"/>
      <c r="Y40" s="197" t="s">
        <v>242</v>
      </c>
      <c r="Z40" s="230">
        <v>-68</v>
      </c>
      <c r="AA40" s="231">
        <v>-66</v>
      </c>
      <c r="AB40" s="231">
        <v>-66</v>
      </c>
      <c r="AC40" s="231">
        <v>-63</v>
      </c>
      <c r="AD40" s="231">
        <v>-67</v>
      </c>
      <c r="AE40" s="231">
        <v>-64</v>
      </c>
      <c r="AF40" s="231">
        <v>-60</v>
      </c>
      <c r="AG40" s="231">
        <v>-63</v>
      </c>
      <c r="AH40" s="231">
        <v>-64</v>
      </c>
      <c r="AI40" s="232">
        <v>-67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-68</v>
      </c>
      <c r="AS40" s="199">
        <v>-70</v>
      </c>
      <c r="AT40" s="199">
        <v>-71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-73</v>
      </c>
      <c r="BE40" s="202">
        <f t="shared" si="6"/>
        <v>-75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250</v>
      </c>
      <c r="B41" s="196">
        <v>-58</v>
      </c>
      <c r="C41" s="183">
        <v>-59</v>
      </c>
      <c r="D41" s="183">
        <v>-57</v>
      </c>
      <c r="E41" s="183">
        <v>-54</v>
      </c>
      <c r="F41" s="183">
        <v>-52</v>
      </c>
      <c r="G41" s="183">
        <v>-50</v>
      </c>
      <c r="H41" s="183">
        <v>-49</v>
      </c>
      <c r="I41" s="183">
        <v>-51</v>
      </c>
      <c r="J41" s="183">
        <v>-50</v>
      </c>
      <c r="K41" s="184">
        <v>-57</v>
      </c>
      <c r="L41" s="217"/>
      <c r="M41" s="195" t="s">
        <v>250</v>
      </c>
      <c r="N41" s="196">
        <v>-62</v>
      </c>
      <c r="O41" s="183">
        <v>-62</v>
      </c>
      <c r="P41" s="183">
        <v>-60</v>
      </c>
      <c r="Q41" s="183">
        <v>-57</v>
      </c>
      <c r="R41" s="183">
        <v>-55</v>
      </c>
      <c r="S41" s="183">
        <v>-53</v>
      </c>
      <c r="T41" s="183">
        <v>-52</v>
      </c>
      <c r="U41" s="183">
        <v>-54</v>
      </c>
      <c r="V41" s="183">
        <v>-53</v>
      </c>
      <c r="W41" s="184">
        <v>-60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-66</v>
      </c>
      <c r="AD41" s="231">
        <v>-65</v>
      </c>
      <c r="AE41" s="231">
        <v>-62</v>
      </c>
      <c r="AF41" s="231">
        <v>-61</v>
      </c>
      <c r="AG41" s="231">
        <v>-63</v>
      </c>
      <c r="AH41" s="231">
        <v>-62</v>
      </c>
      <c r="AI41" s="232">
        <v>-69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-70</v>
      </c>
      <c r="AR41" s="199">
        <v>-69</v>
      </c>
      <c r="AS41" s="199">
        <v>-70</v>
      </c>
      <c r="AT41" s="199">
        <v>-69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-75</v>
      </c>
      <c r="BD41" s="202">
        <f t="shared" si="6"/>
        <v>-74</v>
      </c>
      <c r="BE41" s="202">
        <f t="shared" si="6"/>
        <v>-75</v>
      </c>
      <c r="BF41" s="202">
        <f t="shared" si="6"/>
        <v>-74</v>
      </c>
      <c r="BG41" s="203">
        <f t="shared" si="6"/>
        <v>-76</v>
      </c>
    </row>
    <row r="42" spans="1:59" x14ac:dyDescent="0.25">
      <c r="A42" s="195" t="s">
        <v>258</v>
      </c>
      <c r="B42" s="196">
        <v>-53</v>
      </c>
      <c r="C42" s="183">
        <v>-51</v>
      </c>
      <c r="D42" s="183">
        <v>-52</v>
      </c>
      <c r="E42" s="183">
        <v>-50</v>
      </c>
      <c r="F42" s="183">
        <v>-47</v>
      </c>
      <c r="G42" s="183">
        <v>-44</v>
      </c>
      <c r="H42" s="183">
        <v>-43</v>
      </c>
      <c r="I42" s="183">
        <v>-48</v>
      </c>
      <c r="J42" s="183">
        <v>-47</v>
      </c>
      <c r="K42" s="184">
        <v>-52</v>
      </c>
      <c r="L42" s="217"/>
      <c r="M42" s="195" t="s">
        <v>258</v>
      </c>
      <c r="N42" s="196">
        <v>-57</v>
      </c>
      <c r="O42" s="183">
        <v>-54</v>
      </c>
      <c r="P42" s="183">
        <v>-55</v>
      </c>
      <c r="Q42" s="183">
        <v>-53</v>
      </c>
      <c r="R42" s="183">
        <v>-50</v>
      </c>
      <c r="S42" s="183">
        <v>-47</v>
      </c>
      <c r="T42" s="183">
        <v>-46</v>
      </c>
      <c r="U42" s="183">
        <v>-51</v>
      </c>
      <c r="V42" s="183">
        <v>-50</v>
      </c>
      <c r="W42" s="184">
        <v>-55</v>
      </c>
      <c r="X42" s="217"/>
      <c r="Y42" s="197" t="s">
        <v>258</v>
      </c>
      <c r="Z42" s="230">
        <v>-66</v>
      </c>
      <c r="AA42" s="231">
        <v>-64</v>
      </c>
      <c r="AB42" s="231">
        <v>-65</v>
      </c>
      <c r="AC42" s="231">
        <v>-62</v>
      </c>
      <c r="AD42" s="231">
        <v>-59</v>
      </c>
      <c r="AE42" s="231">
        <v>-55</v>
      </c>
      <c r="AF42" s="231">
        <v>-54</v>
      </c>
      <c r="AG42" s="231">
        <v>-58</v>
      </c>
      <c r="AH42" s="231">
        <v>-57</v>
      </c>
      <c r="AI42" s="232">
        <v>-62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-70</v>
      </c>
      <c r="AP42" s="199">
        <v>-67</v>
      </c>
      <c r="AQ42" s="199">
        <v>-64</v>
      </c>
      <c r="AR42" s="199">
        <v>-63</v>
      </c>
      <c r="AS42" s="199">
        <v>-67</v>
      </c>
      <c r="AT42" s="199">
        <v>-66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-75</v>
      </c>
      <c r="BB42" s="202">
        <f t="shared" si="6"/>
        <v>-72</v>
      </c>
      <c r="BC42" s="202">
        <f t="shared" si="6"/>
        <v>-69</v>
      </c>
      <c r="BD42" s="202">
        <f t="shared" si="6"/>
        <v>-68</v>
      </c>
      <c r="BE42" s="202">
        <f t="shared" si="6"/>
        <v>-72</v>
      </c>
      <c r="BF42" s="202">
        <f t="shared" si="6"/>
        <v>-71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-58</v>
      </c>
      <c r="C43" s="205">
        <v>-55</v>
      </c>
      <c r="D43" s="205">
        <v>-57</v>
      </c>
      <c r="E43" s="205">
        <v>-54</v>
      </c>
      <c r="F43" s="205">
        <v>-49</v>
      </c>
      <c r="G43" s="205">
        <v>-48</v>
      </c>
      <c r="H43" s="205">
        <v>-43</v>
      </c>
      <c r="I43" s="205">
        <v>-47</v>
      </c>
      <c r="J43" s="205">
        <v>-48</v>
      </c>
      <c r="K43" s="206">
        <v>-47</v>
      </c>
      <c r="L43" s="217"/>
      <c r="M43" s="204" t="s">
        <v>265</v>
      </c>
      <c r="N43" s="207">
        <v>-62</v>
      </c>
      <c r="O43" s="205">
        <v>-58</v>
      </c>
      <c r="P43" s="205">
        <v>-60</v>
      </c>
      <c r="Q43" s="205">
        <v>-57</v>
      </c>
      <c r="R43" s="205">
        <v>-52</v>
      </c>
      <c r="S43" s="205">
        <v>-51</v>
      </c>
      <c r="T43" s="205">
        <v>-46</v>
      </c>
      <c r="U43" s="205">
        <v>-50</v>
      </c>
      <c r="V43" s="205">
        <v>-51</v>
      </c>
      <c r="W43" s="206">
        <v>-50</v>
      </c>
      <c r="X43" s="217"/>
      <c r="Y43" s="208" t="s">
        <v>265</v>
      </c>
      <c r="Z43" s="233">
        <v>-69</v>
      </c>
      <c r="AA43" s="234">
        <v>-68</v>
      </c>
      <c r="AB43" s="234">
        <v>-69</v>
      </c>
      <c r="AC43" s="234">
        <v>-66</v>
      </c>
      <c r="AD43" s="234">
        <v>-61</v>
      </c>
      <c r="AE43" s="234">
        <v>-59</v>
      </c>
      <c r="AF43" s="234">
        <v>-54</v>
      </c>
      <c r="AG43" s="234">
        <v>-57</v>
      </c>
      <c r="AH43" s="234">
        <v>-58</v>
      </c>
      <c r="AI43" s="235">
        <v>-57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-69</v>
      </c>
      <c r="AQ43" s="210">
        <v>-68</v>
      </c>
      <c r="AR43" s="210">
        <v>-63</v>
      </c>
      <c r="AS43" s="210">
        <v>-66</v>
      </c>
      <c r="AT43" s="210">
        <v>-67</v>
      </c>
      <c r="AU43" s="211">
        <v>-66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-74</v>
      </c>
      <c r="BC43" s="213">
        <f t="shared" si="6"/>
        <v>-73</v>
      </c>
      <c r="BD43" s="213">
        <f t="shared" si="6"/>
        <v>-68</v>
      </c>
      <c r="BE43" s="213">
        <f t="shared" si="6"/>
        <v>-71</v>
      </c>
      <c r="BF43" s="213">
        <f t="shared" si="6"/>
        <v>-72</v>
      </c>
      <c r="BG43" s="214">
        <f t="shared" si="6"/>
        <v>-71</v>
      </c>
    </row>
  </sheetData>
  <sheetProtection algorithmName="SHA-512" hashValue="ZE7Zvdr7rdlhC+IxLZtcx33M32mPmdYN88zCqAkLMPtrT7MOmq/oMgKJn+1JIP1upW+lpdxJ5vVp6Uv6G1h5Ag==" saltValue="CZEUDCgxfhD+B+0kSWK96A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800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-16</v>
      </c>
      <c r="C4" s="183">
        <v>-11</v>
      </c>
      <c r="D4" s="183">
        <v>-9</v>
      </c>
      <c r="E4" s="183">
        <v>-14</v>
      </c>
      <c r="F4" s="183">
        <v>-20</v>
      </c>
      <c r="G4" s="183">
        <v>-18</v>
      </c>
      <c r="H4" s="183">
        <v>-20</v>
      </c>
      <c r="I4" s="183">
        <v>-18</v>
      </c>
      <c r="J4" s="183">
        <v>-17</v>
      </c>
      <c r="K4" s="184">
        <v>-22</v>
      </c>
      <c r="L4" s="217"/>
      <c r="M4" s="182" t="s">
        <v>187</v>
      </c>
      <c r="N4" s="185">
        <v>-26</v>
      </c>
      <c r="O4" s="186">
        <v>-20</v>
      </c>
      <c r="P4" s="186">
        <v>-17</v>
      </c>
      <c r="Q4" s="186">
        <v>-21</v>
      </c>
      <c r="R4" s="186">
        <v>-26</v>
      </c>
      <c r="S4" s="186">
        <v>-23</v>
      </c>
      <c r="T4" s="186">
        <v>-24</v>
      </c>
      <c r="U4" s="186">
        <v>-21</v>
      </c>
      <c r="V4" s="186">
        <v>-20</v>
      </c>
      <c r="W4" s="187">
        <v>-25</v>
      </c>
      <c r="X4" s="217"/>
      <c r="Y4" s="188" t="s">
        <v>187</v>
      </c>
      <c r="Z4" s="189">
        <v>-34</v>
      </c>
      <c r="AA4" s="190">
        <v>-28</v>
      </c>
      <c r="AB4" s="190">
        <v>-26</v>
      </c>
      <c r="AC4" s="190">
        <v>-31</v>
      </c>
      <c r="AD4" s="190">
        <v>-34</v>
      </c>
      <c r="AE4" s="190">
        <v>-30</v>
      </c>
      <c r="AF4" s="190">
        <v>-30</v>
      </c>
      <c r="AG4" s="190">
        <v>-27</v>
      </c>
      <c r="AH4" s="190">
        <v>-26</v>
      </c>
      <c r="AI4" s="191">
        <v>-31</v>
      </c>
      <c r="AJ4" s="217"/>
      <c r="AK4" s="188" t="s">
        <v>187</v>
      </c>
      <c r="AL4" s="189">
        <v>-43</v>
      </c>
      <c r="AM4" s="190">
        <v>-38</v>
      </c>
      <c r="AN4" s="190">
        <v>-35</v>
      </c>
      <c r="AO4" s="190">
        <v>-40</v>
      </c>
      <c r="AP4" s="190">
        <v>-43</v>
      </c>
      <c r="AQ4" s="190">
        <v>-39</v>
      </c>
      <c r="AR4" s="190">
        <v>-39</v>
      </c>
      <c r="AS4" s="190">
        <v>-35</v>
      </c>
      <c r="AT4" s="190">
        <v>-34</v>
      </c>
      <c r="AU4" s="191">
        <v>-39</v>
      </c>
      <c r="AW4" s="188" t="s">
        <v>187</v>
      </c>
      <c r="AX4" s="192">
        <f>AL4-5</f>
        <v>-48</v>
      </c>
      <c r="AY4" s="193">
        <f t="shared" ref="AY4:BG10" si="0">AM4-5</f>
        <v>-43</v>
      </c>
      <c r="AZ4" s="193">
        <f t="shared" si="0"/>
        <v>-40</v>
      </c>
      <c r="BA4" s="193">
        <f t="shared" si="0"/>
        <v>-45</v>
      </c>
      <c r="BB4" s="193">
        <f t="shared" si="0"/>
        <v>-48</v>
      </c>
      <c r="BC4" s="193">
        <f t="shared" si="0"/>
        <v>-44</v>
      </c>
      <c r="BD4" s="193">
        <f t="shared" si="0"/>
        <v>-44</v>
      </c>
      <c r="BE4" s="193">
        <f t="shared" si="0"/>
        <v>-40</v>
      </c>
      <c r="BF4" s="193">
        <f t="shared" si="0"/>
        <v>-39</v>
      </c>
      <c r="BG4" s="194">
        <f t="shared" si="0"/>
        <v>-44</v>
      </c>
    </row>
    <row r="5" spans="1:59" ht="14.45" x14ac:dyDescent="0.3">
      <c r="A5" s="195" t="s">
        <v>214</v>
      </c>
      <c r="B5" s="183">
        <v>-11</v>
      </c>
      <c r="C5" s="183">
        <v>-9</v>
      </c>
      <c r="D5" s="183">
        <v>-11</v>
      </c>
      <c r="E5" s="183">
        <v>-11</v>
      </c>
      <c r="F5" s="183">
        <v>-19</v>
      </c>
      <c r="G5" s="183">
        <v>-20</v>
      </c>
      <c r="H5" s="183">
        <v>-20</v>
      </c>
      <c r="I5" s="183">
        <v>-18</v>
      </c>
      <c r="J5" s="183">
        <v>-19</v>
      </c>
      <c r="K5" s="184">
        <v>-25</v>
      </c>
      <c r="L5" s="217"/>
      <c r="M5" s="195" t="s">
        <v>214</v>
      </c>
      <c r="N5" s="196">
        <v>-21</v>
      </c>
      <c r="O5" s="183">
        <v>-18</v>
      </c>
      <c r="P5" s="183">
        <v>-19</v>
      </c>
      <c r="Q5" s="183">
        <v>-18</v>
      </c>
      <c r="R5" s="183">
        <v>-25</v>
      </c>
      <c r="S5" s="183">
        <v>-25</v>
      </c>
      <c r="T5" s="183">
        <v>-24</v>
      </c>
      <c r="U5" s="183">
        <v>-21</v>
      </c>
      <c r="V5" s="183">
        <v>-22</v>
      </c>
      <c r="W5" s="184">
        <v>-28</v>
      </c>
      <c r="X5" s="217"/>
      <c r="Y5" s="197" t="s">
        <v>214</v>
      </c>
      <c r="Z5" s="198">
        <v>-29</v>
      </c>
      <c r="AA5" s="199">
        <v>-26</v>
      </c>
      <c r="AB5" s="199">
        <v>-28</v>
      </c>
      <c r="AC5" s="199">
        <v>-28</v>
      </c>
      <c r="AD5" s="199">
        <v>-33</v>
      </c>
      <c r="AE5" s="199">
        <v>-32</v>
      </c>
      <c r="AF5" s="199">
        <v>-30</v>
      </c>
      <c r="AG5" s="199">
        <v>-27</v>
      </c>
      <c r="AH5" s="199">
        <v>-28</v>
      </c>
      <c r="AI5" s="200">
        <v>-34</v>
      </c>
      <c r="AJ5" s="217"/>
      <c r="AK5" s="197" t="s">
        <v>214</v>
      </c>
      <c r="AL5" s="198">
        <v>-38</v>
      </c>
      <c r="AM5" s="199">
        <v>-36</v>
      </c>
      <c r="AN5" s="199">
        <v>-37</v>
      </c>
      <c r="AO5" s="199">
        <v>-37</v>
      </c>
      <c r="AP5" s="199">
        <v>-42</v>
      </c>
      <c r="AQ5" s="199">
        <v>-41</v>
      </c>
      <c r="AR5" s="199">
        <v>-39</v>
      </c>
      <c r="AS5" s="199">
        <v>-35</v>
      </c>
      <c r="AT5" s="199">
        <v>-36</v>
      </c>
      <c r="AU5" s="200">
        <v>-42</v>
      </c>
      <c r="AW5" s="197" t="s">
        <v>214</v>
      </c>
      <c r="AX5" s="201">
        <f t="shared" ref="AX5:AX10" si="1">AL5-5</f>
        <v>-43</v>
      </c>
      <c r="AY5" s="202">
        <f t="shared" si="0"/>
        <v>-41</v>
      </c>
      <c r="AZ5" s="202">
        <f t="shared" si="0"/>
        <v>-42</v>
      </c>
      <c r="BA5" s="202">
        <f t="shared" si="0"/>
        <v>-42</v>
      </c>
      <c r="BB5" s="202">
        <f t="shared" si="0"/>
        <v>-47</v>
      </c>
      <c r="BC5" s="202">
        <f t="shared" si="0"/>
        <v>-46</v>
      </c>
      <c r="BD5" s="202">
        <f t="shared" si="0"/>
        <v>-44</v>
      </c>
      <c r="BE5" s="202">
        <f t="shared" si="0"/>
        <v>-40</v>
      </c>
      <c r="BF5" s="202">
        <f t="shared" si="0"/>
        <v>-41</v>
      </c>
      <c r="BG5" s="203">
        <f t="shared" si="0"/>
        <v>-47</v>
      </c>
    </row>
    <row r="6" spans="1:59" ht="14.45" x14ac:dyDescent="0.3">
      <c r="A6" s="195" t="s">
        <v>233</v>
      </c>
      <c r="B6" s="183">
        <v>-15</v>
      </c>
      <c r="C6" s="183">
        <v>-15</v>
      </c>
      <c r="D6" s="183">
        <v>-15</v>
      </c>
      <c r="E6" s="183">
        <v>-16</v>
      </c>
      <c r="F6" s="183">
        <v>-21</v>
      </c>
      <c r="G6" s="183">
        <v>-20</v>
      </c>
      <c r="H6" s="183">
        <v>-19</v>
      </c>
      <c r="I6" s="183">
        <v>-15</v>
      </c>
      <c r="J6" s="183">
        <v>-23</v>
      </c>
      <c r="K6" s="184">
        <v>-28</v>
      </c>
      <c r="L6" s="217"/>
      <c r="M6" s="195" t="s">
        <v>233</v>
      </c>
      <c r="N6" s="196">
        <v>-25</v>
      </c>
      <c r="O6" s="183">
        <v>-24</v>
      </c>
      <c r="P6" s="183">
        <v>-23</v>
      </c>
      <c r="Q6" s="183">
        <v>-23</v>
      </c>
      <c r="R6" s="183">
        <v>-27</v>
      </c>
      <c r="S6" s="183">
        <v>-25</v>
      </c>
      <c r="T6" s="183">
        <v>-23</v>
      </c>
      <c r="U6" s="183">
        <v>-18</v>
      </c>
      <c r="V6" s="183">
        <v>-26</v>
      </c>
      <c r="W6" s="184">
        <v>-31</v>
      </c>
      <c r="X6" s="217"/>
      <c r="Y6" s="197" t="s">
        <v>233</v>
      </c>
      <c r="Z6" s="198">
        <v>-33</v>
      </c>
      <c r="AA6" s="199">
        <v>-32</v>
      </c>
      <c r="AB6" s="199">
        <v>-32</v>
      </c>
      <c r="AC6" s="199">
        <v>-33</v>
      </c>
      <c r="AD6" s="199">
        <v>-35</v>
      </c>
      <c r="AE6" s="199">
        <v>-32</v>
      </c>
      <c r="AF6" s="199">
        <v>-29</v>
      </c>
      <c r="AG6" s="199">
        <v>-24</v>
      </c>
      <c r="AH6" s="199">
        <v>-32</v>
      </c>
      <c r="AI6" s="200">
        <v>-37</v>
      </c>
      <c r="AJ6" s="217"/>
      <c r="AK6" s="197" t="s">
        <v>233</v>
      </c>
      <c r="AL6" s="198">
        <v>-42</v>
      </c>
      <c r="AM6" s="199">
        <v>-42</v>
      </c>
      <c r="AN6" s="199">
        <v>-41</v>
      </c>
      <c r="AO6" s="199">
        <v>-42</v>
      </c>
      <c r="AP6" s="199">
        <v>-44</v>
      </c>
      <c r="AQ6" s="199">
        <v>-41</v>
      </c>
      <c r="AR6" s="199">
        <v>-38</v>
      </c>
      <c r="AS6" s="199">
        <v>-32</v>
      </c>
      <c r="AT6" s="199">
        <v>-40</v>
      </c>
      <c r="AU6" s="200">
        <v>-45</v>
      </c>
      <c r="AW6" s="197" t="s">
        <v>233</v>
      </c>
      <c r="AX6" s="201">
        <f t="shared" si="1"/>
        <v>-47</v>
      </c>
      <c r="AY6" s="202">
        <f t="shared" si="0"/>
        <v>-47</v>
      </c>
      <c r="AZ6" s="202">
        <f t="shared" si="0"/>
        <v>-46</v>
      </c>
      <c r="BA6" s="202">
        <f t="shared" si="0"/>
        <v>-47</v>
      </c>
      <c r="BB6" s="202">
        <f t="shared" si="0"/>
        <v>-49</v>
      </c>
      <c r="BC6" s="202">
        <f t="shared" si="0"/>
        <v>-46</v>
      </c>
      <c r="BD6" s="202">
        <f t="shared" si="0"/>
        <v>-43</v>
      </c>
      <c r="BE6" s="202">
        <f t="shared" si="0"/>
        <v>-37</v>
      </c>
      <c r="BF6" s="202">
        <f t="shared" si="0"/>
        <v>-45</v>
      </c>
      <c r="BG6" s="203">
        <f t="shared" si="0"/>
        <v>-50</v>
      </c>
    </row>
    <row r="7" spans="1:59" ht="14.45" x14ac:dyDescent="0.3">
      <c r="A7" s="195" t="s">
        <v>242</v>
      </c>
      <c r="B7" s="183">
        <v>-18</v>
      </c>
      <c r="C7" s="183">
        <v>-18</v>
      </c>
      <c r="D7" s="183">
        <v>-17</v>
      </c>
      <c r="E7" s="183">
        <v>-20</v>
      </c>
      <c r="F7" s="183">
        <v>-20</v>
      </c>
      <c r="G7" s="183">
        <v>-23</v>
      </c>
      <c r="H7" s="183">
        <v>-21</v>
      </c>
      <c r="I7" s="183">
        <v>-18</v>
      </c>
      <c r="J7" s="183">
        <v>-24</v>
      </c>
      <c r="K7" s="184">
        <v>-25</v>
      </c>
      <c r="L7" s="217"/>
      <c r="M7" s="195" t="s">
        <v>242</v>
      </c>
      <c r="N7" s="196">
        <v>-28</v>
      </c>
      <c r="O7" s="183">
        <v>-27</v>
      </c>
      <c r="P7" s="183">
        <v>-25</v>
      </c>
      <c r="Q7" s="183">
        <v>-27</v>
      </c>
      <c r="R7" s="183">
        <v>-26</v>
      </c>
      <c r="S7" s="183">
        <v>-28</v>
      </c>
      <c r="T7" s="183">
        <v>-25</v>
      </c>
      <c r="U7" s="183">
        <v>-21</v>
      </c>
      <c r="V7" s="183">
        <v>-27</v>
      </c>
      <c r="W7" s="184">
        <v>-28</v>
      </c>
      <c r="X7" s="217"/>
      <c r="Y7" s="197" t="s">
        <v>242</v>
      </c>
      <c r="Z7" s="198">
        <v>-36</v>
      </c>
      <c r="AA7" s="199">
        <v>-34</v>
      </c>
      <c r="AB7" s="199">
        <v>-33</v>
      </c>
      <c r="AC7" s="199">
        <v>-35</v>
      </c>
      <c r="AD7" s="199">
        <v>-33</v>
      </c>
      <c r="AE7" s="199">
        <v>-34</v>
      </c>
      <c r="AF7" s="199">
        <v>-29</v>
      </c>
      <c r="AG7" s="199">
        <v>-26</v>
      </c>
      <c r="AH7" s="199">
        <v>-32</v>
      </c>
      <c r="AI7" s="200">
        <v>-33</v>
      </c>
      <c r="AJ7" s="217"/>
      <c r="AK7" s="197" t="s">
        <v>242</v>
      </c>
      <c r="AL7" s="198">
        <v>-44</v>
      </c>
      <c r="AM7" s="199">
        <v>-42</v>
      </c>
      <c r="AN7" s="199">
        <v>-40</v>
      </c>
      <c r="AO7" s="199">
        <v>-40</v>
      </c>
      <c r="AP7" s="199">
        <v>-38</v>
      </c>
      <c r="AQ7" s="199">
        <v>-40</v>
      </c>
      <c r="AR7" s="199">
        <v>-36</v>
      </c>
      <c r="AS7" s="199">
        <v>-32</v>
      </c>
      <c r="AT7" s="199">
        <v>-38</v>
      </c>
      <c r="AU7" s="200">
        <v>-39</v>
      </c>
      <c r="AW7" s="197" t="s">
        <v>242</v>
      </c>
      <c r="AX7" s="201">
        <f t="shared" si="1"/>
        <v>-49</v>
      </c>
      <c r="AY7" s="202">
        <f t="shared" si="0"/>
        <v>-47</v>
      </c>
      <c r="AZ7" s="202">
        <f t="shared" si="0"/>
        <v>-45</v>
      </c>
      <c r="BA7" s="202">
        <f t="shared" si="0"/>
        <v>-45</v>
      </c>
      <c r="BB7" s="202">
        <f t="shared" si="0"/>
        <v>-43</v>
      </c>
      <c r="BC7" s="202">
        <f t="shared" si="0"/>
        <v>-45</v>
      </c>
      <c r="BD7" s="202">
        <f t="shared" si="0"/>
        <v>-41</v>
      </c>
      <c r="BE7" s="202">
        <f t="shared" si="0"/>
        <v>-37</v>
      </c>
      <c r="BF7" s="202">
        <f t="shared" si="0"/>
        <v>-43</v>
      </c>
      <c r="BG7" s="203">
        <f t="shared" si="0"/>
        <v>-44</v>
      </c>
    </row>
    <row r="8" spans="1:59" ht="14.45" x14ac:dyDescent="0.3">
      <c r="A8" s="195" t="s">
        <v>250</v>
      </c>
      <c r="B8" s="183">
        <v>-18</v>
      </c>
      <c r="C8" s="183">
        <v>-20</v>
      </c>
      <c r="D8" s="183">
        <v>-19</v>
      </c>
      <c r="E8" s="183">
        <v>-19</v>
      </c>
      <c r="F8" s="183">
        <v>-18</v>
      </c>
      <c r="G8" s="183">
        <v>-22</v>
      </c>
      <c r="H8" s="183">
        <v>-19</v>
      </c>
      <c r="I8" s="183">
        <v>-19</v>
      </c>
      <c r="J8" s="183">
        <v>-26</v>
      </c>
      <c r="K8" s="184">
        <v>-26</v>
      </c>
      <c r="L8" s="217"/>
      <c r="M8" s="195" t="s">
        <v>250</v>
      </c>
      <c r="N8" s="196">
        <v>-28</v>
      </c>
      <c r="O8" s="183">
        <v>-29</v>
      </c>
      <c r="P8" s="183">
        <v>-27</v>
      </c>
      <c r="Q8" s="183">
        <v>-26</v>
      </c>
      <c r="R8" s="183">
        <v>-24</v>
      </c>
      <c r="S8" s="183">
        <v>-27</v>
      </c>
      <c r="T8" s="183">
        <v>-23</v>
      </c>
      <c r="U8" s="183">
        <v>-22</v>
      </c>
      <c r="V8" s="183">
        <v>-29</v>
      </c>
      <c r="W8" s="184">
        <v>-29</v>
      </c>
      <c r="X8" s="217"/>
      <c r="Y8" s="197" t="s">
        <v>250</v>
      </c>
      <c r="Z8" s="198">
        <v>-36</v>
      </c>
      <c r="AA8" s="199">
        <v>-36</v>
      </c>
      <c r="AB8" s="199">
        <v>-35</v>
      </c>
      <c r="AC8" s="199">
        <v>-34</v>
      </c>
      <c r="AD8" s="199">
        <v>-31</v>
      </c>
      <c r="AE8" s="199">
        <v>-33</v>
      </c>
      <c r="AF8" s="199">
        <v>-27</v>
      </c>
      <c r="AG8" s="199">
        <v>-27</v>
      </c>
      <c r="AH8" s="199">
        <v>-34</v>
      </c>
      <c r="AI8" s="200">
        <v>-34</v>
      </c>
      <c r="AJ8" s="217"/>
      <c r="AK8" s="197" t="s">
        <v>250</v>
      </c>
      <c r="AL8" s="198">
        <v>-44</v>
      </c>
      <c r="AM8" s="199">
        <v>-44</v>
      </c>
      <c r="AN8" s="199">
        <v>-42</v>
      </c>
      <c r="AO8" s="199">
        <v>-39</v>
      </c>
      <c r="AP8" s="199">
        <v>-36</v>
      </c>
      <c r="AQ8" s="199">
        <v>-39</v>
      </c>
      <c r="AR8" s="199">
        <v>-34</v>
      </c>
      <c r="AS8" s="199">
        <v>-33</v>
      </c>
      <c r="AT8" s="199">
        <v>-40</v>
      </c>
      <c r="AU8" s="200">
        <v>-40</v>
      </c>
      <c r="AW8" s="197" t="s">
        <v>250</v>
      </c>
      <c r="AX8" s="201">
        <f t="shared" si="1"/>
        <v>-49</v>
      </c>
      <c r="AY8" s="202">
        <f t="shared" si="0"/>
        <v>-49</v>
      </c>
      <c r="AZ8" s="202">
        <f t="shared" si="0"/>
        <v>-47</v>
      </c>
      <c r="BA8" s="202">
        <f t="shared" si="0"/>
        <v>-44</v>
      </c>
      <c r="BB8" s="202">
        <f t="shared" si="0"/>
        <v>-41</v>
      </c>
      <c r="BC8" s="202">
        <f t="shared" si="0"/>
        <v>-44</v>
      </c>
      <c r="BD8" s="202">
        <f t="shared" si="0"/>
        <v>-39</v>
      </c>
      <c r="BE8" s="202">
        <f t="shared" si="0"/>
        <v>-38</v>
      </c>
      <c r="BF8" s="202">
        <f t="shared" si="0"/>
        <v>-45</v>
      </c>
      <c r="BG8" s="203">
        <f t="shared" si="0"/>
        <v>-45</v>
      </c>
    </row>
    <row r="9" spans="1:59" ht="14.45" x14ac:dyDescent="0.3">
      <c r="A9" s="195" t="s">
        <v>258</v>
      </c>
      <c r="B9" s="183">
        <v>-22</v>
      </c>
      <c r="C9" s="183">
        <v>-23</v>
      </c>
      <c r="D9" s="183">
        <v>-19</v>
      </c>
      <c r="E9" s="183">
        <v>-21</v>
      </c>
      <c r="F9" s="183">
        <v>-20</v>
      </c>
      <c r="G9" s="183">
        <v>-20</v>
      </c>
      <c r="H9" s="183">
        <v>-19</v>
      </c>
      <c r="I9" s="183">
        <v>-26</v>
      </c>
      <c r="J9" s="183">
        <v>-27</v>
      </c>
      <c r="K9" s="184">
        <v>-27</v>
      </c>
      <c r="L9" s="217"/>
      <c r="M9" s="195" t="s">
        <v>258</v>
      </c>
      <c r="N9" s="196">
        <v>-30</v>
      </c>
      <c r="O9" s="183">
        <v>-31</v>
      </c>
      <c r="P9" s="183">
        <v>-26</v>
      </c>
      <c r="Q9" s="183">
        <v>-28</v>
      </c>
      <c r="R9" s="183">
        <v>-26</v>
      </c>
      <c r="S9" s="183">
        <v>-25</v>
      </c>
      <c r="T9" s="183">
        <v>-23</v>
      </c>
      <c r="U9" s="183">
        <v>-29</v>
      </c>
      <c r="V9" s="183">
        <v>-30</v>
      </c>
      <c r="W9" s="184">
        <v>-30</v>
      </c>
      <c r="X9" s="217"/>
      <c r="Y9" s="197" t="s">
        <v>258</v>
      </c>
      <c r="Z9" s="198">
        <v>-39</v>
      </c>
      <c r="AA9" s="199">
        <v>-38</v>
      </c>
      <c r="AB9" s="199">
        <v>-33</v>
      </c>
      <c r="AC9" s="199">
        <v>-35</v>
      </c>
      <c r="AD9" s="199">
        <v>-32</v>
      </c>
      <c r="AE9" s="199">
        <v>-30</v>
      </c>
      <c r="AF9" s="199">
        <v>-28</v>
      </c>
      <c r="AG9" s="199">
        <v>-34</v>
      </c>
      <c r="AH9" s="199">
        <v>-35</v>
      </c>
      <c r="AI9" s="200">
        <v>-35</v>
      </c>
      <c r="AJ9" s="217"/>
      <c r="AK9" s="197" t="s">
        <v>258</v>
      </c>
      <c r="AL9" s="198">
        <v>-44</v>
      </c>
      <c r="AM9" s="199">
        <v>-43</v>
      </c>
      <c r="AN9" s="199">
        <v>-38</v>
      </c>
      <c r="AO9" s="199">
        <v>-40</v>
      </c>
      <c r="AP9" s="199">
        <v>-37</v>
      </c>
      <c r="AQ9" s="199">
        <v>-35</v>
      </c>
      <c r="AR9" s="199">
        <v>-33</v>
      </c>
      <c r="AS9" s="199">
        <v>-39</v>
      </c>
      <c r="AT9" s="199">
        <v>-40</v>
      </c>
      <c r="AU9" s="200">
        <v>-40</v>
      </c>
      <c r="AW9" s="197" t="s">
        <v>258</v>
      </c>
      <c r="AX9" s="201">
        <f t="shared" si="1"/>
        <v>-49</v>
      </c>
      <c r="AY9" s="202">
        <f t="shared" si="0"/>
        <v>-48</v>
      </c>
      <c r="AZ9" s="202">
        <f t="shared" si="0"/>
        <v>-43</v>
      </c>
      <c r="BA9" s="202">
        <f t="shared" si="0"/>
        <v>-45</v>
      </c>
      <c r="BB9" s="202">
        <f t="shared" si="0"/>
        <v>-42</v>
      </c>
      <c r="BC9" s="202">
        <f t="shared" si="0"/>
        <v>-40</v>
      </c>
      <c r="BD9" s="202">
        <f t="shared" si="0"/>
        <v>-38</v>
      </c>
      <c r="BE9" s="202">
        <f t="shared" si="0"/>
        <v>-44</v>
      </c>
      <c r="BF9" s="202">
        <f t="shared" si="0"/>
        <v>-45</v>
      </c>
      <c r="BG9" s="203">
        <f t="shared" si="0"/>
        <v>-45</v>
      </c>
    </row>
    <row r="10" spans="1:59" thickBot="1" x14ac:dyDescent="0.35">
      <c r="A10" s="204" t="s">
        <v>265</v>
      </c>
      <c r="B10" s="205">
        <v>-24</v>
      </c>
      <c r="C10" s="205">
        <v>-27</v>
      </c>
      <c r="D10" s="205">
        <v>-25</v>
      </c>
      <c r="E10" s="205">
        <v>-25</v>
      </c>
      <c r="F10" s="205">
        <v>-22</v>
      </c>
      <c r="G10" s="205">
        <v>-22</v>
      </c>
      <c r="H10" s="205">
        <v>-21</v>
      </c>
      <c r="I10" s="205">
        <v>-24</v>
      </c>
      <c r="J10" s="205">
        <v>-26</v>
      </c>
      <c r="K10" s="206">
        <v>-25</v>
      </c>
      <c r="L10" s="217"/>
      <c r="M10" s="204" t="s">
        <v>265</v>
      </c>
      <c r="N10" s="207">
        <v>-32</v>
      </c>
      <c r="O10" s="205">
        <v>-35</v>
      </c>
      <c r="P10" s="205">
        <v>-32</v>
      </c>
      <c r="Q10" s="205">
        <v>-32</v>
      </c>
      <c r="R10" s="205">
        <v>-28</v>
      </c>
      <c r="S10" s="205">
        <v>-27</v>
      </c>
      <c r="T10" s="205">
        <v>-25</v>
      </c>
      <c r="U10" s="205">
        <v>-27</v>
      </c>
      <c r="V10" s="205">
        <v>-29</v>
      </c>
      <c r="W10" s="206">
        <v>-28</v>
      </c>
      <c r="X10" s="217"/>
      <c r="Y10" s="208" t="s">
        <v>265</v>
      </c>
      <c r="Z10" s="209">
        <v>-41</v>
      </c>
      <c r="AA10" s="210">
        <v>-42</v>
      </c>
      <c r="AB10" s="210">
        <v>-39</v>
      </c>
      <c r="AC10" s="210">
        <v>-39</v>
      </c>
      <c r="AD10" s="210">
        <v>-34</v>
      </c>
      <c r="AE10" s="210">
        <v>-32</v>
      </c>
      <c r="AF10" s="210">
        <v>-30</v>
      </c>
      <c r="AG10" s="210">
        <v>-32</v>
      </c>
      <c r="AH10" s="210">
        <v>-34</v>
      </c>
      <c r="AI10" s="211">
        <v>-33</v>
      </c>
      <c r="AJ10" s="217"/>
      <c r="AK10" s="208" t="s">
        <v>265</v>
      </c>
      <c r="AL10" s="209">
        <v>-46</v>
      </c>
      <c r="AM10" s="210">
        <v>-47</v>
      </c>
      <c r="AN10" s="210">
        <v>-44</v>
      </c>
      <c r="AO10" s="210">
        <v>-44</v>
      </c>
      <c r="AP10" s="210">
        <v>-39</v>
      </c>
      <c r="AQ10" s="210">
        <v>-37</v>
      </c>
      <c r="AR10" s="210">
        <v>-35</v>
      </c>
      <c r="AS10" s="210">
        <v>-37</v>
      </c>
      <c r="AT10" s="210">
        <v>-39</v>
      </c>
      <c r="AU10" s="211">
        <v>-38</v>
      </c>
      <c r="AW10" s="208" t="s">
        <v>265</v>
      </c>
      <c r="AX10" s="212">
        <f t="shared" si="1"/>
        <v>-51</v>
      </c>
      <c r="AY10" s="213">
        <f t="shared" si="0"/>
        <v>-52</v>
      </c>
      <c r="AZ10" s="213">
        <f t="shared" si="0"/>
        <v>-49</v>
      </c>
      <c r="BA10" s="213">
        <f t="shared" si="0"/>
        <v>-49</v>
      </c>
      <c r="BB10" s="213">
        <f t="shared" si="0"/>
        <v>-44</v>
      </c>
      <c r="BC10" s="213">
        <f t="shared" si="0"/>
        <v>-42</v>
      </c>
      <c r="BD10" s="213">
        <f t="shared" si="0"/>
        <v>-40</v>
      </c>
      <c r="BE10" s="213">
        <f t="shared" si="0"/>
        <v>-42</v>
      </c>
      <c r="BF10" s="213">
        <f t="shared" si="0"/>
        <v>-44</v>
      </c>
      <c r="BG10" s="214">
        <f t="shared" si="0"/>
        <v>-43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-20</v>
      </c>
      <c r="C15" s="186">
        <v>-15</v>
      </c>
      <c r="D15" s="186">
        <v>-13</v>
      </c>
      <c r="E15" s="186">
        <v>-18</v>
      </c>
      <c r="F15" s="186">
        <v>-24</v>
      </c>
      <c r="G15" s="186">
        <v>-22</v>
      </c>
      <c r="H15" s="186">
        <v>-23</v>
      </c>
      <c r="I15" s="186">
        <v>-20</v>
      </c>
      <c r="J15" s="186">
        <v>-19</v>
      </c>
      <c r="K15" s="187">
        <v>-24</v>
      </c>
      <c r="L15" s="217"/>
      <c r="M15" s="182" t="s">
        <v>187</v>
      </c>
      <c r="N15" s="185">
        <v>-30</v>
      </c>
      <c r="O15" s="186">
        <v>-24</v>
      </c>
      <c r="P15" s="186">
        <v>-21</v>
      </c>
      <c r="Q15" s="186">
        <v>-25</v>
      </c>
      <c r="R15" s="186">
        <v>-30</v>
      </c>
      <c r="S15" s="186">
        <v>-27</v>
      </c>
      <c r="T15" s="186">
        <v>-27</v>
      </c>
      <c r="U15" s="186">
        <v>-23</v>
      </c>
      <c r="V15" s="186">
        <v>-22</v>
      </c>
      <c r="W15" s="187">
        <v>-27</v>
      </c>
      <c r="X15" s="217"/>
      <c r="Y15" s="182" t="s">
        <v>187</v>
      </c>
      <c r="Z15" s="218">
        <v>-38</v>
      </c>
      <c r="AA15" s="219">
        <v>-32</v>
      </c>
      <c r="AB15" s="219">
        <v>-30</v>
      </c>
      <c r="AC15" s="219">
        <v>-35</v>
      </c>
      <c r="AD15" s="219">
        <v>-38</v>
      </c>
      <c r="AE15" s="219">
        <v>-34</v>
      </c>
      <c r="AF15" s="219">
        <v>-33</v>
      </c>
      <c r="AG15" s="219">
        <v>-29</v>
      </c>
      <c r="AH15" s="219">
        <v>-28</v>
      </c>
      <c r="AI15" s="220">
        <v>-33</v>
      </c>
      <c r="AJ15" s="217"/>
      <c r="AK15" s="188" t="s">
        <v>187</v>
      </c>
      <c r="AL15" s="189">
        <v>-47</v>
      </c>
      <c r="AM15" s="190">
        <v>-42</v>
      </c>
      <c r="AN15" s="190">
        <v>-39</v>
      </c>
      <c r="AO15" s="190">
        <v>-44</v>
      </c>
      <c r="AP15" s="190">
        <v>-47</v>
      </c>
      <c r="AQ15" s="190">
        <v>-43</v>
      </c>
      <c r="AR15" s="190">
        <v>-42</v>
      </c>
      <c r="AS15" s="190">
        <v>-37</v>
      </c>
      <c r="AT15" s="190">
        <v>-36</v>
      </c>
      <c r="AU15" s="191">
        <v>-41</v>
      </c>
      <c r="AW15" s="188" t="s">
        <v>187</v>
      </c>
      <c r="AX15" s="192">
        <f>AL15-5</f>
        <v>-52</v>
      </c>
      <c r="AY15" s="193">
        <f t="shared" ref="AY15:BG21" si="2">AM15-5</f>
        <v>-47</v>
      </c>
      <c r="AZ15" s="193">
        <f t="shared" si="2"/>
        <v>-44</v>
      </c>
      <c r="BA15" s="193">
        <f t="shared" si="2"/>
        <v>-49</v>
      </c>
      <c r="BB15" s="193">
        <f t="shared" si="2"/>
        <v>-52</v>
      </c>
      <c r="BC15" s="193">
        <f t="shared" si="2"/>
        <v>-48</v>
      </c>
      <c r="BD15" s="193">
        <f t="shared" si="2"/>
        <v>-47</v>
      </c>
      <c r="BE15" s="193">
        <f t="shared" si="2"/>
        <v>-42</v>
      </c>
      <c r="BF15" s="193">
        <f t="shared" si="2"/>
        <v>-41</v>
      </c>
      <c r="BG15" s="194">
        <f t="shared" si="2"/>
        <v>-46</v>
      </c>
    </row>
    <row r="16" spans="1:59" ht="14.45" x14ac:dyDescent="0.3">
      <c r="A16" s="195" t="s">
        <v>214</v>
      </c>
      <c r="B16" s="196">
        <v>-15</v>
      </c>
      <c r="C16" s="183">
        <v>-13</v>
      </c>
      <c r="D16" s="183">
        <v>-15</v>
      </c>
      <c r="E16" s="183">
        <v>-15</v>
      </c>
      <c r="F16" s="183">
        <v>-23</v>
      </c>
      <c r="G16" s="183">
        <v>-24</v>
      </c>
      <c r="H16" s="183">
        <v>-23</v>
      </c>
      <c r="I16" s="183">
        <v>-20</v>
      </c>
      <c r="J16" s="183">
        <v>-21</v>
      </c>
      <c r="K16" s="184">
        <v>-27</v>
      </c>
      <c r="L16" s="217"/>
      <c r="M16" s="195" t="s">
        <v>214</v>
      </c>
      <c r="N16" s="196">
        <v>-25</v>
      </c>
      <c r="O16" s="183">
        <v>-22</v>
      </c>
      <c r="P16" s="183">
        <v>-23</v>
      </c>
      <c r="Q16" s="183">
        <v>-22</v>
      </c>
      <c r="R16" s="183">
        <v>-29</v>
      </c>
      <c r="S16" s="183">
        <v>-29</v>
      </c>
      <c r="T16" s="183">
        <v>-27</v>
      </c>
      <c r="U16" s="183">
        <v>-23</v>
      </c>
      <c r="V16" s="183">
        <v>-24</v>
      </c>
      <c r="W16" s="184">
        <v>-30</v>
      </c>
      <c r="X16" s="217"/>
      <c r="Y16" s="195" t="s">
        <v>214</v>
      </c>
      <c r="Z16" s="221">
        <v>-33</v>
      </c>
      <c r="AA16" s="222">
        <v>-30</v>
      </c>
      <c r="AB16" s="222">
        <v>-32</v>
      </c>
      <c r="AC16" s="222">
        <v>-32</v>
      </c>
      <c r="AD16" s="222">
        <v>-37</v>
      </c>
      <c r="AE16" s="222">
        <v>-36</v>
      </c>
      <c r="AF16" s="222">
        <v>-33</v>
      </c>
      <c r="AG16" s="222">
        <v>-29</v>
      </c>
      <c r="AH16" s="222">
        <v>-30</v>
      </c>
      <c r="AI16" s="223">
        <v>-36</v>
      </c>
      <c r="AJ16" s="217"/>
      <c r="AK16" s="197" t="s">
        <v>214</v>
      </c>
      <c r="AL16" s="198">
        <v>-42</v>
      </c>
      <c r="AM16" s="199">
        <v>-40</v>
      </c>
      <c r="AN16" s="199">
        <v>-41</v>
      </c>
      <c r="AO16" s="199">
        <v>-41</v>
      </c>
      <c r="AP16" s="199">
        <v>-46</v>
      </c>
      <c r="AQ16" s="199">
        <v>-45</v>
      </c>
      <c r="AR16" s="199">
        <v>-42</v>
      </c>
      <c r="AS16" s="199">
        <v>-37</v>
      </c>
      <c r="AT16" s="199">
        <v>-38</v>
      </c>
      <c r="AU16" s="200">
        <v>-44</v>
      </c>
      <c r="AW16" s="197" t="s">
        <v>214</v>
      </c>
      <c r="AX16" s="201">
        <f t="shared" ref="AX16:AX21" si="3">AL16-5</f>
        <v>-47</v>
      </c>
      <c r="AY16" s="202">
        <f t="shared" si="2"/>
        <v>-45</v>
      </c>
      <c r="AZ16" s="202">
        <f t="shared" si="2"/>
        <v>-46</v>
      </c>
      <c r="BA16" s="202">
        <f t="shared" si="2"/>
        <v>-46</v>
      </c>
      <c r="BB16" s="202">
        <f t="shared" si="2"/>
        <v>-51</v>
      </c>
      <c r="BC16" s="202">
        <f t="shared" si="2"/>
        <v>-50</v>
      </c>
      <c r="BD16" s="202">
        <f t="shared" si="2"/>
        <v>-47</v>
      </c>
      <c r="BE16" s="202">
        <f t="shared" si="2"/>
        <v>-42</v>
      </c>
      <c r="BF16" s="202">
        <f t="shared" si="2"/>
        <v>-43</v>
      </c>
      <c r="BG16" s="203">
        <f t="shared" si="2"/>
        <v>-49</v>
      </c>
    </row>
    <row r="17" spans="1:59" ht="14.45" x14ac:dyDescent="0.3">
      <c r="A17" s="195" t="s">
        <v>233</v>
      </c>
      <c r="B17" s="196">
        <v>-19</v>
      </c>
      <c r="C17" s="183">
        <v>-19</v>
      </c>
      <c r="D17" s="183">
        <v>-19</v>
      </c>
      <c r="E17" s="183">
        <v>-20</v>
      </c>
      <c r="F17" s="183">
        <v>-25</v>
      </c>
      <c r="G17" s="183">
        <v>-24</v>
      </c>
      <c r="H17" s="183">
        <v>-22</v>
      </c>
      <c r="I17" s="183">
        <v>-17</v>
      </c>
      <c r="J17" s="183">
        <v>-25</v>
      </c>
      <c r="K17" s="184">
        <v>-30</v>
      </c>
      <c r="L17" s="217"/>
      <c r="M17" s="195" t="s">
        <v>233</v>
      </c>
      <c r="N17" s="196">
        <v>-29</v>
      </c>
      <c r="O17" s="183">
        <v>-28</v>
      </c>
      <c r="P17" s="183">
        <v>-27</v>
      </c>
      <c r="Q17" s="183">
        <v>-27</v>
      </c>
      <c r="R17" s="183">
        <v>-31</v>
      </c>
      <c r="S17" s="183">
        <v>-29</v>
      </c>
      <c r="T17" s="183">
        <v>-26</v>
      </c>
      <c r="U17" s="183">
        <v>-20</v>
      </c>
      <c r="V17" s="183">
        <v>-28</v>
      </c>
      <c r="W17" s="184">
        <v>-33</v>
      </c>
      <c r="X17" s="217"/>
      <c r="Y17" s="195" t="s">
        <v>233</v>
      </c>
      <c r="Z17" s="221">
        <v>-37</v>
      </c>
      <c r="AA17" s="222">
        <v>-36</v>
      </c>
      <c r="AB17" s="222">
        <v>-36</v>
      </c>
      <c r="AC17" s="222">
        <v>-37</v>
      </c>
      <c r="AD17" s="222">
        <v>-39</v>
      </c>
      <c r="AE17" s="222">
        <v>-36</v>
      </c>
      <c r="AF17" s="222">
        <v>-32</v>
      </c>
      <c r="AG17" s="222">
        <v>-26</v>
      </c>
      <c r="AH17" s="222">
        <v>-34</v>
      </c>
      <c r="AI17" s="223">
        <v>-39</v>
      </c>
      <c r="AJ17" s="217"/>
      <c r="AK17" s="197" t="s">
        <v>233</v>
      </c>
      <c r="AL17" s="198">
        <v>-46</v>
      </c>
      <c r="AM17" s="199">
        <v>-46</v>
      </c>
      <c r="AN17" s="199">
        <v>-45</v>
      </c>
      <c r="AO17" s="199">
        <v>-46</v>
      </c>
      <c r="AP17" s="199">
        <v>-48</v>
      </c>
      <c r="AQ17" s="199">
        <v>-45</v>
      </c>
      <c r="AR17" s="199">
        <v>-41</v>
      </c>
      <c r="AS17" s="199">
        <v>-34</v>
      </c>
      <c r="AT17" s="199">
        <v>-42</v>
      </c>
      <c r="AU17" s="200">
        <v>-47</v>
      </c>
      <c r="AW17" s="197" t="s">
        <v>233</v>
      </c>
      <c r="AX17" s="201">
        <f t="shared" si="3"/>
        <v>-51</v>
      </c>
      <c r="AY17" s="202">
        <f t="shared" si="2"/>
        <v>-51</v>
      </c>
      <c r="AZ17" s="202">
        <f t="shared" si="2"/>
        <v>-50</v>
      </c>
      <c r="BA17" s="202">
        <f t="shared" si="2"/>
        <v>-51</v>
      </c>
      <c r="BB17" s="202">
        <f t="shared" si="2"/>
        <v>-53</v>
      </c>
      <c r="BC17" s="202">
        <f t="shared" si="2"/>
        <v>-50</v>
      </c>
      <c r="BD17" s="202">
        <f t="shared" si="2"/>
        <v>-46</v>
      </c>
      <c r="BE17" s="202">
        <f t="shared" si="2"/>
        <v>-39</v>
      </c>
      <c r="BF17" s="202">
        <f t="shared" si="2"/>
        <v>-47</v>
      </c>
      <c r="BG17" s="203">
        <f t="shared" si="2"/>
        <v>-52</v>
      </c>
    </row>
    <row r="18" spans="1:59" ht="14.45" x14ac:dyDescent="0.3">
      <c r="A18" s="195" t="s">
        <v>242</v>
      </c>
      <c r="B18" s="196">
        <v>-22</v>
      </c>
      <c r="C18" s="183">
        <v>-22</v>
      </c>
      <c r="D18" s="183">
        <v>-21</v>
      </c>
      <c r="E18" s="183">
        <v>-24</v>
      </c>
      <c r="F18" s="183">
        <v>-24</v>
      </c>
      <c r="G18" s="183">
        <v>-27</v>
      </c>
      <c r="H18" s="183">
        <v>-24</v>
      </c>
      <c r="I18" s="183">
        <v>-20</v>
      </c>
      <c r="J18" s="183">
        <v>-26</v>
      </c>
      <c r="K18" s="184">
        <v>-27</v>
      </c>
      <c r="L18" s="217"/>
      <c r="M18" s="195" t="s">
        <v>242</v>
      </c>
      <c r="N18" s="196">
        <v>-32</v>
      </c>
      <c r="O18" s="183">
        <v>-31</v>
      </c>
      <c r="P18" s="183">
        <v>-29</v>
      </c>
      <c r="Q18" s="183">
        <v>-31</v>
      </c>
      <c r="R18" s="183">
        <v>-30</v>
      </c>
      <c r="S18" s="183">
        <v>-32</v>
      </c>
      <c r="T18" s="183">
        <v>-28</v>
      </c>
      <c r="U18" s="183">
        <v>-23</v>
      </c>
      <c r="V18" s="183">
        <v>-29</v>
      </c>
      <c r="W18" s="184">
        <v>-30</v>
      </c>
      <c r="X18" s="217"/>
      <c r="Y18" s="195" t="s">
        <v>242</v>
      </c>
      <c r="Z18" s="221">
        <v>-40</v>
      </c>
      <c r="AA18" s="222">
        <v>-38</v>
      </c>
      <c r="AB18" s="222">
        <v>-37</v>
      </c>
      <c r="AC18" s="222">
        <v>-39</v>
      </c>
      <c r="AD18" s="222">
        <v>-37</v>
      </c>
      <c r="AE18" s="222">
        <v>-38</v>
      </c>
      <c r="AF18" s="222">
        <v>-32</v>
      </c>
      <c r="AG18" s="222">
        <v>-28</v>
      </c>
      <c r="AH18" s="222">
        <v>-34</v>
      </c>
      <c r="AI18" s="223">
        <v>-35</v>
      </c>
      <c r="AJ18" s="217"/>
      <c r="AK18" s="197" t="s">
        <v>242</v>
      </c>
      <c r="AL18" s="198">
        <v>-48</v>
      </c>
      <c r="AM18" s="199">
        <v>-46</v>
      </c>
      <c r="AN18" s="199">
        <v>-44</v>
      </c>
      <c r="AO18" s="199">
        <v>-44</v>
      </c>
      <c r="AP18" s="199">
        <v>-42</v>
      </c>
      <c r="AQ18" s="199">
        <v>-44</v>
      </c>
      <c r="AR18" s="199">
        <v>-39</v>
      </c>
      <c r="AS18" s="199">
        <v>-34</v>
      </c>
      <c r="AT18" s="199">
        <v>-40</v>
      </c>
      <c r="AU18" s="200">
        <v>-41</v>
      </c>
      <c r="AW18" s="197" t="s">
        <v>242</v>
      </c>
      <c r="AX18" s="201">
        <f t="shared" si="3"/>
        <v>-53</v>
      </c>
      <c r="AY18" s="202">
        <f t="shared" si="2"/>
        <v>-51</v>
      </c>
      <c r="AZ18" s="202">
        <f t="shared" si="2"/>
        <v>-49</v>
      </c>
      <c r="BA18" s="202">
        <f t="shared" si="2"/>
        <v>-49</v>
      </c>
      <c r="BB18" s="202">
        <f t="shared" si="2"/>
        <v>-47</v>
      </c>
      <c r="BC18" s="202">
        <f t="shared" si="2"/>
        <v>-49</v>
      </c>
      <c r="BD18" s="202">
        <f t="shared" si="2"/>
        <v>-44</v>
      </c>
      <c r="BE18" s="202">
        <f t="shared" si="2"/>
        <v>-39</v>
      </c>
      <c r="BF18" s="202">
        <f t="shared" si="2"/>
        <v>-45</v>
      </c>
      <c r="BG18" s="203">
        <f t="shared" si="2"/>
        <v>-46</v>
      </c>
    </row>
    <row r="19" spans="1:59" ht="14.45" x14ac:dyDescent="0.3">
      <c r="A19" s="195" t="s">
        <v>250</v>
      </c>
      <c r="B19" s="196">
        <v>-22</v>
      </c>
      <c r="C19" s="183">
        <v>-24</v>
      </c>
      <c r="D19" s="183">
        <v>-23</v>
      </c>
      <c r="E19" s="183">
        <v>-23</v>
      </c>
      <c r="F19" s="183">
        <v>-22</v>
      </c>
      <c r="G19" s="183">
        <v>-26</v>
      </c>
      <c r="H19" s="183">
        <v>-22</v>
      </c>
      <c r="I19" s="183">
        <v>-21</v>
      </c>
      <c r="J19" s="183">
        <v>-28</v>
      </c>
      <c r="K19" s="184">
        <v>-28</v>
      </c>
      <c r="L19" s="217"/>
      <c r="M19" s="195" t="s">
        <v>250</v>
      </c>
      <c r="N19" s="196">
        <v>-32</v>
      </c>
      <c r="O19" s="183">
        <v>-33</v>
      </c>
      <c r="P19" s="183">
        <v>-31</v>
      </c>
      <c r="Q19" s="183">
        <v>-30</v>
      </c>
      <c r="R19" s="183">
        <v>-28</v>
      </c>
      <c r="S19" s="183">
        <v>-31</v>
      </c>
      <c r="T19" s="183">
        <v>-26</v>
      </c>
      <c r="U19" s="183">
        <v>-24</v>
      </c>
      <c r="V19" s="183">
        <v>-31</v>
      </c>
      <c r="W19" s="184">
        <v>-31</v>
      </c>
      <c r="X19" s="217"/>
      <c r="Y19" s="195" t="s">
        <v>250</v>
      </c>
      <c r="Z19" s="221">
        <v>-40</v>
      </c>
      <c r="AA19" s="222">
        <v>-40</v>
      </c>
      <c r="AB19" s="222">
        <v>-39</v>
      </c>
      <c r="AC19" s="222">
        <v>-38</v>
      </c>
      <c r="AD19" s="222">
        <v>-35</v>
      </c>
      <c r="AE19" s="222">
        <v>-37</v>
      </c>
      <c r="AF19" s="222">
        <v>-30</v>
      </c>
      <c r="AG19" s="222">
        <v>-29</v>
      </c>
      <c r="AH19" s="222">
        <v>-36</v>
      </c>
      <c r="AI19" s="223">
        <v>-36</v>
      </c>
      <c r="AJ19" s="217"/>
      <c r="AK19" s="197" t="s">
        <v>250</v>
      </c>
      <c r="AL19" s="198">
        <v>-48</v>
      </c>
      <c r="AM19" s="199">
        <v>-48</v>
      </c>
      <c r="AN19" s="199">
        <v>-46</v>
      </c>
      <c r="AO19" s="199">
        <v>-43</v>
      </c>
      <c r="AP19" s="199">
        <v>-40</v>
      </c>
      <c r="AQ19" s="199">
        <v>-43</v>
      </c>
      <c r="AR19" s="199">
        <v>-37</v>
      </c>
      <c r="AS19" s="199">
        <v>-35</v>
      </c>
      <c r="AT19" s="199">
        <v>-42</v>
      </c>
      <c r="AU19" s="200">
        <v>-42</v>
      </c>
      <c r="AW19" s="197" t="s">
        <v>250</v>
      </c>
      <c r="AX19" s="201">
        <f t="shared" si="3"/>
        <v>-53</v>
      </c>
      <c r="AY19" s="202">
        <f t="shared" si="2"/>
        <v>-53</v>
      </c>
      <c r="AZ19" s="202">
        <f t="shared" si="2"/>
        <v>-51</v>
      </c>
      <c r="BA19" s="202">
        <f t="shared" si="2"/>
        <v>-48</v>
      </c>
      <c r="BB19" s="202">
        <f t="shared" si="2"/>
        <v>-45</v>
      </c>
      <c r="BC19" s="202">
        <f t="shared" si="2"/>
        <v>-48</v>
      </c>
      <c r="BD19" s="202">
        <f t="shared" si="2"/>
        <v>-42</v>
      </c>
      <c r="BE19" s="202">
        <f t="shared" si="2"/>
        <v>-40</v>
      </c>
      <c r="BF19" s="202">
        <f t="shared" si="2"/>
        <v>-47</v>
      </c>
      <c r="BG19" s="203">
        <f t="shared" si="2"/>
        <v>-47</v>
      </c>
    </row>
    <row r="20" spans="1:59" ht="14.45" x14ac:dyDescent="0.3">
      <c r="A20" s="195" t="s">
        <v>258</v>
      </c>
      <c r="B20" s="196">
        <v>-26</v>
      </c>
      <c r="C20" s="183">
        <v>-27</v>
      </c>
      <c r="D20" s="183">
        <v>-23</v>
      </c>
      <c r="E20" s="183">
        <v>-25</v>
      </c>
      <c r="F20" s="183">
        <v>-24</v>
      </c>
      <c r="G20" s="183">
        <v>-23</v>
      </c>
      <c r="H20" s="183">
        <v>-21</v>
      </c>
      <c r="I20" s="183">
        <v>-28</v>
      </c>
      <c r="J20" s="183">
        <v>-29</v>
      </c>
      <c r="K20" s="184">
        <v>-29</v>
      </c>
      <c r="L20" s="217"/>
      <c r="M20" s="195" t="s">
        <v>258</v>
      </c>
      <c r="N20" s="196">
        <v>-34</v>
      </c>
      <c r="O20" s="183">
        <v>-35</v>
      </c>
      <c r="P20" s="183">
        <v>-30</v>
      </c>
      <c r="Q20" s="183">
        <v>-32</v>
      </c>
      <c r="R20" s="183">
        <v>-30</v>
      </c>
      <c r="S20" s="183">
        <v>-28</v>
      </c>
      <c r="T20" s="183">
        <v>-25</v>
      </c>
      <c r="U20" s="183">
        <v>-31</v>
      </c>
      <c r="V20" s="183">
        <v>-32</v>
      </c>
      <c r="W20" s="184">
        <v>-32</v>
      </c>
      <c r="X20" s="217"/>
      <c r="Y20" s="195" t="s">
        <v>258</v>
      </c>
      <c r="Z20" s="221">
        <v>-43</v>
      </c>
      <c r="AA20" s="222">
        <v>-42</v>
      </c>
      <c r="AB20" s="222">
        <v>-37</v>
      </c>
      <c r="AC20" s="222">
        <v>-39</v>
      </c>
      <c r="AD20" s="222">
        <v>-36</v>
      </c>
      <c r="AE20" s="222">
        <v>-33</v>
      </c>
      <c r="AF20" s="222">
        <v>-30</v>
      </c>
      <c r="AG20" s="222">
        <v>-36</v>
      </c>
      <c r="AH20" s="222">
        <v>-37</v>
      </c>
      <c r="AI20" s="223">
        <v>-37</v>
      </c>
      <c r="AJ20" s="217"/>
      <c r="AK20" s="197" t="s">
        <v>258</v>
      </c>
      <c r="AL20" s="198">
        <v>-48</v>
      </c>
      <c r="AM20" s="199">
        <v>-47</v>
      </c>
      <c r="AN20" s="199">
        <v>-42</v>
      </c>
      <c r="AO20" s="199">
        <v>-44</v>
      </c>
      <c r="AP20" s="199">
        <v>-41</v>
      </c>
      <c r="AQ20" s="199">
        <v>-38</v>
      </c>
      <c r="AR20" s="199">
        <v>-35</v>
      </c>
      <c r="AS20" s="199">
        <v>-41</v>
      </c>
      <c r="AT20" s="199">
        <v>-42</v>
      </c>
      <c r="AU20" s="200">
        <v>-42</v>
      </c>
      <c r="AW20" s="197" t="s">
        <v>258</v>
      </c>
      <c r="AX20" s="201">
        <f t="shared" si="3"/>
        <v>-53</v>
      </c>
      <c r="AY20" s="202">
        <f t="shared" si="2"/>
        <v>-52</v>
      </c>
      <c r="AZ20" s="202">
        <f t="shared" si="2"/>
        <v>-47</v>
      </c>
      <c r="BA20" s="202">
        <f t="shared" si="2"/>
        <v>-49</v>
      </c>
      <c r="BB20" s="202">
        <f t="shared" si="2"/>
        <v>-46</v>
      </c>
      <c r="BC20" s="202">
        <f t="shared" si="2"/>
        <v>-43</v>
      </c>
      <c r="BD20" s="202">
        <f t="shared" si="2"/>
        <v>-40</v>
      </c>
      <c r="BE20" s="202">
        <f t="shared" si="2"/>
        <v>-46</v>
      </c>
      <c r="BF20" s="202">
        <f t="shared" si="2"/>
        <v>-47</v>
      </c>
      <c r="BG20" s="203">
        <f t="shared" si="2"/>
        <v>-47</v>
      </c>
    </row>
    <row r="21" spans="1:59" thickBot="1" x14ac:dyDescent="0.35">
      <c r="A21" s="204" t="s">
        <v>265</v>
      </c>
      <c r="B21" s="207">
        <v>-28</v>
      </c>
      <c r="C21" s="205">
        <v>-31</v>
      </c>
      <c r="D21" s="205">
        <v>-29</v>
      </c>
      <c r="E21" s="205">
        <v>-29</v>
      </c>
      <c r="F21" s="205">
        <v>-26</v>
      </c>
      <c r="G21" s="205">
        <v>-25</v>
      </c>
      <c r="H21" s="205">
        <v>-23</v>
      </c>
      <c r="I21" s="205">
        <v>-26</v>
      </c>
      <c r="J21" s="205">
        <v>-28</v>
      </c>
      <c r="K21" s="206">
        <v>-27</v>
      </c>
      <c r="L21" s="217"/>
      <c r="M21" s="204" t="s">
        <v>265</v>
      </c>
      <c r="N21" s="207">
        <v>-36</v>
      </c>
      <c r="O21" s="205">
        <v>-39</v>
      </c>
      <c r="P21" s="205">
        <v>-36</v>
      </c>
      <c r="Q21" s="205">
        <v>-36</v>
      </c>
      <c r="R21" s="205">
        <v>-32</v>
      </c>
      <c r="S21" s="205">
        <v>-30</v>
      </c>
      <c r="T21" s="205">
        <v>-27</v>
      </c>
      <c r="U21" s="205">
        <v>-29</v>
      </c>
      <c r="V21" s="205">
        <v>-31</v>
      </c>
      <c r="W21" s="206">
        <v>-30</v>
      </c>
      <c r="X21" s="217"/>
      <c r="Y21" s="204" t="s">
        <v>265</v>
      </c>
      <c r="Z21" s="224">
        <v>-45</v>
      </c>
      <c r="AA21" s="225">
        <v>-46</v>
      </c>
      <c r="AB21" s="225">
        <v>-43</v>
      </c>
      <c r="AC21" s="225">
        <v>-43</v>
      </c>
      <c r="AD21" s="225">
        <v>-38</v>
      </c>
      <c r="AE21" s="225">
        <v>-35</v>
      </c>
      <c r="AF21" s="225">
        <v>-32</v>
      </c>
      <c r="AG21" s="225">
        <v>-34</v>
      </c>
      <c r="AH21" s="225">
        <v>-36</v>
      </c>
      <c r="AI21" s="226">
        <v>-35</v>
      </c>
      <c r="AJ21" s="217"/>
      <c r="AK21" s="208" t="s">
        <v>265</v>
      </c>
      <c r="AL21" s="209">
        <v>-50</v>
      </c>
      <c r="AM21" s="210">
        <v>-51</v>
      </c>
      <c r="AN21" s="210">
        <v>-48</v>
      </c>
      <c r="AO21" s="210">
        <v>-48</v>
      </c>
      <c r="AP21" s="210">
        <v>-43</v>
      </c>
      <c r="AQ21" s="210">
        <v>-40</v>
      </c>
      <c r="AR21" s="210">
        <v>-37</v>
      </c>
      <c r="AS21" s="210">
        <v>-39</v>
      </c>
      <c r="AT21" s="210">
        <v>-41</v>
      </c>
      <c r="AU21" s="211">
        <v>-40</v>
      </c>
      <c r="AW21" s="208" t="s">
        <v>265</v>
      </c>
      <c r="AX21" s="212">
        <f t="shared" si="3"/>
        <v>-55</v>
      </c>
      <c r="AY21" s="213">
        <f t="shared" si="2"/>
        <v>-56</v>
      </c>
      <c r="AZ21" s="213">
        <f t="shared" si="2"/>
        <v>-53</v>
      </c>
      <c r="BA21" s="213">
        <f t="shared" si="2"/>
        <v>-53</v>
      </c>
      <c r="BB21" s="213">
        <f t="shared" si="2"/>
        <v>-48</v>
      </c>
      <c r="BC21" s="213">
        <f t="shared" si="2"/>
        <v>-45</v>
      </c>
      <c r="BD21" s="213">
        <f t="shared" si="2"/>
        <v>-42</v>
      </c>
      <c r="BE21" s="213">
        <f t="shared" si="2"/>
        <v>-44</v>
      </c>
      <c r="BF21" s="213">
        <f t="shared" si="2"/>
        <v>-46</v>
      </c>
      <c r="BG21" s="214">
        <f t="shared" si="2"/>
        <v>-45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-30</v>
      </c>
      <c r="C26" s="186">
        <v>-25</v>
      </c>
      <c r="D26" s="186">
        <v>-23</v>
      </c>
      <c r="E26" s="186">
        <v>-28</v>
      </c>
      <c r="F26" s="186">
        <v>-33</v>
      </c>
      <c r="G26" s="186">
        <v>-29</v>
      </c>
      <c r="H26" s="186">
        <v>-30</v>
      </c>
      <c r="I26" s="186">
        <v>-27</v>
      </c>
      <c r="J26" s="186">
        <v>-26</v>
      </c>
      <c r="K26" s="187">
        <v>-31</v>
      </c>
      <c r="L26" s="217"/>
      <c r="M26" s="182" t="s">
        <v>187</v>
      </c>
      <c r="N26" s="185">
        <v>-40</v>
      </c>
      <c r="O26" s="186">
        <v>-34</v>
      </c>
      <c r="P26" s="186">
        <v>-31</v>
      </c>
      <c r="Q26" s="186">
        <v>-35</v>
      </c>
      <c r="R26" s="186">
        <v>-39</v>
      </c>
      <c r="S26" s="186">
        <v>-34</v>
      </c>
      <c r="T26" s="186">
        <v>-34</v>
      </c>
      <c r="U26" s="186">
        <v>-30</v>
      </c>
      <c r="V26" s="186">
        <v>-29</v>
      </c>
      <c r="W26" s="187">
        <v>-34</v>
      </c>
      <c r="X26" s="217"/>
      <c r="Y26" s="188" t="s">
        <v>187</v>
      </c>
      <c r="Z26" s="227">
        <v>-48</v>
      </c>
      <c r="AA26" s="228">
        <v>-42</v>
      </c>
      <c r="AB26" s="228">
        <v>-40</v>
      </c>
      <c r="AC26" s="228">
        <v>-45</v>
      </c>
      <c r="AD26" s="228">
        <v>-47</v>
      </c>
      <c r="AE26" s="228">
        <v>-41</v>
      </c>
      <c r="AF26" s="228">
        <v>-40</v>
      </c>
      <c r="AG26" s="228">
        <v>-36</v>
      </c>
      <c r="AH26" s="228">
        <v>-35</v>
      </c>
      <c r="AI26" s="229">
        <v>-40</v>
      </c>
      <c r="AJ26" s="217"/>
      <c r="AK26" s="188" t="s">
        <v>187</v>
      </c>
      <c r="AL26" s="189">
        <v>-57</v>
      </c>
      <c r="AM26" s="190">
        <v>-52</v>
      </c>
      <c r="AN26" s="190">
        <v>-49</v>
      </c>
      <c r="AO26" s="190">
        <v>-54</v>
      </c>
      <c r="AP26" s="190">
        <v>-56</v>
      </c>
      <c r="AQ26" s="190">
        <v>-50</v>
      </c>
      <c r="AR26" s="190">
        <v>-49</v>
      </c>
      <c r="AS26" s="190">
        <v>-44</v>
      </c>
      <c r="AT26" s="190">
        <v>-43</v>
      </c>
      <c r="AU26" s="191">
        <v>-48</v>
      </c>
      <c r="AW26" s="188" t="s">
        <v>187</v>
      </c>
      <c r="AX26" s="192">
        <f>AL26-5</f>
        <v>-62</v>
      </c>
      <c r="AY26" s="193">
        <f t="shared" ref="AY26:BG32" si="4">AM26-5</f>
        <v>-57</v>
      </c>
      <c r="AZ26" s="193">
        <f t="shared" si="4"/>
        <v>-54</v>
      </c>
      <c r="BA26" s="193">
        <f t="shared" si="4"/>
        <v>-59</v>
      </c>
      <c r="BB26" s="193">
        <f t="shared" si="4"/>
        <v>-61</v>
      </c>
      <c r="BC26" s="193">
        <f t="shared" si="4"/>
        <v>-55</v>
      </c>
      <c r="BD26" s="193">
        <f t="shared" si="4"/>
        <v>-54</v>
      </c>
      <c r="BE26" s="193">
        <f t="shared" si="4"/>
        <v>-49</v>
      </c>
      <c r="BF26" s="193">
        <f t="shared" si="4"/>
        <v>-48</v>
      </c>
      <c r="BG26" s="194">
        <f t="shared" si="4"/>
        <v>-53</v>
      </c>
    </row>
    <row r="27" spans="1:59" x14ac:dyDescent="0.25">
      <c r="A27" s="195" t="s">
        <v>214</v>
      </c>
      <c r="B27" s="196">
        <v>-25</v>
      </c>
      <c r="C27" s="183">
        <v>-23</v>
      </c>
      <c r="D27" s="183">
        <v>-25</v>
      </c>
      <c r="E27" s="183">
        <v>-25</v>
      </c>
      <c r="F27" s="183">
        <v>-32</v>
      </c>
      <c r="G27" s="183">
        <v>-31</v>
      </c>
      <c r="H27" s="183">
        <v>-30</v>
      </c>
      <c r="I27" s="183">
        <v>-27</v>
      </c>
      <c r="J27" s="183">
        <v>-28</v>
      </c>
      <c r="K27" s="184">
        <v>-34</v>
      </c>
      <c r="L27" s="217"/>
      <c r="M27" s="195" t="s">
        <v>214</v>
      </c>
      <c r="N27" s="196">
        <v>-35</v>
      </c>
      <c r="O27" s="183">
        <v>-32</v>
      </c>
      <c r="P27" s="183">
        <v>-33</v>
      </c>
      <c r="Q27" s="183">
        <v>-32</v>
      </c>
      <c r="R27" s="183">
        <v>-38</v>
      </c>
      <c r="S27" s="183">
        <v>-36</v>
      </c>
      <c r="T27" s="183">
        <v>-34</v>
      </c>
      <c r="U27" s="183">
        <v>-30</v>
      </c>
      <c r="V27" s="183">
        <v>-31</v>
      </c>
      <c r="W27" s="184">
        <v>-37</v>
      </c>
      <c r="X27" s="217"/>
      <c r="Y27" s="197" t="s">
        <v>214</v>
      </c>
      <c r="Z27" s="230">
        <v>-43</v>
      </c>
      <c r="AA27" s="231">
        <v>-40</v>
      </c>
      <c r="AB27" s="231">
        <v>-42</v>
      </c>
      <c r="AC27" s="231">
        <v>-42</v>
      </c>
      <c r="AD27" s="231">
        <v>-46</v>
      </c>
      <c r="AE27" s="231">
        <v>-43</v>
      </c>
      <c r="AF27" s="231">
        <v>-40</v>
      </c>
      <c r="AG27" s="231">
        <v>-36</v>
      </c>
      <c r="AH27" s="231">
        <v>-37</v>
      </c>
      <c r="AI27" s="232">
        <v>-43</v>
      </c>
      <c r="AJ27" s="217"/>
      <c r="AK27" s="197" t="s">
        <v>214</v>
      </c>
      <c r="AL27" s="198">
        <v>-52</v>
      </c>
      <c r="AM27" s="199">
        <v>-50</v>
      </c>
      <c r="AN27" s="199">
        <v>-51</v>
      </c>
      <c r="AO27" s="199">
        <v>-51</v>
      </c>
      <c r="AP27" s="199">
        <v>-55</v>
      </c>
      <c r="AQ27" s="199">
        <v>-52</v>
      </c>
      <c r="AR27" s="199">
        <v>-49</v>
      </c>
      <c r="AS27" s="199">
        <v>-44</v>
      </c>
      <c r="AT27" s="199">
        <v>-45</v>
      </c>
      <c r="AU27" s="200">
        <v>-51</v>
      </c>
      <c r="AW27" s="197" t="s">
        <v>214</v>
      </c>
      <c r="AX27" s="201">
        <f t="shared" ref="AX27:AX32" si="5">AL27-5</f>
        <v>-57</v>
      </c>
      <c r="AY27" s="202">
        <f t="shared" si="4"/>
        <v>-55</v>
      </c>
      <c r="AZ27" s="202">
        <f t="shared" si="4"/>
        <v>-56</v>
      </c>
      <c r="BA27" s="202">
        <f t="shared" si="4"/>
        <v>-56</v>
      </c>
      <c r="BB27" s="202">
        <f t="shared" si="4"/>
        <v>-60</v>
      </c>
      <c r="BC27" s="202">
        <f t="shared" si="4"/>
        <v>-57</v>
      </c>
      <c r="BD27" s="202">
        <f t="shared" si="4"/>
        <v>-54</v>
      </c>
      <c r="BE27" s="202">
        <f t="shared" si="4"/>
        <v>-49</v>
      </c>
      <c r="BF27" s="202">
        <f t="shared" si="4"/>
        <v>-50</v>
      </c>
      <c r="BG27" s="203">
        <f t="shared" si="4"/>
        <v>-56</v>
      </c>
    </row>
    <row r="28" spans="1:59" x14ac:dyDescent="0.25">
      <c r="A28" s="195" t="s">
        <v>233</v>
      </c>
      <c r="B28" s="196">
        <v>-29</v>
      </c>
      <c r="C28" s="183">
        <v>-29</v>
      </c>
      <c r="D28" s="183">
        <v>-29</v>
      </c>
      <c r="E28" s="183">
        <v>-30</v>
      </c>
      <c r="F28" s="183">
        <v>-34</v>
      </c>
      <c r="G28" s="183">
        <v>-31</v>
      </c>
      <c r="H28" s="183">
        <v>-29</v>
      </c>
      <c r="I28" s="183">
        <v>-24</v>
      </c>
      <c r="J28" s="183">
        <v>-32</v>
      </c>
      <c r="K28" s="184">
        <v>-37</v>
      </c>
      <c r="L28" s="217"/>
      <c r="M28" s="195" t="s">
        <v>233</v>
      </c>
      <c r="N28" s="196">
        <v>-39</v>
      </c>
      <c r="O28" s="183">
        <v>-38</v>
      </c>
      <c r="P28" s="183">
        <v>-37</v>
      </c>
      <c r="Q28" s="183">
        <v>-37</v>
      </c>
      <c r="R28" s="183">
        <v>-40</v>
      </c>
      <c r="S28" s="183">
        <v>-36</v>
      </c>
      <c r="T28" s="183">
        <v>-33</v>
      </c>
      <c r="U28" s="183">
        <v>-27</v>
      </c>
      <c r="V28" s="183">
        <v>-35</v>
      </c>
      <c r="W28" s="184">
        <v>-40</v>
      </c>
      <c r="X28" s="217"/>
      <c r="Y28" s="197" t="s">
        <v>233</v>
      </c>
      <c r="Z28" s="230">
        <v>-47</v>
      </c>
      <c r="AA28" s="231">
        <v>-46</v>
      </c>
      <c r="AB28" s="231">
        <v>-46</v>
      </c>
      <c r="AC28" s="231">
        <v>-47</v>
      </c>
      <c r="AD28" s="231">
        <v>-48</v>
      </c>
      <c r="AE28" s="231">
        <v>-43</v>
      </c>
      <c r="AF28" s="231">
        <v>-39</v>
      </c>
      <c r="AG28" s="231">
        <v>-33</v>
      </c>
      <c r="AH28" s="231">
        <v>-41</v>
      </c>
      <c r="AI28" s="232">
        <v>-46</v>
      </c>
      <c r="AJ28" s="217"/>
      <c r="AK28" s="197" t="s">
        <v>233</v>
      </c>
      <c r="AL28" s="198">
        <v>-56</v>
      </c>
      <c r="AM28" s="199">
        <v>-56</v>
      </c>
      <c r="AN28" s="199">
        <v>-55</v>
      </c>
      <c r="AO28" s="199">
        <v>-56</v>
      </c>
      <c r="AP28" s="199">
        <v>-57</v>
      </c>
      <c r="AQ28" s="199">
        <v>-52</v>
      </c>
      <c r="AR28" s="199">
        <v>-48</v>
      </c>
      <c r="AS28" s="199">
        <v>-41</v>
      </c>
      <c r="AT28" s="199">
        <v>-49</v>
      </c>
      <c r="AU28" s="200">
        <v>-54</v>
      </c>
      <c r="AW28" s="197" t="s">
        <v>233</v>
      </c>
      <c r="AX28" s="201">
        <f t="shared" si="5"/>
        <v>-61</v>
      </c>
      <c r="AY28" s="202">
        <f t="shared" si="4"/>
        <v>-61</v>
      </c>
      <c r="AZ28" s="202">
        <f t="shared" si="4"/>
        <v>-60</v>
      </c>
      <c r="BA28" s="202">
        <f t="shared" si="4"/>
        <v>-61</v>
      </c>
      <c r="BB28" s="202">
        <f t="shared" si="4"/>
        <v>-62</v>
      </c>
      <c r="BC28" s="202">
        <f t="shared" si="4"/>
        <v>-57</v>
      </c>
      <c r="BD28" s="202">
        <f t="shared" si="4"/>
        <v>-53</v>
      </c>
      <c r="BE28" s="202">
        <f t="shared" si="4"/>
        <v>-46</v>
      </c>
      <c r="BF28" s="202">
        <f t="shared" si="4"/>
        <v>-54</v>
      </c>
      <c r="BG28" s="203">
        <f t="shared" si="4"/>
        <v>-59</v>
      </c>
    </row>
    <row r="29" spans="1:59" x14ac:dyDescent="0.25">
      <c r="A29" s="195" t="s">
        <v>242</v>
      </c>
      <c r="B29" s="196">
        <v>-31</v>
      </c>
      <c r="C29" s="183">
        <v>-31</v>
      </c>
      <c r="D29" s="183">
        <v>-30</v>
      </c>
      <c r="E29" s="183">
        <v>-33</v>
      </c>
      <c r="F29" s="183">
        <v>-32</v>
      </c>
      <c r="G29" s="183">
        <v>-33</v>
      </c>
      <c r="H29" s="183">
        <v>-30</v>
      </c>
      <c r="I29" s="183">
        <v>-26</v>
      </c>
      <c r="J29" s="183">
        <v>-32</v>
      </c>
      <c r="K29" s="184">
        <v>-33</v>
      </c>
      <c r="L29" s="217"/>
      <c r="M29" s="195" t="s">
        <v>242</v>
      </c>
      <c r="N29" s="196">
        <v>-41</v>
      </c>
      <c r="O29" s="183">
        <v>-40</v>
      </c>
      <c r="P29" s="183">
        <v>-38</v>
      </c>
      <c r="Q29" s="183">
        <v>-40</v>
      </c>
      <c r="R29" s="183">
        <v>-38</v>
      </c>
      <c r="S29" s="183">
        <v>-38</v>
      </c>
      <c r="T29" s="183">
        <v>-34</v>
      </c>
      <c r="U29" s="183">
        <v>-29</v>
      </c>
      <c r="V29" s="183">
        <v>-35</v>
      </c>
      <c r="W29" s="184">
        <v>-36</v>
      </c>
      <c r="X29" s="217"/>
      <c r="Y29" s="197" t="s">
        <v>242</v>
      </c>
      <c r="Z29" s="230">
        <v>-49</v>
      </c>
      <c r="AA29" s="231">
        <v>-47</v>
      </c>
      <c r="AB29" s="231">
        <v>-46</v>
      </c>
      <c r="AC29" s="231">
        <v>-48</v>
      </c>
      <c r="AD29" s="231">
        <v>-45</v>
      </c>
      <c r="AE29" s="231">
        <v>-44</v>
      </c>
      <c r="AF29" s="231">
        <v>-38</v>
      </c>
      <c r="AG29" s="231">
        <v>-34</v>
      </c>
      <c r="AH29" s="231">
        <v>-40</v>
      </c>
      <c r="AI29" s="232">
        <v>-41</v>
      </c>
      <c r="AJ29" s="217"/>
      <c r="AK29" s="197" t="s">
        <v>242</v>
      </c>
      <c r="AL29" s="198">
        <v>-57</v>
      </c>
      <c r="AM29" s="199">
        <v>-55</v>
      </c>
      <c r="AN29" s="199">
        <v>-53</v>
      </c>
      <c r="AO29" s="199">
        <v>-53</v>
      </c>
      <c r="AP29" s="199">
        <v>-50</v>
      </c>
      <c r="AQ29" s="199">
        <v>-50</v>
      </c>
      <c r="AR29" s="199">
        <v>-45</v>
      </c>
      <c r="AS29" s="199">
        <v>-40</v>
      </c>
      <c r="AT29" s="199">
        <v>-46</v>
      </c>
      <c r="AU29" s="200">
        <v>-47</v>
      </c>
      <c r="AW29" s="197" t="s">
        <v>242</v>
      </c>
      <c r="AX29" s="201">
        <f t="shared" si="5"/>
        <v>-62</v>
      </c>
      <c r="AY29" s="202">
        <f t="shared" si="4"/>
        <v>-60</v>
      </c>
      <c r="AZ29" s="202">
        <f t="shared" si="4"/>
        <v>-58</v>
      </c>
      <c r="BA29" s="202">
        <f t="shared" si="4"/>
        <v>-58</v>
      </c>
      <c r="BB29" s="202">
        <f t="shared" si="4"/>
        <v>-55</v>
      </c>
      <c r="BC29" s="202">
        <f t="shared" si="4"/>
        <v>-55</v>
      </c>
      <c r="BD29" s="202">
        <f t="shared" si="4"/>
        <v>-50</v>
      </c>
      <c r="BE29" s="202">
        <f t="shared" si="4"/>
        <v>-45</v>
      </c>
      <c r="BF29" s="202">
        <f t="shared" si="4"/>
        <v>-51</v>
      </c>
      <c r="BG29" s="203">
        <f t="shared" si="4"/>
        <v>-52</v>
      </c>
    </row>
    <row r="30" spans="1:59" x14ac:dyDescent="0.25">
      <c r="A30" s="195" t="s">
        <v>250</v>
      </c>
      <c r="B30" s="196">
        <v>-31</v>
      </c>
      <c r="C30" s="183">
        <v>-33</v>
      </c>
      <c r="D30" s="183">
        <v>-32</v>
      </c>
      <c r="E30" s="183">
        <v>-32</v>
      </c>
      <c r="F30" s="183">
        <v>-30</v>
      </c>
      <c r="G30" s="183">
        <v>-32</v>
      </c>
      <c r="H30" s="183">
        <v>-28</v>
      </c>
      <c r="I30" s="183">
        <v>-27</v>
      </c>
      <c r="J30" s="183">
        <v>-34</v>
      </c>
      <c r="K30" s="184">
        <v>-34</v>
      </c>
      <c r="L30" s="217"/>
      <c r="M30" s="195" t="s">
        <v>250</v>
      </c>
      <c r="N30" s="196">
        <v>-41</v>
      </c>
      <c r="O30" s="183">
        <v>-42</v>
      </c>
      <c r="P30" s="183">
        <v>-40</v>
      </c>
      <c r="Q30" s="183">
        <v>-39</v>
      </c>
      <c r="R30" s="183">
        <v>-36</v>
      </c>
      <c r="S30" s="183">
        <v>-37</v>
      </c>
      <c r="T30" s="183">
        <v>-32</v>
      </c>
      <c r="U30" s="183">
        <v>-30</v>
      </c>
      <c r="V30" s="183">
        <v>-37</v>
      </c>
      <c r="W30" s="184">
        <v>-37</v>
      </c>
      <c r="X30" s="217"/>
      <c r="Y30" s="197" t="s">
        <v>250</v>
      </c>
      <c r="Z30" s="230">
        <v>-49</v>
      </c>
      <c r="AA30" s="231">
        <v>-49</v>
      </c>
      <c r="AB30" s="231">
        <v>-48</v>
      </c>
      <c r="AC30" s="231">
        <v>-47</v>
      </c>
      <c r="AD30" s="231">
        <v>-43</v>
      </c>
      <c r="AE30" s="231">
        <v>-43</v>
      </c>
      <c r="AF30" s="231">
        <v>-36</v>
      </c>
      <c r="AG30" s="231">
        <v>-35</v>
      </c>
      <c r="AH30" s="231">
        <v>-42</v>
      </c>
      <c r="AI30" s="232">
        <v>-42</v>
      </c>
      <c r="AJ30" s="217"/>
      <c r="AK30" s="197" t="s">
        <v>250</v>
      </c>
      <c r="AL30" s="198">
        <v>-57</v>
      </c>
      <c r="AM30" s="199">
        <v>-57</v>
      </c>
      <c r="AN30" s="199">
        <v>-55</v>
      </c>
      <c r="AO30" s="199">
        <v>-52</v>
      </c>
      <c r="AP30" s="199">
        <v>-48</v>
      </c>
      <c r="AQ30" s="199">
        <v>-49</v>
      </c>
      <c r="AR30" s="199">
        <v>-43</v>
      </c>
      <c r="AS30" s="199">
        <v>-41</v>
      </c>
      <c r="AT30" s="199">
        <v>-48</v>
      </c>
      <c r="AU30" s="200">
        <v>-48</v>
      </c>
      <c r="AW30" s="197" t="s">
        <v>250</v>
      </c>
      <c r="AX30" s="201">
        <f t="shared" si="5"/>
        <v>-62</v>
      </c>
      <c r="AY30" s="202">
        <f t="shared" si="4"/>
        <v>-62</v>
      </c>
      <c r="AZ30" s="202">
        <f t="shared" si="4"/>
        <v>-60</v>
      </c>
      <c r="BA30" s="202">
        <f t="shared" si="4"/>
        <v>-57</v>
      </c>
      <c r="BB30" s="202">
        <f t="shared" si="4"/>
        <v>-53</v>
      </c>
      <c r="BC30" s="202">
        <f t="shared" si="4"/>
        <v>-54</v>
      </c>
      <c r="BD30" s="202">
        <f t="shared" si="4"/>
        <v>-48</v>
      </c>
      <c r="BE30" s="202">
        <f t="shared" si="4"/>
        <v>-46</v>
      </c>
      <c r="BF30" s="202">
        <f t="shared" si="4"/>
        <v>-53</v>
      </c>
      <c r="BG30" s="203">
        <f t="shared" si="4"/>
        <v>-53</v>
      </c>
    </row>
    <row r="31" spans="1:59" x14ac:dyDescent="0.25">
      <c r="A31" s="195" t="s">
        <v>258</v>
      </c>
      <c r="B31" s="196">
        <v>-35</v>
      </c>
      <c r="C31" s="183">
        <v>-35</v>
      </c>
      <c r="D31" s="183">
        <v>-30</v>
      </c>
      <c r="E31" s="183">
        <v>-32</v>
      </c>
      <c r="F31" s="183">
        <v>-31</v>
      </c>
      <c r="G31" s="183">
        <v>-30</v>
      </c>
      <c r="H31" s="183">
        <v>-28</v>
      </c>
      <c r="I31" s="183">
        <v>-34</v>
      </c>
      <c r="J31" s="183">
        <v>-35</v>
      </c>
      <c r="K31" s="184">
        <v>-35</v>
      </c>
      <c r="L31" s="217"/>
      <c r="M31" s="195" t="s">
        <v>258</v>
      </c>
      <c r="N31" s="196">
        <v>-43</v>
      </c>
      <c r="O31" s="183">
        <v>-43</v>
      </c>
      <c r="P31" s="183">
        <v>-37</v>
      </c>
      <c r="Q31" s="183">
        <v>-39</v>
      </c>
      <c r="R31" s="183">
        <v>-37</v>
      </c>
      <c r="S31" s="183">
        <v>-35</v>
      </c>
      <c r="T31" s="183">
        <v>-32</v>
      </c>
      <c r="U31" s="183">
        <v>-37</v>
      </c>
      <c r="V31" s="183">
        <v>-38</v>
      </c>
      <c r="W31" s="184">
        <v>-38</v>
      </c>
      <c r="X31" s="217"/>
      <c r="Y31" s="197" t="s">
        <v>258</v>
      </c>
      <c r="Z31" s="230">
        <v>-52</v>
      </c>
      <c r="AA31" s="231">
        <v>-50</v>
      </c>
      <c r="AB31" s="231">
        <v>-44</v>
      </c>
      <c r="AC31" s="231">
        <v>-46</v>
      </c>
      <c r="AD31" s="231">
        <v>-43</v>
      </c>
      <c r="AE31" s="231">
        <v>-40</v>
      </c>
      <c r="AF31" s="231">
        <v>-37</v>
      </c>
      <c r="AG31" s="231">
        <v>-42</v>
      </c>
      <c r="AH31" s="231">
        <v>-43</v>
      </c>
      <c r="AI31" s="232">
        <v>-43</v>
      </c>
      <c r="AJ31" s="217"/>
      <c r="AK31" s="197" t="s">
        <v>258</v>
      </c>
      <c r="AL31" s="198">
        <v>-57</v>
      </c>
      <c r="AM31" s="199">
        <v>-55</v>
      </c>
      <c r="AN31" s="199">
        <v>-49</v>
      </c>
      <c r="AO31" s="199">
        <v>-51</v>
      </c>
      <c r="AP31" s="199">
        <v>-48</v>
      </c>
      <c r="AQ31" s="199">
        <v>-45</v>
      </c>
      <c r="AR31" s="199">
        <v>-42</v>
      </c>
      <c r="AS31" s="199">
        <v>-47</v>
      </c>
      <c r="AT31" s="199">
        <v>-48</v>
      </c>
      <c r="AU31" s="200">
        <v>-48</v>
      </c>
      <c r="AW31" s="197" t="s">
        <v>258</v>
      </c>
      <c r="AX31" s="201">
        <f t="shared" si="5"/>
        <v>-62</v>
      </c>
      <c r="AY31" s="202">
        <f t="shared" si="4"/>
        <v>-60</v>
      </c>
      <c r="AZ31" s="202">
        <f t="shared" si="4"/>
        <v>-54</v>
      </c>
      <c r="BA31" s="202">
        <f t="shared" si="4"/>
        <v>-56</v>
      </c>
      <c r="BB31" s="202">
        <f t="shared" si="4"/>
        <v>-53</v>
      </c>
      <c r="BC31" s="202">
        <f t="shared" si="4"/>
        <v>-50</v>
      </c>
      <c r="BD31" s="202">
        <f t="shared" si="4"/>
        <v>-47</v>
      </c>
      <c r="BE31" s="202">
        <f t="shared" si="4"/>
        <v>-52</v>
      </c>
      <c r="BF31" s="202">
        <f t="shared" si="4"/>
        <v>-53</v>
      </c>
      <c r="BG31" s="203">
        <f t="shared" si="4"/>
        <v>-53</v>
      </c>
    </row>
    <row r="32" spans="1:59" ht="15.75" thickBot="1" x14ac:dyDescent="0.3">
      <c r="A32" s="204" t="s">
        <v>265</v>
      </c>
      <c r="B32" s="207">
        <v>-37</v>
      </c>
      <c r="C32" s="205">
        <v>-39</v>
      </c>
      <c r="D32" s="205">
        <v>-36</v>
      </c>
      <c r="E32" s="205">
        <v>-36</v>
      </c>
      <c r="F32" s="205">
        <v>-33</v>
      </c>
      <c r="G32" s="205">
        <v>-32</v>
      </c>
      <c r="H32" s="205">
        <v>-30</v>
      </c>
      <c r="I32" s="205">
        <v>-32</v>
      </c>
      <c r="J32" s="205">
        <v>-34</v>
      </c>
      <c r="K32" s="206">
        <v>-33</v>
      </c>
      <c r="L32" s="217"/>
      <c r="M32" s="204" t="s">
        <v>265</v>
      </c>
      <c r="N32" s="207">
        <v>-45</v>
      </c>
      <c r="O32" s="205">
        <v>-47</v>
      </c>
      <c r="P32" s="205">
        <v>-43</v>
      </c>
      <c r="Q32" s="205">
        <v>-43</v>
      </c>
      <c r="R32" s="205">
        <v>-39</v>
      </c>
      <c r="S32" s="205">
        <v>-37</v>
      </c>
      <c r="T32" s="205">
        <v>-34</v>
      </c>
      <c r="U32" s="205">
        <v>-35</v>
      </c>
      <c r="V32" s="205">
        <v>-37</v>
      </c>
      <c r="W32" s="206">
        <v>-36</v>
      </c>
      <c r="X32" s="217"/>
      <c r="Y32" s="208" t="s">
        <v>265</v>
      </c>
      <c r="Z32" s="233">
        <v>-54</v>
      </c>
      <c r="AA32" s="234">
        <v>-54</v>
      </c>
      <c r="AB32" s="234">
        <v>-50</v>
      </c>
      <c r="AC32" s="234">
        <v>-50</v>
      </c>
      <c r="AD32" s="234">
        <v>-45</v>
      </c>
      <c r="AE32" s="234">
        <v>-42</v>
      </c>
      <c r="AF32" s="234">
        <v>-39</v>
      </c>
      <c r="AG32" s="234">
        <v>-40</v>
      </c>
      <c r="AH32" s="234">
        <v>-42</v>
      </c>
      <c r="AI32" s="235">
        <v>-41</v>
      </c>
      <c r="AJ32" s="217"/>
      <c r="AK32" s="208" t="s">
        <v>265</v>
      </c>
      <c r="AL32" s="209">
        <v>-59</v>
      </c>
      <c r="AM32" s="210">
        <v>-59</v>
      </c>
      <c r="AN32" s="210">
        <v>-55</v>
      </c>
      <c r="AO32" s="210">
        <v>-55</v>
      </c>
      <c r="AP32" s="210">
        <v>-50</v>
      </c>
      <c r="AQ32" s="210">
        <v>-47</v>
      </c>
      <c r="AR32" s="210">
        <v>-44</v>
      </c>
      <c r="AS32" s="210">
        <v>-45</v>
      </c>
      <c r="AT32" s="210">
        <v>-47</v>
      </c>
      <c r="AU32" s="211">
        <v>-46</v>
      </c>
      <c r="AW32" s="208" t="s">
        <v>265</v>
      </c>
      <c r="AX32" s="212">
        <f t="shared" si="5"/>
        <v>-64</v>
      </c>
      <c r="AY32" s="213">
        <f t="shared" si="4"/>
        <v>-64</v>
      </c>
      <c r="AZ32" s="213">
        <f t="shared" si="4"/>
        <v>-60</v>
      </c>
      <c r="BA32" s="213">
        <f t="shared" si="4"/>
        <v>-60</v>
      </c>
      <c r="BB32" s="213">
        <f t="shared" si="4"/>
        <v>-55</v>
      </c>
      <c r="BC32" s="213">
        <f t="shared" si="4"/>
        <v>-52</v>
      </c>
      <c r="BD32" s="213">
        <f t="shared" si="4"/>
        <v>-49</v>
      </c>
      <c r="BE32" s="213">
        <f t="shared" si="4"/>
        <v>-50</v>
      </c>
      <c r="BF32" s="213">
        <f t="shared" si="4"/>
        <v>-52</v>
      </c>
      <c r="BG32" s="214">
        <f t="shared" si="4"/>
        <v>-51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-48</v>
      </c>
      <c r="C37" s="186">
        <v>-43</v>
      </c>
      <c r="D37" s="186">
        <v>-41</v>
      </c>
      <c r="E37" s="186">
        <v>-46</v>
      </c>
      <c r="F37" s="186">
        <v>-49</v>
      </c>
      <c r="G37" s="186">
        <v>-45</v>
      </c>
      <c r="H37" s="186">
        <v>-45</v>
      </c>
      <c r="I37" s="186">
        <v>-42</v>
      </c>
      <c r="J37" s="186">
        <v>-41</v>
      </c>
      <c r="K37" s="187">
        <v>-46</v>
      </c>
      <c r="L37" s="217"/>
      <c r="M37" s="236" t="s">
        <v>187</v>
      </c>
      <c r="N37" s="185">
        <v>-57</v>
      </c>
      <c r="O37" s="186">
        <v>-51</v>
      </c>
      <c r="P37" s="186">
        <v>-49</v>
      </c>
      <c r="Q37" s="186">
        <v>-54</v>
      </c>
      <c r="R37" s="186">
        <v>-56</v>
      </c>
      <c r="S37" s="186">
        <v>-50</v>
      </c>
      <c r="T37" s="186">
        <v>-50</v>
      </c>
      <c r="U37" s="186">
        <v>-47</v>
      </c>
      <c r="V37" s="186">
        <v>-46</v>
      </c>
      <c r="W37" s="187">
        <v>-51</v>
      </c>
      <c r="X37" s="217"/>
      <c r="Y37" s="237" t="s">
        <v>187</v>
      </c>
      <c r="Z37" s="227">
        <v>-65</v>
      </c>
      <c r="AA37" s="228">
        <v>-59</v>
      </c>
      <c r="AB37" s="228">
        <v>-57</v>
      </c>
      <c r="AC37" s="228">
        <v>-62</v>
      </c>
      <c r="AD37" s="228">
        <v>-65</v>
      </c>
      <c r="AE37" s="228">
        <v>-60</v>
      </c>
      <c r="AF37" s="228">
        <v>-60</v>
      </c>
      <c r="AG37" s="228">
        <v>-57</v>
      </c>
      <c r="AH37" s="228">
        <v>-56</v>
      </c>
      <c r="AI37" s="229">
        <v>-61</v>
      </c>
      <c r="AJ37" s="217"/>
      <c r="AK37" s="237" t="s">
        <v>187</v>
      </c>
      <c r="AL37" s="189">
        <v>-70</v>
      </c>
      <c r="AM37" s="190">
        <v>-64</v>
      </c>
      <c r="AN37" s="190">
        <v>-62</v>
      </c>
      <c r="AO37" s="190">
        <v>-67</v>
      </c>
      <c r="AP37" s="190">
        <v>-70</v>
      </c>
      <c r="AQ37" s="190">
        <v>-65</v>
      </c>
      <c r="AR37" s="190">
        <v>-65</v>
      </c>
      <c r="AS37" s="190">
        <v>-62</v>
      </c>
      <c r="AT37" s="190">
        <v>-61</v>
      </c>
      <c r="AU37" s="191">
        <v>-66</v>
      </c>
      <c r="AW37" s="237" t="s">
        <v>187</v>
      </c>
      <c r="AX37" s="192">
        <f>AL37-5</f>
        <v>-75</v>
      </c>
      <c r="AY37" s="193">
        <f t="shared" ref="AY37:BG43" si="6">AM37-5</f>
        <v>-69</v>
      </c>
      <c r="AZ37" s="193">
        <f t="shared" si="6"/>
        <v>-67</v>
      </c>
      <c r="BA37" s="193">
        <f t="shared" si="6"/>
        <v>-72</v>
      </c>
      <c r="BB37" s="193">
        <f t="shared" si="6"/>
        <v>-75</v>
      </c>
      <c r="BC37" s="193">
        <f t="shared" si="6"/>
        <v>-70</v>
      </c>
      <c r="BD37" s="193">
        <f t="shared" si="6"/>
        <v>-70</v>
      </c>
      <c r="BE37" s="193">
        <f t="shared" si="6"/>
        <v>-67</v>
      </c>
      <c r="BF37" s="193">
        <f t="shared" si="6"/>
        <v>-66</v>
      </c>
      <c r="BG37" s="194">
        <f t="shared" si="6"/>
        <v>-71</v>
      </c>
    </row>
    <row r="38" spans="1:59" x14ac:dyDescent="0.25">
      <c r="A38" s="195" t="s">
        <v>214</v>
      </c>
      <c r="B38" s="196">
        <v>-43</v>
      </c>
      <c r="C38" s="183">
        <v>-41</v>
      </c>
      <c r="D38" s="183">
        <v>-43</v>
      </c>
      <c r="E38" s="183">
        <v>-43</v>
      </c>
      <c r="F38" s="183">
        <v>-48</v>
      </c>
      <c r="G38" s="183">
        <v>-47</v>
      </c>
      <c r="H38" s="183">
        <v>-45</v>
      </c>
      <c r="I38" s="183">
        <v>-42</v>
      </c>
      <c r="J38" s="183">
        <v>-43</v>
      </c>
      <c r="K38" s="184">
        <v>-49</v>
      </c>
      <c r="L38" s="217"/>
      <c r="M38" s="195" t="s">
        <v>214</v>
      </c>
      <c r="N38" s="196">
        <v>-52</v>
      </c>
      <c r="O38" s="183">
        <v>-49</v>
      </c>
      <c r="P38" s="183">
        <v>-51</v>
      </c>
      <c r="Q38" s="183">
        <v>-51</v>
      </c>
      <c r="R38" s="183">
        <v>-55</v>
      </c>
      <c r="S38" s="183">
        <v>-52</v>
      </c>
      <c r="T38" s="183">
        <v>-50</v>
      </c>
      <c r="U38" s="183">
        <v>-47</v>
      </c>
      <c r="V38" s="183">
        <v>-48</v>
      </c>
      <c r="W38" s="184">
        <v>-54</v>
      </c>
      <c r="X38" s="217"/>
      <c r="Y38" s="197" t="s">
        <v>214</v>
      </c>
      <c r="Z38" s="230">
        <v>-60</v>
      </c>
      <c r="AA38" s="231">
        <v>-57</v>
      </c>
      <c r="AB38" s="231">
        <v>-59</v>
      </c>
      <c r="AC38" s="231">
        <v>-59</v>
      </c>
      <c r="AD38" s="231">
        <v>-64</v>
      </c>
      <c r="AE38" s="231">
        <v>-62</v>
      </c>
      <c r="AF38" s="231">
        <v>-60</v>
      </c>
      <c r="AG38" s="231">
        <v>-57</v>
      </c>
      <c r="AH38" s="231">
        <v>-58</v>
      </c>
      <c r="AI38" s="232">
        <v>-64</v>
      </c>
      <c r="AJ38" s="217"/>
      <c r="AK38" s="197" t="s">
        <v>214</v>
      </c>
      <c r="AL38" s="198">
        <v>-65</v>
      </c>
      <c r="AM38" s="199">
        <v>-62</v>
      </c>
      <c r="AN38" s="199">
        <v>-64</v>
      </c>
      <c r="AO38" s="199">
        <v>-64</v>
      </c>
      <c r="AP38" s="199">
        <v>-69</v>
      </c>
      <c r="AQ38" s="199">
        <v>-67</v>
      </c>
      <c r="AR38" s="199">
        <v>-65</v>
      </c>
      <c r="AS38" s="199">
        <v>-62</v>
      </c>
      <c r="AT38" s="199">
        <v>-63</v>
      </c>
      <c r="AU38" s="200">
        <v>-69</v>
      </c>
      <c r="AW38" s="197" t="s">
        <v>214</v>
      </c>
      <c r="AX38" s="201">
        <f t="shared" ref="AX38:AX43" si="7">AL38-5</f>
        <v>-70</v>
      </c>
      <c r="AY38" s="202">
        <f t="shared" si="6"/>
        <v>-67</v>
      </c>
      <c r="AZ38" s="202">
        <f t="shared" si="6"/>
        <v>-69</v>
      </c>
      <c r="BA38" s="202">
        <f t="shared" si="6"/>
        <v>-69</v>
      </c>
      <c r="BB38" s="202">
        <f t="shared" si="6"/>
        <v>-74</v>
      </c>
      <c r="BC38" s="202">
        <f t="shared" si="6"/>
        <v>-72</v>
      </c>
      <c r="BD38" s="202">
        <f t="shared" si="6"/>
        <v>-70</v>
      </c>
      <c r="BE38" s="202">
        <f t="shared" si="6"/>
        <v>-67</v>
      </c>
      <c r="BF38" s="202">
        <f t="shared" si="6"/>
        <v>-68</v>
      </c>
      <c r="BG38" s="203">
        <f t="shared" si="6"/>
        <v>-74</v>
      </c>
    </row>
    <row r="39" spans="1:59" x14ac:dyDescent="0.25">
      <c r="A39" s="195" t="s">
        <v>233</v>
      </c>
      <c r="B39" s="196">
        <v>-47</v>
      </c>
      <c r="C39" s="183">
        <v>-47</v>
      </c>
      <c r="D39" s="183">
        <v>-47</v>
      </c>
      <c r="E39" s="183">
        <v>-48</v>
      </c>
      <c r="F39" s="183">
        <v>-50</v>
      </c>
      <c r="G39" s="183">
        <v>-47</v>
      </c>
      <c r="H39" s="183">
        <v>-44</v>
      </c>
      <c r="I39" s="183">
        <v>-39</v>
      </c>
      <c r="J39" s="183">
        <v>-47</v>
      </c>
      <c r="K39" s="184">
        <v>-52</v>
      </c>
      <c r="L39" s="217"/>
      <c r="M39" s="195" t="s">
        <v>233</v>
      </c>
      <c r="N39" s="196">
        <v>-56</v>
      </c>
      <c r="O39" s="183">
        <v>-55</v>
      </c>
      <c r="P39" s="183">
        <v>-55</v>
      </c>
      <c r="Q39" s="183">
        <v>-56</v>
      </c>
      <c r="R39" s="183">
        <v>-57</v>
      </c>
      <c r="S39" s="183">
        <v>-52</v>
      </c>
      <c r="T39" s="183">
        <v>-49</v>
      </c>
      <c r="U39" s="183">
        <v>-44</v>
      </c>
      <c r="V39" s="183">
        <v>-52</v>
      </c>
      <c r="W39" s="184">
        <v>-57</v>
      </c>
      <c r="X39" s="217"/>
      <c r="Y39" s="197" t="s">
        <v>233</v>
      </c>
      <c r="Z39" s="230">
        <v>-64</v>
      </c>
      <c r="AA39" s="231">
        <v>-63</v>
      </c>
      <c r="AB39" s="231">
        <v>-63</v>
      </c>
      <c r="AC39" s="231">
        <v>-64</v>
      </c>
      <c r="AD39" s="231">
        <v>-66</v>
      </c>
      <c r="AE39" s="231">
        <v>-62</v>
      </c>
      <c r="AF39" s="231">
        <v>-59</v>
      </c>
      <c r="AG39" s="231">
        <v>-54</v>
      </c>
      <c r="AH39" s="231">
        <v>-62</v>
      </c>
      <c r="AI39" s="232">
        <v>-67</v>
      </c>
      <c r="AJ39" s="217"/>
      <c r="AK39" s="197" t="s">
        <v>233</v>
      </c>
      <c r="AL39" s="198">
        <v>-69</v>
      </c>
      <c r="AM39" s="199">
        <v>-68</v>
      </c>
      <c r="AN39" s="199">
        <v>-68</v>
      </c>
      <c r="AO39" s="199">
        <v>-69</v>
      </c>
      <c r="AP39" s="199">
        <v>-71</v>
      </c>
      <c r="AQ39" s="199">
        <v>-67</v>
      </c>
      <c r="AR39" s="199">
        <v>-64</v>
      </c>
      <c r="AS39" s="199">
        <v>-59</v>
      </c>
      <c r="AT39" s="199">
        <v>-67</v>
      </c>
      <c r="AU39" s="200">
        <v>-71</v>
      </c>
      <c r="AW39" s="197" t="s">
        <v>233</v>
      </c>
      <c r="AX39" s="201">
        <f t="shared" si="7"/>
        <v>-74</v>
      </c>
      <c r="AY39" s="202">
        <f t="shared" si="6"/>
        <v>-73</v>
      </c>
      <c r="AZ39" s="202">
        <f t="shared" si="6"/>
        <v>-73</v>
      </c>
      <c r="BA39" s="202">
        <f t="shared" si="6"/>
        <v>-74</v>
      </c>
      <c r="BB39" s="202">
        <f t="shared" si="6"/>
        <v>-76</v>
      </c>
      <c r="BC39" s="202">
        <f t="shared" si="6"/>
        <v>-72</v>
      </c>
      <c r="BD39" s="202">
        <f t="shared" si="6"/>
        <v>-69</v>
      </c>
      <c r="BE39" s="202">
        <f t="shared" si="6"/>
        <v>-64</v>
      </c>
      <c r="BF39" s="202">
        <f t="shared" si="6"/>
        <v>-72</v>
      </c>
      <c r="BG39" s="203">
        <f t="shared" si="6"/>
        <v>-76</v>
      </c>
    </row>
    <row r="40" spans="1:59" x14ac:dyDescent="0.25">
      <c r="A40" s="195" t="s">
        <v>242</v>
      </c>
      <c r="B40" s="196">
        <v>-49</v>
      </c>
      <c r="C40" s="183">
        <v>-48</v>
      </c>
      <c r="D40" s="183">
        <v>-47</v>
      </c>
      <c r="E40" s="183">
        <v>-50</v>
      </c>
      <c r="F40" s="183">
        <v>-48</v>
      </c>
      <c r="G40" s="183">
        <v>-49</v>
      </c>
      <c r="H40" s="183">
        <v>-45</v>
      </c>
      <c r="I40" s="183">
        <v>-40</v>
      </c>
      <c r="J40" s="183">
        <v>-46</v>
      </c>
      <c r="K40" s="184">
        <v>-47</v>
      </c>
      <c r="L40" s="217"/>
      <c r="M40" s="195" t="s">
        <v>242</v>
      </c>
      <c r="N40" s="196">
        <v>-56</v>
      </c>
      <c r="O40" s="183">
        <v>-55</v>
      </c>
      <c r="P40" s="183">
        <v>-53</v>
      </c>
      <c r="Q40" s="183">
        <v>-56</v>
      </c>
      <c r="R40" s="183">
        <v>-54</v>
      </c>
      <c r="S40" s="183">
        <v>-54</v>
      </c>
      <c r="T40" s="183">
        <v>-49</v>
      </c>
      <c r="U40" s="183">
        <v>-44</v>
      </c>
      <c r="V40" s="183">
        <v>-50</v>
      </c>
      <c r="W40" s="184">
        <v>-51</v>
      </c>
      <c r="X40" s="217"/>
      <c r="Y40" s="197" t="s">
        <v>242</v>
      </c>
      <c r="Z40" s="230">
        <v>-66</v>
      </c>
      <c r="AA40" s="231">
        <v>-63</v>
      </c>
      <c r="AB40" s="231">
        <v>-62</v>
      </c>
      <c r="AC40" s="231">
        <v>-64</v>
      </c>
      <c r="AD40" s="231">
        <v>-62</v>
      </c>
      <c r="AE40" s="231">
        <v>-62</v>
      </c>
      <c r="AF40" s="231">
        <v>-58</v>
      </c>
      <c r="AG40" s="231">
        <v>-53</v>
      </c>
      <c r="AH40" s="231">
        <v>-59</v>
      </c>
      <c r="AI40" s="232">
        <v>-60</v>
      </c>
      <c r="AJ40" s="217"/>
      <c r="AK40" s="197" t="s">
        <v>242</v>
      </c>
      <c r="AL40" s="198">
        <v>-71</v>
      </c>
      <c r="AM40" s="199">
        <v>-68</v>
      </c>
      <c r="AN40" s="199">
        <v>-67</v>
      </c>
      <c r="AO40" s="199">
        <v>-69</v>
      </c>
      <c r="AP40" s="199">
        <v>-67</v>
      </c>
      <c r="AQ40" s="199">
        <v>-67</v>
      </c>
      <c r="AR40" s="199">
        <v>-63</v>
      </c>
      <c r="AS40" s="199">
        <v>-58</v>
      </c>
      <c r="AT40" s="199">
        <v>-64</v>
      </c>
      <c r="AU40" s="200">
        <v>-65</v>
      </c>
      <c r="AW40" s="197" t="s">
        <v>242</v>
      </c>
      <c r="AX40" s="201">
        <f t="shared" si="7"/>
        <v>-76</v>
      </c>
      <c r="AY40" s="202">
        <f t="shared" si="6"/>
        <v>-73</v>
      </c>
      <c r="AZ40" s="202">
        <f t="shared" si="6"/>
        <v>-72</v>
      </c>
      <c r="BA40" s="202">
        <f t="shared" si="6"/>
        <v>-74</v>
      </c>
      <c r="BB40" s="202">
        <f t="shared" si="6"/>
        <v>-72</v>
      </c>
      <c r="BC40" s="202">
        <f t="shared" si="6"/>
        <v>-72</v>
      </c>
      <c r="BD40" s="202">
        <f t="shared" si="6"/>
        <v>-68</v>
      </c>
      <c r="BE40" s="202">
        <f t="shared" si="6"/>
        <v>-63</v>
      </c>
      <c r="BF40" s="202">
        <f t="shared" si="6"/>
        <v>-69</v>
      </c>
      <c r="BG40" s="203">
        <f t="shared" si="6"/>
        <v>-70</v>
      </c>
    </row>
    <row r="41" spans="1:59" x14ac:dyDescent="0.25">
      <c r="A41" s="195" t="s">
        <v>250</v>
      </c>
      <c r="B41" s="196">
        <v>-49</v>
      </c>
      <c r="C41" s="183">
        <v>-50</v>
      </c>
      <c r="D41" s="183">
        <v>-49</v>
      </c>
      <c r="E41" s="183">
        <v>-49</v>
      </c>
      <c r="F41" s="183">
        <v>-46</v>
      </c>
      <c r="G41" s="183">
        <v>-48</v>
      </c>
      <c r="H41" s="183">
        <v>-43</v>
      </c>
      <c r="I41" s="183">
        <v>-41</v>
      </c>
      <c r="J41" s="183">
        <v>-48</v>
      </c>
      <c r="K41" s="184">
        <v>-48</v>
      </c>
      <c r="L41" s="217"/>
      <c r="M41" s="195" t="s">
        <v>250</v>
      </c>
      <c r="N41" s="196">
        <v>-56</v>
      </c>
      <c r="O41" s="183">
        <v>-57</v>
      </c>
      <c r="P41" s="183">
        <v>-55</v>
      </c>
      <c r="Q41" s="183">
        <v>-55</v>
      </c>
      <c r="R41" s="183">
        <v>-52</v>
      </c>
      <c r="S41" s="183">
        <v>-53</v>
      </c>
      <c r="T41" s="183">
        <v>-47</v>
      </c>
      <c r="U41" s="183">
        <v>-45</v>
      </c>
      <c r="V41" s="183">
        <v>-52</v>
      </c>
      <c r="W41" s="184">
        <v>-52</v>
      </c>
      <c r="X41" s="217"/>
      <c r="Y41" s="197" t="s">
        <v>250</v>
      </c>
      <c r="Z41" s="230">
        <v>-66</v>
      </c>
      <c r="AA41" s="231">
        <v>-65</v>
      </c>
      <c r="AB41" s="231">
        <v>-64</v>
      </c>
      <c r="AC41" s="231">
        <v>-63</v>
      </c>
      <c r="AD41" s="231">
        <v>-60</v>
      </c>
      <c r="AE41" s="231">
        <v>-61</v>
      </c>
      <c r="AF41" s="231">
        <v>-56</v>
      </c>
      <c r="AG41" s="231">
        <v>-54</v>
      </c>
      <c r="AH41" s="231">
        <v>-61</v>
      </c>
      <c r="AI41" s="232">
        <v>-61</v>
      </c>
      <c r="AJ41" s="217"/>
      <c r="AK41" s="197" t="s">
        <v>250</v>
      </c>
      <c r="AL41" s="198">
        <v>-71</v>
      </c>
      <c r="AM41" s="199">
        <v>-70</v>
      </c>
      <c r="AN41" s="199">
        <v>-69</v>
      </c>
      <c r="AO41" s="199">
        <v>-68</v>
      </c>
      <c r="AP41" s="199">
        <v>-65</v>
      </c>
      <c r="AQ41" s="199">
        <v>-66</v>
      </c>
      <c r="AR41" s="199">
        <v>-61</v>
      </c>
      <c r="AS41" s="199">
        <v>-59</v>
      </c>
      <c r="AT41" s="199">
        <v>-66</v>
      </c>
      <c r="AU41" s="200">
        <v>-66</v>
      </c>
      <c r="AW41" s="197" t="s">
        <v>250</v>
      </c>
      <c r="AX41" s="201">
        <f t="shared" si="7"/>
        <v>-76</v>
      </c>
      <c r="AY41" s="202">
        <f t="shared" si="6"/>
        <v>-75</v>
      </c>
      <c r="AZ41" s="202">
        <f t="shared" si="6"/>
        <v>-74</v>
      </c>
      <c r="BA41" s="202">
        <f t="shared" si="6"/>
        <v>-73</v>
      </c>
      <c r="BB41" s="202">
        <f t="shared" si="6"/>
        <v>-70</v>
      </c>
      <c r="BC41" s="202">
        <f t="shared" si="6"/>
        <v>-71</v>
      </c>
      <c r="BD41" s="202">
        <f t="shared" si="6"/>
        <v>-66</v>
      </c>
      <c r="BE41" s="202">
        <f t="shared" si="6"/>
        <v>-64</v>
      </c>
      <c r="BF41" s="202">
        <f t="shared" si="6"/>
        <v>-71</v>
      </c>
      <c r="BG41" s="203">
        <f t="shared" si="6"/>
        <v>-71</v>
      </c>
    </row>
    <row r="42" spans="1:59" x14ac:dyDescent="0.25">
      <c r="A42" s="195" t="s">
        <v>258</v>
      </c>
      <c r="B42" s="196">
        <v>-48</v>
      </c>
      <c r="C42" s="183">
        <v>-49</v>
      </c>
      <c r="D42" s="183">
        <v>-45</v>
      </c>
      <c r="E42" s="183">
        <v>-47</v>
      </c>
      <c r="F42" s="183">
        <v>-46</v>
      </c>
      <c r="G42" s="183">
        <v>-44</v>
      </c>
      <c r="H42" s="183">
        <v>-39</v>
      </c>
      <c r="I42" s="183">
        <v>-44</v>
      </c>
      <c r="J42" s="183">
        <v>-45</v>
      </c>
      <c r="K42" s="184">
        <v>-45</v>
      </c>
      <c r="L42" s="217"/>
      <c r="M42" s="195" t="s">
        <v>258</v>
      </c>
      <c r="N42" s="196">
        <v>-54</v>
      </c>
      <c r="O42" s="183">
        <v>-55</v>
      </c>
      <c r="P42" s="183">
        <v>-50</v>
      </c>
      <c r="Q42" s="183">
        <v>-52</v>
      </c>
      <c r="R42" s="183">
        <v>-51</v>
      </c>
      <c r="S42" s="183">
        <v>-48</v>
      </c>
      <c r="T42" s="183">
        <v>-43</v>
      </c>
      <c r="U42" s="183">
        <v>-48</v>
      </c>
      <c r="V42" s="183">
        <v>-49</v>
      </c>
      <c r="W42" s="184">
        <v>-49</v>
      </c>
      <c r="X42" s="217"/>
      <c r="Y42" s="197" t="s">
        <v>258</v>
      </c>
      <c r="Z42" s="230">
        <v>-62</v>
      </c>
      <c r="AA42" s="231">
        <v>-63</v>
      </c>
      <c r="AB42" s="231">
        <v>-59</v>
      </c>
      <c r="AC42" s="231">
        <v>-60</v>
      </c>
      <c r="AD42" s="231">
        <v>-59</v>
      </c>
      <c r="AE42" s="231">
        <v>-57</v>
      </c>
      <c r="AF42" s="231">
        <v>-52</v>
      </c>
      <c r="AG42" s="231">
        <v>-56</v>
      </c>
      <c r="AH42" s="231">
        <v>-57</v>
      </c>
      <c r="AI42" s="232">
        <v>-57</v>
      </c>
      <c r="AJ42" s="217"/>
      <c r="AK42" s="197" t="s">
        <v>258</v>
      </c>
      <c r="AL42" s="198">
        <v>-67</v>
      </c>
      <c r="AM42" s="199">
        <v>-68</v>
      </c>
      <c r="AN42" s="199">
        <v>-64</v>
      </c>
      <c r="AO42" s="199">
        <v>-65</v>
      </c>
      <c r="AP42" s="199">
        <v>-64</v>
      </c>
      <c r="AQ42" s="199">
        <v>-62</v>
      </c>
      <c r="AR42" s="199">
        <v>-57</v>
      </c>
      <c r="AS42" s="199">
        <v>-61</v>
      </c>
      <c r="AT42" s="199">
        <v>-62</v>
      </c>
      <c r="AU42" s="200">
        <v>-62</v>
      </c>
      <c r="AW42" s="197" t="s">
        <v>258</v>
      </c>
      <c r="AX42" s="201">
        <f t="shared" si="7"/>
        <v>-72</v>
      </c>
      <c r="AY42" s="202">
        <f t="shared" si="6"/>
        <v>-73</v>
      </c>
      <c r="AZ42" s="202">
        <f t="shared" si="6"/>
        <v>-69</v>
      </c>
      <c r="BA42" s="202">
        <f t="shared" si="6"/>
        <v>-70</v>
      </c>
      <c r="BB42" s="202">
        <f t="shared" si="6"/>
        <v>-69</v>
      </c>
      <c r="BC42" s="202">
        <f t="shared" si="6"/>
        <v>-67</v>
      </c>
      <c r="BD42" s="202">
        <f t="shared" si="6"/>
        <v>-62</v>
      </c>
      <c r="BE42" s="202">
        <f t="shared" si="6"/>
        <v>-66</v>
      </c>
      <c r="BF42" s="202">
        <f t="shared" si="6"/>
        <v>-67</v>
      </c>
      <c r="BG42" s="203">
        <f t="shared" si="6"/>
        <v>-67</v>
      </c>
    </row>
    <row r="43" spans="1:59" ht="15.75" thickBot="1" x14ac:dyDescent="0.3">
      <c r="A43" s="204" t="s">
        <v>265</v>
      </c>
      <c r="B43" s="207">
        <v>-50</v>
      </c>
      <c r="C43" s="205">
        <v>-53</v>
      </c>
      <c r="D43" s="205">
        <v>-51</v>
      </c>
      <c r="E43" s="205">
        <v>-51</v>
      </c>
      <c r="F43" s="205">
        <v>-48</v>
      </c>
      <c r="G43" s="205">
        <v>-46</v>
      </c>
      <c r="H43" s="205">
        <v>-41</v>
      </c>
      <c r="I43" s="205">
        <v>-42</v>
      </c>
      <c r="J43" s="205">
        <v>-44</v>
      </c>
      <c r="K43" s="206">
        <v>-43</v>
      </c>
      <c r="L43" s="217"/>
      <c r="M43" s="204" t="s">
        <v>265</v>
      </c>
      <c r="N43" s="207">
        <v>-56</v>
      </c>
      <c r="O43" s="205">
        <v>-59</v>
      </c>
      <c r="P43" s="205">
        <v>-56</v>
      </c>
      <c r="Q43" s="205">
        <v>-56</v>
      </c>
      <c r="R43" s="205">
        <v>-53</v>
      </c>
      <c r="S43" s="205">
        <v>-50</v>
      </c>
      <c r="T43" s="205">
        <v>-45</v>
      </c>
      <c r="U43" s="205">
        <v>-46</v>
      </c>
      <c r="V43" s="205">
        <v>-48</v>
      </c>
      <c r="W43" s="206">
        <v>-47</v>
      </c>
      <c r="X43" s="217"/>
      <c r="Y43" s="208" t="s">
        <v>265</v>
      </c>
      <c r="Z43" s="233">
        <v>-64</v>
      </c>
      <c r="AA43" s="234">
        <v>-67</v>
      </c>
      <c r="AB43" s="234">
        <v>-65</v>
      </c>
      <c r="AC43" s="234">
        <v>-64</v>
      </c>
      <c r="AD43" s="234">
        <v>-61</v>
      </c>
      <c r="AE43" s="234">
        <v>-59</v>
      </c>
      <c r="AF43" s="234">
        <v>-54</v>
      </c>
      <c r="AG43" s="234">
        <v>-54</v>
      </c>
      <c r="AH43" s="234">
        <v>-56</v>
      </c>
      <c r="AI43" s="235">
        <v>-55</v>
      </c>
      <c r="AJ43" s="217"/>
      <c r="AK43" s="208" t="s">
        <v>265</v>
      </c>
      <c r="AL43" s="209">
        <v>-69</v>
      </c>
      <c r="AM43" s="210">
        <v>-71</v>
      </c>
      <c r="AN43" s="210">
        <v>-70</v>
      </c>
      <c r="AO43" s="210">
        <v>-69</v>
      </c>
      <c r="AP43" s="210">
        <v>-66</v>
      </c>
      <c r="AQ43" s="210">
        <v>-64</v>
      </c>
      <c r="AR43" s="210">
        <v>-59</v>
      </c>
      <c r="AS43" s="210">
        <v>-59</v>
      </c>
      <c r="AT43" s="210">
        <v>-61</v>
      </c>
      <c r="AU43" s="211">
        <v>-60</v>
      </c>
      <c r="AW43" s="208" t="s">
        <v>265</v>
      </c>
      <c r="AX43" s="212">
        <f t="shared" si="7"/>
        <v>-74</v>
      </c>
      <c r="AY43" s="213">
        <f t="shared" si="6"/>
        <v>-76</v>
      </c>
      <c r="AZ43" s="213">
        <f t="shared" si="6"/>
        <v>-75</v>
      </c>
      <c r="BA43" s="213">
        <f t="shared" si="6"/>
        <v>-74</v>
      </c>
      <c r="BB43" s="213">
        <f t="shared" si="6"/>
        <v>-71</v>
      </c>
      <c r="BC43" s="213">
        <f t="shared" si="6"/>
        <v>-69</v>
      </c>
      <c r="BD43" s="213">
        <f t="shared" si="6"/>
        <v>-64</v>
      </c>
      <c r="BE43" s="213">
        <f t="shared" si="6"/>
        <v>-64</v>
      </c>
      <c r="BF43" s="213">
        <f t="shared" si="6"/>
        <v>-66</v>
      </c>
      <c r="BG43" s="214">
        <f t="shared" si="6"/>
        <v>-65</v>
      </c>
    </row>
  </sheetData>
  <sheetProtection algorithmName="SHA-512" hashValue="0rwr7+dgh2Mk8rPLFjgNP1mzL36bS2O09QF4WBmtINvTR5YrLLKqzMOkHarg4KMqAWQCNzJWLOyZ467ND/L7/A==" saltValue="3saJKZcWfcnaQPXXKsMY/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801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-32</v>
      </c>
      <c r="C4" s="183">
        <v>-32</v>
      </c>
      <c r="D4" s="183">
        <v>-32</v>
      </c>
      <c r="E4" s="183">
        <v>-34</v>
      </c>
      <c r="F4" s="183">
        <v>-33</v>
      </c>
      <c r="G4" s="183">
        <v>-27</v>
      </c>
      <c r="H4" s="183">
        <v>-26</v>
      </c>
      <c r="I4" s="183">
        <v>-25</v>
      </c>
      <c r="J4" s="183">
        <v>-28</v>
      </c>
      <c r="K4" s="184">
        <v>-32</v>
      </c>
      <c r="L4" s="217"/>
      <c r="M4" s="182" t="s">
        <v>187</v>
      </c>
      <c r="N4" s="185">
        <v>-41</v>
      </c>
      <c r="O4" s="186">
        <v>-39</v>
      </c>
      <c r="P4" s="186">
        <v>-38</v>
      </c>
      <c r="Q4" s="186">
        <v>-40</v>
      </c>
      <c r="R4" s="186">
        <v>-39</v>
      </c>
      <c r="S4" s="186">
        <v>-33</v>
      </c>
      <c r="T4" s="186">
        <v>-31</v>
      </c>
      <c r="U4" s="186">
        <v>-30</v>
      </c>
      <c r="V4" s="186">
        <v>-33</v>
      </c>
      <c r="W4" s="187">
        <v>-37</v>
      </c>
      <c r="X4" s="217"/>
      <c r="Y4" s="188" t="s">
        <v>187</v>
      </c>
      <c r="Z4" s="189">
        <v>-48</v>
      </c>
      <c r="AA4" s="190">
        <v>-47</v>
      </c>
      <c r="AB4" s="190">
        <v>-47</v>
      </c>
      <c r="AC4" s="190">
        <v>-49</v>
      </c>
      <c r="AD4" s="190">
        <v>-48</v>
      </c>
      <c r="AE4" s="190">
        <v>-42</v>
      </c>
      <c r="AF4" s="190">
        <v>-40</v>
      </c>
      <c r="AG4" s="190">
        <v>-38</v>
      </c>
      <c r="AH4" s="190">
        <v>-41</v>
      </c>
      <c r="AI4" s="191">
        <v>-45</v>
      </c>
      <c r="AJ4" s="217"/>
      <c r="AK4" s="188" t="s">
        <v>187</v>
      </c>
      <c r="AL4" s="189">
        <v>-53</v>
      </c>
      <c r="AM4" s="190">
        <v>-53</v>
      </c>
      <c r="AN4" s="190">
        <v>-53</v>
      </c>
      <c r="AO4" s="190">
        <v>-54</v>
      </c>
      <c r="AP4" s="190">
        <v>-53</v>
      </c>
      <c r="AQ4" s="190">
        <v>-46</v>
      </c>
      <c r="AR4" s="190">
        <v>-45</v>
      </c>
      <c r="AS4" s="190">
        <v>-44</v>
      </c>
      <c r="AT4" s="190">
        <v>-47</v>
      </c>
      <c r="AU4" s="191">
        <v>-51</v>
      </c>
      <c r="AW4" s="188" t="s">
        <v>187</v>
      </c>
      <c r="AX4" s="192">
        <f>AL4-5</f>
        <v>-58</v>
      </c>
      <c r="AY4" s="193">
        <f t="shared" ref="AY4:BG10" si="0">AM4-5</f>
        <v>-58</v>
      </c>
      <c r="AZ4" s="193">
        <f t="shared" si="0"/>
        <v>-58</v>
      </c>
      <c r="BA4" s="193">
        <f t="shared" si="0"/>
        <v>-59</v>
      </c>
      <c r="BB4" s="193">
        <f t="shared" si="0"/>
        <v>-58</v>
      </c>
      <c r="BC4" s="193">
        <f t="shared" si="0"/>
        <v>-51</v>
      </c>
      <c r="BD4" s="193">
        <f t="shared" si="0"/>
        <v>-50</v>
      </c>
      <c r="BE4" s="193">
        <f t="shared" si="0"/>
        <v>-49</v>
      </c>
      <c r="BF4" s="193">
        <f t="shared" si="0"/>
        <v>-52</v>
      </c>
      <c r="BG4" s="194">
        <f t="shared" si="0"/>
        <v>-56</v>
      </c>
    </row>
    <row r="5" spans="1:59" ht="14.45" x14ac:dyDescent="0.3">
      <c r="A5" s="195" t="s">
        <v>214</v>
      </c>
      <c r="B5" s="183">
        <v>-31</v>
      </c>
      <c r="C5" s="183">
        <v>-30</v>
      </c>
      <c r="D5" s="183">
        <v>-29</v>
      </c>
      <c r="E5" s="183">
        <v>-32</v>
      </c>
      <c r="F5" s="183">
        <v>-33</v>
      </c>
      <c r="G5" s="183">
        <v>-28</v>
      </c>
      <c r="H5" s="183">
        <v>-27</v>
      </c>
      <c r="I5" s="183">
        <v>-24</v>
      </c>
      <c r="J5" s="183">
        <v>-28</v>
      </c>
      <c r="K5" s="184">
        <v>-29</v>
      </c>
      <c r="L5" s="217"/>
      <c r="M5" s="195" t="s">
        <v>214</v>
      </c>
      <c r="N5" s="196">
        <v>-40</v>
      </c>
      <c r="O5" s="183">
        <v>-37</v>
      </c>
      <c r="P5" s="183">
        <v>-35</v>
      </c>
      <c r="Q5" s="183">
        <v>-38</v>
      </c>
      <c r="R5" s="183">
        <v>-39</v>
      </c>
      <c r="S5" s="183">
        <v>-34</v>
      </c>
      <c r="T5" s="183">
        <v>-32</v>
      </c>
      <c r="U5" s="183">
        <v>-29</v>
      </c>
      <c r="V5" s="183">
        <v>-33</v>
      </c>
      <c r="W5" s="184">
        <v>-34</v>
      </c>
      <c r="X5" s="217"/>
      <c r="Y5" s="197" t="s">
        <v>214</v>
      </c>
      <c r="Z5" s="198">
        <v>-47</v>
      </c>
      <c r="AA5" s="199">
        <v>-45</v>
      </c>
      <c r="AB5" s="199">
        <v>-44</v>
      </c>
      <c r="AC5" s="199">
        <v>-47</v>
      </c>
      <c r="AD5" s="199">
        <v>-48</v>
      </c>
      <c r="AE5" s="199">
        <v>-43</v>
      </c>
      <c r="AF5" s="199">
        <v>-41</v>
      </c>
      <c r="AG5" s="199">
        <v>-37</v>
      </c>
      <c r="AH5" s="199">
        <v>-41</v>
      </c>
      <c r="AI5" s="200">
        <v>-42</v>
      </c>
      <c r="AJ5" s="217"/>
      <c r="AK5" s="197" t="s">
        <v>214</v>
      </c>
      <c r="AL5" s="198">
        <v>-52</v>
      </c>
      <c r="AM5" s="199">
        <v>-51</v>
      </c>
      <c r="AN5" s="199">
        <v>-50</v>
      </c>
      <c r="AO5" s="199">
        <v>-52</v>
      </c>
      <c r="AP5" s="199">
        <v>-53</v>
      </c>
      <c r="AQ5" s="199">
        <v>-47</v>
      </c>
      <c r="AR5" s="199">
        <v>-46</v>
      </c>
      <c r="AS5" s="199">
        <v>-43</v>
      </c>
      <c r="AT5" s="199">
        <v>-47</v>
      </c>
      <c r="AU5" s="200">
        <v>-48</v>
      </c>
      <c r="AW5" s="197" t="s">
        <v>214</v>
      </c>
      <c r="AX5" s="201">
        <f t="shared" ref="AX5:AX10" si="1">AL5-5</f>
        <v>-57</v>
      </c>
      <c r="AY5" s="202">
        <f t="shared" si="0"/>
        <v>-56</v>
      </c>
      <c r="AZ5" s="202">
        <f t="shared" si="0"/>
        <v>-55</v>
      </c>
      <c r="BA5" s="202">
        <f t="shared" si="0"/>
        <v>-57</v>
      </c>
      <c r="BB5" s="202">
        <f t="shared" si="0"/>
        <v>-58</v>
      </c>
      <c r="BC5" s="202">
        <f t="shared" si="0"/>
        <v>-52</v>
      </c>
      <c r="BD5" s="202">
        <f t="shared" si="0"/>
        <v>-51</v>
      </c>
      <c r="BE5" s="202">
        <f t="shared" si="0"/>
        <v>-48</v>
      </c>
      <c r="BF5" s="202">
        <f t="shared" si="0"/>
        <v>-52</v>
      </c>
      <c r="BG5" s="203">
        <f t="shared" si="0"/>
        <v>-53</v>
      </c>
    </row>
    <row r="6" spans="1:59" ht="14.45" x14ac:dyDescent="0.3">
      <c r="A6" s="195" t="s">
        <v>233</v>
      </c>
      <c r="B6" s="183">
        <v>-35</v>
      </c>
      <c r="C6" s="183">
        <v>-32</v>
      </c>
      <c r="D6" s="183">
        <v>-30</v>
      </c>
      <c r="E6" s="183">
        <v>-32</v>
      </c>
      <c r="F6" s="183">
        <v>-34</v>
      </c>
      <c r="G6" s="183">
        <v>-31</v>
      </c>
      <c r="H6" s="183">
        <v>-30</v>
      </c>
      <c r="I6" s="183">
        <v>-30</v>
      </c>
      <c r="J6" s="183">
        <v>-29</v>
      </c>
      <c r="K6" s="184">
        <v>-28</v>
      </c>
      <c r="L6" s="217"/>
      <c r="M6" s="195" t="s">
        <v>233</v>
      </c>
      <c r="N6" s="196">
        <v>-44</v>
      </c>
      <c r="O6" s="183">
        <v>-39</v>
      </c>
      <c r="P6" s="183">
        <v>-36</v>
      </c>
      <c r="Q6" s="183">
        <v>-38</v>
      </c>
      <c r="R6" s="183">
        <v>-40</v>
      </c>
      <c r="S6" s="183">
        <v>-37</v>
      </c>
      <c r="T6" s="183">
        <v>-35</v>
      </c>
      <c r="U6" s="183">
        <v>-35</v>
      </c>
      <c r="V6" s="183">
        <v>-34</v>
      </c>
      <c r="W6" s="184">
        <v>-33</v>
      </c>
      <c r="X6" s="217"/>
      <c r="Y6" s="197" t="s">
        <v>233</v>
      </c>
      <c r="Z6" s="198">
        <v>-51</v>
      </c>
      <c r="AA6" s="199">
        <v>-47</v>
      </c>
      <c r="AB6" s="199">
        <v>-45</v>
      </c>
      <c r="AC6" s="199">
        <v>-47</v>
      </c>
      <c r="AD6" s="199">
        <v>-49</v>
      </c>
      <c r="AE6" s="199">
        <v>-46</v>
      </c>
      <c r="AF6" s="199">
        <v>-44</v>
      </c>
      <c r="AG6" s="199">
        <v>-43</v>
      </c>
      <c r="AH6" s="199">
        <v>-42</v>
      </c>
      <c r="AI6" s="200">
        <v>-41</v>
      </c>
      <c r="AJ6" s="217"/>
      <c r="AK6" s="197" t="s">
        <v>233</v>
      </c>
      <c r="AL6" s="198">
        <v>-56</v>
      </c>
      <c r="AM6" s="199">
        <v>-53</v>
      </c>
      <c r="AN6" s="199">
        <v>-51</v>
      </c>
      <c r="AO6" s="199">
        <v>-52</v>
      </c>
      <c r="AP6" s="199">
        <v>-54</v>
      </c>
      <c r="AQ6" s="199">
        <v>-50</v>
      </c>
      <c r="AR6" s="199">
        <v>-49</v>
      </c>
      <c r="AS6" s="199">
        <v>-49</v>
      </c>
      <c r="AT6" s="199">
        <v>-48</v>
      </c>
      <c r="AU6" s="200">
        <v>-47</v>
      </c>
      <c r="AW6" s="197" t="s">
        <v>233</v>
      </c>
      <c r="AX6" s="201">
        <f t="shared" si="1"/>
        <v>-61</v>
      </c>
      <c r="AY6" s="202">
        <f t="shared" si="0"/>
        <v>-58</v>
      </c>
      <c r="AZ6" s="202">
        <f t="shared" si="0"/>
        <v>-56</v>
      </c>
      <c r="BA6" s="202">
        <f t="shared" si="0"/>
        <v>-57</v>
      </c>
      <c r="BB6" s="202">
        <f t="shared" si="0"/>
        <v>-59</v>
      </c>
      <c r="BC6" s="202">
        <f t="shared" si="0"/>
        <v>-55</v>
      </c>
      <c r="BD6" s="202">
        <f t="shared" si="0"/>
        <v>-54</v>
      </c>
      <c r="BE6" s="202">
        <f t="shared" si="0"/>
        <v>-54</v>
      </c>
      <c r="BF6" s="202">
        <f t="shared" si="0"/>
        <v>-53</v>
      </c>
      <c r="BG6" s="203">
        <f t="shared" si="0"/>
        <v>-52</v>
      </c>
    </row>
    <row r="7" spans="1:59" ht="14.45" x14ac:dyDescent="0.3">
      <c r="A7" s="195" t="s">
        <v>242</v>
      </c>
      <c r="B7" s="183">
        <v>-36</v>
      </c>
      <c r="C7" s="183">
        <v>-34</v>
      </c>
      <c r="D7" s="183">
        <v>-31</v>
      </c>
      <c r="E7" s="183">
        <v>-31</v>
      </c>
      <c r="F7" s="183">
        <v>-32</v>
      </c>
      <c r="G7" s="183">
        <v>-31</v>
      </c>
      <c r="H7" s="183">
        <v>-30</v>
      </c>
      <c r="I7" s="183">
        <v>-28</v>
      </c>
      <c r="J7" s="183">
        <v>-29</v>
      </c>
      <c r="K7" s="184">
        <v>-31</v>
      </c>
      <c r="L7" s="217"/>
      <c r="M7" s="195" t="s">
        <v>242</v>
      </c>
      <c r="N7" s="196">
        <v>-45</v>
      </c>
      <c r="O7" s="183">
        <v>-41</v>
      </c>
      <c r="P7" s="183">
        <v>-37</v>
      </c>
      <c r="Q7" s="183">
        <v>-36</v>
      </c>
      <c r="R7" s="183">
        <v>-36</v>
      </c>
      <c r="S7" s="183">
        <v>-35</v>
      </c>
      <c r="T7" s="183">
        <v>-34</v>
      </c>
      <c r="U7" s="183">
        <v>-32</v>
      </c>
      <c r="V7" s="183">
        <v>-33</v>
      </c>
      <c r="W7" s="184">
        <v>-35</v>
      </c>
      <c r="X7" s="217"/>
      <c r="Y7" s="197" t="s">
        <v>242</v>
      </c>
      <c r="Z7" s="198">
        <v>-52</v>
      </c>
      <c r="AA7" s="199">
        <v>-49</v>
      </c>
      <c r="AB7" s="199">
        <v>-45</v>
      </c>
      <c r="AC7" s="199">
        <v>-45</v>
      </c>
      <c r="AD7" s="199">
        <v>-46</v>
      </c>
      <c r="AE7" s="199">
        <v>-45</v>
      </c>
      <c r="AF7" s="199">
        <v>-44</v>
      </c>
      <c r="AG7" s="199">
        <v>-41</v>
      </c>
      <c r="AH7" s="199">
        <v>-42</v>
      </c>
      <c r="AI7" s="200">
        <v>-44</v>
      </c>
      <c r="AJ7" s="217"/>
      <c r="AK7" s="197" t="s">
        <v>242</v>
      </c>
      <c r="AL7" s="198">
        <v>-57</v>
      </c>
      <c r="AM7" s="199">
        <v>-53</v>
      </c>
      <c r="AN7" s="199">
        <v>-50</v>
      </c>
      <c r="AO7" s="199">
        <v>-49</v>
      </c>
      <c r="AP7" s="199">
        <v>-50</v>
      </c>
      <c r="AQ7" s="199">
        <v>-48</v>
      </c>
      <c r="AR7" s="199">
        <v>-47</v>
      </c>
      <c r="AS7" s="199">
        <v>-45</v>
      </c>
      <c r="AT7" s="199">
        <v>-46</v>
      </c>
      <c r="AU7" s="200">
        <v>-48</v>
      </c>
      <c r="AW7" s="197" t="s">
        <v>242</v>
      </c>
      <c r="AX7" s="201">
        <f t="shared" si="1"/>
        <v>-62</v>
      </c>
      <c r="AY7" s="202">
        <f t="shared" si="0"/>
        <v>-58</v>
      </c>
      <c r="AZ7" s="202">
        <f t="shared" si="0"/>
        <v>-55</v>
      </c>
      <c r="BA7" s="202">
        <f t="shared" si="0"/>
        <v>-54</v>
      </c>
      <c r="BB7" s="202">
        <f t="shared" si="0"/>
        <v>-55</v>
      </c>
      <c r="BC7" s="202">
        <f t="shared" si="0"/>
        <v>-53</v>
      </c>
      <c r="BD7" s="202">
        <f t="shared" si="0"/>
        <v>-52</v>
      </c>
      <c r="BE7" s="202">
        <f t="shared" si="0"/>
        <v>-50</v>
      </c>
      <c r="BF7" s="202">
        <f t="shared" si="0"/>
        <v>-51</v>
      </c>
      <c r="BG7" s="203">
        <f t="shared" si="0"/>
        <v>-53</v>
      </c>
    </row>
    <row r="8" spans="1:59" ht="14.45" x14ac:dyDescent="0.3">
      <c r="A8" s="195" t="s">
        <v>250</v>
      </c>
      <c r="B8" s="183">
        <v>-34</v>
      </c>
      <c r="C8" s="183">
        <v>-32</v>
      </c>
      <c r="D8" s="183">
        <v>-32</v>
      </c>
      <c r="E8" s="183">
        <v>-30</v>
      </c>
      <c r="F8" s="183">
        <v>-32</v>
      </c>
      <c r="G8" s="183">
        <v>-32</v>
      </c>
      <c r="H8" s="183">
        <v>-30</v>
      </c>
      <c r="I8" s="183">
        <v>-29</v>
      </c>
      <c r="J8" s="183">
        <v>-29</v>
      </c>
      <c r="K8" s="184">
        <v>-29</v>
      </c>
      <c r="L8" s="217"/>
      <c r="M8" s="195" t="s">
        <v>250</v>
      </c>
      <c r="N8" s="196">
        <v>-43</v>
      </c>
      <c r="O8" s="183">
        <v>-39</v>
      </c>
      <c r="P8" s="183">
        <v>-38</v>
      </c>
      <c r="Q8" s="183">
        <v>-35</v>
      </c>
      <c r="R8" s="183">
        <v>-36</v>
      </c>
      <c r="S8" s="183">
        <v>-36</v>
      </c>
      <c r="T8" s="183">
        <v>-34</v>
      </c>
      <c r="U8" s="183">
        <v>-33</v>
      </c>
      <c r="V8" s="183">
        <v>-33</v>
      </c>
      <c r="W8" s="184">
        <v>-33</v>
      </c>
      <c r="X8" s="217"/>
      <c r="Y8" s="197" t="s">
        <v>250</v>
      </c>
      <c r="Z8" s="198">
        <v>-50</v>
      </c>
      <c r="AA8" s="199">
        <v>-47</v>
      </c>
      <c r="AB8" s="199">
        <v>-46</v>
      </c>
      <c r="AC8" s="199">
        <v>-44</v>
      </c>
      <c r="AD8" s="199">
        <v>-46</v>
      </c>
      <c r="AE8" s="199">
        <v>-46</v>
      </c>
      <c r="AF8" s="199">
        <v>-44</v>
      </c>
      <c r="AG8" s="199">
        <v>-42</v>
      </c>
      <c r="AH8" s="199">
        <v>-42</v>
      </c>
      <c r="AI8" s="200">
        <v>-42</v>
      </c>
      <c r="AJ8" s="217"/>
      <c r="AK8" s="197" t="s">
        <v>250</v>
      </c>
      <c r="AL8" s="198">
        <v>-55</v>
      </c>
      <c r="AM8" s="199">
        <v>-51</v>
      </c>
      <c r="AN8" s="199">
        <v>-51</v>
      </c>
      <c r="AO8" s="199">
        <v>-48</v>
      </c>
      <c r="AP8" s="199">
        <v>-50</v>
      </c>
      <c r="AQ8" s="199">
        <v>-49</v>
      </c>
      <c r="AR8" s="199">
        <v>-47</v>
      </c>
      <c r="AS8" s="199">
        <v>-46</v>
      </c>
      <c r="AT8" s="199">
        <v>-46</v>
      </c>
      <c r="AU8" s="200">
        <v>-46</v>
      </c>
      <c r="AW8" s="197" t="s">
        <v>250</v>
      </c>
      <c r="AX8" s="201">
        <f t="shared" si="1"/>
        <v>-60</v>
      </c>
      <c r="AY8" s="202">
        <f t="shared" si="0"/>
        <v>-56</v>
      </c>
      <c r="AZ8" s="202">
        <f t="shared" si="0"/>
        <v>-56</v>
      </c>
      <c r="BA8" s="202">
        <f t="shared" si="0"/>
        <v>-53</v>
      </c>
      <c r="BB8" s="202">
        <f t="shared" si="0"/>
        <v>-55</v>
      </c>
      <c r="BC8" s="202">
        <f t="shared" si="0"/>
        <v>-54</v>
      </c>
      <c r="BD8" s="202">
        <f t="shared" si="0"/>
        <v>-52</v>
      </c>
      <c r="BE8" s="202">
        <f t="shared" si="0"/>
        <v>-51</v>
      </c>
      <c r="BF8" s="202">
        <f t="shared" si="0"/>
        <v>-51</v>
      </c>
      <c r="BG8" s="203">
        <f t="shared" si="0"/>
        <v>-51</v>
      </c>
    </row>
    <row r="9" spans="1:59" ht="14.45" x14ac:dyDescent="0.3">
      <c r="A9" s="195" t="s">
        <v>258</v>
      </c>
      <c r="B9" s="183">
        <v>-29</v>
      </c>
      <c r="C9" s="183">
        <v>-27</v>
      </c>
      <c r="D9" s="183">
        <v>-28</v>
      </c>
      <c r="E9" s="183">
        <v>-29</v>
      </c>
      <c r="F9" s="183">
        <v>-30</v>
      </c>
      <c r="G9" s="183">
        <v>-30</v>
      </c>
      <c r="H9" s="183">
        <v>-30</v>
      </c>
      <c r="I9" s="183">
        <v>-27</v>
      </c>
      <c r="J9" s="183">
        <v>-30</v>
      </c>
      <c r="K9" s="184">
        <v>-32</v>
      </c>
      <c r="L9" s="217"/>
      <c r="M9" s="195" t="s">
        <v>258</v>
      </c>
      <c r="N9" s="196">
        <v>-37</v>
      </c>
      <c r="O9" s="183">
        <v>-33</v>
      </c>
      <c r="P9" s="183">
        <v>-33</v>
      </c>
      <c r="Q9" s="183">
        <v>-33</v>
      </c>
      <c r="R9" s="183">
        <v>-34</v>
      </c>
      <c r="S9" s="183">
        <v>-33</v>
      </c>
      <c r="T9" s="183">
        <v>-33</v>
      </c>
      <c r="U9" s="183">
        <v>-30</v>
      </c>
      <c r="V9" s="183">
        <v>-33</v>
      </c>
      <c r="W9" s="184">
        <v>-35</v>
      </c>
      <c r="X9" s="217"/>
      <c r="Y9" s="197" t="s">
        <v>258</v>
      </c>
      <c r="Z9" s="198">
        <v>-45</v>
      </c>
      <c r="AA9" s="199">
        <v>-42</v>
      </c>
      <c r="AB9" s="199">
        <v>-42</v>
      </c>
      <c r="AC9" s="199">
        <v>-42</v>
      </c>
      <c r="AD9" s="199">
        <v>-43</v>
      </c>
      <c r="AE9" s="199">
        <v>-43</v>
      </c>
      <c r="AF9" s="199">
        <v>-43</v>
      </c>
      <c r="AG9" s="199">
        <v>-39</v>
      </c>
      <c r="AH9" s="199">
        <v>-42</v>
      </c>
      <c r="AI9" s="200">
        <v>-44</v>
      </c>
      <c r="AJ9" s="217"/>
      <c r="AK9" s="197" t="s">
        <v>258</v>
      </c>
      <c r="AL9" s="198">
        <v>-50</v>
      </c>
      <c r="AM9" s="199">
        <v>-46</v>
      </c>
      <c r="AN9" s="199">
        <v>-47</v>
      </c>
      <c r="AO9" s="199">
        <v>-47</v>
      </c>
      <c r="AP9" s="199">
        <v>-48</v>
      </c>
      <c r="AQ9" s="199">
        <v>-46</v>
      </c>
      <c r="AR9" s="199">
        <v>-46</v>
      </c>
      <c r="AS9" s="199">
        <v>-43</v>
      </c>
      <c r="AT9" s="199">
        <v>-46</v>
      </c>
      <c r="AU9" s="200">
        <v>-48</v>
      </c>
      <c r="AW9" s="197" t="s">
        <v>258</v>
      </c>
      <c r="AX9" s="201">
        <f t="shared" si="1"/>
        <v>-55</v>
      </c>
      <c r="AY9" s="202">
        <f t="shared" si="0"/>
        <v>-51</v>
      </c>
      <c r="AZ9" s="202">
        <f t="shared" si="0"/>
        <v>-52</v>
      </c>
      <c r="BA9" s="202">
        <f t="shared" si="0"/>
        <v>-52</v>
      </c>
      <c r="BB9" s="202">
        <f t="shared" si="0"/>
        <v>-53</v>
      </c>
      <c r="BC9" s="202">
        <f t="shared" si="0"/>
        <v>-51</v>
      </c>
      <c r="BD9" s="202">
        <f t="shared" si="0"/>
        <v>-51</v>
      </c>
      <c r="BE9" s="202">
        <f t="shared" si="0"/>
        <v>-48</v>
      </c>
      <c r="BF9" s="202">
        <f t="shared" si="0"/>
        <v>-51</v>
      </c>
      <c r="BG9" s="203">
        <f t="shared" si="0"/>
        <v>-53</v>
      </c>
    </row>
    <row r="10" spans="1:59" thickBot="1" x14ac:dyDescent="0.35">
      <c r="A10" s="204" t="s">
        <v>265</v>
      </c>
      <c r="B10" s="205">
        <v>-34</v>
      </c>
      <c r="C10" s="205">
        <v>-33</v>
      </c>
      <c r="D10" s="205">
        <v>-30</v>
      </c>
      <c r="E10" s="205">
        <v>-33</v>
      </c>
      <c r="F10" s="205">
        <v>-32</v>
      </c>
      <c r="G10" s="205">
        <v>-30</v>
      </c>
      <c r="H10" s="205">
        <v>-30</v>
      </c>
      <c r="I10" s="205">
        <v>-31</v>
      </c>
      <c r="J10" s="205">
        <v>-30</v>
      </c>
      <c r="K10" s="206">
        <v>-29</v>
      </c>
      <c r="L10" s="217"/>
      <c r="M10" s="204" t="s">
        <v>265</v>
      </c>
      <c r="N10" s="207">
        <v>-42</v>
      </c>
      <c r="O10" s="205">
        <v>-39</v>
      </c>
      <c r="P10" s="205">
        <v>-35</v>
      </c>
      <c r="Q10" s="205">
        <v>-37</v>
      </c>
      <c r="R10" s="205">
        <v>-36</v>
      </c>
      <c r="S10" s="205">
        <v>-33</v>
      </c>
      <c r="T10" s="205">
        <v>-33</v>
      </c>
      <c r="U10" s="205">
        <v>-34</v>
      </c>
      <c r="V10" s="205">
        <v>-33</v>
      </c>
      <c r="W10" s="206">
        <v>-32</v>
      </c>
      <c r="X10" s="217"/>
      <c r="Y10" s="208" t="s">
        <v>265</v>
      </c>
      <c r="Z10" s="209">
        <v>-50</v>
      </c>
      <c r="AA10" s="210">
        <v>-48</v>
      </c>
      <c r="AB10" s="210">
        <v>-44</v>
      </c>
      <c r="AC10" s="210">
        <v>-46</v>
      </c>
      <c r="AD10" s="210">
        <v>-45</v>
      </c>
      <c r="AE10" s="210">
        <v>-43</v>
      </c>
      <c r="AF10" s="210">
        <v>-43</v>
      </c>
      <c r="AG10" s="210">
        <v>-43</v>
      </c>
      <c r="AH10" s="210">
        <v>-42</v>
      </c>
      <c r="AI10" s="211">
        <v>-41</v>
      </c>
      <c r="AJ10" s="217"/>
      <c r="AK10" s="208" t="s">
        <v>265</v>
      </c>
      <c r="AL10" s="209">
        <v>-55</v>
      </c>
      <c r="AM10" s="210">
        <v>-52</v>
      </c>
      <c r="AN10" s="210">
        <v>-49</v>
      </c>
      <c r="AO10" s="210">
        <v>-51</v>
      </c>
      <c r="AP10" s="210">
        <v>-50</v>
      </c>
      <c r="AQ10" s="210">
        <v>-46</v>
      </c>
      <c r="AR10" s="210">
        <v>-46</v>
      </c>
      <c r="AS10" s="210">
        <v>-47</v>
      </c>
      <c r="AT10" s="210">
        <v>-46</v>
      </c>
      <c r="AU10" s="211">
        <v>-45</v>
      </c>
      <c r="AW10" s="208" t="s">
        <v>265</v>
      </c>
      <c r="AX10" s="212">
        <f t="shared" si="1"/>
        <v>-60</v>
      </c>
      <c r="AY10" s="213">
        <f t="shared" si="0"/>
        <v>-57</v>
      </c>
      <c r="AZ10" s="213">
        <f t="shared" si="0"/>
        <v>-54</v>
      </c>
      <c r="BA10" s="213">
        <f t="shared" si="0"/>
        <v>-56</v>
      </c>
      <c r="BB10" s="213">
        <f t="shared" si="0"/>
        <v>-55</v>
      </c>
      <c r="BC10" s="213">
        <f t="shared" si="0"/>
        <v>-51</v>
      </c>
      <c r="BD10" s="213">
        <f t="shared" si="0"/>
        <v>-51</v>
      </c>
      <c r="BE10" s="213">
        <f t="shared" si="0"/>
        <v>-52</v>
      </c>
      <c r="BF10" s="213">
        <f t="shared" si="0"/>
        <v>-51</v>
      </c>
      <c r="BG10" s="214">
        <f t="shared" si="0"/>
        <v>-50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-37</v>
      </c>
      <c r="C15" s="186">
        <v>-37</v>
      </c>
      <c r="D15" s="186">
        <v>-37</v>
      </c>
      <c r="E15" s="186">
        <v>-39</v>
      </c>
      <c r="F15" s="186">
        <v>-37</v>
      </c>
      <c r="G15" s="186">
        <v>-31</v>
      </c>
      <c r="H15" s="186">
        <v>-30</v>
      </c>
      <c r="I15" s="186">
        <v>-29</v>
      </c>
      <c r="J15" s="186">
        <v>-32</v>
      </c>
      <c r="K15" s="187">
        <v>-36</v>
      </c>
      <c r="L15" s="217"/>
      <c r="M15" s="182" t="s">
        <v>187</v>
      </c>
      <c r="N15" s="185">
        <v>-46</v>
      </c>
      <c r="O15" s="186">
        <v>-44</v>
      </c>
      <c r="P15" s="186">
        <v>-43</v>
      </c>
      <c r="Q15" s="186">
        <v>-45</v>
      </c>
      <c r="R15" s="186">
        <v>-43</v>
      </c>
      <c r="S15" s="186">
        <v>-37</v>
      </c>
      <c r="T15" s="186">
        <v>-35</v>
      </c>
      <c r="U15" s="186">
        <v>-34</v>
      </c>
      <c r="V15" s="186">
        <v>-37</v>
      </c>
      <c r="W15" s="187">
        <v>-41</v>
      </c>
      <c r="X15" s="217"/>
      <c r="Y15" s="182" t="s">
        <v>187</v>
      </c>
      <c r="Z15" s="218">
        <v>-53</v>
      </c>
      <c r="AA15" s="219">
        <v>-52</v>
      </c>
      <c r="AB15" s="219">
        <v>-52</v>
      </c>
      <c r="AC15" s="219">
        <v>-54</v>
      </c>
      <c r="AD15" s="219">
        <v>-52</v>
      </c>
      <c r="AE15" s="219">
        <v>-46</v>
      </c>
      <c r="AF15" s="219">
        <v>-44</v>
      </c>
      <c r="AG15" s="219">
        <v>-42</v>
      </c>
      <c r="AH15" s="219">
        <v>-45</v>
      </c>
      <c r="AI15" s="220">
        <v>-49</v>
      </c>
      <c r="AJ15" s="217"/>
      <c r="AK15" s="188" t="s">
        <v>187</v>
      </c>
      <c r="AL15" s="189">
        <v>-58</v>
      </c>
      <c r="AM15" s="190">
        <v>-58</v>
      </c>
      <c r="AN15" s="190">
        <v>-58</v>
      </c>
      <c r="AO15" s="190">
        <v>-59</v>
      </c>
      <c r="AP15" s="190">
        <v>-57</v>
      </c>
      <c r="AQ15" s="190">
        <v>-50</v>
      </c>
      <c r="AR15" s="190">
        <v>-49</v>
      </c>
      <c r="AS15" s="190">
        <v>-48</v>
      </c>
      <c r="AT15" s="190">
        <v>-51</v>
      </c>
      <c r="AU15" s="191">
        <v>-55</v>
      </c>
      <c r="AW15" s="188" t="s">
        <v>187</v>
      </c>
      <c r="AX15" s="192">
        <f>AL15-5</f>
        <v>-63</v>
      </c>
      <c r="AY15" s="193">
        <f t="shared" ref="AY15:BG21" si="2">AM15-5</f>
        <v>-63</v>
      </c>
      <c r="AZ15" s="193">
        <f t="shared" si="2"/>
        <v>-63</v>
      </c>
      <c r="BA15" s="193">
        <f t="shared" si="2"/>
        <v>-64</v>
      </c>
      <c r="BB15" s="193">
        <f t="shared" si="2"/>
        <v>-62</v>
      </c>
      <c r="BC15" s="193">
        <f t="shared" si="2"/>
        <v>-55</v>
      </c>
      <c r="BD15" s="193">
        <f t="shared" si="2"/>
        <v>-54</v>
      </c>
      <c r="BE15" s="193">
        <f t="shared" si="2"/>
        <v>-53</v>
      </c>
      <c r="BF15" s="193">
        <f t="shared" si="2"/>
        <v>-56</v>
      </c>
      <c r="BG15" s="194">
        <f t="shared" si="2"/>
        <v>-60</v>
      </c>
    </row>
    <row r="16" spans="1:59" ht="14.45" x14ac:dyDescent="0.3">
      <c r="A16" s="195" t="s">
        <v>214</v>
      </c>
      <c r="B16" s="196">
        <v>-36</v>
      </c>
      <c r="C16" s="183">
        <v>-35</v>
      </c>
      <c r="D16" s="183">
        <v>-34</v>
      </c>
      <c r="E16" s="183">
        <v>-37</v>
      </c>
      <c r="F16" s="183">
        <v>-37</v>
      </c>
      <c r="G16" s="183">
        <v>-32</v>
      </c>
      <c r="H16" s="183">
        <v>-31</v>
      </c>
      <c r="I16" s="183">
        <v>-28</v>
      </c>
      <c r="J16" s="183">
        <v>-32</v>
      </c>
      <c r="K16" s="184">
        <v>-33</v>
      </c>
      <c r="L16" s="217"/>
      <c r="M16" s="195" t="s">
        <v>214</v>
      </c>
      <c r="N16" s="196">
        <v>-45</v>
      </c>
      <c r="O16" s="183">
        <v>-42</v>
      </c>
      <c r="P16" s="183">
        <v>-40</v>
      </c>
      <c r="Q16" s="183">
        <v>-43</v>
      </c>
      <c r="R16" s="183">
        <v>-43</v>
      </c>
      <c r="S16" s="183">
        <v>-38</v>
      </c>
      <c r="T16" s="183">
        <v>-36</v>
      </c>
      <c r="U16" s="183">
        <v>-33</v>
      </c>
      <c r="V16" s="183">
        <v>-37</v>
      </c>
      <c r="W16" s="184">
        <v>-38</v>
      </c>
      <c r="X16" s="217"/>
      <c r="Y16" s="195" t="s">
        <v>214</v>
      </c>
      <c r="Z16" s="221">
        <v>-52</v>
      </c>
      <c r="AA16" s="222">
        <v>-50</v>
      </c>
      <c r="AB16" s="222">
        <v>-49</v>
      </c>
      <c r="AC16" s="222">
        <v>-52</v>
      </c>
      <c r="AD16" s="222">
        <v>-52</v>
      </c>
      <c r="AE16" s="222">
        <v>-47</v>
      </c>
      <c r="AF16" s="222">
        <v>-45</v>
      </c>
      <c r="AG16" s="222">
        <v>-41</v>
      </c>
      <c r="AH16" s="222">
        <v>-45</v>
      </c>
      <c r="AI16" s="223">
        <v>-46</v>
      </c>
      <c r="AJ16" s="217"/>
      <c r="AK16" s="197" t="s">
        <v>214</v>
      </c>
      <c r="AL16" s="198">
        <v>-57</v>
      </c>
      <c r="AM16" s="199">
        <v>-56</v>
      </c>
      <c r="AN16" s="199">
        <v>-55</v>
      </c>
      <c r="AO16" s="199">
        <v>-57</v>
      </c>
      <c r="AP16" s="199">
        <v>-57</v>
      </c>
      <c r="AQ16" s="199">
        <v>-51</v>
      </c>
      <c r="AR16" s="199">
        <v>-50</v>
      </c>
      <c r="AS16" s="199">
        <v>-47</v>
      </c>
      <c r="AT16" s="199">
        <v>-51</v>
      </c>
      <c r="AU16" s="200">
        <v>-52</v>
      </c>
      <c r="AW16" s="197" t="s">
        <v>214</v>
      </c>
      <c r="AX16" s="201">
        <f t="shared" ref="AX16:AX21" si="3">AL16-5</f>
        <v>-62</v>
      </c>
      <c r="AY16" s="202">
        <f t="shared" si="2"/>
        <v>-61</v>
      </c>
      <c r="AZ16" s="202">
        <f t="shared" si="2"/>
        <v>-60</v>
      </c>
      <c r="BA16" s="202">
        <f t="shared" si="2"/>
        <v>-62</v>
      </c>
      <c r="BB16" s="202">
        <f t="shared" si="2"/>
        <v>-62</v>
      </c>
      <c r="BC16" s="202">
        <f t="shared" si="2"/>
        <v>-56</v>
      </c>
      <c r="BD16" s="202">
        <f t="shared" si="2"/>
        <v>-55</v>
      </c>
      <c r="BE16" s="202">
        <f t="shared" si="2"/>
        <v>-52</v>
      </c>
      <c r="BF16" s="202">
        <f t="shared" si="2"/>
        <v>-56</v>
      </c>
      <c r="BG16" s="203">
        <f t="shared" si="2"/>
        <v>-57</v>
      </c>
    </row>
    <row r="17" spans="1:59" ht="14.45" x14ac:dyDescent="0.3">
      <c r="A17" s="195" t="s">
        <v>233</v>
      </c>
      <c r="B17" s="196">
        <v>-40</v>
      </c>
      <c r="C17" s="183">
        <v>-37</v>
      </c>
      <c r="D17" s="183">
        <v>-35</v>
      </c>
      <c r="E17" s="183">
        <v>-37</v>
      </c>
      <c r="F17" s="183">
        <v>-38</v>
      </c>
      <c r="G17" s="183">
        <v>-35</v>
      </c>
      <c r="H17" s="183">
        <v>-34</v>
      </c>
      <c r="I17" s="183">
        <v>-34</v>
      </c>
      <c r="J17" s="183">
        <v>-33</v>
      </c>
      <c r="K17" s="184">
        <v>-32</v>
      </c>
      <c r="L17" s="217"/>
      <c r="M17" s="195" t="s">
        <v>233</v>
      </c>
      <c r="N17" s="196">
        <v>-49</v>
      </c>
      <c r="O17" s="183">
        <v>-44</v>
      </c>
      <c r="P17" s="183">
        <v>-41</v>
      </c>
      <c r="Q17" s="183">
        <v>-43</v>
      </c>
      <c r="R17" s="183">
        <v>-44</v>
      </c>
      <c r="S17" s="183">
        <v>-41</v>
      </c>
      <c r="T17" s="183">
        <v>-39</v>
      </c>
      <c r="U17" s="183">
        <v>-39</v>
      </c>
      <c r="V17" s="183">
        <v>-38</v>
      </c>
      <c r="W17" s="184">
        <v>-37</v>
      </c>
      <c r="X17" s="217"/>
      <c r="Y17" s="195" t="s">
        <v>233</v>
      </c>
      <c r="Z17" s="221">
        <v>-56</v>
      </c>
      <c r="AA17" s="222">
        <v>-52</v>
      </c>
      <c r="AB17" s="222">
        <v>-50</v>
      </c>
      <c r="AC17" s="222">
        <v>-52</v>
      </c>
      <c r="AD17" s="222">
        <v>-53</v>
      </c>
      <c r="AE17" s="222">
        <v>-50</v>
      </c>
      <c r="AF17" s="222">
        <v>-48</v>
      </c>
      <c r="AG17" s="222">
        <v>-47</v>
      </c>
      <c r="AH17" s="222">
        <v>-46</v>
      </c>
      <c r="AI17" s="223">
        <v>-45</v>
      </c>
      <c r="AJ17" s="217"/>
      <c r="AK17" s="197" t="s">
        <v>233</v>
      </c>
      <c r="AL17" s="198">
        <v>-61</v>
      </c>
      <c r="AM17" s="199">
        <v>-58</v>
      </c>
      <c r="AN17" s="199">
        <v>-56</v>
      </c>
      <c r="AO17" s="199">
        <v>-57</v>
      </c>
      <c r="AP17" s="199">
        <v>-58</v>
      </c>
      <c r="AQ17" s="199">
        <v>-54</v>
      </c>
      <c r="AR17" s="199">
        <v>-53</v>
      </c>
      <c r="AS17" s="199">
        <v>-53</v>
      </c>
      <c r="AT17" s="199">
        <v>-52</v>
      </c>
      <c r="AU17" s="200">
        <v>-51</v>
      </c>
      <c r="AW17" s="197" t="s">
        <v>233</v>
      </c>
      <c r="AX17" s="201">
        <f t="shared" si="3"/>
        <v>-66</v>
      </c>
      <c r="AY17" s="202">
        <f t="shared" si="2"/>
        <v>-63</v>
      </c>
      <c r="AZ17" s="202">
        <f t="shared" si="2"/>
        <v>-61</v>
      </c>
      <c r="BA17" s="202">
        <f t="shared" si="2"/>
        <v>-62</v>
      </c>
      <c r="BB17" s="202">
        <f t="shared" si="2"/>
        <v>-63</v>
      </c>
      <c r="BC17" s="202">
        <f t="shared" si="2"/>
        <v>-59</v>
      </c>
      <c r="BD17" s="202">
        <f t="shared" si="2"/>
        <v>-58</v>
      </c>
      <c r="BE17" s="202">
        <f t="shared" si="2"/>
        <v>-58</v>
      </c>
      <c r="BF17" s="202">
        <f t="shared" si="2"/>
        <v>-57</v>
      </c>
      <c r="BG17" s="203">
        <f t="shared" si="2"/>
        <v>-56</v>
      </c>
    </row>
    <row r="18" spans="1:59" ht="14.45" x14ac:dyDescent="0.3">
      <c r="A18" s="195" t="s">
        <v>242</v>
      </c>
      <c r="B18" s="196">
        <v>-40</v>
      </c>
      <c r="C18" s="183">
        <v>-38</v>
      </c>
      <c r="D18" s="183">
        <v>-35</v>
      </c>
      <c r="E18" s="183">
        <v>-35</v>
      </c>
      <c r="F18" s="183">
        <v>-35</v>
      </c>
      <c r="G18" s="183">
        <v>-34</v>
      </c>
      <c r="H18" s="183">
        <v>-33</v>
      </c>
      <c r="I18" s="183">
        <v>-31</v>
      </c>
      <c r="J18" s="183">
        <v>-32</v>
      </c>
      <c r="K18" s="184">
        <v>-34</v>
      </c>
      <c r="L18" s="217"/>
      <c r="M18" s="195" t="s">
        <v>242</v>
      </c>
      <c r="N18" s="196">
        <v>-49</v>
      </c>
      <c r="O18" s="183">
        <v>-45</v>
      </c>
      <c r="P18" s="183">
        <v>-41</v>
      </c>
      <c r="Q18" s="183">
        <v>-40</v>
      </c>
      <c r="R18" s="183">
        <v>-39</v>
      </c>
      <c r="S18" s="183">
        <v>-38</v>
      </c>
      <c r="T18" s="183">
        <v>-37</v>
      </c>
      <c r="U18" s="183">
        <v>-35</v>
      </c>
      <c r="V18" s="183">
        <v>-36</v>
      </c>
      <c r="W18" s="184">
        <v>-38</v>
      </c>
      <c r="X18" s="217"/>
      <c r="Y18" s="195" t="s">
        <v>242</v>
      </c>
      <c r="Z18" s="221">
        <v>-56</v>
      </c>
      <c r="AA18" s="222">
        <v>-53</v>
      </c>
      <c r="AB18" s="222">
        <v>-49</v>
      </c>
      <c r="AC18" s="222">
        <v>-49</v>
      </c>
      <c r="AD18" s="222">
        <v>-49</v>
      </c>
      <c r="AE18" s="222">
        <v>-48</v>
      </c>
      <c r="AF18" s="222">
        <v>-47</v>
      </c>
      <c r="AG18" s="222">
        <v>-44</v>
      </c>
      <c r="AH18" s="222">
        <v>-45</v>
      </c>
      <c r="AI18" s="223">
        <v>-47</v>
      </c>
      <c r="AJ18" s="217"/>
      <c r="AK18" s="197" t="s">
        <v>242</v>
      </c>
      <c r="AL18" s="198">
        <v>-61</v>
      </c>
      <c r="AM18" s="199">
        <v>-57</v>
      </c>
      <c r="AN18" s="199">
        <v>-54</v>
      </c>
      <c r="AO18" s="199">
        <v>-53</v>
      </c>
      <c r="AP18" s="199">
        <v>-53</v>
      </c>
      <c r="AQ18" s="199">
        <v>-51</v>
      </c>
      <c r="AR18" s="199">
        <v>-50</v>
      </c>
      <c r="AS18" s="199">
        <v>-48</v>
      </c>
      <c r="AT18" s="199">
        <v>-49</v>
      </c>
      <c r="AU18" s="200">
        <v>-51</v>
      </c>
      <c r="AW18" s="197" t="s">
        <v>242</v>
      </c>
      <c r="AX18" s="201">
        <f t="shared" si="3"/>
        <v>-66</v>
      </c>
      <c r="AY18" s="202">
        <f t="shared" si="2"/>
        <v>-62</v>
      </c>
      <c r="AZ18" s="202">
        <f t="shared" si="2"/>
        <v>-59</v>
      </c>
      <c r="BA18" s="202">
        <f t="shared" si="2"/>
        <v>-58</v>
      </c>
      <c r="BB18" s="202">
        <f t="shared" si="2"/>
        <v>-58</v>
      </c>
      <c r="BC18" s="202">
        <f t="shared" si="2"/>
        <v>-56</v>
      </c>
      <c r="BD18" s="202">
        <f t="shared" si="2"/>
        <v>-55</v>
      </c>
      <c r="BE18" s="202">
        <f t="shared" si="2"/>
        <v>-53</v>
      </c>
      <c r="BF18" s="202">
        <f t="shared" si="2"/>
        <v>-54</v>
      </c>
      <c r="BG18" s="203">
        <f t="shared" si="2"/>
        <v>-56</v>
      </c>
    </row>
    <row r="19" spans="1:59" ht="14.45" x14ac:dyDescent="0.3">
      <c r="A19" s="195" t="s">
        <v>250</v>
      </c>
      <c r="B19" s="196">
        <v>-38</v>
      </c>
      <c r="C19" s="183">
        <v>-36</v>
      </c>
      <c r="D19" s="183">
        <v>-36</v>
      </c>
      <c r="E19" s="183">
        <v>-34</v>
      </c>
      <c r="F19" s="183">
        <v>-35</v>
      </c>
      <c r="G19" s="183">
        <v>-35</v>
      </c>
      <c r="H19" s="183">
        <v>-33</v>
      </c>
      <c r="I19" s="183">
        <v>-32</v>
      </c>
      <c r="J19" s="183">
        <v>-32</v>
      </c>
      <c r="K19" s="184">
        <v>-32</v>
      </c>
      <c r="L19" s="217"/>
      <c r="M19" s="195" t="s">
        <v>250</v>
      </c>
      <c r="N19" s="196">
        <v>-47</v>
      </c>
      <c r="O19" s="183">
        <v>-43</v>
      </c>
      <c r="P19" s="183">
        <v>-42</v>
      </c>
      <c r="Q19" s="183">
        <v>-39</v>
      </c>
      <c r="R19" s="183">
        <v>-39</v>
      </c>
      <c r="S19" s="183">
        <v>-39</v>
      </c>
      <c r="T19" s="183">
        <v>-37</v>
      </c>
      <c r="U19" s="183">
        <v>-36</v>
      </c>
      <c r="V19" s="183">
        <v>-36</v>
      </c>
      <c r="W19" s="184">
        <v>-36</v>
      </c>
      <c r="X19" s="217"/>
      <c r="Y19" s="195" t="s">
        <v>250</v>
      </c>
      <c r="Z19" s="221">
        <v>-54</v>
      </c>
      <c r="AA19" s="222">
        <v>-51</v>
      </c>
      <c r="AB19" s="222">
        <v>-50</v>
      </c>
      <c r="AC19" s="222">
        <v>-48</v>
      </c>
      <c r="AD19" s="222">
        <v>-49</v>
      </c>
      <c r="AE19" s="222">
        <v>-49</v>
      </c>
      <c r="AF19" s="222">
        <v>-47</v>
      </c>
      <c r="AG19" s="222">
        <v>-45</v>
      </c>
      <c r="AH19" s="222">
        <v>-45</v>
      </c>
      <c r="AI19" s="223">
        <v>-45</v>
      </c>
      <c r="AJ19" s="217"/>
      <c r="AK19" s="197" t="s">
        <v>250</v>
      </c>
      <c r="AL19" s="198">
        <v>-59</v>
      </c>
      <c r="AM19" s="199">
        <v>-55</v>
      </c>
      <c r="AN19" s="199">
        <v>-55</v>
      </c>
      <c r="AO19" s="199">
        <v>-52</v>
      </c>
      <c r="AP19" s="199">
        <v>-53</v>
      </c>
      <c r="AQ19" s="199">
        <v>-52</v>
      </c>
      <c r="AR19" s="199">
        <v>-50</v>
      </c>
      <c r="AS19" s="199">
        <v>-49</v>
      </c>
      <c r="AT19" s="199">
        <v>-49</v>
      </c>
      <c r="AU19" s="200">
        <v>-49</v>
      </c>
      <c r="AW19" s="197" t="s">
        <v>250</v>
      </c>
      <c r="AX19" s="201">
        <f t="shared" si="3"/>
        <v>-64</v>
      </c>
      <c r="AY19" s="202">
        <f t="shared" si="2"/>
        <v>-60</v>
      </c>
      <c r="AZ19" s="202">
        <f t="shared" si="2"/>
        <v>-60</v>
      </c>
      <c r="BA19" s="202">
        <f t="shared" si="2"/>
        <v>-57</v>
      </c>
      <c r="BB19" s="202">
        <f t="shared" si="2"/>
        <v>-58</v>
      </c>
      <c r="BC19" s="202">
        <f t="shared" si="2"/>
        <v>-57</v>
      </c>
      <c r="BD19" s="202">
        <f t="shared" si="2"/>
        <v>-55</v>
      </c>
      <c r="BE19" s="202">
        <f t="shared" si="2"/>
        <v>-54</v>
      </c>
      <c r="BF19" s="202">
        <f t="shared" si="2"/>
        <v>-54</v>
      </c>
      <c r="BG19" s="203">
        <f t="shared" si="2"/>
        <v>-54</v>
      </c>
    </row>
    <row r="20" spans="1:59" ht="14.45" x14ac:dyDescent="0.3">
      <c r="A20" s="195" t="s">
        <v>258</v>
      </c>
      <c r="B20" s="196">
        <v>-32</v>
      </c>
      <c r="C20" s="183">
        <v>-30</v>
      </c>
      <c r="D20" s="183">
        <v>-31</v>
      </c>
      <c r="E20" s="183">
        <v>-32</v>
      </c>
      <c r="F20" s="183">
        <v>-33</v>
      </c>
      <c r="G20" s="183">
        <v>-33</v>
      </c>
      <c r="H20" s="183">
        <v>-33</v>
      </c>
      <c r="I20" s="183">
        <v>-30</v>
      </c>
      <c r="J20" s="183">
        <v>-33</v>
      </c>
      <c r="K20" s="184">
        <v>-35</v>
      </c>
      <c r="L20" s="217"/>
      <c r="M20" s="195" t="s">
        <v>258</v>
      </c>
      <c r="N20" s="196">
        <v>-40</v>
      </c>
      <c r="O20" s="183">
        <v>-36</v>
      </c>
      <c r="P20" s="183">
        <v>-36</v>
      </c>
      <c r="Q20" s="183">
        <v>-36</v>
      </c>
      <c r="R20" s="183">
        <v>-37</v>
      </c>
      <c r="S20" s="183">
        <v>-36</v>
      </c>
      <c r="T20" s="183">
        <v>-36</v>
      </c>
      <c r="U20" s="183">
        <v>-33</v>
      </c>
      <c r="V20" s="183">
        <v>-36</v>
      </c>
      <c r="W20" s="184">
        <v>-38</v>
      </c>
      <c r="X20" s="217"/>
      <c r="Y20" s="195" t="s">
        <v>258</v>
      </c>
      <c r="Z20" s="221">
        <v>-48</v>
      </c>
      <c r="AA20" s="222">
        <v>-45</v>
      </c>
      <c r="AB20" s="222">
        <v>-45</v>
      </c>
      <c r="AC20" s="222">
        <v>-45</v>
      </c>
      <c r="AD20" s="222">
        <v>-46</v>
      </c>
      <c r="AE20" s="222">
        <v>-46</v>
      </c>
      <c r="AF20" s="222">
        <v>-46</v>
      </c>
      <c r="AG20" s="222">
        <v>-42</v>
      </c>
      <c r="AH20" s="222">
        <v>-45</v>
      </c>
      <c r="AI20" s="223">
        <v>-47</v>
      </c>
      <c r="AJ20" s="217"/>
      <c r="AK20" s="197" t="s">
        <v>258</v>
      </c>
      <c r="AL20" s="198">
        <v>-53</v>
      </c>
      <c r="AM20" s="199">
        <v>-49</v>
      </c>
      <c r="AN20" s="199">
        <v>-50</v>
      </c>
      <c r="AO20" s="199">
        <v>-50</v>
      </c>
      <c r="AP20" s="199">
        <v>-51</v>
      </c>
      <c r="AQ20" s="199">
        <v>-49</v>
      </c>
      <c r="AR20" s="199">
        <v>-49</v>
      </c>
      <c r="AS20" s="199">
        <v>-46</v>
      </c>
      <c r="AT20" s="199">
        <v>-49</v>
      </c>
      <c r="AU20" s="200">
        <v>-51</v>
      </c>
      <c r="AW20" s="197" t="s">
        <v>258</v>
      </c>
      <c r="AX20" s="201">
        <f t="shared" si="3"/>
        <v>-58</v>
      </c>
      <c r="AY20" s="202">
        <f t="shared" si="2"/>
        <v>-54</v>
      </c>
      <c r="AZ20" s="202">
        <f t="shared" si="2"/>
        <v>-55</v>
      </c>
      <c r="BA20" s="202">
        <f t="shared" si="2"/>
        <v>-55</v>
      </c>
      <c r="BB20" s="202">
        <f t="shared" si="2"/>
        <v>-56</v>
      </c>
      <c r="BC20" s="202">
        <f t="shared" si="2"/>
        <v>-54</v>
      </c>
      <c r="BD20" s="202">
        <f t="shared" si="2"/>
        <v>-54</v>
      </c>
      <c r="BE20" s="202">
        <f t="shared" si="2"/>
        <v>-51</v>
      </c>
      <c r="BF20" s="202">
        <f t="shared" si="2"/>
        <v>-54</v>
      </c>
      <c r="BG20" s="203">
        <f t="shared" si="2"/>
        <v>-56</v>
      </c>
    </row>
    <row r="21" spans="1:59" thickBot="1" x14ac:dyDescent="0.35">
      <c r="A21" s="204" t="s">
        <v>265</v>
      </c>
      <c r="B21" s="207">
        <v>-37</v>
      </c>
      <c r="C21" s="205">
        <v>-36</v>
      </c>
      <c r="D21" s="205">
        <v>-33</v>
      </c>
      <c r="E21" s="205">
        <v>-36</v>
      </c>
      <c r="F21" s="205">
        <v>-35</v>
      </c>
      <c r="G21" s="205">
        <v>-33</v>
      </c>
      <c r="H21" s="205">
        <v>-33</v>
      </c>
      <c r="I21" s="205">
        <v>-34</v>
      </c>
      <c r="J21" s="205">
        <v>-33</v>
      </c>
      <c r="K21" s="206">
        <v>-32</v>
      </c>
      <c r="L21" s="217"/>
      <c r="M21" s="204" t="s">
        <v>265</v>
      </c>
      <c r="N21" s="207">
        <v>-45</v>
      </c>
      <c r="O21" s="205">
        <v>-42</v>
      </c>
      <c r="P21" s="205">
        <v>-38</v>
      </c>
      <c r="Q21" s="205">
        <v>-40</v>
      </c>
      <c r="R21" s="205">
        <v>-39</v>
      </c>
      <c r="S21" s="205">
        <v>-36</v>
      </c>
      <c r="T21" s="205">
        <v>-36</v>
      </c>
      <c r="U21" s="205">
        <v>-37</v>
      </c>
      <c r="V21" s="205">
        <v>-36</v>
      </c>
      <c r="W21" s="206">
        <v>-35</v>
      </c>
      <c r="X21" s="217"/>
      <c r="Y21" s="204" t="s">
        <v>265</v>
      </c>
      <c r="Z21" s="224">
        <v>-53</v>
      </c>
      <c r="AA21" s="225">
        <v>-51</v>
      </c>
      <c r="AB21" s="225">
        <v>-47</v>
      </c>
      <c r="AC21" s="225">
        <v>-49</v>
      </c>
      <c r="AD21" s="225">
        <v>-48</v>
      </c>
      <c r="AE21" s="225">
        <v>-46</v>
      </c>
      <c r="AF21" s="225">
        <v>-46</v>
      </c>
      <c r="AG21" s="225">
        <v>-46</v>
      </c>
      <c r="AH21" s="225">
        <v>-45</v>
      </c>
      <c r="AI21" s="226">
        <v>-44</v>
      </c>
      <c r="AJ21" s="217"/>
      <c r="AK21" s="208" t="s">
        <v>265</v>
      </c>
      <c r="AL21" s="209">
        <v>-58</v>
      </c>
      <c r="AM21" s="210">
        <v>-55</v>
      </c>
      <c r="AN21" s="210">
        <v>-52</v>
      </c>
      <c r="AO21" s="210">
        <v>-54</v>
      </c>
      <c r="AP21" s="210">
        <v>-53</v>
      </c>
      <c r="AQ21" s="210">
        <v>-49</v>
      </c>
      <c r="AR21" s="210">
        <v>-49</v>
      </c>
      <c r="AS21" s="210">
        <v>-50</v>
      </c>
      <c r="AT21" s="210">
        <v>-49</v>
      </c>
      <c r="AU21" s="211">
        <v>-48</v>
      </c>
      <c r="AW21" s="208" t="s">
        <v>265</v>
      </c>
      <c r="AX21" s="212">
        <f t="shared" si="3"/>
        <v>-63</v>
      </c>
      <c r="AY21" s="213">
        <f t="shared" si="2"/>
        <v>-60</v>
      </c>
      <c r="AZ21" s="213">
        <f t="shared" si="2"/>
        <v>-57</v>
      </c>
      <c r="BA21" s="213">
        <f t="shared" si="2"/>
        <v>-59</v>
      </c>
      <c r="BB21" s="213">
        <f t="shared" si="2"/>
        <v>-58</v>
      </c>
      <c r="BC21" s="213">
        <f t="shared" si="2"/>
        <v>-54</v>
      </c>
      <c r="BD21" s="213">
        <f t="shared" si="2"/>
        <v>-54</v>
      </c>
      <c r="BE21" s="213">
        <f t="shared" si="2"/>
        <v>-55</v>
      </c>
      <c r="BF21" s="213">
        <f t="shared" si="2"/>
        <v>-54</v>
      </c>
      <c r="BG21" s="214">
        <f t="shared" si="2"/>
        <v>-53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-47</v>
      </c>
      <c r="C26" s="186">
        <v>-47</v>
      </c>
      <c r="D26" s="186">
        <v>-47</v>
      </c>
      <c r="E26" s="186">
        <v>-49</v>
      </c>
      <c r="F26" s="186">
        <v>-47</v>
      </c>
      <c r="G26" s="186">
        <v>-40</v>
      </c>
      <c r="H26" s="186">
        <v>-38</v>
      </c>
      <c r="I26" s="186">
        <v>-37</v>
      </c>
      <c r="J26" s="186">
        <v>-40</v>
      </c>
      <c r="K26" s="187">
        <v>-44</v>
      </c>
      <c r="L26" s="217"/>
      <c r="M26" s="182" t="s">
        <v>187</v>
      </c>
      <c r="N26" s="185">
        <v>-56</v>
      </c>
      <c r="O26" s="186">
        <v>-54</v>
      </c>
      <c r="P26" s="186">
        <v>-53</v>
      </c>
      <c r="Q26" s="186">
        <v>-55</v>
      </c>
      <c r="R26" s="186">
        <v>-53</v>
      </c>
      <c r="S26" s="186">
        <v>-46</v>
      </c>
      <c r="T26" s="186">
        <v>-43</v>
      </c>
      <c r="U26" s="186">
        <v>-42</v>
      </c>
      <c r="V26" s="186">
        <v>-45</v>
      </c>
      <c r="W26" s="187">
        <v>-49</v>
      </c>
      <c r="X26" s="217"/>
      <c r="Y26" s="188" t="s">
        <v>187</v>
      </c>
      <c r="Z26" s="227">
        <v>-63</v>
      </c>
      <c r="AA26" s="228">
        <v>-62</v>
      </c>
      <c r="AB26" s="228">
        <v>-62</v>
      </c>
      <c r="AC26" s="228">
        <v>-64</v>
      </c>
      <c r="AD26" s="228">
        <v>-62</v>
      </c>
      <c r="AE26" s="228">
        <v>-55</v>
      </c>
      <c r="AF26" s="228">
        <v>-52</v>
      </c>
      <c r="AG26" s="228">
        <v>-50</v>
      </c>
      <c r="AH26" s="228">
        <v>-53</v>
      </c>
      <c r="AI26" s="229">
        <v>-57</v>
      </c>
      <c r="AJ26" s="217"/>
      <c r="AK26" s="188" t="s">
        <v>187</v>
      </c>
      <c r="AL26" s="189">
        <v>-68</v>
      </c>
      <c r="AM26" s="190">
        <v>-68</v>
      </c>
      <c r="AN26" s="190">
        <v>-68</v>
      </c>
      <c r="AO26" s="190">
        <v>-68</v>
      </c>
      <c r="AP26" s="190">
        <v>-67</v>
      </c>
      <c r="AQ26" s="190">
        <v>-59</v>
      </c>
      <c r="AR26" s="190">
        <v>-57</v>
      </c>
      <c r="AS26" s="190">
        <v>-56</v>
      </c>
      <c r="AT26" s="190">
        <v>-59</v>
      </c>
      <c r="AU26" s="191">
        <v>-63</v>
      </c>
      <c r="AW26" s="188" t="s">
        <v>187</v>
      </c>
      <c r="AX26" s="192">
        <f>AL26-5</f>
        <v>-73</v>
      </c>
      <c r="AY26" s="193">
        <f t="shared" ref="AY26:BG32" si="4">AM26-5</f>
        <v>-73</v>
      </c>
      <c r="AZ26" s="193">
        <f t="shared" si="4"/>
        <v>-73</v>
      </c>
      <c r="BA26" s="193">
        <f t="shared" si="4"/>
        <v>-73</v>
      </c>
      <c r="BB26" s="193">
        <f t="shared" si="4"/>
        <v>-72</v>
      </c>
      <c r="BC26" s="193">
        <f t="shared" si="4"/>
        <v>-64</v>
      </c>
      <c r="BD26" s="193">
        <f t="shared" si="4"/>
        <v>-62</v>
      </c>
      <c r="BE26" s="193">
        <f t="shared" si="4"/>
        <v>-61</v>
      </c>
      <c r="BF26" s="193">
        <f t="shared" si="4"/>
        <v>-64</v>
      </c>
      <c r="BG26" s="194">
        <f t="shared" si="4"/>
        <v>-68</v>
      </c>
    </row>
    <row r="27" spans="1:59" x14ac:dyDescent="0.25">
      <c r="A27" s="195" t="s">
        <v>214</v>
      </c>
      <c r="B27" s="196">
        <v>-46</v>
      </c>
      <c r="C27" s="183">
        <v>-45</v>
      </c>
      <c r="D27" s="183">
        <v>-44</v>
      </c>
      <c r="E27" s="183">
        <v>-47</v>
      </c>
      <c r="F27" s="183">
        <v>-47</v>
      </c>
      <c r="G27" s="183">
        <v>-41</v>
      </c>
      <c r="H27" s="183">
        <v>-39</v>
      </c>
      <c r="I27" s="183">
        <v>-36</v>
      </c>
      <c r="J27" s="183">
        <v>-40</v>
      </c>
      <c r="K27" s="184">
        <v>-41</v>
      </c>
      <c r="L27" s="217"/>
      <c r="M27" s="195" t="s">
        <v>214</v>
      </c>
      <c r="N27" s="196">
        <v>-55</v>
      </c>
      <c r="O27" s="183">
        <v>-52</v>
      </c>
      <c r="P27" s="183">
        <v>-50</v>
      </c>
      <c r="Q27" s="183">
        <v>-53</v>
      </c>
      <c r="R27" s="183">
        <v>-53</v>
      </c>
      <c r="S27" s="183">
        <v>-47</v>
      </c>
      <c r="T27" s="183">
        <v>-44</v>
      </c>
      <c r="U27" s="183">
        <v>-41</v>
      </c>
      <c r="V27" s="183">
        <v>-45</v>
      </c>
      <c r="W27" s="184">
        <v>-46</v>
      </c>
      <c r="X27" s="217"/>
      <c r="Y27" s="197" t="s">
        <v>214</v>
      </c>
      <c r="Z27" s="230">
        <v>-62</v>
      </c>
      <c r="AA27" s="231">
        <v>-60</v>
      </c>
      <c r="AB27" s="231">
        <v>-59</v>
      </c>
      <c r="AC27" s="231">
        <v>-62</v>
      </c>
      <c r="AD27" s="231">
        <v>-62</v>
      </c>
      <c r="AE27" s="231">
        <v>-56</v>
      </c>
      <c r="AF27" s="231">
        <v>-53</v>
      </c>
      <c r="AG27" s="231">
        <v>-49</v>
      </c>
      <c r="AH27" s="231">
        <v>-53</v>
      </c>
      <c r="AI27" s="232">
        <v>-54</v>
      </c>
      <c r="AJ27" s="217"/>
      <c r="AK27" s="197" t="s">
        <v>214</v>
      </c>
      <c r="AL27" s="198">
        <v>-67</v>
      </c>
      <c r="AM27" s="199">
        <v>-66</v>
      </c>
      <c r="AN27" s="199">
        <v>-65</v>
      </c>
      <c r="AO27" s="199">
        <v>-67</v>
      </c>
      <c r="AP27" s="199">
        <v>-67</v>
      </c>
      <c r="AQ27" s="199">
        <v>-60</v>
      </c>
      <c r="AR27" s="199">
        <v>-58</v>
      </c>
      <c r="AS27" s="199">
        <v>-55</v>
      </c>
      <c r="AT27" s="199">
        <v>-59</v>
      </c>
      <c r="AU27" s="200">
        <v>-60</v>
      </c>
      <c r="AW27" s="197" t="s">
        <v>214</v>
      </c>
      <c r="AX27" s="201">
        <f t="shared" ref="AX27:AX32" si="5">AL27-5</f>
        <v>-72</v>
      </c>
      <c r="AY27" s="202">
        <f t="shared" si="4"/>
        <v>-71</v>
      </c>
      <c r="AZ27" s="202">
        <f t="shared" si="4"/>
        <v>-70</v>
      </c>
      <c r="BA27" s="202">
        <f t="shared" si="4"/>
        <v>-72</v>
      </c>
      <c r="BB27" s="202">
        <f t="shared" si="4"/>
        <v>-72</v>
      </c>
      <c r="BC27" s="202">
        <f t="shared" si="4"/>
        <v>-65</v>
      </c>
      <c r="BD27" s="202">
        <f t="shared" si="4"/>
        <v>-63</v>
      </c>
      <c r="BE27" s="202">
        <f t="shared" si="4"/>
        <v>-60</v>
      </c>
      <c r="BF27" s="202">
        <f t="shared" si="4"/>
        <v>-64</v>
      </c>
      <c r="BG27" s="203">
        <f t="shared" si="4"/>
        <v>-65</v>
      </c>
    </row>
    <row r="28" spans="1:59" x14ac:dyDescent="0.25">
      <c r="A28" s="195" t="s">
        <v>233</v>
      </c>
      <c r="B28" s="196">
        <v>-50</v>
      </c>
      <c r="C28" s="183">
        <v>-47</v>
      </c>
      <c r="D28" s="183">
        <v>-45</v>
      </c>
      <c r="E28" s="183">
        <v>-47</v>
      </c>
      <c r="F28" s="183">
        <v>-48</v>
      </c>
      <c r="G28" s="183">
        <v>-44</v>
      </c>
      <c r="H28" s="183">
        <v>-42</v>
      </c>
      <c r="I28" s="183">
        <v>-42</v>
      </c>
      <c r="J28" s="183">
        <v>-41</v>
      </c>
      <c r="K28" s="184">
        <v>-40</v>
      </c>
      <c r="L28" s="217"/>
      <c r="M28" s="195" t="s">
        <v>233</v>
      </c>
      <c r="N28" s="196">
        <v>-59</v>
      </c>
      <c r="O28" s="183">
        <v>-54</v>
      </c>
      <c r="P28" s="183">
        <v>-51</v>
      </c>
      <c r="Q28" s="183">
        <v>-53</v>
      </c>
      <c r="R28" s="183">
        <v>-54</v>
      </c>
      <c r="S28" s="183">
        <v>-50</v>
      </c>
      <c r="T28" s="183">
        <v>-47</v>
      </c>
      <c r="U28" s="183">
        <v>-47</v>
      </c>
      <c r="V28" s="183">
        <v>-46</v>
      </c>
      <c r="W28" s="184">
        <v>-45</v>
      </c>
      <c r="X28" s="217"/>
      <c r="Y28" s="197" t="s">
        <v>233</v>
      </c>
      <c r="Z28" s="230">
        <v>-65</v>
      </c>
      <c r="AA28" s="231">
        <v>-62</v>
      </c>
      <c r="AB28" s="231">
        <v>-60</v>
      </c>
      <c r="AC28" s="231">
        <v>-62</v>
      </c>
      <c r="AD28" s="231">
        <v>-63</v>
      </c>
      <c r="AE28" s="231">
        <v>-59</v>
      </c>
      <c r="AF28" s="231">
        <v>-56</v>
      </c>
      <c r="AG28" s="231">
        <v>-55</v>
      </c>
      <c r="AH28" s="231">
        <v>-54</v>
      </c>
      <c r="AI28" s="232">
        <v>-53</v>
      </c>
      <c r="AJ28" s="217"/>
      <c r="AK28" s="197" t="s">
        <v>233</v>
      </c>
      <c r="AL28" s="198">
        <v>-68</v>
      </c>
      <c r="AM28" s="199">
        <v>-68</v>
      </c>
      <c r="AN28" s="199">
        <v>-66</v>
      </c>
      <c r="AO28" s="199">
        <v>-67</v>
      </c>
      <c r="AP28" s="199">
        <v>-68</v>
      </c>
      <c r="AQ28" s="199">
        <v>-63</v>
      </c>
      <c r="AR28" s="199">
        <v>-61</v>
      </c>
      <c r="AS28" s="199">
        <v>-61</v>
      </c>
      <c r="AT28" s="199">
        <v>-60</v>
      </c>
      <c r="AU28" s="200">
        <v>-59</v>
      </c>
      <c r="AW28" s="197" t="s">
        <v>233</v>
      </c>
      <c r="AX28" s="201">
        <f t="shared" si="5"/>
        <v>-73</v>
      </c>
      <c r="AY28" s="202">
        <f t="shared" si="4"/>
        <v>-73</v>
      </c>
      <c r="AZ28" s="202">
        <f t="shared" si="4"/>
        <v>-71</v>
      </c>
      <c r="BA28" s="202">
        <f t="shared" si="4"/>
        <v>-72</v>
      </c>
      <c r="BB28" s="202">
        <f t="shared" si="4"/>
        <v>-73</v>
      </c>
      <c r="BC28" s="202">
        <f t="shared" si="4"/>
        <v>-68</v>
      </c>
      <c r="BD28" s="202">
        <f t="shared" si="4"/>
        <v>-66</v>
      </c>
      <c r="BE28" s="202">
        <f t="shared" si="4"/>
        <v>-66</v>
      </c>
      <c r="BF28" s="202">
        <f t="shared" si="4"/>
        <v>-65</v>
      </c>
      <c r="BG28" s="203">
        <f t="shared" si="4"/>
        <v>-64</v>
      </c>
    </row>
    <row r="29" spans="1:59" x14ac:dyDescent="0.25">
      <c r="A29" s="195" t="s">
        <v>242</v>
      </c>
      <c r="B29" s="196">
        <v>-50</v>
      </c>
      <c r="C29" s="183">
        <v>-48</v>
      </c>
      <c r="D29" s="183">
        <v>-45</v>
      </c>
      <c r="E29" s="183">
        <v>-45</v>
      </c>
      <c r="F29" s="183">
        <v>-45</v>
      </c>
      <c r="G29" s="183">
        <v>-43</v>
      </c>
      <c r="H29" s="183">
        <v>-41</v>
      </c>
      <c r="I29" s="183">
        <v>-39</v>
      </c>
      <c r="J29" s="183">
        <v>-40</v>
      </c>
      <c r="K29" s="184">
        <v>-42</v>
      </c>
      <c r="L29" s="217"/>
      <c r="M29" s="195" t="s">
        <v>242</v>
      </c>
      <c r="N29" s="196">
        <v>-59</v>
      </c>
      <c r="O29" s="183">
        <v>-55</v>
      </c>
      <c r="P29" s="183">
        <v>-51</v>
      </c>
      <c r="Q29" s="183">
        <v>-50</v>
      </c>
      <c r="R29" s="183">
        <v>-49</v>
      </c>
      <c r="S29" s="183">
        <v>-47</v>
      </c>
      <c r="T29" s="183">
        <v>-45</v>
      </c>
      <c r="U29" s="183">
        <v>-43</v>
      </c>
      <c r="V29" s="183">
        <v>-44</v>
      </c>
      <c r="W29" s="184">
        <v>-46</v>
      </c>
      <c r="X29" s="217"/>
      <c r="Y29" s="197" t="s">
        <v>242</v>
      </c>
      <c r="Z29" s="230">
        <v>-65</v>
      </c>
      <c r="AA29" s="231">
        <v>-63</v>
      </c>
      <c r="AB29" s="231">
        <v>-59</v>
      </c>
      <c r="AC29" s="231">
        <v>-59</v>
      </c>
      <c r="AD29" s="231">
        <v>-59</v>
      </c>
      <c r="AE29" s="231">
        <v>-57</v>
      </c>
      <c r="AF29" s="231">
        <v>-55</v>
      </c>
      <c r="AG29" s="231">
        <v>-52</v>
      </c>
      <c r="AH29" s="231">
        <v>-53</v>
      </c>
      <c r="AI29" s="232">
        <v>-55</v>
      </c>
      <c r="AJ29" s="217"/>
      <c r="AK29" s="197" t="s">
        <v>242</v>
      </c>
      <c r="AL29" s="198">
        <v>-68</v>
      </c>
      <c r="AM29" s="199">
        <v>-67</v>
      </c>
      <c r="AN29" s="199">
        <v>-64</v>
      </c>
      <c r="AO29" s="199">
        <v>-63</v>
      </c>
      <c r="AP29" s="199">
        <v>-63</v>
      </c>
      <c r="AQ29" s="199">
        <v>-60</v>
      </c>
      <c r="AR29" s="199">
        <v>-58</v>
      </c>
      <c r="AS29" s="199">
        <v>-56</v>
      </c>
      <c r="AT29" s="199">
        <v>-57</v>
      </c>
      <c r="AU29" s="200">
        <v>-59</v>
      </c>
      <c r="AW29" s="197" t="s">
        <v>242</v>
      </c>
      <c r="AX29" s="201">
        <f t="shared" si="5"/>
        <v>-73</v>
      </c>
      <c r="AY29" s="202">
        <f t="shared" si="4"/>
        <v>-72</v>
      </c>
      <c r="AZ29" s="202">
        <f t="shared" si="4"/>
        <v>-69</v>
      </c>
      <c r="BA29" s="202">
        <f t="shared" si="4"/>
        <v>-68</v>
      </c>
      <c r="BB29" s="202">
        <f t="shared" si="4"/>
        <v>-68</v>
      </c>
      <c r="BC29" s="202">
        <f t="shared" si="4"/>
        <v>-65</v>
      </c>
      <c r="BD29" s="202">
        <f t="shared" si="4"/>
        <v>-63</v>
      </c>
      <c r="BE29" s="202">
        <f t="shared" si="4"/>
        <v>-61</v>
      </c>
      <c r="BF29" s="202">
        <f t="shared" si="4"/>
        <v>-62</v>
      </c>
      <c r="BG29" s="203">
        <f t="shared" si="4"/>
        <v>-64</v>
      </c>
    </row>
    <row r="30" spans="1:59" x14ac:dyDescent="0.25">
      <c r="A30" s="195" t="s">
        <v>250</v>
      </c>
      <c r="B30" s="196">
        <v>-48</v>
      </c>
      <c r="C30" s="183">
        <v>-46</v>
      </c>
      <c r="D30" s="183">
        <v>-46</v>
      </c>
      <c r="E30" s="183">
        <v>-44</v>
      </c>
      <c r="F30" s="183">
        <v>-45</v>
      </c>
      <c r="G30" s="183">
        <v>-44</v>
      </c>
      <c r="H30" s="183">
        <v>-41</v>
      </c>
      <c r="I30" s="183">
        <v>-40</v>
      </c>
      <c r="J30" s="183">
        <v>-40</v>
      </c>
      <c r="K30" s="184">
        <v>-40</v>
      </c>
      <c r="L30" s="217"/>
      <c r="M30" s="195" t="s">
        <v>250</v>
      </c>
      <c r="N30" s="196">
        <v>-57</v>
      </c>
      <c r="O30" s="183">
        <v>-53</v>
      </c>
      <c r="P30" s="183">
        <v>-52</v>
      </c>
      <c r="Q30" s="183">
        <v>-49</v>
      </c>
      <c r="R30" s="183">
        <v>-49</v>
      </c>
      <c r="S30" s="183">
        <v>-48</v>
      </c>
      <c r="T30" s="183">
        <v>-45</v>
      </c>
      <c r="U30" s="183">
        <v>-44</v>
      </c>
      <c r="V30" s="183">
        <v>-44</v>
      </c>
      <c r="W30" s="184">
        <v>-44</v>
      </c>
      <c r="X30" s="217"/>
      <c r="Y30" s="197" t="s">
        <v>250</v>
      </c>
      <c r="Z30" s="230">
        <v>-64</v>
      </c>
      <c r="AA30" s="231">
        <v>-61</v>
      </c>
      <c r="AB30" s="231">
        <v>-60</v>
      </c>
      <c r="AC30" s="231">
        <v>-58</v>
      </c>
      <c r="AD30" s="231">
        <v>-59</v>
      </c>
      <c r="AE30" s="231">
        <v>-58</v>
      </c>
      <c r="AF30" s="231">
        <v>-55</v>
      </c>
      <c r="AG30" s="231">
        <v>-53</v>
      </c>
      <c r="AH30" s="231">
        <v>-53</v>
      </c>
      <c r="AI30" s="232">
        <v>-53</v>
      </c>
      <c r="AJ30" s="217"/>
      <c r="AK30" s="197" t="s">
        <v>250</v>
      </c>
      <c r="AL30" s="198">
        <v>-68</v>
      </c>
      <c r="AM30" s="199">
        <v>-65</v>
      </c>
      <c r="AN30" s="199">
        <v>-65</v>
      </c>
      <c r="AO30" s="199">
        <v>-62</v>
      </c>
      <c r="AP30" s="199">
        <v>-63</v>
      </c>
      <c r="AQ30" s="199">
        <v>-61</v>
      </c>
      <c r="AR30" s="199">
        <v>-58</v>
      </c>
      <c r="AS30" s="199">
        <v>-57</v>
      </c>
      <c r="AT30" s="199">
        <v>-57</v>
      </c>
      <c r="AU30" s="200">
        <v>-57</v>
      </c>
      <c r="AW30" s="197" t="s">
        <v>250</v>
      </c>
      <c r="AX30" s="201">
        <f t="shared" si="5"/>
        <v>-73</v>
      </c>
      <c r="AY30" s="202">
        <f t="shared" si="4"/>
        <v>-70</v>
      </c>
      <c r="AZ30" s="202">
        <f t="shared" si="4"/>
        <v>-70</v>
      </c>
      <c r="BA30" s="202">
        <f t="shared" si="4"/>
        <v>-67</v>
      </c>
      <c r="BB30" s="202">
        <f t="shared" si="4"/>
        <v>-68</v>
      </c>
      <c r="BC30" s="202">
        <f t="shared" si="4"/>
        <v>-66</v>
      </c>
      <c r="BD30" s="202">
        <f t="shared" si="4"/>
        <v>-63</v>
      </c>
      <c r="BE30" s="202">
        <f t="shared" si="4"/>
        <v>-62</v>
      </c>
      <c r="BF30" s="202">
        <f t="shared" si="4"/>
        <v>-62</v>
      </c>
      <c r="BG30" s="203">
        <f t="shared" si="4"/>
        <v>-62</v>
      </c>
    </row>
    <row r="31" spans="1:59" x14ac:dyDescent="0.25">
      <c r="A31" s="195" t="s">
        <v>258</v>
      </c>
      <c r="B31" s="196">
        <v>-43</v>
      </c>
      <c r="C31" s="183">
        <v>-40</v>
      </c>
      <c r="D31" s="183">
        <v>-40</v>
      </c>
      <c r="E31" s="183">
        <v>-41</v>
      </c>
      <c r="F31" s="183">
        <v>-42</v>
      </c>
      <c r="G31" s="183">
        <v>-41</v>
      </c>
      <c r="H31" s="183">
        <v>-40</v>
      </c>
      <c r="I31" s="183">
        <v>-37</v>
      </c>
      <c r="J31" s="183">
        <v>-40</v>
      </c>
      <c r="K31" s="184">
        <v>-42</v>
      </c>
      <c r="L31" s="217"/>
      <c r="M31" s="195" t="s">
        <v>258</v>
      </c>
      <c r="N31" s="196">
        <v>-51</v>
      </c>
      <c r="O31" s="183">
        <v>-46</v>
      </c>
      <c r="P31" s="183">
        <v>-45</v>
      </c>
      <c r="Q31" s="183">
        <v>-45</v>
      </c>
      <c r="R31" s="183">
        <v>-46</v>
      </c>
      <c r="S31" s="183">
        <v>-44</v>
      </c>
      <c r="T31" s="183">
        <v>-43</v>
      </c>
      <c r="U31" s="183">
        <v>-40</v>
      </c>
      <c r="V31" s="183">
        <v>-43</v>
      </c>
      <c r="W31" s="184">
        <v>-45</v>
      </c>
      <c r="X31" s="217"/>
      <c r="Y31" s="197" t="s">
        <v>258</v>
      </c>
      <c r="Z31" s="230">
        <v>-59</v>
      </c>
      <c r="AA31" s="231">
        <v>-55</v>
      </c>
      <c r="AB31" s="231">
        <v>-54</v>
      </c>
      <c r="AC31" s="231">
        <v>-54</v>
      </c>
      <c r="AD31" s="231">
        <v>-55</v>
      </c>
      <c r="AE31" s="231">
        <v>-54</v>
      </c>
      <c r="AF31" s="231">
        <v>-53</v>
      </c>
      <c r="AG31" s="231">
        <v>-49</v>
      </c>
      <c r="AH31" s="231">
        <v>-52</v>
      </c>
      <c r="AI31" s="232">
        <v>-54</v>
      </c>
      <c r="AJ31" s="217"/>
      <c r="AK31" s="197" t="s">
        <v>258</v>
      </c>
      <c r="AL31" s="198">
        <v>-64</v>
      </c>
      <c r="AM31" s="199">
        <v>-59</v>
      </c>
      <c r="AN31" s="199">
        <v>-59</v>
      </c>
      <c r="AO31" s="199">
        <v>-59</v>
      </c>
      <c r="AP31" s="199">
        <v>-60</v>
      </c>
      <c r="AQ31" s="199">
        <v>-57</v>
      </c>
      <c r="AR31" s="199">
        <v>-56</v>
      </c>
      <c r="AS31" s="199">
        <v>-53</v>
      </c>
      <c r="AT31" s="199">
        <v>-56</v>
      </c>
      <c r="AU31" s="200">
        <v>-58</v>
      </c>
      <c r="AW31" s="197" t="s">
        <v>258</v>
      </c>
      <c r="AX31" s="201">
        <f t="shared" si="5"/>
        <v>-69</v>
      </c>
      <c r="AY31" s="202">
        <f t="shared" si="4"/>
        <v>-64</v>
      </c>
      <c r="AZ31" s="202">
        <f t="shared" si="4"/>
        <v>-64</v>
      </c>
      <c r="BA31" s="202">
        <f t="shared" si="4"/>
        <v>-64</v>
      </c>
      <c r="BB31" s="202">
        <f t="shared" si="4"/>
        <v>-65</v>
      </c>
      <c r="BC31" s="202">
        <f t="shared" si="4"/>
        <v>-62</v>
      </c>
      <c r="BD31" s="202">
        <f t="shared" si="4"/>
        <v>-61</v>
      </c>
      <c r="BE31" s="202">
        <f t="shared" si="4"/>
        <v>-58</v>
      </c>
      <c r="BF31" s="202">
        <f t="shared" si="4"/>
        <v>-61</v>
      </c>
      <c r="BG31" s="203">
        <f t="shared" si="4"/>
        <v>-63</v>
      </c>
    </row>
    <row r="32" spans="1:59" ht="15.75" thickBot="1" x14ac:dyDescent="0.3">
      <c r="A32" s="204" t="s">
        <v>265</v>
      </c>
      <c r="B32" s="207">
        <v>-48</v>
      </c>
      <c r="C32" s="205">
        <v>-46</v>
      </c>
      <c r="D32" s="205">
        <v>-42</v>
      </c>
      <c r="E32" s="205">
        <v>-45</v>
      </c>
      <c r="F32" s="205">
        <v>-44</v>
      </c>
      <c r="G32" s="205">
        <v>-41</v>
      </c>
      <c r="H32" s="205">
        <v>-40</v>
      </c>
      <c r="I32" s="205">
        <v>-41</v>
      </c>
      <c r="J32" s="205">
        <v>-40</v>
      </c>
      <c r="K32" s="206">
        <v>-39</v>
      </c>
      <c r="L32" s="217"/>
      <c r="M32" s="204" t="s">
        <v>265</v>
      </c>
      <c r="N32" s="207">
        <v>-56</v>
      </c>
      <c r="O32" s="205">
        <v>-52</v>
      </c>
      <c r="P32" s="205">
        <v>-47</v>
      </c>
      <c r="Q32" s="205">
        <v>-49</v>
      </c>
      <c r="R32" s="205">
        <v>-48</v>
      </c>
      <c r="S32" s="205">
        <v>-44</v>
      </c>
      <c r="T32" s="205">
        <v>-43</v>
      </c>
      <c r="U32" s="205">
        <v>-44</v>
      </c>
      <c r="V32" s="205">
        <v>-43</v>
      </c>
      <c r="W32" s="206">
        <v>-42</v>
      </c>
      <c r="X32" s="217"/>
      <c r="Y32" s="208" t="s">
        <v>265</v>
      </c>
      <c r="Z32" s="233">
        <v>-64</v>
      </c>
      <c r="AA32" s="234">
        <v>-61</v>
      </c>
      <c r="AB32" s="234">
        <v>-56</v>
      </c>
      <c r="AC32" s="234">
        <v>-58</v>
      </c>
      <c r="AD32" s="234">
        <v>-57</v>
      </c>
      <c r="AE32" s="234">
        <v>-54</v>
      </c>
      <c r="AF32" s="234">
        <v>-53</v>
      </c>
      <c r="AG32" s="234">
        <v>-53</v>
      </c>
      <c r="AH32" s="234">
        <v>-52</v>
      </c>
      <c r="AI32" s="235">
        <v>-51</v>
      </c>
      <c r="AJ32" s="217"/>
      <c r="AK32" s="208" t="s">
        <v>265</v>
      </c>
      <c r="AL32" s="209">
        <v>-68</v>
      </c>
      <c r="AM32" s="210">
        <v>-65</v>
      </c>
      <c r="AN32" s="210">
        <v>-61</v>
      </c>
      <c r="AO32" s="210">
        <v>-63</v>
      </c>
      <c r="AP32" s="210">
        <v>-62</v>
      </c>
      <c r="AQ32" s="210">
        <v>-57</v>
      </c>
      <c r="AR32" s="210">
        <v>-56</v>
      </c>
      <c r="AS32" s="210">
        <v>-57</v>
      </c>
      <c r="AT32" s="210">
        <v>-56</v>
      </c>
      <c r="AU32" s="211">
        <v>-55</v>
      </c>
      <c r="AW32" s="208" t="s">
        <v>265</v>
      </c>
      <c r="AX32" s="212">
        <f t="shared" si="5"/>
        <v>-73</v>
      </c>
      <c r="AY32" s="213">
        <f t="shared" si="4"/>
        <v>-70</v>
      </c>
      <c r="AZ32" s="213">
        <f t="shared" si="4"/>
        <v>-66</v>
      </c>
      <c r="BA32" s="213">
        <f t="shared" si="4"/>
        <v>-68</v>
      </c>
      <c r="BB32" s="213">
        <f t="shared" si="4"/>
        <v>-67</v>
      </c>
      <c r="BC32" s="213">
        <f t="shared" si="4"/>
        <v>-62</v>
      </c>
      <c r="BD32" s="213">
        <f t="shared" si="4"/>
        <v>-61</v>
      </c>
      <c r="BE32" s="213">
        <f t="shared" si="4"/>
        <v>-62</v>
      </c>
      <c r="BF32" s="213">
        <f t="shared" si="4"/>
        <v>-61</v>
      </c>
      <c r="BG32" s="214">
        <f t="shared" si="4"/>
        <v>-60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-63</v>
      </c>
      <c r="C37" s="186">
        <v>-63</v>
      </c>
      <c r="D37" s="186">
        <v>-63</v>
      </c>
      <c r="E37" s="186">
        <v>-65</v>
      </c>
      <c r="F37" s="186">
        <v>-63</v>
      </c>
      <c r="G37" s="186">
        <v>-56</v>
      </c>
      <c r="H37" s="186">
        <v>-55</v>
      </c>
      <c r="I37" s="186">
        <v>-54</v>
      </c>
      <c r="J37" s="186">
        <v>-57</v>
      </c>
      <c r="K37" s="187">
        <v>-61</v>
      </c>
      <c r="L37" s="217"/>
      <c r="M37" s="236" t="s">
        <v>187</v>
      </c>
      <c r="N37" s="185">
        <v>-67</v>
      </c>
      <c r="O37" s="186">
        <v>-67</v>
      </c>
      <c r="P37" s="186">
        <v>-67</v>
      </c>
      <c r="Q37" s="186">
        <v>-67</v>
      </c>
      <c r="R37" s="186">
        <v>-67</v>
      </c>
      <c r="S37" s="186">
        <v>-61</v>
      </c>
      <c r="T37" s="186">
        <v>-59</v>
      </c>
      <c r="U37" s="186">
        <v>-58</v>
      </c>
      <c r="V37" s="186">
        <v>-61</v>
      </c>
      <c r="W37" s="187">
        <v>-65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-69</v>
      </c>
      <c r="AF37" s="228">
        <v>-68</v>
      </c>
      <c r="AG37" s="228">
        <v>-65</v>
      </c>
      <c r="AH37" s="228">
        <v>-68</v>
      </c>
      <c r="AI37" s="229">
        <v>-69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-71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-76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-62</v>
      </c>
      <c r="C38" s="183">
        <v>-61</v>
      </c>
      <c r="D38" s="183">
        <v>-60</v>
      </c>
      <c r="E38" s="183">
        <v>-63</v>
      </c>
      <c r="F38" s="183">
        <v>-63</v>
      </c>
      <c r="G38" s="183">
        <v>-57</v>
      </c>
      <c r="H38" s="183">
        <v>-56</v>
      </c>
      <c r="I38" s="183">
        <v>-53</v>
      </c>
      <c r="J38" s="183">
        <v>-57</v>
      </c>
      <c r="K38" s="184">
        <v>-58</v>
      </c>
      <c r="L38" s="217"/>
      <c r="M38" s="195" t="s">
        <v>214</v>
      </c>
      <c r="N38" s="196">
        <v>-67</v>
      </c>
      <c r="O38" s="183">
        <v>-67</v>
      </c>
      <c r="P38" s="183">
        <v>-66</v>
      </c>
      <c r="Q38" s="183">
        <v>-67</v>
      </c>
      <c r="R38" s="183">
        <v>-67</v>
      </c>
      <c r="S38" s="183">
        <v>-62</v>
      </c>
      <c r="T38" s="183">
        <v>-60</v>
      </c>
      <c r="U38" s="183">
        <v>-57</v>
      </c>
      <c r="V38" s="183">
        <v>-61</v>
      </c>
      <c r="W38" s="184">
        <v>-62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-69</v>
      </c>
      <c r="AF38" s="231">
        <v>-69</v>
      </c>
      <c r="AG38" s="231">
        <v>-64</v>
      </c>
      <c r="AH38" s="231">
        <v>-68</v>
      </c>
      <c r="AI38" s="232">
        <v>-69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-71</v>
      </c>
      <c r="AS38" s="199">
        <v>-71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-76</v>
      </c>
      <c r="BE38" s="202">
        <f t="shared" si="6"/>
        <v>-76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-65</v>
      </c>
      <c r="C39" s="183">
        <v>-63</v>
      </c>
      <c r="D39" s="183">
        <v>-61</v>
      </c>
      <c r="E39" s="183">
        <v>-63</v>
      </c>
      <c r="F39" s="183">
        <v>-64</v>
      </c>
      <c r="G39" s="183">
        <v>-60</v>
      </c>
      <c r="H39" s="183">
        <v>-59</v>
      </c>
      <c r="I39" s="183">
        <v>-59</v>
      </c>
      <c r="J39" s="183">
        <v>-58</v>
      </c>
      <c r="K39" s="184">
        <v>-57</v>
      </c>
      <c r="L39" s="217"/>
      <c r="M39" s="195" t="s">
        <v>233</v>
      </c>
      <c r="N39" s="196">
        <v>-67</v>
      </c>
      <c r="O39" s="183">
        <v>-67</v>
      </c>
      <c r="P39" s="183">
        <v>-67</v>
      </c>
      <c r="Q39" s="183">
        <v>-67</v>
      </c>
      <c r="R39" s="183">
        <v>-67</v>
      </c>
      <c r="S39" s="183">
        <v>-65</v>
      </c>
      <c r="T39" s="183">
        <v>-63</v>
      </c>
      <c r="U39" s="183">
        <v>-63</v>
      </c>
      <c r="V39" s="183">
        <v>-62</v>
      </c>
      <c r="W39" s="184">
        <v>-61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-69</v>
      </c>
      <c r="AF39" s="231">
        <v>-69</v>
      </c>
      <c r="AG39" s="231">
        <v>-69</v>
      </c>
      <c r="AH39" s="231">
        <v>-69</v>
      </c>
      <c r="AI39" s="232">
        <v>-68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-71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-76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-65</v>
      </c>
      <c r="C40" s="183">
        <v>-64</v>
      </c>
      <c r="D40" s="183">
        <v>-61</v>
      </c>
      <c r="E40" s="183">
        <v>-60</v>
      </c>
      <c r="F40" s="183">
        <v>-61</v>
      </c>
      <c r="G40" s="183">
        <v>-59</v>
      </c>
      <c r="H40" s="183">
        <v>-57</v>
      </c>
      <c r="I40" s="183">
        <v>-55</v>
      </c>
      <c r="J40" s="183">
        <v>-56</v>
      </c>
      <c r="K40" s="184">
        <v>-58</v>
      </c>
      <c r="L40" s="217"/>
      <c r="M40" s="195" t="s">
        <v>242</v>
      </c>
      <c r="N40" s="196">
        <v>-67</v>
      </c>
      <c r="O40" s="183">
        <v>-67</v>
      </c>
      <c r="P40" s="183">
        <v>-66</v>
      </c>
      <c r="Q40" s="183">
        <v>-65</v>
      </c>
      <c r="R40" s="183">
        <v>-66</v>
      </c>
      <c r="S40" s="183">
        <v>-64</v>
      </c>
      <c r="T40" s="183">
        <v>-61</v>
      </c>
      <c r="U40" s="183">
        <v>-59</v>
      </c>
      <c r="V40" s="183">
        <v>-60</v>
      </c>
      <c r="W40" s="184">
        <v>-62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-69</v>
      </c>
      <c r="AE40" s="231">
        <v>-69</v>
      </c>
      <c r="AF40" s="231">
        <v>-69</v>
      </c>
      <c r="AG40" s="231">
        <v>-66</v>
      </c>
      <c r="AH40" s="231">
        <v>-67</v>
      </c>
      <c r="AI40" s="232">
        <v>-69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-71</v>
      </c>
      <c r="AS40" s="199">
        <v>-71</v>
      </c>
      <c r="AT40" s="199">
        <v>-71</v>
      </c>
      <c r="AU40" s="200">
        <v>-71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-76</v>
      </c>
      <c r="BE40" s="202">
        <f t="shared" si="6"/>
        <v>-76</v>
      </c>
      <c r="BF40" s="202">
        <f t="shared" si="6"/>
        <v>-76</v>
      </c>
      <c r="BG40" s="203">
        <f t="shared" si="6"/>
        <v>-76</v>
      </c>
    </row>
    <row r="41" spans="1:59" x14ac:dyDescent="0.25">
      <c r="A41" s="195" t="s">
        <v>250</v>
      </c>
      <c r="B41" s="196">
        <v>-64</v>
      </c>
      <c r="C41" s="183">
        <v>-62</v>
      </c>
      <c r="D41" s="183">
        <v>-62</v>
      </c>
      <c r="E41" s="183">
        <v>-59</v>
      </c>
      <c r="F41" s="183">
        <v>-61</v>
      </c>
      <c r="G41" s="183">
        <v>-60</v>
      </c>
      <c r="H41" s="183">
        <v>-57</v>
      </c>
      <c r="I41" s="183">
        <v>-56</v>
      </c>
      <c r="J41" s="183">
        <v>-56</v>
      </c>
      <c r="K41" s="184">
        <v>-56</v>
      </c>
      <c r="L41" s="217"/>
      <c r="M41" s="195" t="s">
        <v>250</v>
      </c>
      <c r="N41" s="196">
        <v>-67</v>
      </c>
      <c r="O41" s="183">
        <v>-67</v>
      </c>
      <c r="P41" s="183">
        <v>-67</v>
      </c>
      <c r="Q41" s="183">
        <v>-64</v>
      </c>
      <c r="R41" s="183">
        <v>-66</v>
      </c>
      <c r="S41" s="183">
        <v>-65</v>
      </c>
      <c r="T41" s="183">
        <v>-61</v>
      </c>
      <c r="U41" s="183">
        <v>-60</v>
      </c>
      <c r="V41" s="183">
        <v>-60</v>
      </c>
      <c r="W41" s="184">
        <v>-60</v>
      </c>
      <c r="X41" s="217"/>
      <c r="Y41" s="197" t="s">
        <v>250</v>
      </c>
      <c r="Z41" s="230">
        <v>-69</v>
      </c>
      <c r="AA41" s="231">
        <v>-69</v>
      </c>
      <c r="AB41" s="231">
        <v>-69</v>
      </c>
      <c r="AC41" s="231">
        <v>-69</v>
      </c>
      <c r="AD41" s="231">
        <v>-69</v>
      </c>
      <c r="AE41" s="231">
        <v>-69</v>
      </c>
      <c r="AF41" s="231">
        <v>-69</v>
      </c>
      <c r="AG41" s="231">
        <v>-67</v>
      </c>
      <c r="AH41" s="231">
        <v>-67</v>
      </c>
      <c r="AI41" s="232">
        <v>-67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-71</v>
      </c>
      <c r="AT41" s="199">
        <v>-71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-76</v>
      </c>
      <c r="BF41" s="202">
        <f t="shared" si="6"/>
        <v>-76</v>
      </c>
      <c r="BG41" s="203">
        <f t="shared" si="6"/>
        <v>-76</v>
      </c>
    </row>
    <row r="42" spans="1:59" x14ac:dyDescent="0.25">
      <c r="A42" s="195" t="s">
        <v>258</v>
      </c>
      <c r="B42" s="196">
        <v>-59</v>
      </c>
      <c r="C42" s="183">
        <v>-57</v>
      </c>
      <c r="D42" s="183">
        <v>-58</v>
      </c>
      <c r="E42" s="183">
        <v>-58</v>
      </c>
      <c r="F42" s="183">
        <v>-58</v>
      </c>
      <c r="G42" s="183">
        <v>-57</v>
      </c>
      <c r="H42" s="183">
        <v>-56</v>
      </c>
      <c r="I42" s="183">
        <v>-53</v>
      </c>
      <c r="J42" s="183">
        <v>-56</v>
      </c>
      <c r="K42" s="184">
        <v>-58</v>
      </c>
      <c r="L42" s="217"/>
      <c r="M42" s="195" t="s">
        <v>258</v>
      </c>
      <c r="N42" s="196">
        <v>-65</v>
      </c>
      <c r="O42" s="183">
        <v>-63</v>
      </c>
      <c r="P42" s="183">
        <v>-63</v>
      </c>
      <c r="Q42" s="183">
        <v>-63</v>
      </c>
      <c r="R42" s="183">
        <v>-63</v>
      </c>
      <c r="S42" s="183">
        <v>-62</v>
      </c>
      <c r="T42" s="183">
        <v>-60</v>
      </c>
      <c r="U42" s="183">
        <v>-56</v>
      </c>
      <c r="V42" s="183">
        <v>-59</v>
      </c>
      <c r="W42" s="184">
        <v>-61</v>
      </c>
      <c r="X42" s="217"/>
      <c r="Y42" s="197" t="s">
        <v>258</v>
      </c>
      <c r="Z42" s="230">
        <v>-69</v>
      </c>
      <c r="AA42" s="231">
        <v>-69</v>
      </c>
      <c r="AB42" s="231">
        <v>-69</v>
      </c>
      <c r="AC42" s="231">
        <v>-69</v>
      </c>
      <c r="AD42" s="231">
        <v>-69</v>
      </c>
      <c r="AE42" s="231">
        <v>-69</v>
      </c>
      <c r="AF42" s="231">
        <v>-67</v>
      </c>
      <c r="AG42" s="231">
        <v>-63</v>
      </c>
      <c r="AH42" s="231">
        <v>-66</v>
      </c>
      <c r="AI42" s="232">
        <v>-68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-71</v>
      </c>
      <c r="AT42" s="199">
        <v>-71</v>
      </c>
      <c r="AU42" s="200">
        <v>-71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-76</v>
      </c>
      <c r="BF42" s="202">
        <f t="shared" si="6"/>
        <v>-76</v>
      </c>
      <c r="BG42" s="203">
        <f t="shared" si="6"/>
        <v>-76</v>
      </c>
    </row>
    <row r="43" spans="1:59" ht="15.75" thickBot="1" x14ac:dyDescent="0.3">
      <c r="A43" s="204" t="s">
        <v>265</v>
      </c>
      <c r="B43" s="207">
        <v>-64</v>
      </c>
      <c r="C43" s="205">
        <v>-63</v>
      </c>
      <c r="D43" s="205">
        <v>-60</v>
      </c>
      <c r="E43" s="205">
        <v>-62</v>
      </c>
      <c r="F43" s="205">
        <v>-60</v>
      </c>
      <c r="G43" s="205">
        <v>-57</v>
      </c>
      <c r="H43" s="205">
        <v>-56</v>
      </c>
      <c r="I43" s="205">
        <v>-57</v>
      </c>
      <c r="J43" s="205">
        <v>-56</v>
      </c>
      <c r="K43" s="206">
        <v>-55</v>
      </c>
      <c r="L43" s="217"/>
      <c r="M43" s="204" t="s">
        <v>265</v>
      </c>
      <c r="N43" s="207">
        <v>-67</v>
      </c>
      <c r="O43" s="205">
        <v>-67</v>
      </c>
      <c r="P43" s="205">
        <v>-65</v>
      </c>
      <c r="Q43" s="205">
        <v>-67</v>
      </c>
      <c r="R43" s="205">
        <v>-65</v>
      </c>
      <c r="S43" s="205">
        <v>-62</v>
      </c>
      <c r="T43" s="205">
        <v>-60</v>
      </c>
      <c r="U43" s="205">
        <v>-60</v>
      </c>
      <c r="V43" s="205">
        <v>-59</v>
      </c>
      <c r="W43" s="206">
        <v>-58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-69</v>
      </c>
      <c r="AE43" s="234">
        <v>-69</v>
      </c>
      <c r="AF43" s="234">
        <v>-67</v>
      </c>
      <c r="AG43" s="234">
        <v>-67</v>
      </c>
      <c r="AH43" s="234">
        <v>-66</v>
      </c>
      <c r="AI43" s="235">
        <v>-65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-71</v>
      </c>
      <c r="AS43" s="210">
        <v>-71</v>
      </c>
      <c r="AT43" s="210">
        <v>-71</v>
      </c>
      <c r="AU43" s="211">
        <v>-71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-76</v>
      </c>
      <c r="BE43" s="213">
        <f t="shared" si="6"/>
        <v>-76</v>
      </c>
      <c r="BF43" s="213">
        <f t="shared" si="6"/>
        <v>-76</v>
      </c>
      <c r="BG43" s="214">
        <f t="shared" si="6"/>
        <v>-76</v>
      </c>
    </row>
  </sheetData>
  <sheetProtection algorithmName="SHA-512" hashValue="GS+rG8YES9xwOv3xk/qOc8fHdqY6IhM4HVWckv2fXT16C+jmhtkMZoU/3yDhZu9q03gK0+Kvcmy+h3UW0blhxQ==" saltValue="DT6TjXoOB/s9QRynpTA5GQ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:BG43"/>
  <sheetViews>
    <sheetView workbookViewId="0">
      <selection activeCell="B15" sqref="B15"/>
    </sheetView>
  </sheetViews>
  <sheetFormatPr defaultColWidth="3.5703125" defaultRowHeight="15" x14ac:dyDescent="0.25"/>
  <cols>
    <col min="1" max="1" width="5.5703125" customWidth="1"/>
    <col min="2" max="5" width="5.7109375" customWidth="1"/>
    <col min="6" max="59" width="5.5703125" customWidth="1"/>
  </cols>
  <sheetData>
    <row r="1" spans="1:59" thickBot="1" x14ac:dyDescent="0.35">
      <c r="A1" s="349" t="s">
        <v>802</v>
      </c>
      <c r="B1" s="349"/>
      <c r="C1" s="349"/>
      <c r="D1" s="350"/>
      <c r="E1" s="350"/>
      <c r="F1" s="217"/>
      <c r="G1" s="217"/>
      <c r="H1" s="217"/>
      <c r="I1" s="217"/>
      <c r="J1" s="217"/>
      <c r="K1" s="217"/>
      <c r="L1" s="217"/>
      <c r="M1" s="215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5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5"/>
      <c r="AL1" s="217"/>
      <c r="AM1" s="217"/>
      <c r="AN1" s="217"/>
      <c r="AO1" s="217"/>
      <c r="AP1" s="217"/>
      <c r="AQ1" s="217"/>
      <c r="AR1" s="217"/>
      <c r="AS1" s="217"/>
      <c r="AT1" s="217"/>
      <c r="AU1" s="217"/>
    </row>
    <row r="2" spans="1:59" thickBot="1" x14ac:dyDescent="0.35">
      <c r="A2" s="174"/>
      <c r="B2" s="474" t="s">
        <v>773</v>
      </c>
      <c r="C2" s="474"/>
      <c r="D2" s="474"/>
      <c r="E2" s="474"/>
      <c r="F2" s="474"/>
      <c r="G2" s="474"/>
      <c r="H2" s="474"/>
      <c r="I2" s="474"/>
      <c r="J2" s="474"/>
      <c r="K2" s="475"/>
      <c r="L2" s="217"/>
      <c r="M2" s="174"/>
      <c r="N2" s="474" t="s">
        <v>774</v>
      </c>
      <c r="O2" s="474"/>
      <c r="P2" s="474"/>
      <c r="Q2" s="474"/>
      <c r="R2" s="474"/>
      <c r="S2" s="474"/>
      <c r="T2" s="474"/>
      <c r="U2" s="474"/>
      <c r="V2" s="474"/>
      <c r="W2" s="475"/>
      <c r="X2" s="217"/>
      <c r="Y2" s="174"/>
      <c r="Z2" s="474" t="s">
        <v>775</v>
      </c>
      <c r="AA2" s="474"/>
      <c r="AB2" s="474"/>
      <c r="AC2" s="474"/>
      <c r="AD2" s="474"/>
      <c r="AE2" s="474"/>
      <c r="AF2" s="474"/>
      <c r="AG2" s="474"/>
      <c r="AH2" s="474"/>
      <c r="AI2" s="475"/>
      <c r="AJ2" s="215"/>
      <c r="AK2" s="174"/>
      <c r="AL2" s="474" t="s">
        <v>776</v>
      </c>
      <c r="AM2" s="474"/>
      <c r="AN2" s="474"/>
      <c r="AO2" s="474"/>
      <c r="AP2" s="474"/>
      <c r="AQ2" s="474"/>
      <c r="AR2" s="474"/>
      <c r="AS2" s="474"/>
      <c r="AT2" s="474"/>
      <c r="AU2" s="475"/>
      <c r="AW2" s="174"/>
      <c r="AX2" s="898" t="s">
        <v>777</v>
      </c>
      <c r="AY2" s="899"/>
      <c r="AZ2" s="899"/>
      <c r="BA2" s="899"/>
      <c r="BB2" s="899"/>
      <c r="BC2" s="899"/>
      <c r="BD2" s="899"/>
      <c r="BE2" s="899"/>
      <c r="BF2" s="899"/>
      <c r="BG2" s="900"/>
    </row>
    <row r="3" spans="1:59" thickBot="1" x14ac:dyDescent="0.35">
      <c r="A3" s="175"/>
      <c r="B3" s="176" t="s">
        <v>186</v>
      </c>
      <c r="C3" s="177" t="s">
        <v>213</v>
      </c>
      <c r="D3" s="177" t="s">
        <v>232</v>
      </c>
      <c r="E3" s="177" t="s">
        <v>215</v>
      </c>
      <c r="F3" s="177" t="s">
        <v>249</v>
      </c>
      <c r="G3" s="177" t="s">
        <v>257</v>
      </c>
      <c r="H3" s="177" t="s">
        <v>264</v>
      </c>
      <c r="I3" s="177" t="s">
        <v>272</v>
      </c>
      <c r="J3" s="177" t="s">
        <v>278</v>
      </c>
      <c r="K3" s="178" t="s">
        <v>284</v>
      </c>
      <c r="L3" s="217"/>
      <c r="M3" s="175"/>
      <c r="N3" s="176" t="s">
        <v>186</v>
      </c>
      <c r="O3" s="177" t="s">
        <v>213</v>
      </c>
      <c r="P3" s="177" t="s">
        <v>232</v>
      </c>
      <c r="Q3" s="177" t="s">
        <v>215</v>
      </c>
      <c r="R3" s="177" t="s">
        <v>249</v>
      </c>
      <c r="S3" s="177" t="s">
        <v>257</v>
      </c>
      <c r="T3" s="177" t="s">
        <v>264</v>
      </c>
      <c r="U3" s="177" t="s">
        <v>272</v>
      </c>
      <c r="V3" s="177" t="s">
        <v>278</v>
      </c>
      <c r="W3" s="178" t="s">
        <v>284</v>
      </c>
      <c r="X3" s="217"/>
      <c r="Y3" s="175"/>
      <c r="Z3" s="179" t="s">
        <v>186</v>
      </c>
      <c r="AA3" s="180" t="s">
        <v>213</v>
      </c>
      <c r="AB3" s="180" t="s">
        <v>232</v>
      </c>
      <c r="AC3" s="180" t="s">
        <v>215</v>
      </c>
      <c r="AD3" s="180" t="s">
        <v>249</v>
      </c>
      <c r="AE3" s="180" t="s">
        <v>257</v>
      </c>
      <c r="AF3" s="180" t="s">
        <v>264</v>
      </c>
      <c r="AG3" s="180" t="s">
        <v>272</v>
      </c>
      <c r="AH3" s="180" t="s">
        <v>278</v>
      </c>
      <c r="AI3" s="181" t="s">
        <v>284</v>
      </c>
      <c r="AJ3" s="215"/>
      <c r="AK3" s="175"/>
      <c r="AL3" s="179" t="s">
        <v>186</v>
      </c>
      <c r="AM3" s="180" t="s">
        <v>213</v>
      </c>
      <c r="AN3" s="180" t="s">
        <v>232</v>
      </c>
      <c r="AO3" s="180" t="s">
        <v>215</v>
      </c>
      <c r="AP3" s="180" t="s">
        <v>249</v>
      </c>
      <c r="AQ3" s="180" t="s">
        <v>257</v>
      </c>
      <c r="AR3" s="180" t="s">
        <v>264</v>
      </c>
      <c r="AS3" s="180" t="s">
        <v>272</v>
      </c>
      <c r="AT3" s="180" t="s">
        <v>278</v>
      </c>
      <c r="AU3" s="181" t="s">
        <v>284</v>
      </c>
      <c r="AW3" s="175"/>
      <c r="AX3" s="179" t="s">
        <v>186</v>
      </c>
      <c r="AY3" s="180" t="s">
        <v>213</v>
      </c>
      <c r="AZ3" s="180" t="s">
        <v>232</v>
      </c>
      <c r="BA3" s="180" t="s">
        <v>215</v>
      </c>
      <c r="BB3" s="180" t="s">
        <v>249</v>
      </c>
      <c r="BC3" s="180" t="s">
        <v>257</v>
      </c>
      <c r="BD3" s="180" t="s">
        <v>264</v>
      </c>
      <c r="BE3" s="180" t="s">
        <v>272</v>
      </c>
      <c r="BF3" s="180" t="s">
        <v>278</v>
      </c>
      <c r="BG3" s="181" t="s">
        <v>284</v>
      </c>
    </row>
    <row r="4" spans="1:59" ht="14.45" x14ac:dyDescent="0.3">
      <c r="A4" s="182" t="s">
        <v>187</v>
      </c>
      <c r="B4" s="183">
        <v>-20</v>
      </c>
      <c r="C4" s="183">
        <v>-20</v>
      </c>
      <c r="D4" s="183">
        <v>-18</v>
      </c>
      <c r="E4" s="183">
        <v>-28</v>
      </c>
      <c r="F4" s="183">
        <v>-26</v>
      </c>
      <c r="G4" s="183">
        <v>-19</v>
      </c>
      <c r="H4" s="183">
        <v>-18</v>
      </c>
      <c r="I4" s="183">
        <v>-20</v>
      </c>
      <c r="J4" s="183">
        <v>-21</v>
      </c>
      <c r="K4" s="184">
        <v>-22</v>
      </c>
      <c r="L4" s="217"/>
      <c r="M4" s="182" t="s">
        <v>187</v>
      </c>
      <c r="N4" s="185">
        <v>-29</v>
      </c>
      <c r="O4" s="186">
        <v>-29</v>
      </c>
      <c r="P4" s="186">
        <v>-26</v>
      </c>
      <c r="Q4" s="186">
        <v>-35</v>
      </c>
      <c r="R4" s="186">
        <v>-33</v>
      </c>
      <c r="S4" s="186">
        <v>-25</v>
      </c>
      <c r="T4" s="186">
        <v>-23</v>
      </c>
      <c r="U4" s="186">
        <v>-25</v>
      </c>
      <c r="V4" s="186">
        <v>-26</v>
      </c>
      <c r="W4" s="187">
        <v>-27</v>
      </c>
      <c r="X4" s="217"/>
      <c r="Y4" s="188" t="s">
        <v>187</v>
      </c>
      <c r="Z4" s="189">
        <v>-40</v>
      </c>
      <c r="AA4" s="190">
        <v>-40</v>
      </c>
      <c r="AB4" s="190">
        <v>-37</v>
      </c>
      <c r="AC4" s="190">
        <v>-47</v>
      </c>
      <c r="AD4" s="190">
        <v>-44</v>
      </c>
      <c r="AE4" s="190">
        <v>-37</v>
      </c>
      <c r="AF4" s="190">
        <v>-35</v>
      </c>
      <c r="AG4" s="190">
        <v>-36</v>
      </c>
      <c r="AH4" s="190">
        <v>-37</v>
      </c>
      <c r="AI4" s="191">
        <v>-38</v>
      </c>
      <c r="AJ4" s="217"/>
      <c r="AK4" s="188" t="s">
        <v>187</v>
      </c>
      <c r="AL4" s="189">
        <v>-45</v>
      </c>
      <c r="AM4" s="190">
        <v>-45</v>
      </c>
      <c r="AN4" s="190">
        <v>-43</v>
      </c>
      <c r="AO4" s="190">
        <v>-52</v>
      </c>
      <c r="AP4" s="190">
        <v>-49</v>
      </c>
      <c r="AQ4" s="190">
        <v>-41</v>
      </c>
      <c r="AR4" s="190">
        <v>-39</v>
      </c>
      <c r="AS4" s="190">
        <v>-40</v>
      </c>
      <c r="AT4" s="190">
        <v>-41</v>
      </c>
      <c r="AU4" s="191">
        <v>-42</v>
      </c>
      <c r="AW4" s="188" t="s">
        <v>187</v>
      </c>
      <c r="AX4" s="192">
        <f>AL4-5</f>
        <v>-50</v>
      </c>
      <c r="AY4" s="193">
        <f t="shared" ref="AY4:BG10" si="0">AM4-5</f>
        <v>-50</v>
      </c>
      <c r="AZ4" s="193">
        <f t="shared" si="0"/>
        <v>-48</v>
      </c>
      <c r="BA4" s="193">
        <f t="shared" si="0"/>
        <v>-57</v>
      </c>
      <c r="BB4" s="193">
        <f t="shared" si="0"/>
        <v>-54</v>
      </c>
      <c r="BC4" s="193">
        <f t="shared" si="0"/>
        <v>-46</v>
      </c>
      <c r="BD4" s="193">
        <f t="shared" si="0"/>
        <v>-44</v>
      </c>
      <c r="BE4" s="193">
        <f t="shared" si="0"/>
        <v>-45</v>
      </c>
      <c r="BF4" s="193">
        <f t="shared" si="0"/>
        <v>-46</v>
      </c>
      <c r="BG4" s="194">
        <f t="shared" si="0"/>
        <v>-47</v>
      </c>
    </row>
    <row r="5" spans="1:59" ht="14.45" x14ac:dyDescent="0.3">
      <c r="A5" s="195" t="s">
        <v>214</v>
      </c>
      <c r="B5" s="183">
        <v>-24</v>
      </c>
      <c r="C5" s="183">
        <v>-19</v>
      </c>
      <c r="D5" s="183">
        <v>-20</v>
      </c>
      <c r="E5" s="183">
        <v>-24</v>
      </c>
      <c r="F5" s="183">
        <v>-24</v>
      </c>
      <c r="G5" s="183">
        <v>-20</v>
      </c>
      <c r="H5" s="183">
        <v>-17</v>
      </c>
      <c r="I5" s="183">
        <v>-20</v>
      </c>
      <c r="J5" s="183">
        <v>-23</v>
      </c>
      <c r="K5" s="184">
        <v>-25</v>
      </c>
      <c r="L5" s="217"/>
      <c r="M5" s="195" t="s">
        <v>214</v>
      </c>
      <c r="N5" s="196">
        <v>-33</v>
      </c>
      <c r="O5" s="183">
        <v>-28</v>
      </c>
      <c r="P5" s="183">
        <v>-28</v>
      </c>
      <c r="Q5" s="183">
        <v>-31</v>
      </c>
      <c r="R5" s="183">
        <v>-31</v>
      </c>
      <c r="S5" s="183">
        <v>-26</v>
      </c>
      <c r="T5" s="183">
        <v>-22</v>
      </c>
      <c r="U5" s="183">
        <v>-25</v>
      </c>
      <c r="V5" s="183">
        <v>-28</v>
      </c>
      <c r="W5" s="184">
        <v>-30</v>
      </c>
      <c r="X5" s="217"/>
      <c r="Y5" s="197" t="s">
        <v>214</v>
      </c>
      <c r="Z5" s="198">
        <v>-44</v>
      </c>
      <c r="AA5" s="199">
        <v>-39</v>
      </c>
      <c r="AB5" s="199">
        <v>-39</v>
      </c>
      <c r="AC5" s="199">
        <v>-43</v>
      </c>
      <c r="AD5" s="199">
        <v>-42</v>
      </c>
      <c r="AE5" s="199">
        <v>-38</v>
      </c>
      <c r="AF5" s="199">
        <v>-34</v>
      </c>
      <c r="AG5" s="199">
        <v>-36</v>
      </c>
      <c r="AH5" s="199">
        <v>-39</v>
      </c>
      <c r="AI5" s="200">
        <v>-41</v>
      </c>
      <c r="AJ5" s="217"/>
      <c r="AK5" s="197" t="s">
        <v>214</v>
      </c>
      <c r="AL5" s="198">
        <v>-49</v>
      </c>
      <c r="AM5" s="199">
        <v>-44</v>
      </c>
      <c r="AN5" s="199">
        <v>-45</v>
      </c>
      <c r="AO5" s="199">
        <v>-48</v>
      </c>
      <c r="AP5" s="199">
        <v>-47</v>
      </c>
      <c r="AQ5" s="199">
        <v>-42</v>
      </c>
      <c r="AR5" s="199">
        <v>-38</v>
      </c>
      <c r="AS5" s="199">
        <v>-40</v>
      </c>
      <c r="AT5" s="199">
        <v>-43</v>
      </c>
      <c r="AU5" s="200">
        <v>-45</v>
      </c>
      <c r="AW5" s="197" t="s">
        <v>214</v>
      </c>
      <c r="AX5" s="201">
        <f t="shared" ref="AX5:AX10" si="1">AL5-5</f>
        <v>-54</v>
      </c>
      <c r="AY5" s="202">
        <f t="shared" si="0"/>
        <v>-49</v>
      </c>
      <c r="AZ5" s="202">
        <f t="shared" si="0"/>
        <v>-50</v>
      </c>
      <c r="BA5" s="202">
        <f t="shared" si="0"/>
        <v>-53</v>
      </c>
      <c r="BB5" s="202">
        <f t="shared" si="0"/>
        <v>-52</v>
      </c>
      <c r="BC5" s="202">
        <f t="shared" si="0"/>
        <v>-47</v>
      </c>
      <c r="BD5" s="202">
        <f t="shared" si="0"/>
        <v>-43</v>
      </c>
      <c r="BE5" s="202">
        <f t="shared" si="0"/>
        <v>-45</v>
      </c>
      <c r="BF5" s="202">
        <f t="shared" si="0"/>
        <v>-48</v>
      </c>
      <c r="BG5" s="203">
        <f t="shared" si="0"/>
        <v>-50</v>
      </c>
    </row>
    <row r="6" spans="1:59" ht="14.45" x14ac:dyDescent="0.3">
      <c r="A6" s="195" t="s">
        <v>233</v>
      </c>
      <c r="B6" s="183">
        <v>-24</v>
      </c>
      <c r="C6" s="183">
        <v>-23</v>
      </c>
      <c r="D6" s="183">
        <v>-21</v>
      </c>
      <c r="E6" s="183">
        <v>-24</v>
      </c>
      <c r="F6" s="183">
        <v>-23</v>
      </c>
      <c r="G6" s="183">
        <v>-20</v>
      </c>
      <c r="H6" s="183">
        <v>-20</v>
      </c>
      <c r="I6" s="183">
        <v>-19</v>
      </c>
      <c r="J6" s="183">
        <v>-23</v>
      </c>
      <c r="K6" s="184">
        <v>-24</v>
      </c>
      <c r="L6" s="217"/>
      <c r="M6" s="195" t="s">
        <v>233</v>
      </c>
      <c r="N6" s="196">
        <v>-33</v>
      </c>
      <c r="O6" s="183">
        <v>-32</v>
      </c>
      <c r="P6" s="183">
        <v>-29</v>
      </c>
      <c r="Q6" s="183">
        <v>-31</v>
      </c>
      <c r="R6" s="183">
        <v>-30</v>
      </c>
      <c r="S6" s="183">
        <v>-26</v>
      </c>
      <c r="T6" s="183">
        <v>-25</v>
      </c>
      <c r="U6" s="183">
        <v>-24</v>
      </c>
      <c r="V6" s="183">
        <v>-28</v>
      </c>
      <c r="W6" s="184">
        <v>-29</v>
      </c>
      <c r="X6" s="217"/>
      <c r="Y6" s="197" t="s">
        <v>233</v>
      </c>
      <c r="Z6" s="198">
        <v>-44</v>
      </c>
      <c r="AA6" s="199">
        <v>-43</v>
      </c>
      <c r="AB6" s="199">
        <v>-40</v>
      </c>
      <c r="AC6" s="199">
        <v>-43</v>
      </c>
      <c r="AD6" s="199">
        <v>-41</v>
      </c>
      <c r="AE6" s="199">
        <v>-38</v>
      </c>
      <c r="AF6" s="199">
        <v>-37</v>
      </c>
      <c r="AG6" s="199">
        <v>-35</v>
      </c>
      <c r="AH6" s="199">
        <v>-39</v>
      </c>
      <c r="AI6" s="200">
        <v>-40</v>
      </c>
      <c r="AJ6" s="217"/>
      <c r="AK6" s="197" t="s">
        <v>233</v>
      </c>
      <c r="AL6" s="198">
        <v>-49</v>
      </c>
      <c r="AM6" s="199">
        <v>-48</v>
      </c>
      <c r="AN6" s="199">
        <v>-46</v>
      </c>
      <c r="AO6" s="199">
        <v>-48</v>
      </c>
      <c r="AP6" s="199">
        <v>-46</v>
      </c>
      <c r="AQ6" s="199">
        <v>-42</v>
      </c>
      <c r="AR6" s="199">
        <v>-41</v>
      </c>
      <c r="AS6" s="199">
        <v>-39</v>
      </c>
      <c r="AT6" s="199">
        <v>-43</v>
      </c>
      <c r="AU6" s="200">
        <v>-44</v>
      </c>
      <c r="AW6" s="197" t="s">
        <v>233</v>
      </c>
      <c r="AX6" s="201">
        <f t="shared" si="1"/>
        <v>-54</v>
      </c>
      <c r="AY6" s="202">
        <f t="shared" si="0"/>
        <v>-53</v>
      </c>
      <c r="AZ6" s="202">
        <f t="shared" si="0"/>
        <v>-51</v>
      </c>
      <c r="BA6" s="202">
        <f t="shared" si="0"/>
        <v>-53</v>
      </c>
      <c r="BB6" s="202">
        <f t="shared" si="0"/>
        <v>-51</v>
      </c>
      <c r="BC6" s="202">
        <f t="shared" si="0"/>
        <v>-47</v>
      </c>
      <c r="BD6" s="202">
        <f t="shared" si="0"/>
        <v>-46</v>
      </c>
      <c r="BE6" s="202">
        <f t="shared" si="0"/>
        <v>-44</v>
      </c>
      <c r="BF6" s="202">
        <f t="shared" si="0"/>
        <v>-48</v>
      </c>
      <c r="BG6" s="203">
        <f t="shared" si="0"/>
        <v>-49</v>
      </c>
    </row>
    <row r="7" spans="1:59" ht="14.45" x14ac:dyDescent="0.3">
      <c r="A7" s="195" t="s">
        <v>242</v>
      </c>
      <c r="B7" s="183">
        <v>-24</v>
      </c>
      <c r="C7" s="183">
        <v>-21</v>
      </c>
      <c r="D7" s="183">
        <v>-18</v>
      </c>
      <c r="E7" s="183">
        <v>-20</v>
      </c>
      <c r="F7" s="183">
        <v>-20</v>
      </c>
      <c r="G7" s="183">
        <v>-19</v>
      </c>
      <c r="H7" s="183">
        <v>-18</v>
      </c>
      <c r="I7" s="183">
        <v>-20</v>
      </c>
      <c r="J7" s="183">
        <v>-21</v>
      </c>
      <c r="K7" s="184">
        <v>-22</v>
      </c>
      <c r="L7" s="217"/>
      <c r="M7" s="195" t="s">
        <v>242</v>
      </c>
      <c r="N7" s="196">
        <v>-32</v>
      </c>
      <c r="O7" s="183">
        <v>-28</v>
      </c>
      <c r="P7" s="183">
        <v>-25</v>
      </c>
      <c r="Q7" s="183">
        <v>-26</v>
      </c>
      <c r="R7" s="183">
        <v>-26</v>
      </c>
      <c r="S7" s="183">
        <v>-24</v>
      </c>
      <c r="T7" s="183">
        <v>-23</v>
      </c>
      <c r="U7" s="183">
        <v>-25</v>
      </c>
      <c r="V7" s="183">
        <v>-26</v>
      </c>
      <c r="W7" s="184">
        <v>-27</v>
      </c>
      <c r="X7" s="217"/>
      <c r="Y7" s="197" t="s">
        <v>242</v>
      </c>
      <c r="Z7" s="198">
        <v>-44</v>
      </c>
      <c r="AA7" s="199">
        <v>-41</v>
      </c>
      <c r="AB7" s="199">
        <v>-37</v>
      </c>
      <c r="AC7" s="199">
        <v>-39</v>
      </c>
      <c r="AD7" s="199">
        <v>-38</v>
      </c>
      <c r="AE7" s="199">
        <v>-37</v>
      </c>
      <c r="AF7" s="199">
        <v>-35</v>
      </c>
      <c r="AG7" s="199">
        <v>-36</v>
      </c>
      <c r="AH7" s="199">
        <v>-37</v>
      </c>
      <c r="AI7" s="200">
        <v>-38</v>
      </c>
      <c r="AJ7" s="217"/>
      <c r="AK7" s="197" t="s">
        <v>242</v>
      </c>
      <c r="AL7" s="198">
        <v>-49</v>
      </c>
      <c r="AM7" s="199">
        <v>-46</v>
      </c>
      <c r="AN7" s="199">
        <v>-42</v>
      </c>
      <c r="AO7" s="199">
        <v>-43</v>
      </c>
      <c r="AP7" s="199">
        <v>-42</v>
      </c>
      <c r="AQ7" s="199">
        <v>-40</v>
      </c>
      <c r="AR7" s="199">
        <v>-38</v>
      </c>
      <c r="AS7" s="199">
        <v>-39</v>
      </c>
      <c r="AT7" s="199">
        <v>-40</v>
      </c>
      <c r="AU7" s="200">
        <v>-41</v>
      </c>
      <c r="AW7" s="197" t="s">
        <v>242</v>
      </c>
      <c r="AX7" s="201">
        <f t="shared" si="1"/>
        <v>-54</v>
      </c>
      <c r="AY7" s="202">
        <f t="shared" si="0"/>
        <v>-51</v>
      </c>
      <c r="AZ7" s="202">
        <f t="shared" si="0"/>
        <v>-47</v>
      </c>
      <c r="BA7" s="202">
        <f t="shared" si="0"/>
        <v>-48</v>
      </c>
      <c r="BB7" s="202">
        <f t="shared" si="0"/>
        <v>-47</v>
      </c>
      <c r="BC7" s="202">
        <f t="shared" si="0"/>
        <v>-45</v>
      </c>
      <c r="BD7" s="202">
        <f t="shared" si="0"/>
        <v>-43</v>
      </c>
      <c r="BE7" s="202">
        <f t="shared" si="0"/>
        <v>-44</v>
      </c>
      <c r="BF7" s="202">
        <f t="shared" si="0"/>
        <v>-45</v>
      </c>
      <c r="BG7" s="203">
        <f t="shared" si="0"/>
        <v>-46</v>
      </c>
    </row>
    <row r="8" spans="1:59" ht="14.45" x14ac:dyDescent="0.3">
      <c r="A8" s="195" t="s">
        <v>250</v>
      </c>
      <c r="B8" s="183">
        <v>-16</v>
      </c>
      <c r="C8" s="183">
        <v>-15</v>
      </c>
      <c r="D8" s="183">
        <v>-21</v>
      </c>
      <c r="E8" s="183">
        <v>-20</v>
      </c>
      <c r="F8" s="183">
        <v>-24</v>
      </c>
      <c r="G8" s="183">
        <v>-21</v>
      </c>
      <c r="H8" s="183">
        <v>-24</v>
      </c>
      <c r="I8" s="183">
        <v>-21</v>
      </c>
      <c r="J8" s="183">
        <v>-20</v>
      </c>
      <c r="K8" s="184">
        <v>-24</v>
      </c>
      <c r="L8" s="217"/>
      <c r="M8" s="195" t="s">
        <v>250</v>
      </c>
      <c r="N8" s="196">
        <v>-24</v>
      </c>
      <c r="O8" s="183">
        <v>-22</v>
      </c>
      <c r="P8" s="183">
        <v>-28</v>
      </c>
      <c r="Q8" s="183">
        <v>-26</v>
      </c>
      <c r="R8" s="183">
        <v>-30</v>
      </c>
      <c r="S8" s="183">
        <v>-26</v>
      </c>
      <c r="T8" s="183">
        <v>-29</v>
      </c>
      <c r="U8" s="183">
        <v>-26</v>
      </c>
      <c r="V8" s="183">
        <v>-25</v>
      </c>
      <c r="W8" s="184">
        <v>-29</v>
      </c>
      <c r="X8" s="217"/>
      <c r="Y8" s="197" t="s">
        <v>250</v>
      </c>
      <c r="Z8" s="198">
        <v>-36</v>
      </c>
      <c r="AA8" s="199">
        <v>-35</v>
      </c>
      <c r="AB8" s="199">
        <v>-40</v>
      </c>
      <c r="AC8" s="199">
        <v>-39</v>
      </c>
      <c r="AD8" s="199">
        <v>-42</v>
      </c>
      <c r="AE8" s="199">
        <v>-39</v>
      </c>
      <c r="AF8" s="199">
        <v>-41</v>
      </c>
      <c r="AG8" s="199">
        <v>-37</v>
      </c>
      <c r="AH8" s="199">
        <v>-36</v>
      </c>
      <c r="AI8" s="200">
        <v>-40</v>
      </c>
      <c r="AJ8" s="217"/>
      <c r="AK8" s="197" t="s">
        <v>250</v>
      </c>
      <c r="AL8" s="198">
        <v>-41</v>
      </c>
      <c r="AM8" s="199">
        <v>-40</v>
      </c>
      <c r="AN8" s="199">
        <v>-45</v>
      </c>
      <c r="AO8" s="199">
        <v>-43</v>
      </c>
      <c r="AP8" s="199">
        <v>-46</v>
      </c>
      <c r="AQ8" s="199">
        <v>-42</v>
      </c>
      <c r="AR8" s="199">
        <v>-44</v>
      </c>
      <c r="AS8" s="199">
        <v>-40</v>
      </c>
      <c r="AT8" s="199">
        <v>-39</v>
      </c>
      <c r="AU8" s="200">
        <v>-43</v>
      </c>
      <c r="AW8" s="197" t="s">
        <v>250</v>
      </c>
      <c r="AX8" s="201">
        <f t="shared" si="1"/>
        <v>-46</v>
      </c>
      <c r="AY8" s="202">
        <f t="shared" si="0"/>
        <v>-45</v>
      </c>
      <c r="AZ8" s="202">
        <f t="shared" si="0"/>
        <v>-50</v>
      </c>
      <c r="BA8" s="202">
        <f t="shared" si="0"/>
        <v>-48</v>
      </c>
      <c r="BB8" s="202">
        <f t="shared" si="0"/>
        <v>-51</v>
      </c>
      <c r="BC8" s="202">
        <f t="shared" si="0"/>
        <v>-47</v>
      </c>
      <c r="BD8" s="202">
        <f t="shared" si="0"/>
        <v>-49</v>
      </c>
      <c r="BE8" s="202">
        <f t="shared" si="0"/>
        <v>-45</v>
      </c>
      <c r="BF8" s="202">
        <f t="shared" si="0"/>
        <v>-44</v>
      </c>
      <c r="BG8" s="203">
        <f t="shared" si="0"/>
        <v>-48</v>
      </c>
    </row>
    <row r="9" spans="1:59" ht="14.45" x14ac:dyDescent="0.3">
      <c r="A9" s="195" t="s">
        <v>258</v>
      </c>
      <c r="B9" s="183">
        <v>-18</v>
      </c>
      <c r="C9" s="183">
        <v>-17</v>
      </c>
      <c r="D9" s="183">
        <v>-21</v>
      </c>
      <c r="E9" s="183">
        <v>-18</v>
      </c>
      <c r="F9" s="183">
        <v>-20</v>
      </c>
      <c r="G9" s="183">
        <v>-22</v>
      </c>
      <c r="H9" s="183">
        <v>-23</v>
      </c>
      <c r="I9" s="183">
        <v>-20</v>
      </c>
      <c r="J9" s="183">
        <v>-22</v>
      </c>
      <c r="K9" s="184">
        <v>-24</v>
      </c>
      <c r="L9" s="217"/>
      <c r="M9" s="195" t="s">
        <v>258</v>
      </c>
      <c r="N9" s="196">
        <v>-25</v>
      </c>
      <c r="O9" s="183">
        <v>-24</v>
      </c>
      <c r="P9" s="183">
        <v>-28</v>
      </c>
      <c r="Q9" s="183">
        <v>-24</v>
      </c>
      <c r="R9" s="183">
        <v>-25</v>
      </c>
      <c r="S9" s="183">
        <v>-27</v>
      </c>
      <c r="T9" s="183">
        <v>-28</v>
      </c>
      <c r="U9" s="183">
        <v>-25</v>
      </c>
      <c r="V9" s="183">
        <v>-27</v>
      </c>
      <c r="W9" s="184">
        <v>-29</v>
      </c>
      <c r="X9" s="217"/>
      <c r="Y9" s="197" t="s">
        <v>258</v>
      </c>
      <c r="Z9" s="198">
        <v>-38</v>
      </c>
      <c r="AA9" s="199">
        <v>-37</v>
      </c>
      <c r="AB9" s="199">
        <v>-40</v>
      </c>
      <c r="AC9" s="199">
        <v>-37</v>
      </c>
      <c r="AD9" s="199">
        <v>-38</v>
      </c>
      <c r="AE9" s="199">
        <v>-40</v>
      </c>
      <c r="AF9" s="199">
        <v>-40</v>
      </c>
      <c r="AG9" s="199">
        <v>-36</v>
      </c>
      <c r="AH9" s="199">
        <v>-38</v>
      </c>
      <c r="AI9" s="200">
        <v>-40</v>
      </c>
      <c r="AJ9" s="217"/>
      <c r="AK9" s="197" t="s">
        <v>258</v>
      </c>
      <c r="AL9" s="198">
        <v>-43</v>
      </c>
      <c r="AM9" s="199">
        <v>-42</v>
      </c>
      <c r="AN9" s="199">
        <v>-45</v>
      </c>
      <c r="AO9" s="199">
        <v>-41</v>
      </c>
      <c r="AP9" s="199">
        <v>-42</v>
      </c>
      <c r="AQ9" s="199">
        <v>-42</v>
      </c>
      <c r="AR9" s="199">
        <v>-42</v>
      </c>
      <c r="AS9" s="199">
        <v>-38</v>
      </c>
      <c r="AT9" s="199">
        <v>-40</v>
      </c>
      <c r="AU9" s="200">
        <v>-42</v>
      </c>
      <c r="AW9" s="197" t="s">
        <v>258</v>
      </c>
      <c r="AX9" s="201">
        <f t="shared" si="1"/>
        <v>-48</v>
      </c>
      <c r="AY9" s="202">
        <f t="shared" si="0"/>
        <v>-47</v>
      </c>
      <c r="AZ9" s="202">
        <f t="shared" si="0"/>
        <v>-50</v>
      </c>
      <c r="BA9" s="202">
        <f t="shared" si="0"/>
        <v>-46</v>
      </c>
      <c r="BB9" s="202">
        <f t="shared" si="0"/>
        <v>-47</v>
      </c>
      <c r="BC9" s="202">
        <f t="shared" si="0"/>
        <v>-47</v>
      </c>
      <c r="BD9" s="202">
        <f t="shared" si="0"/>
        <v>-47</v>
      </c>
      <c r="BE9" s="202">
        <f t="shared" si="0"/>
        <v>-43</v>
      </c>
      <c r="BF9" s="202">
        <f t="shared" si="0"/>
        <v>-45</v>
      </c>
      <c r="BG9" s="203">
        <f t="shared" si="0"/>
        <v>-47</v>
      </c>
    </row>
    <row r="10" spans="1:59" thickBot="1" x14ac:dyDescent="0.35">
      <c r="A10" s="204" t="s">
        <v>265</v>
      </c>
      <c r="B10" s="205">
        <v>-24</v>
      </c>
      <c r="C10" s="205">
        <v>-20</v>
      </c>
      <c r="D10" s="205">
        <v>-20</v>
      </c>
      <c r="E10" s="205">
        <v>-20</v>
      </c>
      <c r="F10" s="205">
        <v>-21</v>
      </c>
      <c r="G10" s="205">
        <v>-22</v>
      </c>
      <c r="H10" s="205">
        <v>-20</v>
      </c>
      <c r="I10" s="205">
        <v>-20</v>
      </c>
      <c r="J10" s="205">
        <v>-21</v>
      </c>
      <c r="K10" s="206">
        <v>-26</v>
      </c>
      <c r="L10" s="217"/>
      <c r="M10" s="204" t="s">
        <v>265</v>
      </c>
      <c r="N10" s="207">
        <v>-31</v>
      </c>
      <c r="O10" s="205">
        <v>-27</v>
      </c>
      <c r="P10" s="205">
        <v>-27</v>
      </c>
      <c r="Q10" s="205">
        <v>-26</v>
      </c>
      <c r="R10" s="205">
        <v>-26</v>
      </c>
      <c r="S10" s="205">
        <v>-27</v>
      </c>
      <c r="T10" s="205">
        <v>-25</v>
      </c>
      <c r="U10" s="205">
        <v>-25</v>
      </c>
      <c r="V10" s="205">
        <v>-26</v>
      </c>
      <c r="W10" s="206">
        <v>-31</v>
      </c>
      <c r="X10" s="217"/>
      <c r="Y10" s="208" t="s">
        <v>265</v>
      </c>
      <c r="Z10" s="209">
        <v>-44</v>
      </c>
      <c r="AA10" s="210">
        <v>-40</v>
      </c>
      <c r="AB10" s="210">
        <v>-39</v>
      </c>
      <c r="AC10" s="210">
        <v>-39</v>
      </c>
      <c r="AD10" s="210">
        <v>-39</v>
      </c>
      <c r="AE10" s="210">
        <v>-40</v>
      </c>
      <c r="AF10" s="210">
        <v>-37</v>
      </c>
      <c r="AG10" s="210">
        <v>-36</v>
      </c>
      <c r="AH10" s="210">
        <v>-37</v>
      </c>
      <c r="AI10" s="211">
        <v>-42</v>
      </c>
      <c r="AJ10" s="217"/>
      <c r="AK10" s="208" t="s">
        <v>265</v>
      </c>
      <c r="AL10" s="209">
        <v>-49</v>
      </c>
      <c r="AM10" s="210">
        <v>-45</v>
      </c>
      <c r="AN10" s="210">
        <v>-44</v>
      </c>
      <c r="AO10" s="210">
        <v>-43</v>
      </c>
      <c r="AP10" s="210">
        <v>-43</v>
      </c>
      <c r="AQ10" s="210">
        <v>-42</v>
      </c>
      <c r="AR10" s="210">
        <v>-39</v>
      </c>
      <c r="AS10" s="210">
        <v>-38</v>
      </c>
      <c r="AT10" s="210">
        <v>-39</v>
      </c>
      <c r="AU10" s="211">
        <v>-44</v>
      </c>
      <c r="AW10" s="208" t="s">
        <v>265</v>
      </c>
      <c r="AX10" s="212">
        <f t="shared" si="1"/>
        <v>-54</v>
      </c>
      <c r="AY10" s="213">
        <f t="shared" si="0"/>
        <v>-50</v>
      </c>
      <c r="AZ10" s="213">
        <f t="shared" si="0"/>
        <v>-49</v>
      </c>
      <c r="BA10" s="213">
        <f t="shared" si="0"/>
        <v>-48</v>
      </c>
      <c r="BB10" s="213">
        <f t="shared" si="0"/>
        <v>-48</v>
      </c>
      <c r="BC10" s="213">
        <f t="shared" si="0"/>
        <v>-47</v>
      </c>
      <c r="BD10" s="213">
        <f t="shared" si="0"/>
        <v>-44</v>
      </c>
      <c r="BE10" s="213">
        <f t="shared" si="0"/>
        <v>-43</v>
      </c>
      <c r="BF10" s="213">
        <f t="shared" si="0"/>
        <v>-44</v>
      </c>
      <c r="BG10" s="214">
        <f t="shared" si="0"/>
        <v>-49</v>
      </c>
    </row>
    <row r="11" spans="1:59" ht="14.45" x14ac:dyDescent="0.3">
      <c r="A11" s="215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5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347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8"/>
      <c r="AL11" s="348"/>
      <c r="AM11" s="346"/>
      <c r="AN11" s="346"/>
      <c r="AO11" s="346"/>
      <c r="AP11" s="346"/>
      <c r="AQ11" s="217"/>
      <c r="AR11" s="217"/>
      <c r="AS11" s="217"/>
      <c r="AT11" s="217"/>
      <c r="AU11" s="217"/>
      <c r="AW11" s="215"/>
      <c r="AX11" s="216"/>
      <c r="AY11" s="215"/>
      <c r="AZ11" s="217"/>
      <c r="BA11" s="217"/>
      <c r="BB11" s="217"/>
      <c r="BC11" s="217"/>
      <c r="BD11" s="217"/>
      <c r="BE11" s="217"/>
      <c r="BF11" s="217"/>
      <c r="BG11" s="217"/>
    </row>
    <row r="12" spans="1:59" thickBot="1" x14ac:dyDescent="0.35">
      <c r="A12" s="215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5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348"/>
      <c r="Z12" s="346"/>
      <c r="AA12" s="346"/>
      <c r="AB12" s="346"/>
      <c r="AC12" s="346"/>
      <c r="AD12" s="346"/>
      <c r="AE12" s="346"/>
      <c r="AF12" s="346"/>
      <c r="AG12" s="346"/>
      <c r="AH12" s="346"/>
      <c r="AI12" s="346"/>
      <c r="AJ12" s="346"/>
      <c r="AK12" s="348"/>
      <c r="AL12" s="348" t="s">
        <v>1081</v>
      </c>
      <c r="AM12" s="346"/>
      <c r="AN12" s="346"/>
      <c r="AO12" s="346"/>
      <c r="AP12" s="346"/>
      <c r="AQ12" s="217"/>
      <c r="AR12" s="217"/>
      <c r="AS12" s="217"/>
      <c r="AT12" s="217"/>
      <c r="AU12" s="217"/>
      <c r="AW12" s="215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</row>
    <row r="13" spans="1:59" thickBot="1" x14ac:dyDescent="0.35">
      <c r="A13" s="174"/>
      <c r="B13" s="473" t="s">
        <v>778</v>
      </c>
      <c r="C13" s="474"/>
      <c r="D13" s="474"/>
      <c r="E13" s="474"/>
      <c r="F13" s="474"/>
      <c r="G13" s="474"/>
      <c r="H13" s="474"/>
      <c r="I13" s="474"/>
      <c r="J13" s="474"/>
      <c r="K13" s="475"/>
      <c r="L13" s="217"/>
      <c r="M13" s="174"/>
      <c r="N13" s="473" t="s">
        <v>779</v>
      </c>
      <c r="O13" s="474"/>
      <c r="P13" s="474"/>
      <c r="Q13" s="474"/>
      <c r="R13" s="474"/>
      <c r="S13" s="474"/>
      <c r="T13" s="474"/>
      <c r="U13" s="474"/>
      <c r="V13" s="474"/>
      <c r="W13" s="475"/>
      <c r="X13" s="217"/>
      <c r="Y13" s="174"/>
      <c r="Z13" s="473" t="s">
        <v>780</v>
      </c>
      <c r="AA13" s="474"/>
      <c r="AB13" s="474"/>
      <c r="AC13" s="474"/>
      <c r="AD13" s="474"/>
      <c r="AE13" s="474"/>
      <c r="AF13" s="474"/>
      <c r="AG13" s="474"/>
      <c r="AH13" s="474"/>
      <c r="AI13" s="475"/>
      <c r="AJ13" s="215"/>
      <c r="AK13" s="174"/>
      <c r="AL13" s="473" t="s">
        <v>781</v>
      </c>
      <c r="AM13" s="474"/>
      <c r="AN13" s="474"/>
      <c r="AO13" s="474"/>
      <c r="AP13" s="474"/>
      <c r="AQ13" s="474"/>
      <c r="AR13" s="474"/>
      <c r="AS13" s="474"/>
      <c r="AT13" s="474"/>
      <c r="AU13" s="475"/>
      <c r="AW13" s="174"/>
      <c r="AX13" s="898" t="s">
        <v>782</v>
      </c>
      <c r="AY13" s="899"/>
      <c r="AZ13" s="899"/>
      <c r="BA13" s="899"/>
      <c r="BB13" s="899"/>
      <c r="BC13" s="899"/>
      <c r="BD13" s="899"/>
      <c r="BE13" s="899"/>
      <c r="BF13" s="899"/>
      <c r="BG13" s="900"/>
    </row>
    <row r="14" spans="1:59" thickBot="1" x14ac:dyDescent="0.35">
      <c r="A14" s="175"/>
      <c r="B14" s="176" t="s">
        <v>186</v>
      </c>
      <c r="C14" s="177" t="s">
        <v>213</v>
      </c>
      <c r="D14" s="177" t="s">
        <v>232</v>
      </c>
      <c r="E14" s="177" t="s">
        <v>215</v>
      </c>
      <c r="F14" s="177" t="s">
        <v>249</v>
      </c>
      <c r="G14" s="177" t="s">
        <v>257</v>
      </c>
      <c r="H14" s="177" t="s">
        <v>264</v>
      </c>
      <c r="I14" s="177" t="s">
        <v>272</v>
      </c>
      <c r="J14" s="177" t="s">
        <v>278</v>
      </c>
      <c r="K14" s="178" t="s">
        <v>284</v>
      </c>
      <c r="L14" s="217"/>
      <c r="M14" s="175"/>
      <c r="N14" s="176" t="s">
        <v>186</v>
      </c>
      <c r="O14" s="177" t="s">
        <v>213</v>
      </c>
      <c r="P14" s="177" t="s">
        <v>232</v>
      </c>
      <c r="Q14" s="177" t="s">
        <v>215</v>
      </c>
      <c r="R14" s="177" t="s">
        <v>249</v>
      </c>
      <c r="S14" s="177" t="s">
        <v>257</v>
      </c>
      <c r="T14" s="177" t="s">
        <v>264</v>
      </c>
      <c r="U14" s="177" t="s">
        <v>272</v>
      </c>
      <c r="V14" s="177" t="s">
        <v>278</v>
      </c>
      <c r="W14" s="178" t="s">
        <v>284</v>
      </c>
      <c r="X14" s="217"/>
      <c r="Y14" s="175"/>
      <c r="Z14" s="176" t="s">
        <v>186</v>
      </c>
      <c r="AA14" s="177" t="s">
        <v>213</v>
      </c>
      <c r="AB14" s="177" t="s">
        <v>232</v>
      </c>
      <c r="AC14" s="177" t="s">
        <v>215</v>
      </c>
      <c r="AD14" s="177" t="s">
        <v>249</v>
      </c>
      <c r="AE14" s="177" t="s">
        <v>257</v>
      </c>
      <c r="AF14" s="177" t="s">
        <v>264</v>
      </c>
      <c r="AG14" s="177" t="s">
        <v>272</v>
      </c>
      <c r="AH14" s="177" t="s">
        <v>278</v>
      </c>
      <c r="AI14" s="178" t="s">
        <v>284</v>
      </c>
      <c r="AJ14" s="215"/>
      <c r="AK14" s="175"/>
      <c r="AL14" s="179" t="s">
        <v>186</v>
      </c>
      <c r="AM14" s="180" t="s">
        <v>213</v>
      </c>
      <c r="AN14" s="180" t="s">
        <v>232</v>
      </c>
      <c r="AO14" s="180" t="s">
        <v>215</v>
      </c>
      <c r="AP14" s="180" t="s">
        <v>249</v>
      </c>
      <c r="AQ14" s="180" t="s">
        <v>257</v>
      </c>
      <c r="AR14" s="180" t="s">
        <v>264</v>
      </c>
      <c r="AS14" s="180" t="s">
        <v>272</v>
      </c>
      <c r="AT14" s="180" t="s">
        <v>278</v>
      </c>
      <c r="AU14" s="181" t="s">
        <v>284</v>
      </c>
      <c r="AW14" s="175"/>
      <c r="AX14" s="179" t="s">
        <v>186</v>
      </c>
      <c r="AY14" s="180" t="s">
        <v>213</v>
      </c>
      <c r="AZ14" s="180" t="s">
        <v>232</v>
      </c>
      <c r="BA14" s="180" t="s">
        <v>215</v>
      </c>
      <c r="BB14" s="180" t="s">
        <v>249</v>
      </c>
      <c r="BC14" s="180" t="s">
        <v>257</v>
      </c>
      <c r="BD14" s="180" t="s">
        <v>264</v>
      </c>
      <c r="BE14" s="180" t="s">
        <v>272</v>
      </c>
      <c r="BF14" s="180" t="s">
        <v>278</v>
      </c>
      <c r="BG14" s="181" t="s">
        <v>284</v>
      </c>
    </row>
    <row r="15" spans="1:59" ht="14.45" x14ac:dyDescent="0.3">
      <c r="A15" s="182" t="s">
        <v>187</v>
      </c>
      <c r="B15" s="185">
        <v>-27</v>
      </c>
      <c r="C15" s="186">
        <v>-27</v>
      </c>
      <c r="D15" s="186">
        <v>-25</v>
      </c>
      <c r="E15" s="186">
        <v>-34</v>
      </c>
      <c r="F15" s="186">
        <v>-32</v>
      </c>
      <c r="G15" s="186">
        <v>-25</v>
      </c>
      <c r="H15" s="186">
        <v>-23</v>
      </c>
      <c r="I15" s="186">
        <v>-25</v>
      </c>
      <c r="J15" s="186">
        <v>-26</v>
      </c>
      <c r="K15" s="187">
        <v>-27</v>
      </c>
      <c r="L15" s="217"/>
      <c r="M15" s="182" t="s">
        <v>187</v>
      </c>
      <c r="N15" s="185">
        <v>-36</v>
      </c>
      <c r="O15" s="186">
        <v>-36</v>
      </c>
      <c r="P15" s="186">
        <v>-33</v>
      </c>
      <c r="Q15" s="186">
        <v>-41</v>
      </c>
      <c r="R15" s="186">
        <v>-39</v>
      </c>
      <c r="S15" s="186">
        <v>-31</v>
      </c>
      <c r="T15" s="186">
        <v>-28</v>
      </c>
      <c r="U15" s="186">
        <v>-30</v>
      </c>
      <c r="V15" s="186">
        <v>-31</v>
      </c>
      <c r="W15" s="187">
        <v>-32</v>
      </c>
      <c r="X15" s="217"/>
      <c r="Y15" s="182" t="s">
        <v>187</v>
      </c>
      <c r="Z15" s="218">
        <v>-47</v>
      </c>
      <c r="AA15" s="219">
        <v>-47</v>
      </c>
      <c r="AB15" s="219">
        <v>-44</v>
      </c>
      <c r="AC15" s="219">
        <v>-53</v>
      </c>
      <c r="AD15" s="219">
        <v>-50</v>
      </c>
      <c r="AE15" s="219">
        <v>-43</v>
      </c>
      <c r="AF15" s="219">
        <v>-40</v>
      </c>
      <c r="AG15" s="219">
        <v>-41</v>
      </c>
      <c r="AH15" s="219">
        <v>-42</v>
      </c>
      <c r="AI15" s="220">
        <v>-43</v>
      </c>
      <c r="AJ15" s="217"/>
      <c r="AK15" s="188" t="s">
        <v>187</v>
      </c>
      <c r="AL15" s="189">
        <v>-52</v>
      </c>
      <c r="AM15" s="190">
        <v>-52</v>
      </c>
      <c r="AN15" s="190">
        <v>-50</v>
      </c>
      <c r="AO15" s="190">
        <v>-58</v>
      </c>
      <c r="AP15" s="190">
        <v>-55</v>
      </c>
      <c r="AQ15" s="190">
        <v>-47</v>
      </c>
      <c r="AR15" s="190">
        <v>-44</v>
      </c>
      <c r="AS15" s="190">
        <v>-45</v>
      </c>
      <c r="AT15" s="190">
        <v>-46</v>
      </c>
      <c r="AU15" s="191">
        <v>-47</v>
      </c>
      <c r="AW15" s="188" t="s">
        <v>187</v>
      </c>
      <c r="AX15" s="192">
        <f>AL15-5</f>
        <v>-57</v>
      </c>
      <c r="AY15" s="193">
        <f t="shared" ref="AY15:BG21" si="2">AM15-5</f>
        <v>-57</v>
      </c>
      <c r="AZ15" s="193">
        <f t="shared" si="2"/>
        <v>-55</v>
      </c>
      <c r="BA15" s="193">
        <f t="shared" si="2"/>
        <v>-63</v>
      </c>
      <c r="BB15" s="193">
        <f t="shared" si="2"/>
        <v>-60</v>
      </c>
      <c r="BC15" s="193">
        <f t="shared" si="2"/>
        <v>-52</v>
      </c>
      <c r="BD15" s="193">
        <f t="shared" si="2"/>
        <v>-49</v>
      </c>
      <c r="BE15" s="193">
        <f t="shared" si="2"/>
        <v>-50</v>
      </c>
      <c r="BF15" s="193">
        <f t="shared" si="2"/>
        <v>-51</v>
      </c>
      <c r="BG15" s="194">
        <f t="shared" si="2"/>
        <v>-52</v>
      </c>
    </row>
    <row r="16" spans="1:59" ht="14.45" x14ac:dyDescent="0.3">
      <c r="A16" s="195" t="s">
        <v>214</v>
      </c>
      <c r="B16" s="196">
        <v>-31</v>
      </c>
      <c r="C16" s="183">
        <v>-26</v>
      </c>
      <c r="D16" s="183">
        <v>-27</v>
      </c>
      <c r="E16" s="183">
        <v>-30</v>
      </c>
      <c r="F16" s="183">
        <v>-30</v>
      </c>
      <c r="G16" s="183">
        <v>-26</v>
      </c>
      <c r="H16" s="183">
        <v>-22</v>
      </c>
      <c r="I16" s="183">
        <v>-25</v>
      </c>
      <c r="J16" s="183">
        <v>-28</v>
      </c>
      <c r="K16" s="184">
        <v>-30</v>
      </c>
      <c r="L16" s="217"/>
      <c r="M16" s="195" t="s">
        <v>214</v>
      </c>
      <c r="N16" s="196">
        <v>-40</v>
      </c>
      <c r="O16" s="183">
        <v>-35</v>
      </c>
      <c r="P16" s="183">
        <v>-35</v>
      </c>
      <c r="Q16" s="183">
        <v>-37</v>
      </c>
      <c r="R16" s="183">
        <v>-37</v>
      </c>
      <c r="S16" s="183">
        <v>-32</v>
      </c>
      <c r="T16" s="183">
        <v>-27</v>
      </c>
      <c r="U16" s="183">
        <v>-30</v>
      </c>
      <c r="V16" s="183">
        <v>-33</v>
      </c>
      <c r="W16" s="184">
        <v>-35</v>
      </c>
      <c r="X16" s="217"/>
      <c r="Y16" s="195" t="s">
        <v>214</v>
      </c>
      <c r="Z16" s="221">
        <v>-51</v>
      </c>
      <c r="AA16" s="222">
        <v>-46</v>
      </c>
      <c r="AB16" s="222">
        <v>-46</v>
      </c>
      <c r="AC16" s="222">
        <v>-49</v>
      </c>
      <c r="AD16" s="222">
        <v>-48</v>
      </c>
      <c r="AE16" s="222">
        <v>-44</v>
      </c>
      <c r="AF16" s="222">
        <v>-39</v>
      </c>
      <c r="AG16" s="222">
        <v>-41</v>
      </c>
      <c r="AH16" s="222">
        <v>-44</v>
      </c>
      <c r="AI16" s="223">
        <v>-46</v>
      </c>
      <c r="AJ16" s="217"/>
      <c r="AK16" s="197" t="s">
        <v>214</v>
      </c>
      <c r="AL16" s="198">
        <v>-56</v>
      </c>
      <c r="AM16" s="199">
        <v>-51</v>
      </c>
      <c r="AN16" s="199">
        <v>-52</v>
      </c>
      <c r="AO16" s="199">
        <v>-54</v>
      </c>
      <c r="AP16" s="199">
        <v>-53</v>
      </c>
      <c r="AQ16" s="199">
        <v>-48</v>
      </c>
      <c r="AR16" s="199">
        <v>-43</v>
      </c>
      <c r="AS16" s="199">
        <v>-45</v>
      </c>
      <c r="AT16" s="199">
        <v>-48</v>
      </c>
      <c r="AU16" s="200">
        <v>-50</v>
      </c>
      <c r="AW16" s="197" t="s">
        <v>214</v>
      </c>
      <c r="AX16" s="201">
        <f t="shared" ref="AX16:AX21" si="3">AL16-5</f>
        <v>-61</v>
      </c>
      <c r="AY16" s="202">
        <f t="shared" si="2"/>
        <v>-56</v>
      </c>
      <c r="AZ16" s="202">
        <f t="shared" si="2"/>
        <v>-57</v>
      </c>
      <c r="BA16" s="202">
        <f t="shared" si="2"/>
        <v>-59</v>
      </c>
      <c r="BB16" s="202">
        <f t="shared" si="2"/>
        <v>-58</v>
      </c>
      <c r="BC16" s="202">
        <f t="shared" si="2"/>
        <v>-53</v>
      </c>
      <c r="BD16" s="202">
        <f t="shared" si="2"/>
        <v>-48</v>
      </c>
      <c r="BE16" s="202">
        <f t="shared" si="2"/>
        <v>-50</v>
      </c>
      <c r="BF16" s="202">
        <f t="shared" si="2"/>
        <v>-53</v>
      </c>
      <c r="BG16" s="203">
        <f t="shared" si="2"/>
        <v>-55</v>
      </c>
    </row>
    <row r="17" spans="1:59" ht="14.45" x14ac:dyDescent="0.3">
      <c r="A17" s="195" t="s">
        <v>233</v>
      </c>
      <c r="B17" s="196">
        <v>-31</v>
      </c>
      <c r="C17" s="183">
        <v>-30</v>
      </c>
      <c r="D17" s="183">
        <v>-28</v>
      </c>
      <c r="E17" s="183">
        <v>-30</v>
      </c>
      <c r="F17" s="183">
        <v>-29</v>
      </c>
      <c r="G17" s="183">
        <v>-26</v>
      </c>
      <c r="H17" s="183">
        <v>-25</v>
      </c>
      <c r="I17" s="183">
        <v>-24</v>
      </c>
      <c r="J17" s="183">
        <v>-28</v>
      </c>
      <c r="K17" s="184">
        <v>-29</v>
      </c>
      <c r="L17" s="217"/>
      <c r="M17" s="195" t="s">
        <v>233</v>
      </c>
      <c r="N17" s="196">
        <v>-40</v>
      </c>
      <c r="O17" s="183">
        <v>-39</v>
      </c>
      <c r="P17" s="183">
        <v>-36</v>
      </c>
      <c r="Q17" s="183">
        <v>-37</v>
      </c>
      <c r="R17" s="183">
        <v>-36</v>
      </c>
      <c r="S17" s="183">
        <v>-32</v>
      </c>
      <c r="T17" s="183">
        <v>-30</v>
      </c>
      <c r="U17" s="183">
        <v>-29</v>
      </c>
      <c r="V17" s="183">
        <v>-33</v>
      </c>
      <c r="W17" s="184">
        <v>-34</v>
      </c>
      <c r="X17" s="217"/>
      <c r="Y17" s="195" t="s">
        <v>233</v>
      </c>
      <c r="Z17" s="221">
        <v>-51</v>
      </c>
      <c r="AA17" s="222">
        <v>-50</v>
      </c>
      <c r="AB17" s="222">
        <v>-47</v>
      </c>
      <c r="AC17" s="222">
        <v>-49</v>
      </c>
      <c r="AD17" s="222">
        <v>-47</v>
      </c>
      <c r="AE17" s="222">
        <v>-44</v>
      </c>
      <c r="AF17" s="222">
        <v>-42</v>
      </c>
      <c r="AG17" s="222">
        <v>-40</v>
      </c>
      <c r="AH17" s="222">
        <v>-44</v>
      </c>
      <c r="AI17" s="223">
        <v>-45</v>
      </c>
      <c r="AJ17" s="217"/>
      <c r="AK17" s="197" t="s">
        <v>233</v>
      </c>
      <c r="AL17" s="198">
        <v>-56</v>
      </c>
      <c r="AM17" s="199">
        <v>-55</v>
      </c>
      <c r="AN17" s="199">
        <v>-53</v>
      </c>
      <c r="AO17" s="199">
        <v>-54</v>
      </c>
      <c r="AP17" s="199">
        <v>-52</v>
      </c>
      <c r="AQ17" s="199">
        <v>-48</v>
      </c>
      <c r="AR17" s="199">
        <v>-46</v>
      </c>
      <c r="AS17" s="199">
        <v>-44</v>
      </c>
      <c r="AT17" s="199">
        <v>-48</v>
      </c>
      <c r="AU17" s="200">
        <v>-49</v>
      </c>
      <c r="AW17" s="197" t="s">
        <v>233</v>
      </c>
      <c r="AX17" s="201">
        <f t="shared" si="3"/>
        <v>-61</v>
      </c>
      <c r="AY17" s="202">
        <f t="shared" si="2"/>
        <v>-60</v>
      </c>
      <c r="AZ17" s="202">
        <f t="shared" si="2"/>
        <v>-58</v>
      </c>
      <c r="BA17" s="202">
        <f t="shared" si="2"/>
        <v>-59</v>
      </c>
      <c r="BB17" s="202">
        <f t="shared" si="2"/>
        <v>-57</v>
      </c>
      <c r="BC17" s="202">
        <f t="shared" si="2"/>
        <v>-53</v>
      </c>
      <c r="BD17" s="202">
        <f t="shared" si="2"/>
        <v>-51</v>
      </c>
      <c r="BE17" s="202">
        <f t="shared" si="2"/>
        <v>-49</v>
      </c>
      <c r="BF17" s="202">
        <f t="shared" si="2"/>
        <v>-53</v>
      </c>
      <c r="BG17" s="203">
        <f t="shared" si="2"/>
        <v>-54</v>
      </c>
    </row>
    <row r="18" spans="1:59" ht="14.45" x14ac:dyDescent="0.3">
      <c r="A18" s="195" t="s">
        <v>242</v>
      </c>
      <c r="B18" s="196">
        <v>-31</v>
      </c>
      <c r="C18" s="183">
        <v>-28</v>
      </c>
      <c r="D18" s="183">
        <v>-25</v>
      </c>
      <c r="E18" s="183">
        <v>-25</v>
      </c>
      <c r="F18" s="183">
        <v>-25</v>
      </c>
      <c r="G18" s="183">
        <v>-24</v>
      </c>
      <c r="H18" s="183">
        <v>-23</v>
      </c>
      <c r="I18" s="183">
        <v>-25</v>
      </c>
      <c r="J18" s="183">
        <v>-26</v>
      </c>
      <c r="K18" s="184">
        <v>-27</v>
      </c>
      <c r="L18" s="217"/>
      <c r="M18" s="195" t="s">
        <v>242</v>
      </c>
      <c r="N18" s="196">
        <v>-39</v>
      </c>
      <c r="O18" s="183">
        <v>-35</v>
      </c>
      <c r="P18" s="183">
        <v>-32</v>
      </c>
      <c r="Q18" s="183">
        <v>-31</v>
      </c>
      <c r="R18" s="183">
        <v>-31</v>
      </c>
      <c r="S18" s="183">
        <v>-29</v>
      </c>
      <c r="T18" s="183">
        <v>-28</v>
      </c>
      <c r="U18" s="183">
        <v>-30</v>
      </c>
      <c r="V18" s="183">
        <v>-31</v>
      </c>
      <c r="W18" s="184">
        <v>-32</v>
      </c>
      <c r="X18" s="217"/>
      <c r="Y18" s="195" t="s">
        <v>242</v>
      </c>
      <c r="Z18" s="221">
        <v>-51</v>
      </c>
      <c r="AA18" s="222">
        <v>-48</v>
      </c>
      <c r="AB18" s="222">
        <v>-44</v>
      </c>
      <c r="AC18" s="222">
        <v>-44</v>
      </c>
      <c r="AD18" s="222">
        <v>-43</v>
      </c>
      <c r="AE18" s="222">
        <v>-42</v>
      </c>
      <c r="AF18" s="222">
        <v>-40</v>
      </c>
      <c r="AG18" s="222">
        <v>-41</v>
      </c>
      <c r="AH18" s="222">
        <v>-42</v>
      </c>
      <c r="AI18" s="223">
        <v>-43</v>
      </c>
      <c r="AJ18" s="217"/>
      <c r="AK18" s="197" t="s">
        <v>242</v>
      </c>
      <c r="AL18" s="198">
        <v>-56</v>
      </c>
      <c r="AM18" s="199">
        <v>-53</v>
      </c>
      <c r="AN18" s="199">
        <v>-49</v>
      </c>
      <c r="AO18" s="199">
        <v>-48</v>
      </c>
      <c r="AP18" s="199">
        <v>-47</v>
      </c>
      <c r="AQ18" s="199">
        <v>-45</v>
      </c>
      <c r="AR18" s="199">
        <v>-43</v>
      </c>
      <c r="AS18" s="199">
        <v>-44</v>
      </c>
      <c r="AT18" s="199">
        <v>-45</v>
      </c>
      <c r="AU18" s="200">
        <v>-46</v>
      </c>
      <c r="AW18" s="197" t="s">
        <v>242</v>
      </c>
      <c r="AX18" s="201">
        <f t="shared" si="3"/>
        <v>-61</v>
      </c>
      <c r="AY18" s="202">
        <f t="shared" si="2"/>
        <v>-58</v>
      </c>
      <c r="AZ18" s="202">
        <f t="shared" si="2"/>
        <v>-54</v>
      </c>
      <c r="BA18" s="202">
        <f t="shared" si="2"/>
        <v>-53</v>
      </c>
      <c r="BB18" s="202">
        <f t="shared" si="2"/>
        <v>-52</v>
      </c>
      <c r="BC18" s="202">
        <f t="shared" si="2"/>
        <v>-50</v>
      </c>
      <c r="BD18" s="202">
        <f t="shared" si="2"/>
        <v>-48</v>
      </c>
      <c r="BE18" s="202">
        <f t="shared" si="2"/>
        <v>-49</v>
      </c>
      <c r="BF18" s="202">
        <f t="shared" si="2"/>
        <v>-50</v>
      </c>
      <c r="BG18" s="203">
        <f t="shared" si="2"/>
        <v>-51</v>
      </c>
    </row>
    <row r="19" spans="1:59" ht="14.45" x14ac:dyDescent="0.3">
      <c r="A19" s="195" t="s">
        <v>250</v>
      </c>
      <c r="B19" s="196">
        <v>-23</v>
      </c>
      <c r="C19" s="183">
        <v>-22</v>
      </c>
      <c r="D19" s="183">
        <v>-28</v>
      </c>
      <c r="E19" s="183">
        <v>-25</v>
      </c>
      <c r="F19" s="183">
        <v>-29</v>
      </c>
      <c r="G19" s="183">
        <v>-26</v>
      </c>
      <c r="H19" s="183">
        <v>-29</v>
      </c>
      <c r="I19" s="183">
        <v>-26</v>
      </c>
      <c r="J19" s="183">
        <v>-25</v>
      </c>
      <c r="K19" s="184">
        <v>-29</v>
      </c>
      <c r="L19" s="217"/>
      <c r="M19" s="195" t="s">
        <v>250</v>
      </c>
      <c r="N19" s="196">
        <v>-31</v>
      </c>
      <c r="O19" s="183">
        <v>-29</v>
      </c>
      <c r="P19" s="183">
        <v>-35</v>
      </c>
      <c r="Q19" s="183">
        <v>-31</v>
      </c>
      <c r="R19" s="183">
        <v>-35</v>
      </c>
      <c r="S19" s="183">
        <v>-31</v>
      </c>
      <c r="T19" s="183">
        <v>-34</v>
      </c>
      <c r="U19" s="183">
        <v>-31</v>
      </c>
      <c r="V19" s="183">
        <v>-30</v>
      </c>
      <c r="W19" s="184">
        <v>-34</v>
      </c>
      <c r="X19" s="217"/>
      <c r="Y19" s="195" t="s">
        <v>250</v>
      </c>
      <c r="Z19" s="221">
        <v>-43</v>
      </c>
      <c r="AA19" s="222">
        <v>-42</v>
      </c>
      <c r="AB19" s="222">
        <v>-47</v>
      </c>
      <c r="AC19" s="222">
        <v>-44</v>
      </c>
      <c r="AD19" s="222">
        <v>-47</v>
      </c>
      <c r="AE19" s="222">
        <v>-44</v>
      </c>
      <c r="AF19" s="222">
        <v>-46</v>
      </c>
      <c r="AG19" s="222">
        <v>-42</v>
      </c>
      <c r="AH19" s="222">
        <v>-41</v>
      </c>
      <c r="AI19" s="223">
        <v>-45</v>
      </c>
      <c r="AJ19" s="217"/>
      <c r="AK19" s="197" t="s">
        <v>250</v>
      </c>
      <c r="AL19" s="198">
        <v>-48</v>
      </c>
      <c r="AM19" s="199">
        <v>-47</v>
      </c>
      <c r="AN19" s="199">
        <v>-52</v>
      </c>
      <c r="AO19" s="199">
        <v>-48</v>
      </c>
      <c r="AP19" s="199">
        <v>-51</v>
      </c>
      <c r="AQ19" s="199">
        <v>-47</v>
      </c>
      <c r="AR19" s="199">
        <v>-49</v>
      </c>
      <c r="AS19" s="199">
        <v>-45</v>
      </c>
      <c r="AT19" s="199">
        <v>-44</v>
      </c>
      <c r="AU19" s="200">
        <v>-48</v>
      </c>
      <c r="AW19" s="197" t="s">
        <v>250</v>
      </c>
      <c r="AX19" s="201">
        <f t="shared" si="3"/>
        <v>-53</v>
      </c>
      <c r="AY19" s="202">
        <f t="shared" si="2"/>
        <v>-52</v>
      </c>
      <c r="AZ19" s="202">
        <f t="shared" si="2"/>
        <v>-57</v>
      </c>
      <c r="BA19" s="202">
        <f t="shared" si="2"/>
        <v>-53</v>
      </c>
      <c r="BB19" s="202">
        <f t="shared" si="2"/>
        <v>-56</v>
      </c>
      <c r="BC19" s="202">
        <f t="shared" si="2"/>
        <v>-52</v>
      </c>
      <c r="BD19" s="202">
        <f t="shared" si="2"/>
        <v>-54</v>
      </c>
      <c r="BE19" s="202">
        <f t="shared" si="2"/>
        <v>-50</v>
      </c>
      <c r="BF19" s="202">
        <f t="shared" si="2"/>
        <v>-49</v>
      </c>
      <c r="BG19" s="203">
        <f t="shared" si="2"/>
        <v>-53</v>
      </c>
    </row>
    <row r="20" spans="1:59" ht="14.45" x14ac:dyDescent="0.3">
      <c r="A20" s="195" t="s">
        <v>258</v>
      </c>
      <c r="B20" s="196">
        <v>-25</v>
      </c>
      <c r="C20" s="183">
        <v>-24</v>
      </c>
      <c r="D20" s="183">
        <v>-28</v>
      </c>
      <c r="E20" s="183">
        <v>-23</v>
      </c>
      <c r="F20" s="183">
        <v>-24</v>
      </c>
      <c r="G20" s="183">
        <v>-26</v>
      </c>
      <c r="H20" s="183">
        <v>-27</v>
      </c>
      <c r="I20" s="183">
        <v>-23</v>
      </c>
      <c r="J20" s="183">
        <v>-25</v>
      </c>
      <c r="K20" s="184">
        <v>-27</v>
      </c>
      <c r="L20" s="217"/>
      <c r="M20" s="195" t="s">
        <v>258</v>
      </c>
      <c r="N20" s="196">
        <v>-32</v>
      </c>
      <c r="O20" s="183">
        <v>-31</v>
      </c>
      <c r="P20" s="183">
        <v>-35</v>
      </c>
      <c r="Q20" s="183">
        <v>-29</v>
      </c>
      <c r="R20" s="183">
        <v>-29</v>
      </c>
      <c r="S20" s="183">
        <v>-31</v>
      </c>
      <c r="T20" s="183">
        <v>-32</v>
      </c>
      <c r="U20" s="183">
        <v>-28</v>
      </c>
      <c r="V20" s="183">
        <v>-30</v>
      </c>
      <c r="W20" s="184">
        <v>-32</v>
      </c>
      <c r="X20" s="217"/>
      <c r="Y20" s="195" t="s">
        <v>258</v>
      </c>
      <c r="Z20" s="221">
        <v>-45</v>
      </c>
      <c r="AA20" s="222">
        <v>-44</v>
      </c>
      <c r="AB20" s="222">
        <v>-47</v>
      </c>
      <c r="AC20" s="222">
        <v>-42</v>
      </c>
      <c r="AD20" s="222">
        <v>-42</v>
      </c>
      <c r="AE20" s="222">
        <v>-44</v>
      </c>
      <c r="AF20" s="222">
        <v>-44</v>
      </c>
      <c r="AG20" s="222">
        <v>-39</v>
      </c>
      <c r="AH20" s="222">
        <v>-41</v>
      </c>
      <c r="AI20" s="223">
        <v>-43</v>
      </c>
      <c r="AJ20" s="217"/>
      <c r="AK20" s="197" t="s">
        <v>258</v>
      </c>
      <c r="AL20" s="198">
        <v>-50</v>
      </c>
      <c r="AM20" s="199">
        <v>-49</v>
      </c>
      <c r="AN20" s="199">
        <v>-52</v>
      </c>
      <c r="AO20" s="199">
        <v>-46</v>
      </c>
      <c r="AP20" s="199">
        <v>-46</v>
      </c>
      <c r="AQ20" s="199">
        <v>-46</v>
      </c>
      <c r="AR20" s="199">
        <v>-46</v>
      </c>
      <c r="AS20" s="199">
        <v>-41</v>
      </c>
      <c r="AT20" s="199">
        <v>-43</v>
      </c>
      <c r="AU20" s="200">
        <v>-45</v>
      </c>
      <c r="AW20" s="197" t="s">
        <v>258</v>
      </c>
      <c r="AX20" s="201">
        <f t="shared" si="3"/>
        <v>-55</v>
      </c>
      <c r="AY20" s="202">
        <f t="shared" si="2"/>
        <v>-54</v>
      </c>
      <c r="AZ20" s="202">
        <f t="shared" si="2"/>
        <v>-57</v>
      </c>
      <c r="BA20" s="202">
        <f t="shared" si="2"/>
        <v>-51</v>
      </c>
      <c r="BB20" s="202">
        <f t="shared" si="2"/>
        <v>-51</v>
      </c>
      <c r="BC20" s="202">
        <f t="shared" si="2"/>
        <v>-51</v>
      </c>
      <c r="BD20" s="202">
        <f t="shared" si="2"/>
        <v>-51</v>
      </c>
      <c r="BE20" s="202">
        <f t="shared" si="2"/>
        <v>-46</v>
      </c>
      <c r="BF20" s="202">
        <f t="shared" si="2"/>
        <v>-48</v>
      </c>
      <c r="BG20" s="203">
        <f t="shared" si="2"/>
        <v>-50</v>
      </c>
    </row>
    <row r="21" spans="1:59" thickBot="1" x14ac:dyDescent="0.35">
      <c r="A21" s="204" t="s">
        <v>265</v>
      </c>
      <c r="B21" s="207">
        <v>-31</v>
      </c>
      <c r="C21" s="205">
        <v>-27</v>
      </c>
      <c r="D21" s="205">
        <v>-27</v>
      </c>
      <c r="E21" s="205">
        <v>-25</v>
      </c>
      <c r="F21" s="205">
        <v>-25</v>
      </c>
      <c r="G21" s="205">
        <v>-26</v>
      </c>
      <c r="H21" s="205">
        <v>-24</v>
      </c>
      <c r="I21" s="205">
        <v>-23</v>
      </c>
      <c r="J21" s="205">
        <v>-24</v>
      </c>
      <c r="K21" s="206">
        <v>-29</v>
      </c>
      <c r="L21" s="217"/>
      <c r="M21" s="204" t="s">
        <v>265</v>
      </c>
      <c r="N21" s="207">
        <v>-38</v>
      </c>
      <c r="O21" s="205">
        <v>-34</v>
      </c>
      <c r="P21" s="205">
        <v>-34</v>
      </c>
      <c r="Q21" s="205">
        <v>-31</v>
      </c>
      <c r="R21" s="205">
        <v>-30</v>
      </c>
      <c r="S21" s="205">
        <v>-31</v>
      </c>
      <c r="T21" s="205">
        <v>-29</v>
      </c>
      <c r="U21" s="205">
        <v>-28</v>
      </c>
      <c r="V21" s="205">
        <v>-29</v>
      </c>
      <c r="W21" s="206">
        <v>-34</v>
      </c>
      <c r="X21" s="217"/>
      <c r="Y21" s="204" t="s">
        <v>265</v>
      </c>
      <c r="Z21" s="224">
        <v>-51</v>
      </c>
      <c r="AA21" s="225">
        <v>-47</v>
      </c>
      <c r="AB21" s="225">
        <v>-46</v>
      </c>
      <c r="AC21" s="225">
        <v>-44</v>
      </c>
      <c r="AD21" s="225">
        <v>-43</v>
      </c>
      <c r="AE21" s="225">
        <v>-44</v>
      </c>
      <c r="AF21" s="225">
        <v>-41</v>
      </c>
      <c r="AG21" s="225">
        <v>-39</v>
      </c>
      <c r="AH21" s="225">
        <v>-40</v>
      </c>
      <c r="AI21" s="226">
        <v>-45</v>
      </c>
      <c r="AJ21" s="217"/>
      <c r="AK21" s="208" t="s">
        <v>265</v>
      </c>
      <c r="AL21" s="209">
        <v>-56</v>
      </c>
      <c r="AM21" s="210">
        <v>-52</v>
      </c>
      <c r="AN21" s="210">
        <v>-51</v>
      </c>
      <c r="AO21" s="210">
        <v>-48</v>
      </c>
      <c r="AP21" s="210">
        <v>-47</v>
      </c>
      <c r="AQ21" s="210">
        <v>-46</v>
      </c>
      <c r="AR21" s="210">
        <v>-43</v>
      </c>
      <c r="AS21" s="210">
        <v>-41</v>
      </c>
      <c r="AT21" s="210">
        <v>-42</v>
      </c>
      <c r="AU21" s="211">
        <v>-47</v>
      </c>
      <c r="AW21" s="208" t="s">
        <v>265</v>
      </c>
      <c r="AX21" s="212">
        <f t="shared" si="3"/>
        <v>-61</v>
      </c>
      <c r="AY21" s="213">
        <f t="shared" si="2"/>
        <v>-57</v>
      </c>
      <c r="AZ21" s="213">
        <f t="shared" si="2"/>
        <v>-56</v>
      </c>
      <c r="BA21" s="213">
        <f t="shared" si="2"/>
        <v>-53</v>
      </c>
      <c r="BB21" s="213">
        <f t="shared" si="2"/>
        <v>-52</v>
      </c>
      <c r="BC21" s="213">
        <f t="shared" si="2"/>
        <v>-51</v>
      </c>
      <c r="BD21" s="213">
        <f t="shared" si="2"/>
        <v>-48</v>
      </c>
      <c r="BE21" s="213">
        <f t="shared" si="2"/>
        <v>-46</v>
      </c>
      <c r="BF21" s="213">
        <f t="shared" si="2"/>
        <v>-47</v>
      </c>
      <c r="BG21" s="214">
        <f t="shared" si="2"/>
        <v>-52</v>
      </c>
    </row>
    <row r="22" spans="1:59" ht="14.45" x14ac:dyDescent="0.3">
      <c r="A22" s="215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5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5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5"/>
      <c r="AL22" s="216"/>
      <c r="AM22" s="215"/>
      <c r="AN22" s="217"/>
      <c r="AO22" s="217"/>
      <c r="AP22" s="217"/>
      <c r="AQ22" s="217"/>
      <c r="AR22" s="217"/>
      <c r="AS22" s="217"/>
      <c r="AT22" s="217"/>
      <c r="AU22" s="217"/>
      <c r="AW22" s="215"/>
      <c r="AX22" s="216"/>
      <c r="AY22" s="215"/>
      <c r="AZ22" s="217"/>
      <c r="BA22" s="217"/>
      <c r="BB22" s="217"/>
      <c r="BC22" s="217"/>
      <c r="BD22" s="217"/>
      <c r="BE22" s="217"/>
      <c r="BF22" s="217"/>
      <c r="BG22" s="217"/>
    </row>
    <row r="23" spans="1:59" thickBot="1" x14ac:dyDescent="0.35">
      <c r="A23" s="215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5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5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5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W23" s="215"/>
      <c r="AX23" s="217"/>
      <c r="AY23" s="217"/>
      <c r="AZ23" s="217"/>
      <c r="BA23" s="217"/>
      <c r="BB23" s="217"/>
      <c r="BC23" s="217"/>
      <c r="BD23" s="217"/>
      <c r="BE23" s="217"/>
      <c r="BF23" s="217"/>
      <c r="BG23" s="217"/>
    </row>
    <row r="24" spans="1:59" thickBot="1" x14ac:dyDescent="0.35">
      <c r="A24" s="174"/>
      <c r="B24" s="473" t="s">
        <v>783</v>
      </c>
      <c r="C24" s="474"/>
      <c r="D24" s="474"/>
      <c r="E24" s="474"/>
      <c r="F24" s="474"/>
      <c r="G24" s="474"/>
      <c r="H24" s="474"/>
      <c r="I24" s="474"/>
      <c r="J24" s="474"/>
      <c r="K24" s="475"/>
      <c r="L24" s="217"/>
      <c r="M24" s="174"/>
      <c r="N24" s="473" t="s">
        <v>784</v>
      </c>
      <c r="O24" s="474"/>
      <c r="P24" s="474"/>
      <c r="Q24" s="474"/>
      <c r="R24" s="474"/>
      <c r="S24" s="474"/>
      <c r="T24" s="474"/>
      <c r="U24" s="474"/>
      <c r="V24" s="474"/>
      <c r="W24" s="475"/>
      <c r="X24" s="217"/>
      <c r="Y24" s="174"/>
      <c r="Z24" s="473" t="s">
        <v>785</v>
      </c>
      <c r="AA24" s="474"/>
      <c r="AB24" s="474"/>
      <c r="AC24" s="474"/>
      <c r="AD24" s="474"/>
      <c r="AE24" s="474"/>
      <c r="AF24" s="474"/>
      <c r="AG24" s="474"/>
      <c r="AH24" s="474"/>
      <c r="AI24" s="475"/>
      <c r="AJ24" s="215"/>
      <c r="AK24" s="174"/>
      <c r="AL24" s="473" t="s">
        <v>786</v>
      </c>
      <c r="AM24" s="474"/>
      <c r="AN24" s="474"/>
      <c r="AO24" s="474"/>
      <c r="AP24" s="474"/>
      <c r="AQ24" s="474"/>
      <c r="AR24" s="474"/>
      <c r="AS24" s="474"/>
      <c r="AT24" s="474"/>
      <c r="AU24" s="475"/>
      <c r="AW24" s="174"/>
      <c r="AX24" s="898" t="s">
        <v>787</v>
      </c>
      <c r="AY24" s="899"/>
      <c r="AZ24" s="899"/>
      <c r="BA24" s="899"/>
      <c r="BB24" s="899"/>
      <c r="BC24" s="899"/>
      <c r="BD24" s="899"/>
      <c r="BE24" s="899"/>
      <c r="BF24" s="899"/>
      <c r="BG24" s="900"/>
    </row>
    <row r="25" spans="1:59" thickBot="1" x14ac:dyDescent="0.35">
      <c r="A25" s="175"/>
      <c r="B25" s="176" t="s">
        <v>186</v>
      </c>
      <c r="C25" s="177" t="s">
        <v>213</v>
      </c>
      <c r="D25" s="177" t="s">
        <v>232</v>
      </c>
      <c r="E25" s="177" t="s">
        <v>215</v>
      </c>
      <c r="F25" s="177" t="s">
        <v>249</v>
      </c>
      <c r="G25" s="177" t="s">
        <v>257</v>
      </c>
      <c r="H25" s="177" t="s">
        <v>264</v>
      </c>
      <c r="I25" s="177" t="s">
        <v>272</v>
      </c>
      <c r="J25" s="177" t="s">
        <v>278</v>
      </c>
      <c r="K25" s="178" t="s">
        <v>284</v>
      </c>
      <c r="L25" s="217"/>
      <c r="M25" s="175"/>
      <c r="N25" s="176" t="s">
        <v>186</v>
      </c>
      <c r="O25" s="177" t="s">
        <v>213</v>
      </c>
      <c r="P25" s="177" t="s">
        <v>232</v>
      </c>
      <c r="Q25" s="177" t="s">
        <v>215</v>
      </c>
      <c r="R25" s="177" t="s">
        <v>249</v>
      </c>
      <c r="S25" s="177" t="s">
        <v>257</v>
      </c>
      <c r="T25" s="177" t="s">
        <v>264</v>
      </c>
      <c r="U25" s="177" t="s">
        <v>272</v>
      </c>
      <c r="V25" s="177" t="s">
        <v>278</v>
      </c>
      <c r="W25" s="178" t="s">
        <v>284</v>
      </c>
      <c r="X25" s="217"/>
      <c r="Y25" s="175"/>
      <c r="Z25" s="179" t="s">
        <v>186</v>
      </c>
      <c r="AA25" s="180" t="s">
        <v>213</v>
      </c>
      <c r="AB25" s="180" t="s">
        <v>232</v>
      </c>
      <c r="AC25" s="180" t="s">
        <v>215</v>
      </c>
      <c r="AD25" s="180" t="s">
        <v>249</v>
      </c>
      <c r="AE25" s="180" t="s">
        <v>257</v>
      </c>
      <c r="AF25" s="180" t="s">
        <v>264</v>
      </c>
      <c r="AG25" s="180" t="s">
        <v>272</v>
      </c>
      <c r="AH25" s="180" t="s">
        <v>278</v>
      </c>
      <c r="AI25" s="181" t="s">
        <v>284</v>
      </c>
      <c r="AJ25" s="215"/>
      <c r="AK25" s="175"/>
      <c r="AL25" s="179" t="s">
        <v>186</v>
      </c>
      <c r="AM25" s="180" t="s">
        <v>213</v>
      </c>
      <c r="AN25" s="180" t="s">
        <v>232</v>
      </c>
      <c r="AO25" s="180" t="s">
        <v>215</v>
      </c>
      <c r="AP25" s="180" t="s">
        <v>249</v>
      </c>
      <c r="AQ25" s="180" t="s">
        <v>257</v>
      </c>
      <c r="AR25" s="180" t="s">
        <v>264</v>
      </c>
      <c r="AS25" s="180" t="s">
        <v>272</v>
      </c>
      <c r="AT25" s="180" t="s">
        <v>278</v>
      </c>
      <c r="AU25" s="181" t="s">
        <v>284</v>
      </c>
      <c r="AW25" s="175"/>
      <c r="AX25" s="179" t="s">
        <v>186</v>
      </c>
      <c r="AY25" s="180" t="s">
        <v>213</v>
      </c>
      <c r="AZ25" s="180" t="s">
        <v>232</v>
      </c>
      <c r="BA25" s="180" t="s">
        <v>215</v>
      </c>
      <c r="BB25" s="180" t="s">
        <v>249</v>
      </c>
      <c r="BC25" s="180" t="s">
        <v>257</v>
      </c>
      <c r="BD25" s="180" t="s">
        <v>264</v>
      </c>
      <c r="BE25" s="180" t="s">
        <v>272</v>
      </c>
      <c r="BF25" s="180" t="s">
        <v>278</v>
      </c>
      <c r="BG25" s="181" t="s">
        <v>284</v>
      </c>
    </row>
    <row r="26" spans="1:59" ht="14.45" x14ac:dyDescent="0.3">
      <c r="A26" s="182" t="s">
        <v>187</v>
      </c>
      <c r="B26" s="185">
        <v>-36</v>
      </c>
      <c r="C26" s="186">
        <v>-36</v>
      </c>
      <c r="D26" s="186">
        <v>-34</v>
      </c>
      <c r="E26" s="186">
        <v>-43</v>
      </c>
      <c r="F26" s="186">
        <v>-41</v>
      </c>
      <c r="G26" s="186">
        <v>-34</v>
      </c>
      <c r="H26" s="186">
        <v>-32</v>
      </c>
      <c r="I26" s="186">
        <v>-33</v>
      </c>
      <c r="J26" s="186">
        <v>-34</v>
      </c>
      <c r="K26" s="187">
        <v>-35</v>
      </c>
      <c r="L26" s="217"/>
      <c r="M26" s="182" t="s">
        <v>187</v>
      </c>
      <c r="N26" s="185">
        <v>-45</v>
      </c>
      <c r="O26" s="186">
        <v>-45</v>
      </c>
      <c r="P26" s="186">
        <v>-42</v>
      </c>
      <c r="Q26" s="186">
        <v>-50</v>
      </c>
      <c r="R26" s="186">
        <v>-48</v>
      </c>
      <c r="S26" s="186">
        <v>-40</v>
      </c>
      <c r="T26" s="186">
        <v>-37</v>
      </c>
      <c r="U26" s="186">
        <v>-38</v>
      </c>
      <c r="V26" s="186">
        <v>-39</v>
      </c>
      <c r="W26" s="187">
        <v>-40</v>
      </c>
      <c r="X26" s="217"/>
      <c r="Y26" s="188" t="s">
        <v>187</v>
      </c>
      <c r="Z26" s="227">
        <v>-56</v>
      </c>
      <c r="AA26" s="228">
        <v>-56</v>
      </c>
      <c r="AB26" s="228">
        <v>-53</v>
      </c>
      <c r="AC26" s="228">
        <v>-62</v>
      </c>
      <c r="AD26" s="228">
        <v>-59</v>
      </c>
      <c r="AE26" s="228">
        <v>-52</v>
      </c>
      <c r="AF26" s="228">
        <v>-49</v>
      </c>
      <c r="AG26" s="228">
        <v>-49</v>
      </c>
      <c r="AH26" s="228">
        <v>-50</v>
      </c>
      <c r="AI26" s="229">
        <v>-51</v>
      </c>
      <c r="AJ26" s="217"/>
      <c r="AK26" s="188" t="s">
        <v>187</v>
      </c>
      <c r="AL26" s="189">
        <v>-61</v>
      </c>
      <c r="AM26" s="190">
        <v>-61</v>
      </c>
      <c r="AN26" s="190">
        <v>-59</v>
      </c>
      <c r="AO26" s="190">
        <v>-67</v>
      </c>
      <c r="AP26" s="190">
        <v>-64</v>
      </c>
      <c r="AQ26" s="190">
        <v>-56</v>
      </c>
      <c r="AR26" s="190">
        <v>-53</v>
      </c>
      <c r="AS26" s="190">
        <v>-53</v>
      </c>
      <c r="AT26" s="190">
        <v>-54</v>
      </c>
      <c r="AU26" s="191">
        <v>-55</v>
      </c>
      <c r="AW26" s="188" t="s">
        <v>187</v>
      </c>
      <c r="AX26" s="192">
        <f>AL26-5</f>
        <v>-66</v>
      </c>
      <c r="AY26" s="193">
        <f t="shared" ref="AY26:BG32" si="4">AM26-5</f>
        <v>-66</v>
      </c>
      <c r="AZ26" s="193">
        <f t="shared" si="4"/>
        <v>-64</v>
      </c>
      <c r="BA26" s="193">
        <f t="shared" si="4"/>
        <v>-72</v>
      </c>
      <c r="BB26" s="193">
        <f t="shared" si="4"/>
        <v>-69</v>
      </c>
      <c r="BC26" s="193">
        <f t="shared" si="4"/>
        <v>-61</v>
      </c>
      <c r="BD26" s="193">
        <f t="shared" si="4"/>
        <v>-58</v>
      </c>
      <c r="BE26" s="193">
        <f t="shared" si="4"/>
        <v>-58</v>
      </c>
      <c r="BF26" s="193">
        <f t="shared" si="4"/>
        <v>-59</v>
      </c>
      <c r="BG26" s="194">
        <f t="shared" si="4"/>
        <v>-60</v>
      </c>
    </row>
    <row r="27" spans="1:59" x14ac:dyDescent="0.25">
      <c r="A27" s="195" t="s">
        <v>214</v>
      </c>
      <c r="B27" s="196">
        <v>-40</v>
      </c>
      <c r="C27" s="183">
        <v>-35</v>
      </c>
      <c r="D27" s="183">
        <v>-36</v>
      </c>
      <c r="E27" s="183">
        <v>-39</v>
      </c>
      <c r="F27" s="183">
        <v>-39</v>
      </c>
      <c r="G27" s="183">
        <v>-35</v>
      </c>
      <c r="H27" s="183">
        <v>-31</v>
      </c>
      <c r="I27" s="183">
        <v>-33</v>
      </c>
      <c r="J27" s="183">
        <v>-36</v>
      </c>
      <c r="K27" s="184">
        <v>-38</v>
      </c>
      <c r="L27" s="217"/>
      <c r="M27" s="195" t="s">
        <v>214</v>
      </c>
      <c r="N27" s="196">
        <v>-49</v>
      </c>
      <c r="O27" s="183">
        <v>-44</v>
      </c>
      <c r="P27" s="183">
        <v>-44</v>
      </c>
      <c r="Q27" s="183">
        <v>-46</v>
      </c>
      <c r="R27" s="183">
        <v>-46</v>
      </c>
      <c r="S27" s="183">
        <v>-41</v>
      </c>
      <c r="T27" s="183">
        <v>-36</v>
      </c>
      <c r="U27" s="183">
        <v>-38</v>
      </c>
      <c r="V27" s="183">
        <v>-41</v>
      </c>
      <c r="W27" s="184">
        <v>-43</v>
      </c>
      <c r="X27" s="217"/>
      <c r="Y27" s="197" t="s">
        <v>214</v>
      </c>
      <c r="Z27" s="230">
        <v>-60</v>
      </c>
      <c r="AA27" s="231">
        <v>-55</v>
      </c>
      <c r="AB27" s="231">
        <v>-55</v>
      </c>
      <c r="AC27" s="231">
        <v>-58</v>
      </c>
      <c r="AD27" s="231">
        <v>-57</v>
      </c>
      <c r="AE27" s="231">
        <v>-53</v>
      </c>
      <c r="AF27" s="231">
        <v>-48</v>
      </c>
      <c r="AG27" s="231">
        <v>-49</v>
      </c>
      <c r="AH27" s="231">
        <v>-52</v>
      </c>
      <c r="AI27" s="232">
        <v>-54</v>
      </c>
      <c r="AJ27" s="217"/>
      <c r="AK27" s="197" t="s">
        <v>214</v>
      </c>
      <c r="AL27" s="198">
        <v>-65</v>
      </c>
      <c r="AM27" s="199">
        <v>-60</v>
      </c>
      <c r="AN27" s="199">
        <v>-61</v>
      </c>
      <c r="AO27" s="199">
        <v>-63</v>
      </c>
      <c r="AP27" s="199">
        <v>-62</v>
      </c>
      <c r="AQ27" s="199">
        <v>-57</v>
      </c>
      <c r="AR27" s="199">
        <v>-52</v>
      </c>
      <c r="AS27" s="199">
        <v>-53</v>
      </c>
      <c r="AT27" s="199">
        <v>-56</v>
      </c>
      <c r="AU27" s="200">
        <v>-58</v>
      </c>
      <c r="AW27" s="197" t="s">
        <v>214</v>
      </c>
      <c r="AX27" s="201">
        <f t="shared" ref="AX27:AX32" si="5">AL27-5</f>
        <v>-70</v>
      </c>
      <c r="AY27" s="202">
        <f t="shared" si="4"/>
        <v>-65</v>
      </c>
      <c r="AZ27" s="202">
        <f t="shared" si="4"/>
        <v>-66</v>
      </c>
      <c r="BA27" s="202">
        <f t="shared" si="4"/>
        <v>-68</v>
      </c>
      <c r="BB27" s="202">
        <f t="shared" si="4"/>
        <v>-67</v>
      </c>
      <c r="BC27" s="202">
        <f t="shared" si="4"/>
        <v>-62</v>
      </c>
      <c r="BD27" s="202">
        <f t="shared" si="4"/>
        <v>-57</v>
      </c>
      <c r="BE27" s="202">
        <f t="shared" si="4"/>
        <v>-58</v>
      </c>
      <c r="BF27" s="202">
        <f t="shared" si="4"/>
        <v>-61</v>
      </c>
      <c r="BG27" s="203">
        <f t="shared" si="4"/>
        <v>-63</v>
      </c>
    </row>
    <row r="28" spans="1:59" x14ac:dyDescent="0.25">
      <c r="A28" s="195" t="s">
        <v>233</v>
      </c>
      <c r="B28" s="196">
        <v>-40</v>
      </c>
      <c r="C28" s="183">
        <v>-39</v>
      </c>
      <c r="D28" s="183">
        <v>-37</v>
      </c>
      <c r="E28" s="183">
        <v>-39</v>
      </c>
      <c r="F28" s="183">
        <v>-38</v>
      </c>
      <c r="G28" s="183">
        <v>-35</v>
      </c>
      <c r="H28" s="183">
        <v>-34</v>
      </c>
      <c r="I28" s="183">
        <v>-32</v>
      </c>
      <c r="J28" s="183">
        <v>-36</v>
      </c>
      <c r="K28" s="184">
        <v>-37</v>
      </c>
      <c r="L28" s="217"/>
      <c r="M28" s="195" t="s">
        <v>233</v>
      </c>
      <c r="N28" s="196">
        <v>-49</v>
      </c>
      <c r="O28" s="183">
        <v>-48</v>
      </c>
      <c r="P28" s="183">
        <v>-45</v>
      </c>
      <c r="Q28" s="183">
        <v>-46</v>
      </c>
      <c r="R28" s="183">
        <v>-45</v>
      </c>
      <c r="S28" s="183">
        <v>-41</v>
      </c>
      <c r="T28" s="183">
        <v>-39</v>
      </c>
      <c r="U28" s="183">
        <v>-37</v>
      </c>
      <c r="V28" s="183">
        <v>-41</v>
      </c>
      <c r="W28" s="184">
        <v>-42</v>
      </c>
      <c r="X28" s="217"/>
      <c r="Y28" s="197" t="s">
        <v>233</v>
      </c>
      <c r="Z28" s="230">
        <v>-60</v>
      </c>
      <c r="AA28" s="231">
        <v>-59</v>
      </c>
      <c r="AB28" s="231">
        <v>-56</v>
      </c>
      <c r="AC28" s="231">
        <v>-58</v>
      </c>
      <c r="AD28" s="231">
        <v>-56</v>
      </c>
      <c r="AE28" s="231">
        <v>-53</v>
      </c>
      <c r="AF28" s="231">
        <v>-51</v>
      </c>
      <c r="AG28" s="231">
        <v>-48</v>
      </c>
      <c r="AH28" s="231">
        <v>-52</v>
      </c>
      <c r="AI28" s="232">
        <v>-53</v>
      </c>
      <c r="AJ28" s="217"/>
      <c r="AK28" s="197" t="s">
        <v>233</v>
      </c>
      <c r="AL28" s="198">
        <v>-65</v>
      </c>
      <c r="AM28" s="199">
        <v>-64</v>
      </c>
      <c r="AN28" s="199">
        <v>-62</v>
      </c>
      <c r="AO28" s="199">
        <v>-63</v>
      </c>
      <c r="AP28" s="199">
        <v>-61</v>
      </c>
      <c r="AQ28" s="199">
        <v>-57</v>
      </c>
      <c r="AR28" s="199">
        <v>-55</v>
      </c>
      <c r="AS28" s="199">
        <v>-52</v>
      </c>
      <c r="AT28" s="199">
        <v>-56</v>
      </c>
      <c r="AU28" s="200">
        <v>-57</v>
      </c>
      <c r="AW28" s="197" t="s">
        <v>233</v>
      </c>
      <c r="AX28" s="201">
        <f t="shared" si="5"/>
        <v>-70</v>
      </c>
      <c r="AY28" s="202">
        <f t="shared" si="4"/>
        <v>-69</v>
      </c>
      <c r="AZ28" s="202">
        <f t="shared" si="4"/>
        <v>-67</v>
      </c>
      <c r="BA28" s="202">
        <f t="shared" si="4"/>
        <v>-68</v>
      </c>
      <c r="BB28" s="202">
        <f t="shared" si="4"/>
        <v>-66</v>
      </c>
      <c r="BC28" s="202">
        <f t="shared" si="4"/>
        <v>-62</v>
      </c>
      <c r="BD28" s="202">
        <f t="shared" si="4"/>
        <v>-60</v>
      </c>
      <c r="BE28" s="202">
        <f t="shared" si="4"/>
        <v>-57</v>
      </c>
      <c r="BF28" s="202">
        <f t="shared" si="4"/>
        <v>-61</v>
      </c>
      <c r="BG28" s="203">
        <f t="shared" si="4"/>
        <v>-62</v>
      </c>
    </row>
    <row r="29" spans="1:59" x14ac:dyDescent="0.25">
      <c r="A29" s="195" t="s">
        <v>242</v>
      </c>
      <c r="B29" s="196">
        <v>-40</v>
      </c>
      <c r="C29" s="183">
        <v>-37</v>
      </c>
      <c r="D29" s="183">
        <v>-33</v>
      </c>
      <c r="E29" s="183">
        <v>-34</v>
      </c>
      <c r="F29" s="183">
        <v>-34</v>
      </c>
      <c r="G29" s="183">
        <v>-33</v>
      </c>
      <c r="H29" s="183">
        <v>-31</v>
      </c>
      <c r="I29" s="183">
        <v>-31</v>
      </c>
      <c r="J29" s="183">
        <v>-32</v>
      </c>
      <c r="K29" s="184">
        <v>-33</v>
      </c>
      <c r="L29" s="217"/>
      <c r="M29" s="195" t="s">
        <v>242</v>
      </c>
      <c r="N29" s="196">
        <v>-48</v>
      </c>
      <c r="O29" s="183">
        <v>-44</v>
      </c>
      <c r="P29" s="183">
        <v>-40</v>
      </c>
      <c r="Q29" s="183">
        <v>-40</v>
      </c>
      <c r="R29" s="183">
        <v>-40</v>
      </c>
      <c r="S29" s="183">
        <v>-38</v>
      </c>
      <c r="T29" s="183">
        <v>-36</v>
      </c>
      <c r="U29" s="183">
        <v>-36</v>
      </c>
      <c r="V29" s="183">
        <v>-37</v>
      </c>
      <c r="W29" s="184">
        <v>-38</v>
      </c>
      <c r="X29" s="217"/>
      <c r="Y29" s="197" t="s">
        <v>242</v>
      </c>
      <c r="Z29" s="230">
        <v>-60</v>
      </c>
      <c r="AA29" s="231">
        <v>-57</v>
      </c>
      <c r="AB29" s="231">
        <v>-52</v>
      </c>
      <c r="AC29" s="231">
        <v>-53</v>
      </c>
      <c r="AD29" s="231">
        <v>-52</v>
      </c>
      <c r="AE29" s="231">
        <v>-51</v>
      </c>
      <c r="AF29" s="231">
        <v>-48</v>
      </c>
      <c r="AG29" s="231">
        <v>-47</v>
      </c>
      <c r="AH29" s="231">
        <v>-48</v>
      </c>
      <c r="AI29" s="232">
        <v>-49</v>
      </c>
      <c r="AJ29" s="217"/>
      <c r="AK29" s="197" t="s">
        <v>242</v>
      </c>
      <c r="AL29" s="198">
        <v>-65</v>
      </c>
      <c r="AM29" s="199">
        <v>-62</v>
      </c>
      <c r="AN29" s="199">
        <v>-57</v>
      </c>
      <c r="AO29" s="199">
        <v>-57</v>
      </c>
      <c r="AP29" s="199">
        <v>-56</v>
      </c>
      <c r="AQ29" s="199">
        <v>-54</v>
      </c>
      <c r="AR29" s="199">
        <v>-51</v>
      </c>
      <c r="AS29" s="199">
        <v>-50</v>
      </c>
      <c r="AT29" s="199">
        <v>-51</v>
      </c>
      <c r="AU29" s="200">
        <v>-52</v>
      </c>
      <c r="AW29" s="197" t="s">
        <v>242</v>
      </c>
      <c r="AX29" s="201">
        <f t="shared" si="5"/>
        <v>-70</v>
      </c>
      <c r="AY29" s="202">
        <f t="shared" si="4"/>
        <v>-67</v>
      </c>
      <c r="AZ29" s="202">
        <f t="shared" si="4"/>
        <v>-62</v>
      </c>
      <c r="BA29" s="202">
        <f t="shared" si="4"/>
        <v>-62</v>
      </c>
      <c r="BB29" s="202">
        <f t="shared" si="4"/>
        <v>-61</v>
      </c>
      <c r="BC29" s="202">
        <f t="shared" si="4"/>
        <v>-59</v>
      </c>
      <c r="BD29" s="202">
        <f t="shared" si="4"/>
        <v>-56</v>
      </c>
      <c r="BE29" s="202">
        <f t="shared" si="4"/>
        <v>-55</v>
      </c>
      <c r="BF29" s="202">
        <f t="shared" si="4"/>
        <v>-56</v>
      </c>
      <c r="BG29" s="203">
        <f t="shared" si="4"/>
        <v>-57</v>
      </c>
    </row>
    <row r="30" spans="1:59" x14ac:dyDescent="0.25">
      <c r="A30" s="195" t="s">
        <v>250</v>
      </c>
      <c r="B30" s="196">
        <v>-32</v>
      </c>
      <c r="C30" s="183">
        <v>-31</v>
      </c>
      <c r="D30" s="183">
        <v>-36</v>
      </c>
      <c r="E30" s="183">
        <v>-34</v>
      </c>
      <c r="F30" s="183">
        <v>-38</v>
      </c>
      <c r="G30" s="183">
        <v>-35</v>
      </c>
      <c r="H30" s="183">
        <v>-37</v>
      </c>
      <c r="I30" s="183">
        <v>-32</v>
      </c>
      <c r="J30" s="183">
        <v>-31</v>
      </c>
      <c r="K30" s="184">
        <v>-35</v>
      </c>
      <c r="L30" s="217"/>
      <c r="M30" s="195" t="s">
        <v>250</v>
      </c>
      <c r="N30" s="196">
        <v>-40</v>
      </c>
      <c r="O30" s="183">
        <v>-38</v>
      </c>
      <c r="P30" s="183">
        <v>-43</v>
      </c>
      <c r="Q30" s="183">
        <v>-40</v>
      </c>
      <c r="R30" s="183">
        <v>-44</v>
      </c>
      <c r="S30" s="183">
        <v>-40</v>
      </c>
      <c r="T30" s="183">
        <v>-42</v>
      </c>
      <c r="U30" s="183">
        <v>-37</v>
      </c>
      <c r="V30" s="183">
        <v>-36</v>
      </c>
      <c r="W30" s="184">
        <v>-40</v>
      </c>
      <c r="X30" s="217"/>
      <c r="Y30" s="197" t="s">
        <v>250</v>
      </c>
      <c r="Z30" s="230">
        <v>-52</v>
      </c>
      <c r="AA30" s="231">
        <v>-51</v>
      </c>
      <c r="AB30" s="231">
        <v>-55</v>
      </c>
      <c r="AC30" s="231">
        <v>-53</v>
      </c>
      <c r="AD30" s="231">
        <v>-56</v>
      </c>
      <c r="AE30" s="231">
        <v>-53</v>
      </c>
      <c r="AF30" s="231">
        <v>-54</v>
      </c>
      <c r="AG30" s="231">
        <v>-48</v>
      </c>
      <c r="AH30" s="231">
        <v>-47</v>
      </c>
      <c r="AI30" s="232">
        <v>-51</v>
      </c>
      <c r="AJ30" s="217"/>
      <c r="AK30" s="197" t="s">
        <v>250</v>
      </c>
      <c r="AL30" s="198">
        <v>-57</v>
      </c>
      <c r="AM30" s="199">
        <v>-56</v>
      </c>
      <c r="AN30" s="199">
        <v>-60</v>
      </c>
      <c r="AO30" s="199">
        <v>-57</v>
      </c>
      <c r="AP30" s="199">
        <v>-60</v>
      </c>
      <c r="AQ30" s="199">
        <v>-56</v>
      </c>
      <c r="AR30" s="199">
        <v>-57</v>
      </c>
      <c r="AS30" s="199">
        <v>-51</v>
      </c>
      <c r="AT30" s="199">
        <v>-50</v>
      </c>
      <c r="AU30" s="200">
        <v>-54</v>
      </c>
      <c r="AW30" s="197" t="s">
        <v>250</v>
      </c>
      <c r="AX30" s="201">
        <f t="shared" si="5"/>
        <v>-62</v>
      </c>
      <c r="AY30" s="202">
        <f t="shared" si="4"/>
        <v>-61</v>
      </c>
      <c r="AZ30" s="202">
        <f t="shared" si="4"/>
        <v>-65</v>
      </c>
      <c r="BA30" s="202">
        <f t="shared" si="4"/>
        <v>-62</v>
      </c>
      <c r="BB30" s="202">
        <f t="shared" si="4"/>
        <v>-65</v>
      </c>
      <c r="BC30" s="202">
        <f t="shared" si="4"/>
        <v>-61</v>
      </c>
      <c r="BD30" s="202">
        <f t="shared" si="4"/>
        <v>-62</v>
      </c>
      <c r="BE30" s="202">
        <f t="shared" si="4"/>
        <v>-56</v>
      </c>
      <c r="BF30" s="202">
        <f t="shared" si="4"/>
        <v>-55</v>
      </c>
      <c r="BG30" s="203">
        <f t="shared" si="4"/>
        <v>-59</v>
      </c>
    </row>
    <row r="31" spans="1:59" x14ac:dyDescent="0.25">
      <c r="A31" s="195" t="s">
        <v>258</v>
      </c>
      <c r="B31" s="196">
        <v>-34</v>
      </c>
      <c r="C31" s="183">
        <v>-33</v>
      </c>
      <c r="D31" s="183">
        <v>-36</v>
      </c>
      <c r="E31" s="183">
        <v>-32</v>
      </c>
      <c r="F31" s="183">
        <v>-33</v>
      </c>
      <c r="G31" s="183">
        <v>-35</v>
      </c>
      <c r="H31" s="183">
        <v>-35</v>
      </c>
      <c r="I31" s="183">
        <v>-30</v>
      </c>
      <c r="J31" s="183">
        <v>-32</v>
      </c>
      <c r="K31" s="184">
        <v>-34</v>
      </c>
      <c r="L31" s="217"/>
      <c r="M31" s="195" t="s">
        <v>258</v>
      </c>
      <c r="N31" s="196">
        <v>-41</v>
      </c>
      <c r="O31" s="183">
        <v>-40</v>
      </c>
      <c r="P31" s="183">
        <v>-43</v>
      </c>
      <c r="Q31" s="183">
        <v>-38</v>
      </c>
      <c r="R31" s="183">
        <v>-38</v>
      </c>
      <c r="S31" s="183">
        <v>-40</v>
      </c>
      <c r="T31" s="183">
        <v>-40</v>
      </c>
      <c r="U31" s="183">
        <v>-35</v>
      </c>
      <c r="V31" s="183">
        <v>-37</v>
      </c>
      <c r="W31" s="184">
        <v>-39</v>
      </c>
      <c r="X31" s="217"/>
      <c r="Y31" s="197" t="s">
        <v>258</v>
      </c>
      <c r="Z31" s="230">
        <v>-54</v>
      </c>
      <c r="AA31" s="231">
        <v>-53</v>
      </c>
      <c r="AB31" s="231">
        <v>-55</v>
      </c>
      <c r="AC31" s="231">
        <v>-51</v>
      </c>
      <c r="AD31" s="231">
        <v>-51</v>
      </c>
      <c r="AE31" s="231">
        <v>-53</v>
      </c>
      <c r="AF31" s="231">
        <v>-52</v>
      </c>
      <c r="AG31" s="231">
        <v>-46</v>
      </c>
      <c r="AH31" s="231">
        <v>-48</v>
      </c>
      <c r="AI31" s="232">
        <v>-50</v>
      </c>
      <c r="AJ31" s="217"/>
      <c r="AK31" s="197" t="s">
        <v>258</v>
      </c>
      <c r="AL31" s="198">
        <v>-59</v>
      </c>
      <c r="AM31" s="199">
        <v>-58</v>
      </c>
      <c r="AN31" s="199">
        <v>-60</v>
      </c>
      <c r="AO31" s="199">
        <v>-55</v>
      </c>
      <c r="AP31" s="199">
        <v>-55</v>
      </c>
      <c r="AQ31" s="199">
        <v>-55</v>
      </c>
      <c r="AR31" s="199">
        <v>-54</v>
      </c>
      <c r="AS31" s="199">
        <v>-48</v>
      </c>
      <c r="AT31" s="199">
        <v>-50</v>
      </c>
      <c r="AU31" s="200">
        <v>-52</v>
      </c>
      <c r="AW31" s="197" t="s">
        <v>258</v>
      </c>
      <c r="AX31" s="201">
        <f t="shared" si="5"/>
        <v>-64</v>
      </c>
      <c r="AY31" s="202">
        <f t="shared" si="4"/>
        <v>-63</v>
      </c>
      <c r="AZ31" s="202">
        <f t="shared" si="4"/>
        <v>-65</v>
      </c>
      <c r="BA31" s="202">
        <f t="shared" si="4"/>
        <v>-60</v>
      </c>
      <c r="BB31" s="202">
        <f t="shared" si="4"/>
        <v>-60</v>
      </c>
      <c r="BC31" s="202">
        <f t="shared" si="4"/>
        <v>-60</v>
      </c>
      <c r="BD31" s="202">
        <f t="shared" si="4"/>
        <v>-59</v>
      </c>
      <c r="BE31" s="202">
        <f t="shared" si="4"/>
        <v>-53</v>
      </c>
      <c r="BF31" s="202">
        <f t="shared" si="4"/>
        <v>-55</v>
      </c>
      <c r="BG31" s="203">
        <f t="shared" si="4"/>
        <v>-57</v>
      </c>
    </row>
    <row r="32" spans="1:59" ht="15.75" thickBot="1" x14ac:dyDescent="0.3">
      <c r="A32" s="204" t="s">
        <v>265</v>
      </c>
      <c r="B32" s="207">
        <v>-40</v>
      </c>
      <c r="C32" s="205">
        <v>-36</v>
      </c>
      <c r="D32" s="205">
        <v>-35</v>
      </c>
      <c r="E32" s="205">
        <v>-34</v>
      </c>
      <c r="F32" s="205">
        <v>-34</v>
      </c>
      <c r="G32" s="205">
        <v>-35</v>
      </c>
      <c r="H32" s="205">
        <v>-32</v>
      </c>
      <c r="I32" s="205">
        <v>-30</v>
      </c>
      <c r="J32" s="205">
        <v>-31</v>
      </c>
      <c r="K32" s="206">
        <v>-36</v>
      </c>
      <c r="L32" s="217"/>
      <c r="M32" s="204" t="s">
        <v>265</v>
      </c>
      <c r="N32" s="207">
        <v>-47</v>
      </c>
      <c r="O32" s="205">
        <v>-43</v>
      </c>
      <c r="P32" s="205">
        <v>-42</v>
      </c>
      <c r="Q32" s="205">
        <v>-40</v>
      </c>
      <c r="R32" s="205">
        <v>-39</v>
      </c>
      <c r="S32" s="205">
        <v>-40</v>
      </c>
      <c r="T32" s="205">
        <v>-37</v>
      </c>
      <c r="U32" s="205">
        <v>-35</v>
      </c>
      <c r="V32" s="205">
        <v>-36</v>
      </c>
      <c r="W32" s="206">
        <v>-41</v>
      </c>
      <c r="X32" s="217"/>
      <c r="Y32" s="208" t="s">
        <v>265</v>
      </c>
      <c r="Z32" s="233">
        <v>-60</v>
      </c>
      <c r="AA32" s="234">
        <v>-56</v>
      </c>
      <c r="AB32" s="234">
        <v>-54</v>
      </c>
      <c r="AC32" s="234">
        <v>-53</v>
      </c>
      <c r="AD32" s="234">
        <v>-52</v>
      </c>
      <c r="AE32" s="234">
        <v>-53</v>
      </c>
      <c r="AF32" s="234">
        <v>-49</v>
      </c>
      <c r="AG32" s="234">
        <v>-46</v>
      </c>
      <c r="AH32" s="234">
        <v>-47</v>
      </c>
      <c r="AI32" s="235">
        <v>-52</v>
      </c>
      <c r="AJ32" s="217"/>
      <c r="AK32" s="208" t="s">
        <v>265</v>
      </c>
      <c r="AL32" s="209">
        <v>-65</v>
      </c>
      <c r="AM32" s="210">
        <v>-61</v>
      </c>
      <c r="AN32" s="210">
        <v>-59</v>
      </c>
      <c r="AO32" s="210">
        <v>-57</v>
      </c>
      <c r="AP32" s="210">
        <v>-56</v>
      </c>
      <c r="AQ32" s="210">
        <v>-55</v>
      </c>
      <c r="AR32" s="210">
        <v>-51</v>
      </c>
      <c r="AS32" s="210">
        <v>-48</v>
      </c>
      <c r="AT32" s="210">
        <v>-49</v>
      </c>
      <c r="AU32" s="211">
        <v>-54</v>
      </c>
      <c r="AW32" s="208" t="s">
        <v>265</v>
      </c>
      <c r="AX32" s="212">
        <f t="shared" si="5"/>
        <v>-70</v>
      </c>
      <c r="AY32" s="213">
        <f t="shared" si="4"/>
        <v>-66</v>
      </c>
      <c r="AZ32" s="213">
        <f t="shared" si="4"/>
        <v>-64</v>
      </c>
      <c r="BA32" s="213">
        <f t="shared" si="4"/>
        <v>-62</v>
      </c>
      <c r="BB32" s="213">
        <f t="shared" si="4"/>
        <v>-61</v>
      </c>
      <c r="BC32" s="213">
        <f t="shared" si="4"/>
        <v>-60</v>
      </c>
      <c r="BD32" s="213">
        <f t="shared" si="4"/>
        <v>-56</v>
      </c>
      <c r="BE32" s="213">
        <f t="shared" si="4"/>
        <v>-53</v>
      </c>
      <c r="BF32" s="213">
        <f t="shared" si="4"/>
        <v>-54</v>
      </c>
      <c r="BG32" s="214">
        <f t="shared" si="4"/>
        <v>-59</v>
      </c>
    </row>
    <row r="33" spans="1:59" x14ac:dyDescent="0.25">
      <c r="A33" s="215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5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348"/>
      <c r="Z33" s="346"/>
      <c r="AA33" s="346"/>
      <c r="AB33" s="346"/>
      <c r="AC33" s="346"/>
      <c r="AD33" s="346"/>
      <c r="AE33" s="346"/>
      <c r="AF33" s="346"/>
      <c r="AG33" s="346"/>
      <c r="AH33" s="346"/>
      <c r="AI33" s="346"/>
      <c r="AJ33" s="346"/>
      <c r="AK33" s="348"/>
      <c r="AL33" s="347"/>
      <c r="AM33" s="346"/>
      <c r="AN33" s="346"/>
      <c r="AO33" s="217"/>
      <c r="AP33" s="217"/>
      <c r="AQ33" s="217"/>
      <c r="AR33" s="217"/>
      <c r="AS33" s="217"/>
      <c r="AT33" s="217"/>
      <c r="AU33" s="217"/>
      <c r="AW33" s="215"/>
      <c r="AX33" s="216"/>
      <c r="AY33" s="215"/>
      <c r="AZ33" s="217"/>
      <c r="BA33" s="217"/>
      <c r="BB33" s="217"/>
      <c r="BC33" s="217"/>
      <c r="BD33" s="217"/>
      <c r="BE33" s="217"/>
      <c r="BF33" s="217"/>
      <c r="BG33" s="217"/>
    </row>
    <row r="34" spans="1:59" ht="15.75" thickBot="1" x14ac:dyDescent="0.3">
      <c r="A34" s="215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5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5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5"/>
      <c r="AL34" s="217"/>
      <c r="AM34" s="217"/>
      <c r="AN34" s="217"/>
      <c r="AO34" s="217"/>
      <c r="AP34" s="217"/>
      <c r="AQ34" s="217"/>
      <c r="AR34" s="217"/>
      <c r="AS34" s="217"/>
      <c r="AT34" s="217"/>
      <c r="AU34" s="217"/>
      <c r="AW34" s="215"/>
      <c r="AX34" s="217"/>
      <c r="AY34" s="217"/>
      <c r="AZ34" s="217"/>
      <c r="BA34" s="217"/>
      <c r="BB34" s="217"/>
      <c r="BC34" s="217"/>
      <c r="BD34" s="217"/>
      <c r="BE34" s="217"/>
      <c r="BF34" s="217"/>
      <c r="BG34" s="217"/>
    </row>
    <row r="35" spans="1:59" ht="15.75" thickBot="1" x14ac:dyDescent="0.3">
      <c r="A35" s="174"/>
      <c r="B35" s="473" t="s">
        <v>788</v>
      </c>
      <c r="C35" s="474"/>
      <c r="D35" s="474"/>
      <c r="E35" s="474"/>
      <c r="F35" s="474"/>
      <c r="G35" s="474"/>
      <c r="H35" s="474"/>
      <c r="I35" s="474"/>
      <c r="J35" s="474"/>
      <c r="K35" s="475"/>
      <c r="L35" s="217"/>
      <c r="M35" s="174"/>
      <c r="N35" s="473" t="s">
        <v>789</v>
      </c>
      <c r="O35" s="474"/>
      <c r="P35" s="474"/>
      <c r="Q35" s="474"/>
      <c r="R35" s="474"/>
      <c r="S35" s="474"/>
      <c r="T35" s="474"/>
      <c r="U35" s="474"/>
      <c r="V35" s="474"/>
      <c r="W35" s="475"/>
      <c r="X35" s="217"/>
      <c r="Y35" s="174"/>
      <c r="Z35" s="473" t="s">
        <v>790</v>
      </c>
      <c r="AA35" s="474"/>
      <c r="AB35" s="474"/>
      <c r="AC35" s="474"/>
      <c r="AD35" s="474"/>
      <c r="AE35" s="474"/>
      <c r="AF35" s="474"/>
      <c r="AG35" s="474"/>
      <c r="AH35" s="474"/>
      <c r="AI35" s="475"/>
      <c r="AJ35" s="215"/>
      <c r="AK35" s="174"/>
      <c r="AL35" s="473" t="s">
        <v>791</v>
      </c>
      <c r="AM35" s="474"/>
      <c r="AN35" s="474"/>
      <c r="AO35" s="474"/>
      <c r="AP35" s="474"/>
      <c r="AQ35" s="474"/>
      <c r="AR35" s="474"/>
      <c r="AS35" s="474"/>
      <c r="AT35" s="474"/>
      <c r="AU35" s="475"/>
      <c r="AW35" s="174"/>
      <c r="AX35" s="898" t="s">
        <v>792</v>
      </c>
      <c r="AY35" s="899"/>
      <c r="AZ35" s="899"/>
      <c r="BA35" s="899"/>
      <c r="BB35" s="899"/>
      <c r="BC35" s="899"/>
      <c r="BD35" s="899"/>
      <c r="BE35" s="899"/>
      <c r="BF35" s="899"/>
      <c r="BG35" s="900"/>
    </row>
    <row r="36" spans="1:59" ht="15.75" thickBot="1" x14ac:dyDescent="0.3">
      <c r="A36" s="175"/>
      <c r="B36" s="176" t="s">
        <v>186</v>
      </c>
      <c r="C36" s="177" t="s">
        <v>213</v>
      </c>
      <c r="D36" s="177" t="s">
        <v>232</v>
      </c>
      <c r="E36" s="177" t="s">
        <v>215</v>
      </c>
      <c r="F36" s="177" t="s">
        <v>249</v>
      </c>
      <c r="G36" s="177" t="s">
        <v>257</v>
      </c>
      <c r="H36" s="177" t="s">
        <v>264</v>
      </c>
      <c r="I36" s="177" t="s">
        <v>272</v>
      </c>
      <c r="J36" s="177" t="s">
        <v>278</v>
      </c>
      <c r="K36" s="178" t="s">
        <v>284</v>
      </c>
      <c r="L36" s="217"/>
      <c r="M36" s="175"/>
      <c r="N36" s="176" t="s">
        <v>186</v>
      </c>
      <c r="O36" s="177" t="s">
        <v>213</v>
      </c>
      <c r="P36" s="177" t="s">
        <v>232</v>
      </c>
      <c r="Q36" s="177" t="s">
        <v>215</v>
      </c>
      <c r="R36" s="177" t="s">
        <v>249</v>
      </c>
      <c r="S36" s="177" t="s">
        <v>257</v>
      </c>
      <c r="T36" s="177" t="s">
        <v>264</v>
      </c>
      <c r="U36" s="177" t="s">
        <v>272</v>
      </c>
      <c r="V36" s="177" t="s">
        <v>278</v>
      </c>
      <c r="W36" s="178" t="s">
        <v>284</v>
      </c>
      <c r="X36" s="217"/>
      <c r="Y36" s="175"/>
      <c r="Z36" s="179" t="s">
        <v>186</v>
      </c>
      <c r="AA36" s="180" t="s">
        <v>213</v>
      </c>
      <c r="AB36" s="180" t="s">
        <v>232</v>
      </c>
      <c r="AC36" s="180" t="s">
        <v>215</v>
      </c>
      <c r="AD36" s="180" t="s">
        <v>249</v>
      </c>
      <c r="AE36" s="180" t="s">
        <v>257</v>
      </c>
      <c r="AF36" s="180" t="s">
        <v>264</v>
      </c>
      <c r="AG36" s="180" t="s">
        <v>272</v>
      </c>
      <c r="AH36" s="180" t="s">
        <v>278</v>
      </c>
      <c r="AI36" s="181" t="s">
        <v>284</v>
      </c>
      <c r="AJ36" s="215"/>
      <c r="AK36" s="175"/>
      <c r="AL36" s="179" t="s">
        <v>186</v>
      </c>
      <c r="AM36" s="180" t="s">
        <v>213</v>
      </c>
      <c r="AN36" s="180" t="s">
        <v>232</v>
      </c>
      <c r="AO36" s="180" t="s">
        <v>215</v>
      </c>
      <c r="AP36" s="180" t="s">
        <v>249</v>
      </c>
      <c r="AQ36" s="180" t="s">
        <v>257</v>
      </c>
      <c r="AR36" s="180" t="s">
        <v>264</v>
      </c>
      <c r="AS36" s="180" t="s">
        <v>272</v>
      </c>
      <c r="AT36" s="180" t="s">
        <v>278</v>
      </c>
      <c r="AU36" s="181" t="s">
        <v>284</v>
      </c>
      <c r="AW36" s="175"/>
      <c r="AX36" s="179" t="s">
        <v>186</v>
      </c>
      <c r="AY36" s="180" t="s">
        <v>213</v>
      </c>
      <c r="AZ36" s="180" t="s">
        <v>232</v>
      </c>
      <c r="BA36" s="180" t="s">
        <v>215</v>
      </c>
      <c r="BB36" s="180" t="s">
        <v>249</v>
      </c>
      <c r="BC36" s="180" t="s">
        <v>257</v>
      </c>
      <c r="BD36" s="180" t="s">
        <v>264</v>
      </c>
      <c r="BE36" s="180" t="s">
        <v>272</v>
      </c>
      <c r="BF36" s="180" t="s">
        <v>278</v>
      </c>
      <c r="BG36" s="181" t="s">
        <v>284</v>
      </c>
    </row>
    <row r="37" spans="1:59" x14ac:dyDescent="0.25">
      <c r="A37" s="236" t="s">
        <v>187</v>
      </c>
      <c r="B37" s="185">
        <v>-57</v>
      </c>
      <c r="C37" s="186">
        <v>-56</v>
      </c>
      <c r="D37" s="186">
        <v>-54</v>
      </c>
      <c r="E37" s="186">
        <v>-64</v>
      </c>
      <c r="F37" s="186">
        <v>-60</v>
      </c>
      <c r="G37" s="186">
        <v>-52</v>
      </c>
      <c r="H37" s="186">
        <v>-50</v>
      </c>
      <c r="I37" s="186">
        <v>-51</v>
      </c>
      <c r="J37" s="186">
        <v>-52</v>
      </c>
      <c r="K37" s="187">
        <v>-53</v>
      </c>
      <c r="L37" s="217"/>
      <c r="M37" s="236" t="s">
        <v>187</v>
      </c>
      <c r="N37" s="185">
        <v>-63</v>
      </c>
      <c r="O37" s="186">
        <v>-62</v>
      </c>
      <c r="P37" s="186">
        <v>-59</v>
      </c>
      <c r="Q37" s="186">
        <v>-67</v>
      </c>
      <c r="R37" s="186">
        <v>-65</v>
      </c>
      <c r="S37" s="186">
        <v>-57</v>
      </c>
      <c r="T37" s="186">
        <v>-54</v>
      </c>
      <c r="U37" s="186">
        <v>-55</v>
      </c>
      <c r="V37" s="186">
        <v>-56</v>
      </c>
      <c r="W37" s="187">
        <v>-57</v>
      </c>
      <c r="X37" s="217"/>
      <c r="Y37" s="237" t="s">
        <v>187</v>
      </c>
      <c r="Z37" s="227">
        <v>-69</v>
      </c>
      <c r="AA37" s="228">
        <v>-69</v>
      </c>
      <c r="AB37" s="228">
        <v>-69</v>
      </c>
      <c r="AC37" s="228">
        <v>-69</v>
      </c>
      <c r="AD37" s="228">
        <v>-69</v>
      </c>
      <c r="AE37" s="228">
        <v>-65</v>
      </c>
      <c r="AF37" s="228">
        <v>-61</v>
      </c>
      <c r="AG37" s="228">
        <v>-61</v>
      </c>
      <c r="AH37" s="228">
        <v>-62</v>
      </c>
      <c r="AI37" s="229">
        <v>-63</v>
      </c>
      <c r="AJ37" s="217"/>
      <c r="AK37" s="237" t="s">
        <v>187</v>
      </c>
      <c r="AL37" s="189">
        <v>-71</v>
      </c>
      <c r="AM37" s="190">
        <v>-71</v>
      </c>
      <c r="AN37" s="190">
        <v>-71</v>
      </c>
      <c r="AO37" s="190">
        <v>-71</v>
      </c>
      <c r="AP37" s="190">
        <v>-71</v>
      </c>
      <c r="AQ37" s="190">
        <v>-71</v>
      </c>
      <c r="AR37" s="190">
        <v>-71</v>
      </c>
      <c r="AS37" s="190">
        <v>-70</v>
      </c>
      <c r="AT37" s="190">
        <v>-71</v>
      </c>
      <c r="AU37" s="191">
        <v>-71</v>
      </c>
      <c r="AW37" s="237" t="s">
        <v>187</v>
      </c>
      <c r="AX37" s="192">
        <f>AL37-5</f>
        <v>-76</v>
      </c>
      <c r="AY37" s="193">
        <f t="shared" ref="AY37:BG43" si="6">AM37-5</f>
        <v>-76</v>
      </c>
      <c r="AZ37" s="193">
        <f t="shared" si="6"/>
        <v>-76</v>
      </c>
      <c r="BA37" s="193">
        <f t="shared" si="6"/>
        <v>-76</v>
      </c>
      <c r="BB37" s="193">
        <f t="shared" si="6"/>
        <v>-76</v>
      </c>
      <c r="BC37" s="193">
        <f t="shared" si="6"/>
        <v>-76</v>
      </c>
      <c r="BD37" s="193">
        <f t="shared" si="6"/>
        <v>-76</v>
      </c>
      <c r="BE37" s="193">
        <f t="shared" si="6"/>
        <v>-75</v>
      </c>
      <c r="BF37" s="193">
        <f t="shared" si="6"/>
        <v>-76</v>
      </c>
      <c r="BG37" s="194">
        <f t="shared" si="6"/>
        <v>-76</v>
      </c>
    </row>
    <row r="38" spans="1:59" x14ac:dyDescent="0.25">
      <c r="A38" s="195" t="s">
        <v>214</v>
      </c>
      <c r="B38" s="196">
        <v>-61</v>
      </c>
      <c r="C38" s="183">
        <v>-55</v>
      </c>
      <c r="D38" s="183">
        <v>-56</v>
      </c>
      <c r="E38" s="183">
        <v>-60</v>
      </c>
      <c r="F38" s="183">
        <v>-58</v>
      </c>
      <c r="G38" s="183">
        <v>-53</v>
      </c>
      <c r="H38" s="183">
        <v>-49</v>
      </c>
      <c r="I38" s="183">
        <v>-51</v>
      </c>
      <c r="J38" s="183">
        <v>-54</v>
      </c>
      <c r="K38" s="184">
        <v>-56</v>
      </c>
      <c r="L38" s="217"/>
      <c r="M38" s="195" t="s">
        <v>214</v>
      </c>
      <c r="N38" s="196">
        <v>-67</v>
      </c>
      <c r="O38" s="183">
        <v>-61</v>
      </c>
      <c r="P38" s="183">
        <v>-61</v>
      </c>
      <c r="Q38" s="183">
        <v>-65</v>
      </c>
      <c r="R38" s="183">
        <v>-63</v>
      </c>
      <c r="S38" s="183">
        <v>-58</v>
      </c>
      <c r="T38" s="183">
        <v>-53</v>
      </c>
      <c r="U38" s="183">
        <v>-55</v>
      </c>
      <c r="V38" s="183">
        <v>-58</v>
      </c>
      <c r="W38" s="184">
        <v>-60</v>
      </c>
      <c r="X38" s="217"/>
      <c r="Y38" s="197" t="s">
        <v>214</v>
      </c>
      <c r="Z38" s="230">
        <v>-69</v>
      </c>
      <c r="AA38" s="231">
        <v>-69</v>
      </c>
      <c r="AB38" s="231">
        <v>-69</v>
      </c>
      <c r="AC38" s="231">
        <v>-69</v>
      </c>
      <c r="AD38" s="231">
        <v>-69</v>
      </c>
      <c r="AE38" s="231">
        <v>-66</v>
      </c>
      <c r="AF38" s="231">
        <v>-60</v>
      </c>
      <c r="AG38" s="231">
        <v>-61</v>
      </c>
      <c r="AH38" s="231">
        <v>-64</v>
      </c>
      <c r="AI38" s="232">
        <v>-66</v>
      </c>
      <c r="AJ38" s="217"/>
      <c r="AK38" s="197" t="s">
        <v>214</v>
      </c>
      <c r="AL38" s="198">
        <v>-71</v>
      </c>
      <c r="AM38" s="199">
        <v>-71</v>
      </c>
      <c r="AN38" s="199">
        <v>-71</v>
      </c>
      <c r="AO38" s="199">
        <v>-71</v>
      </c>
      <c r="AP38" s="199">
        <v>-71</v>
      </c>
      <c r="AQ38" s="199">
        <v>-71</v>
      </c>
      <c r="AR38" s="199">
        <v>-70</v>
      </c>
      <c r="AS38" s="199">
        <v>-70</v>
      </c>
      <c r="AT38" s="199">
        <v>-71</v>
      </c>
      <c r="AU38" s="200">
        <v>-71</v>
      </c>
      <c r="AW38" s="197" t="s">
        <v>214</v>
      </c>
      <c r="AX38" s="201">
        <f t="shared" ref="AX38:AX43" si="7">AL38-5</f>
        <v>-76</v>
      </c>
      <c r="AY38" s="202">
        <f t="shared" si="6"/>
        <v>-76</v>
      </c>
      <c r="AZ38" s="202">
        <f t="shared" si="6"/>
        <v>-76</v>
      </c>
      <c r="BA38" s="202">
        <f t="shared" si="6"/>
        <v>-76</v>
      </c>
      <c r="BB38" s="202">
        <f t="shared" si="6"/>
        <v>-76</v>
      </c>
      <c r="BC38" s="202">
        <f t="shared" si="6"/>
        <v>-76</v>
      </c>
      <c r="BD38" s="202">
        <f t="shared" si="6"/>
        <v>-75</v>
      </c>
      <c r="BE38" s="202">
        <f t="shared" si="6"/>
        <v>-75</v>
      </c>
      <c r="BF38" s="202">
        <f t="shared" si="6"/>
        <v>-76</v>
      </c>
      <c r="BG38" s="203">
        <f t="shared" si="6"/>
        <v>-76</v>
      </c>
    </row>
    <row r="39" spans="1:59" x14ac:dyDescent="0.25">
      <c r="A39" s="195" t="s">
        <v>233</v>
      </c>
      <c r="B39" s="196">
        <v>-61</v>
      </c>
      <c r="C39" s="183">
        <v>-59</v>
      </c>
      <c r="D39" s="183">
        <v>-57</v>
      </c>
      <c r="E39" s="183">
        <v>-60</v>
      </c>
      <c r="F39" s="183">
        <v>-57</v>
      </c>
      <c r="G39" s="183">
        <v>-53</v>
      </c>
      <c r="H39" s="183">
        <v>-52</v>
      </c>
      <c r="I39" s="183">
        <v>-50</v>
      </c>
      <c r="J39" s="183">
        <v>-54</v>
      </c>
      <c r="K39" s="184">
        <v>-55</v>
      </c>
      <c r="L39" s="217"/>
      <c r="M39" s="195" t="s">
        <v>233</v>
      </c>
      <c r="N39" s="196">
        <v>-67</v>
      </c>
      <c r="O39" s="183">
        <v>-65</v>
      </c>
      <c r="P39" s="183">
        <v>-62</v>
      </c>
      <c r="Q39" s="183">
        <v>-65</v>
      </c>
      <c r="R39" s="183">
        <v>-62</v>
      </c>
      <c r="S39" s="183">
        <v>-58</v>
      </c>
      <c r="T39" s="183">
        <v>-56</v>
      </c>
      <c r="U39" s="183">
        <v>-54</v>
      </c>
      <c r="V39" s="183">
        <v>-58</v>
      </c>
      <c r="W39" s="184">
        <v>-59</v>
      </c>
      <c r="X39" s="217"/>
      <c r="Y39" s="197" t="s">
        <v>233</v>
      </c>
      <c r="Z39" s="230">
        <v>-69</v>
      </c>
      <c r="AA39" s="231">
        <v>-69</v>
      </c>
      <c r="AB39" s="231">
        <v>-69</v>
      </c>
      <c r="AC39" s="231">
        <v>-69</v>
      </c>
      <c r="AD39" s="231">
        <v>-69</v>
      </c>
      <c r="AE39" s="231">
        <v>-66</v>
      </c>
      <c r="AF39" s="231">
        <v>-63</v>
      </c>
      <c r="AG39" s="231">
        <v>-60</v>
      </c>
      <c r="AH39" s="231">
        <v>-64</v>
      </c>
      <c r="AI39" s="232">
        <v>-65</v>
      </c>
      <c r="AJ39" s="217"/>
      <c r="AK39" s="197" t="s">
        <v>233</v>
      </c>
      <c r="AL39" s="198">
        <v>-71</v>
      </c>
      <c r="AM39" s="199">
        <v>-71</v>
      </c>
      <c r="AN39" s="199">
        <v>-71</v>
      </c>
      <c r="AO39" s="199">
        <v>-71</v>
      </c>
      <c r="AP39" s="199">
        <v>-71</v>
      </c>
      <c r="AQ39" s="199">
        <v>-71</v>
      </c>
      <c r="AR39" s="199">
        <v>-71</v>
      </c>
      <c r="AS39" s="199">
        <v>-69</v>
      </c>
      <c r="AT39" s="199">
        <v>-71</v>
      </c>
      <c r="AU39" s="200">
        <v>-71</v>
      </c>
      <c r="AW39" s="197" t="s">
        <v>233</v>
      </c>
      <c r="AX39" s="201">
        <f t="shared" si="7"/>
        <v>-76</v>
      </c>
      <c r="AY39" s="202">
        <f t="shared" si="6"/>
        <v>-76</v>
      </c>
      <c r="AZ39" s="202">
        <f t="shared" si="6"/>
        <v>-76</v>
      </c>
      <c r="BA39" s="202">
        <f t="shared" si="6"/>
        <v>-76</v>
      </c>
      <c r="BB39" s="202">
        <f t="shared" si="6"/>
        <v>-76</v>
      </c>
      <c r="BC39" s="202">
        <f t="shared" si="6"/>
        <v>-76</v>
      </c>
      <c r="BD39" s="202">
        <f t="shared" si="6"/>
        <v>-76</v>
      </c>
      <c r="BE39" s="202">
        <f t="shared" si="6"/>
        <v>-74</v>
      </c>
      <c r="BF39" s="202">
        <f t="shared" si="6"/>
        <v>-76</v>
      </c>
      <c r="BG39" s="203">
        <f t="shared" si="6"/>
        <v>-76</v>
      </c>
    </row>
    <row r="40" spans="1:59" x14ac:dyDescent="0.25">
      <c r="A40" s="195" t="s">
        <v>242</v>
      </c>
      <c r="B40" s="196">
        <v>-61</v>
      </c>
      <c r="C40" s="183">
        <v>-57</v>
      </c>
      <c r="D40" s="183">
        <v>-54</v>
      </c>
      <c r="E40" s="183">
        <v>-56</v>
      </c>
      <c r="F40" s="183">
        <v>-54</v>
      </c>
      <c r="G40" s="183">
        <v>-52</v>
      </c>
      <c r="H40" s="183">
        <v>-50</v>
      </c>
      <c r="I40" s="183">
        <v>-51</v>
      </c>
      <c r="J40" s="183">
        <v>-52</v>
      </c>
      <c r="K40" s="184">
        <v>-53</v>
      </c>
      <c r="L40" s="217"/>
      <c r="M40" s="195" t="s">
        <v>242</v>
      </c>
      <c r="N40" s="196">
        <v>-67</v>
      </c>
      <c r="O40" s="183">
        <v>-62</v>
      </c>
      <c r="P40" s="183">
        <v>-59</v>
      </c>
      <c r="Q40" s="183">
        <v>-61</v>
      </c>
      <c r="R40" s="183">
        <v>-59</v>
      </c>
      <c r="S40" s="183">
        <v>-57</v>
      </c>
      <c r="T40" s="183">
        <v>-54</v>
      </c>
      <c r="U40" s="183">
        <v>-54</v>
      </c>
      <c r="V40" s="183">
        <v>-55</v>
      </c>
      <c r="W40" s="184">
        <v>-56</v>
      </c>
      <c r="X40" s="217"/>
      <c r="Y40" s="197" t="s">
        <v>242</v>
      </c>
      <c r="Z40" s="230">
        <v>-69</v>
      </c>
      <c r="AA40" s="231">
        <v>-69</v>
      </c>
      <c r="AB40" s="231">
        <v>-69</v>
      </c>
      <c r="AC40" s="231">
        <v>-69</v>
      </c>
      <c r="AD40" s="231">
        <v>-67</v>
      </c>
      <c r="AE40" s="231">
        <v>-65</v>
      </c>
      <c r="AF40" s="231">
        <v>-60</v>
      </c>
      <c r="AG40" s="231">
        <v>-60</v>
      </c>
      <c r="AH40" s="231">
        <v>-61</v>
      </c>
      <c r="AI40" s="232">
        <v>-62</v>
      </c>
      <c r="AJ40" s="217"/>
      <c r="AK40" s="197" t="s">
        <v>242</v>
      </c>
      <c r="AL40" s="198">
        <v>-71</v>
      </c>
      <c r="AM40" s="199">
        <v>-71</v>
      </c>
      <c r="AN40" s="199">
        <v>-71</v>
      </c>
      <c r="AO40" s="199">
        <v>-71</v>
      </c>
      <c r="AP40" s="199">
        <v>-71</v>
      </c>
      <c r="AQ40" s="199">
        <v>-71</v>
      </c>
      <c r="AR40" s="199">
        <v>-69</v>
      </c>
      <c r="AS40" s="199">
        <v>-68</v>
      </c>
      <c r="AT40" s="199">
        <v>-69</v>
      </c>
      <c r="AU40" s="200">
        <v>-70</v>
      </c>
      <c r="AW40" s="197" t="s">
        <v>242</v>
      </c>
      <c r="AX40" s="201">
        <f t="shared" si="7"/>
        <v>-76</v>
      </c>
      <c r="AY40" s="202">
        <f t="shared" si="6"/>
        <v>-76</v>
      </c>
      <c r="AZ40" s="202">
        <f t="shared" si="6"/>
        <v>-76</v>
      </c>
      <c r="BA40" s="202">
        <f t="shared" si="6"/>
        <v>-76</v>
      </c>
      <c r="BB40" s="202">
        <f t="shared" si="6"/>
        <v>-76</v>
      </c>
      <c r="BC40" s="202">
        <f t="shared" si="6"/>
        <v>-76</v>
      </c>
      <c r="BD40" s="202">
        <f t="shared" si="6"/>
        <v>-74</v>
      </c>
      <c r="BE40" s="202">
        <f t="shared" si="6"/>
        <v>-73</v>
      </c>
      <c r="BF40" s="202">
        <f t="shared" si="6"/>
        <v>-74</v>
      </c>
      <c r="BG40" s="203">
        <f t="shared" si="6"/>
        <v>-75</v>
      </c>
    </row>
    <row r="41" spans="1:59" x14ac:dyDescent="0.25">
      <c r="A41" s="195" t="s">
        <v>250</v>
      </c>
      <c r="B41" s="196">
        <v>-53</v>
      </c>
      <c r="C41" s="183">
        <v>-51</v>
      </c>
      <c r="D41" s="183">
        <v>-57</v>
      </c>
      <c r="E41" s="183">
        <v>-56</v>
      </c>
      <c r="F41" s="183">
        <v>-58</v>
      </c>
      <c r="G41" s="183">
        <v>-54</v>
      </c>
      <c r="H41" s="183">
        <v>-56</v>
      </c>
      <c r="I41" s="183">
        <v>-52</v>
      </c>
      <c r="J41" s="183">
        <v>-51</v>
      </c>
      <c r="K41" s="184">
        <v>-55</v>
      </c>
      <c r="L41" s="217"/>
      <c r="M41" s="195" t="s">
        <v>250</v>
      </c>
      <c r="N41" s="196">
        <v>-59</v>
      </c>
      <c r="O41" s="183">
        <v>-56</v>
      </c>
      <c r="P41" s="183">
        <v>-62</v>
      </c>
      <c r="Q41" s="183">
        <v>-61</v>
      </c>
      <c r="R41" s="183">
        <v>-63</v>
      </c>
      <c r="S41" s="183">
        <v>-59</v>
      </c>
      <c r="T41" s="183">
        <v>-60</v>
      </c>
      <c r="U41" s="183">
        <v>-55</v>
      </c>
      <c r="V41" s="183">
        <v>-54</v>
      </c>
      <c r="W41" s="184">
        <v>-58</v>
      </c>
      <c r="X41" s="217"/>
      <c r="Y41" s="197" t="s">
        <v>250</v>
      </c>
      <c r="Z41" s="230">
        <v>-68</v>
      </c>
      <c r="AA41" s="231">
        <v>-66</v>
      </c>
      <c r="AB41" s="231">
        <v>-69</v>
      </c>
      <c r="AC41" s="231">
        <v>-69</v>
      </c>
      <c r="AD41" s="231">
        <v>-69</v>
      </c>
      <c r="AE41" s="231">
        <v>-67</v>
      </c>
      <c r="AF41" s="231">
        <v>-66</v>
      </c>
      <c r="AG41" s="231">
        <v>-61</v>
      </c>
      <c r="AH41" s="231">
        <v>-60</v>
      </c>
      <c r="AI41" s="232">
        <v>-64</v>
      </c>
      <c r="AJ41" s="217"/>
      <c r="AK41" s="197" t="s">
        <v>250</v>
      </c>
      <c r="AL41" s="198">
        <v>-71</v>
      </c>
      <c r="AM41" s="199">
        <v>-71</v>
      </c>
      <c r="AN41" s="199">
        <v>-71</v>
      </c>
      <c r="AO41" s="199">
        <v>-71</v>
      </c>
      <c r="AP41" s="199">
        <v>-71</v>
      </c>
      <c r="AQ41" s="199">
        <v>-71</v>
      </c>
      <c r="AR41" s="199">
        <v>-71</v>
      </c>
      <c r="AS41" s="199">
        <v>-69</v>
      </c>
      <c r="AT41" s="199">
        <v>-68</v>
      </c>
      <c r="AU41" s="200">
        <v>-71</v>
      </c>
      <c r="AW41" s="197" t="s">
        <v>250</v>
      </c>
      <c r="AX41" s="201">
        <f t="shared" si="7"/>
        <v>-76</v>
      </c>
      <c r="AY41" s="202">
        <f t="shared" si="6"/>
        <v>-76</v>
      </c>
      <c r="AZ41" s="202">
        <f t="shared" si="6"/>
        <v>-76</v>
      </c>
      <c r="BA41" s="202">
        <f t="shared" si="6"/>
        <v>-76</v>
      </c>
      <c r="BB41" s="202">
        <f t="shared" si="6"/>
        <v>-76</v>
      </c>
      <c r="BC41" s="202">
        <f t="shared" si="6"/>
        <v>-76</v>
      </c>
      <c r="BD41" s="202">
        <f t="shared" si="6"/>
        <v>-76</v>
      </c>
      <c r="BE41" s="202">
        <f t="shared" si="6"/>
        <v>-74</v>
      </c>
      <c r="BF41" s="202">
        <f t="shared" si="6"/>
        <v>-73</v>
      </c>
      <c r="BG41" s="203">
        <f t="shared" si="6"/>
        <v>-76</v>
      </c>
    </row>
    <row r="42" spans="1:59" x14ac:dyDescent="0.25">
      <c r="A42" s="195" t="s">
        <v>258</v>
      </c>
      <c r="B42" s="196">
        <v>-55</v>
      </c>
      <c r="C42" s="183">
        <v>-53</v>
      </c>
      <c r="D42" s="183">
        <v>-57</v>
      </c>
      <c r="E42" s="183">
        <v>-54</v>
      </c>
      <c r="F42" s="183">
        <v>-54</v>
      </c>
      <c r="G42" s="183">
        <v>-55</v>
      </c>
      <c r="H42" s="183">
        <v>-54</v>
      </c>
      <c r="I42" s="183">
        <v>-50</v>
      </c>
      <c r="J42" s="183">
        <v>-52</v>
      </c>
      <c r="K42" s="184">
        <v>-54</v>
      </c>
      <c r="L42" s="217"/>
      <c r="M42" s="195" t="s">
        <v>258</v>
      </c>
      <c r="N42" s="196">
        <v>-60</v>
      </c>
      <c r="O42" s="183">
        <v>-58</v>
      </c>
      <c r="P42" s="183">
        <v>-62</v>
      </c>
      <c r="Q42" s="183">
        <v>-59</v>
      </c>
      <c r="R42" s="183">
        <v>-59</v>
      </c>
      <c r="S42" s="183">
        <v>-60</v>
      </c>
      <c r="T42" s="183">
        <v>-58</v>
      </c>
      <c r="U42" s="183">
        <v>-53</v>
      </c>
      <c r="V42" s="183">
        <v>-55</v>
      </c>
      <c r="W42" s="184">
        <v>-57</v>
      </c>
      <c r="X42" s="217"/>
      <c r="Y42" s="197" t="s">
        <v>258</v>
      </c>
      <c r="Z42" s="230">
        <v>-69</v>
      </c>
      <c r="AA42" s="231">
        <v>-68</v>
      </c>
      <c r="AB42" s="231">
        <v>-69</v>
      </c>
      <c r="AC42" s="231">
        <v>-68</v>
      </c>
      <c r="AD42" s="231">
        <v>-67</v>
      </c>
      <c r="AE42" s="231">
        <v>-67</v>
      </c>
      <c r="AF42" s="231">
        <v>-64</v>
      </c>
      <c r="AG42" s="231">
        <v>-59</v>
      </c>
      <c r="AH42" s="231">
        <v>-61</v>
      </c>
      <c r="AI42" s="232">
        <v>-63</v>
      </c>
      <c r="AJ42" s="217"/>
      <c r="AK42" s="197" t="s">
        <v>258</v>
      </c>
      <c r="AL42" s="198">
        <v>-71</v>
      </c>
      <c r="AM42" s="199">
        <v>-71</v>
      </c>
      <c r="AN42" s="199">
        <v>-71</v>
      </c>
      <c r="AO42" s="199">
        <v>-71</v>
      </c>
      <c r="AP42" s="199">
        <v>-71</v>
      </c>
      <c r="AQ42" s="199">
        <v>-71</v>
      </c>
      <c r="AR42" s="199">
        <v>-71</v>
      </c>
      <c r="AS42" s="199">
        <v>-66</v>
      </c>
      <c r="AT42" s="199">
        <v>-68</v>
      </c>
      <c r="AU42" s="200">
        <v>-70</v>
      </c>
      <c r="AW42" s="197" t="s">
        <v>258</v>
      </c>
      <c r="AX42" s="201">
        <f t="shared" si="7"/>
        <v>-76</v>
      </c>
      <c r="AY42" s="202">
        <f t="shared" si="6"/>
        <v>-76</v>
      </c>
      <c r="AZ42" s="202">
        <f t="shared" si="6"/>
        <v>-76</v>
      </c>
      <c r="BA42" s="202">
        <f t="shared" si="6"/>
        <v>-76</v>
      </c>
      <c r="BB42" s="202">
        <f t="shared" si="6"/>
        <v>-76</v>
      </c>
      <c r="BC42" s="202">
        <f t="shared" si="6"/>
        <v>-76</v>
      </c>
      <c r="BD42" s="202">
        <f t="shared" si="6"/>
        <v>-76</v>
      </c>
      <c r="BE42" s="202">
        <f t="shared" si="6"/>
        <v>-71</v>
      </c>
      <c r="BF42" s="202">
        <f t="shared" si="6"/>
        <v>-73</v>
      </c>
      <c r="BG42" s="203">
        <f t="shared" si="6"/>
        <v>-75</v>
      </c>
    </row>
    <row r="43" spans="1:59" ht="15.75" thickBot="1" x14ac:dyDescent="0.3">
      <c r="A43" s="204" t="s">
        <v>265</v>
      </c>
      <c r="B43" s="207">
        <v>-61</v>
      </c>
      <c r="C43" s="205">
        <v>-56</v>
      </c>
      <c r="D43" s="205">
        <v>-56</v>
      </c>
      <c r="E43" s="205">
        <v>-56</v>
      </c>
      <c r="F43" s="205">
        <v>-55</v>
      </c>
      <c r="G43" s="205">
        <v>-55</v>
      </c>
      <c r="H43" s="205">
        <v>-51</v>
      </c>
      <c r="I43" s="205">
        <v>-50</v>
      </c>
      <c r="J43" s="205">
        <v>-51</v>
      </c>
      <c r="K43" s="206">
        <v>-56</v>
      </c>
      <c r="L43" s="217"/>
      <c r="M43" s="204" t="s">
        <v>265</v>
      </c>
      <c r="N43" s="207">
        <v>-66</v>
      </c>
      <c r="O43" s="205">
        <v>-61</v>
      </c>
      <c r="P43" s="205">
        <v>-61</v>
      </c>
      <c r="Q43" s="205">
        <v>-61</v>
      </c>
      <c r="R43" s="205">
        <v>-60</v>
      </c>
      <c r="S43" s="205">
        <v>-60</v>
      </c>
      <c r="T43" s="205">
        <v>-55</v>
      </c>
      <c r="U43" s="205">
        <v>-53</v>
      </c>
      <c r="V43" s="205">
        <v>-54</v>
      </c>
      <c r="W43" s="206">
        <v>-59</v>
      </c>
      <c r="X43" s="217"/>
      <c r="Y43" s="208" t="s">
        <v>265</v>
      </c>
      <c r="Z43" s="233">
        <v>-69</v>
      </c>
      <c r="AA43" s="234">
        <v>-69</v>
      </c>
      <c r="AB43" s="234">
        <v>-69</v>
      </c>
      <c r="AC43" s="234">
        <v>-69</v>
      </c>
      <c r="AD43" s="234">
        <v>-68</v>
      </c>
      <c r="AE43" s="234">
        <v>-67</v>
      </c>
      <c r="AF43" s="234">
        <v>-61</v>
      </c>
      <c r="AG43" s="234">
        <v>-59</v>
      </c>
      <c r="AH43" s="234">
        <v>-60</v>
      </c>
      <c r="AI43" s="235">
        <v>-65</v>
      </c>
      <c r="AJ43" s="217"/>
      <c r="AK43" s="208" t="s">
        <v>265</v>
      </c>
      <c r="AL43" s="209">
        <v>-71</v>
      </c>
      <c r="AM43" s="210">
        <v>-71</v>
      </c>
      <c r="AN43" s="210">
        <v>-71</v>
      </c>
      <c r="AO43" s="210">
        <v>-71</v>
      </c>
      <c r="AP43" s="210">
        <v>-71</v>
      </c>
      <c r="AQ43" s="210">
        <v>-71</v>
      </c>
      <c r="AR43" s="210">
        <v>-69</v>
      </c>
      <c r="AS43" s="210">
        <v>-66</v>
      </c>
      <c r="AT43" s="210">
        <v>-67</v>
      </c>
      <c r="AU43" s="211">
        <v>-71</v>
      </c>
      <c r="AW43" s="208" t="s">
        <v>265</v>
      </c>
      <c r="AX43" s="212">
        <f t="shared" si="7"/>
        <v>-76</v>
      </c>
      <c r="AY43" s="213">
        <f t="shared" si="6"/>
        <v>-76</v>
      </c>
      <c r="AZ43" s="213">
        <f t="shared" si="6"/>
        <v>-76</v>
      </c>
      <c r="BA43" s="213">
        <f t="shared" si="6"/>
        <v>-76</v>
      </c>
      <c r="BB43" s="213">
        <f t="shared" si="6"/>
        <v>-76</v>
      </c>
      <c r="BC43" s="213">
        <f t="shared" si="6"/>
        <v>-76</v>
      </c>
      <c r="BD43" s="213">
        <f t="shared" si="6"/>
        <v>-74</v>
      </c>
      <c r="BE43" s="213">
        <f t="shared" si="6"/>
        <v>-71</v>
      </c>
      <c r="BF43" s="213">
        <f t="shared" si="6"/>
        <v>-72</v>
      </c>
      <c r="BG43" s="214">
        <f t="shared" si="6"/>
        <v>-76</v>
      </c>
    </row>
  </sheetData>
  <sheetProtection algorithmName="SHA-512" hashValue="xwsv+z4USWJBgAYvcvOQUhtLJUyOiFApwqI8lnetEEzuZllj+FUVHJmJLuSTZXyxEAebVMcH4Ybau2XwoKOgRA==" saltValue="oMVX1/qfyEucj4oDI9MTBw==" spinCount="100000" sheet="1" objects="1" scenarios="1" autoFilter="0"/>
  <mergeCells count="4">
    <mergeCell ref="AX2:BG2"/>
    <mergeCell ref="AX13:BG13"/>
    <mergeCell ref="AX24:BG24"/>
    <mergeCell ref="AX35:BG35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:BI41"/>
  <sheetViews>
    <sheetView topLeftCell="B1" workbookViewId="0">
      <selection activeCell="B33" sqref="B33"/>
    </sheetView>
  </sheetViews>
  <sheetFormatPr defaultRowHeight="15" x14ac:dyDescent="0.25"/>
  <cols>
    <col min="1" max="1" width="9.42578125" hidden="1" customWidth="1"/>
    <col min="13" max="13" width="3.7109375" customWidth="1"/>
    <col min="25" max="25" width="4.7109375" customWidth="1"/>
    <col min="37" max="37" width="6.7109375" customWidth="1"/>
  </cols>
  <sheetData>
    <row r="1" spans="1:61" ht="14.45" x14ac:dyDescent="0.3">
      <c r="B1" s="1" t="s">
        <v>909</v>
      </c>
      <c r="C1" s="351" t="s">
        <v>1463</v>
      </c>
      <c r="N1" s="1" t="s">
        <v>906</v>
      </c>
      <c r="O1" s="351" t="s">
        <v>1475</v>
      </c>
      <c r="Z1" s="1" t="s">
        <v>906</v>
      </c>
      <c r="AA1" s="351" t="s">
        <v>1147</v>
      </c>
      <c r="AL1" s="1" t="s">
        <v>1474</v>
      </c>
      <c r="AN1" s="825"/>
      <c r="AX1" s="1" t="s">
        <v>909</v>
      </c>
      <c r="AY1" s="351" t="s">
        <v>1465</v>
      </c>
      <c r="BI1" s="825"/>
    </row>
    <row r="2" spans="1:61" ht="14.45" x14ac:dyDescent="0.3">
      <c r="D2" s="854" t="s">
        <v>315</v>
      </c>
      <c r="E2" s="854"/>
      <c r="F2" s="854"/>
      <c r="G2" s="854"/>
      <c r="H2" s="854"/>
      <c r="I2" s="854"/>
      <c r="J2" s="854"/>
      <c r="K2" s="854"/>
      <c r="L2" s="854"/>
      <c r="P2" s="854" t="s">
        <v>315</v>
      </c>
      <c r="Q2" s="854"/>
      <c r="R2" s="854"/>
      <c r="S2" s="854"/>
      <c r="T2" s="854"/>
      <c r="U2" s="854"/>
      <c r="V2" s="854"/>
      <c r="W2" s="854"/>
      <c r="X2" s="854"/>
      <c r="AB2" s="854" t="s">
        <v>315</v>
      </c>
      <c r="AC2" s="854"/>
      <c r="AD2" s="854"/>
      <c r="AE2" s="854"/>
      <c r="AF2" s="854"/>
      <c r="AG2" s="854"/>
      <c r="AH2" s="854"/>
      <c r="AI2" s="854"/>
      <c r="AJ2" s="854"/>
      <c r="AN2" s="854" t="s">
        <v>315</v>
      </c>
      <c r="AO2" s="854"/>
      <c r="AP2" s="854"/>
      <c r="AQ2" s="854"/>
      <c r="AR2" s="854"/>
      <c r="AS2" s="854"/>
      <c r="AT2" s="854"/>
      <c r="AU2" s="854"/>
      <c r="AV2" s="854"/>
      <c r="AZ2" s="854" t="s">
        <v>315</v>
      </c>
      <c r="BA2" s="854"/>
      <c r="BB2" s="854"/>
      <c r="BC2" s="854"/>
      <c r="BD2" s="854"/>
      <c r="BE2" s="854"/>
      <c r="BF2" s="854"/>
      <c r="BG2" s="854"/>
      <c r="BH2" s="854"/>
    </row>
    <row r="3" spans="1:61" ht="14.45" x14ac:dyDescent="0.3">
      <c r="C3" t="s">
        <v>173</v>
      </c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O3" t="s">
        <v>173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  <c r="AA3" t="s">
        <v>173</v>
      </c>
      <c r="AB3" s="238">
        <v>1</v>
      </c>
      <c r="AC3" s="238">
        <v>2</v>
      </c>
      <c r="AD3" s="238">
        <v>3</v>
      </c>
      <c r="AE3" s="238">
        <v>4</v>
      </c>
      <c r="AF3" s="238">
        <v>5</v>
      </c>
      <c r="AG3" s="238">
        <v>6</v>
      </c>
      <c r="AH3" s="238">
        <v>7</v>
      </c>
      <c r="AI3" s="238">
        <v>8</v>
      </c>
      <c r="AJ3" s="238">
        <v>9</v>
      </c>
      <c r="AM3" t="s">
        <v>173</v>
      </c>
      <c r="AN3" s="238">
        <v>1</v>
      </c>
      <c r="AO3" s="238">
        <v>2</v>
      </c>
      <c r="AP3" s="238">
        <v>3</v>
      </c>
      <c r="AQ3" s="238">
        <v>4</v>
      </c>
      <c r="AR3" s="238">
        <v>5</v>
      </c>
      <c r="AS3" s="238">
        <v>6</v>
      </c>
      <c r="AT3" s="238">
        <v>7</v>
      </c>
      <c r="AU3" s="238">
        <v>8</v>
      </c>
      <c r="AV3" s="238">
        <v>9</v>
      </c>
      <c r="AY3" t="s">
        <v>173</v>
      </c>
      <c r="AZ3" s="238">
        <v>1</v>
      </c>
      <c r="BA3" s="238">
        <v>2</v>
      </c>
      <c r="BB3" s="238">
        <v>3</v>
      </c>
      <c r="BC3" s="238">
        <v>4</v>
      </c>
      <c r="BD3" s="238">
        <v>5</v>
      </c>
      <c r="BE3" s="238">
        <v>6</v>
      </c>
      <c r="BF3" s="238">
        <v>7</v>
      </c>
      <c r="BG3" s="238">
        <v>8</v>
      </c>
      <c r="BH3" s="238">
        <v>9</v>
      </c>
    </row>
    <row r="4" spans="1:61" ht="14.45" x14ac:dyDescent="0.3">
      <c r="A4" t="s">
        <v>1283</v>
      </c>
      <c r="B4" s="239" t="s">
        <v>185</v>
      </c>
      <c r="C4" s="240">
        <v>0</v>
      </c>
      <c r="D4" s="241">
        <v>0</v>
      </c>
      <c r="E4" s="242">
        <v>0</v>
      </c>
      <c r="F4" s="242">
        <v>0</v>
      </c>
      <c r="G4" s="242">
        <v>0</v>
      </c>
      <c r="H4" s="242">
        <v>0</v>
      </c>
      <c r="I4" s="242">
        <v>0</v>
      </c>
      <c r="J4" s="242">
        <v>0</v>
      </c>
      <c r="K4" s="242">
        <v>0</v>
      </c>
      <c r="L4" s="243">
        <v>0</v>
      </c>
      <c r="N4" s="239" t="s">
        <v>185</v>
      </c>
      <c r="O4" s="240">
        <v>0</v>
      </c>
      <c r="P4" s="241">
        <v>0</v>
      </c>
      <c r="Q4" s="242">
        <v>0</v>
      </c>
      <c r="R4" s="242">
        <v>0</v>
      </c>
      <c r="S4" s="242">
        <v>0</v>
      </c>
      <c r="T4" s="242">
        <v>0</v>
      </c>
      <c r="U4" s="242">
        <v>0</v>
      </c>
      <c r="V4" s="242">
        <v>0</v>
      </c>
      <c r="W4" s="242">
        <v>0</v>
      </c>
      <c r="X4" s="242">
        <v>0</v>
      </c>
      <c r="Z4" s="239" t="s">
        <v>185</v>
      </c>
      <c r="AA4" s="240">
        <v>0</v>
      </c>
      <c r="AB4" s="241">
        <v>0</v>
      </c>
      <c r="AC4" s="242">
        <v>0</v>
      </c>
      <c r="AD4" s="242">
        <v>0</v>
      </c>
      <c r="AE4" s="242">
        <v>0</v>
      </c>
      <c r="AF4" s="242">
        <v>0</v>
      </c>
      <c r="AG4" s="242">
        <v>0</v>
      </c>
      <c r="AH4" s="242">
        <v>0</v>
      </c>
      <c r="AI4" s="242">
        <v>0</v>
      </c>
      <c r="AJ4" s="242">
        <v>0</v>
      </c>
      <c r="AL4" s="239" t="s">
        <v>185</v>
      </c>
      <c r="AM4" s="240">
        <v>0</v>
      </c>
      <c r="AN4" s="241">
        <v>0</v>
      </c>
      <c r="AO4" s="242">
        <v>0</v>
      </c>
      <c r="AP4" s="242">
        <v>0</v>
      </c>
      <c r="AQ4" s="242">
        <v>0</v>
      </c>
      <c r="AR4" s="242">
        <v>0</v>
      </c>
      <c r="AS4" s="242">
        <v>0</v>
      </c>
      <c r="AT4" s="242">
        <v>0</v>
      </c>
      <c r="AU4" s="242">
        <v>0</v>
      </c>
      <c r="AV4" s="242">
        <v>0</v>
      </c>
      <c r="AX4" s="239" t="s">
        <v>185</v>
      </c>
      <c r="AY4" s="240">
        <v>0</v>
      </c>
      <c r="AZ4" s="241">
        <v>0</v>
      </c>
      <c r="BA4" s="242">
        <v>0</v>
      </c>
      <c r="BB4" s="242">
        <v>0</v>
      </c>
      <c r="BC4" s="242">
        <v>0</v>
      </c>
      <c r="BD4" s="242">
        <v>0</v>
      </c>
      <c r="BE4" s="242">
        <v>0</v>
      </c>
      <c r="BF4" s="242">
        <v>0</v>
      </c>
      <c r="BG4" s="242">
        <v>0</v>
      </c>
      <c r="BH4" s="243">
        <v>0</v>
      </c>
    </row>
    <row r="5" spans="1:61" ht="14.45" x14ac:dyDescent="0.3">
      <c r="A5" t="s">
        <v>1284</v>
      </c>
      <c r="B5" s="674"/>
      <c r="C5" s="675" t="s">
        <v>1155</v>
      </c>
      <c r="D5" s="676">
        <v>-0.5</v>
      </c>
      <c r="E5" s="677">
        <v>-0.5</v>
      </c>
      <c r="F5" s="677">
        <v>-0.5</v>
      </c>
      <c r="G5" s="677">
        <v>-0.5</v>
      </c>
      <c r="H5" s="677">
        <v>-0.5</v>
      </c>
      <c r="I5" s="677">
        <v>0</v>
      </c>
      <c r="J5" s="678">
        <v>0</v>
      </c>
      <c r="K5" s="678">
        <v>0</v>
      </c>
      <c r="L5" s="679">
        <v>0</v>
      </c>
      <c r="N5" s="674"/>
      <c r="O5" s="675" t="s">
        <v>1155</v>
      </c>
      <c r="P5" s="676">
        <v>-0.5</v>
      </c>
      <c r="Q5" s="677">
        <v>-0.5</v>
      </c>
      <c r="R5" s="677">
        <v>-0.5</v>
      </c>
      <c r="S5" s="677">
        <v>-0.5</v>
      </c>
      <c r="T5" s="677">
        <v>-0.5</v>
      </c>
      <c r="U5" s="677">
        <v>0</v>
      </c>
      <c r="V5" s="677">
        <v>0</v>
      </c>
      <c r="W5" s="677">
        <v>0</v>
      </c>
      <c r="X5" s="677">
        <v>0</v>
      </c>
      <c r="Z5" s="674"/>
      <c r="AA5" s="675" t="s">
        <v>1155</v>
      </c>
      <c r="AB5" s="246">
        <f>D5-3</f>
        <v>-3.5</v>
      </c>
      <c r="AC5" s="246">
        <f t="shared" ref="AC5" si="0">E5-3</f>
        <v>-3.5</v>
      </c>
      <c r="AD5" s="246">
        <f t="shared" ref="AD5" si="1">F5-3</f>
        <v>-3.5</v>
      </c>
      <c r="AE5" s="246">
        <f t="shared" ref="AE5" si="2">G5-3</f>
        <v>-3.5</v>
      </c>
      <c r="AF5" s="246">
        <f t="shared" ref="AF5" si="3">H5-3</f>
        <v>-3.5</v>
      </c>
      <c r="AG5" s="246">
        <f t="shared" ref="AG5" si="4">I5-3</f>
        <v>-3</v>
      </c>
      <c r="AH5" s="246">
        <f t="shared" ref="AH5" si="5">J5-3</f>
        <v>-3</v>
      </c>
      <c r="AI5" s="246">
        <f t="shared" ref="AI5" si="6">K5-3</f>
        <v>-3</v>
      </c>
      <c r="AJ5" s="246">
        <f t="shared" ref="AJ5" si="7">L5-3</f>
        <v>-3</v>
      </c>
      <c r="AL5" s="674"/>
      <c r="AM5" s="675" t="s">
        <v>1155</v>
      </c>
      <c r="AN5" s="246">
        <v>-1</v>
      </c>
      <c r="AO5" s="246">
        <v>-1</v>
      </c>
      <c r="AP5" s="246">
        <v>-1</v>
      </c>
      <c r="AQ5" s="246">
        <v>0</v>
      </c>
      <c r="AR5" s="246">
        <v>0</v>
      </c>
      <c r="AS5" s="246">
        <v>0</v>
      </c>
      <c r="AT5" s="246">
        <v>0</v>
      </c>
      <c r="AU5" s="246">
        <v>0</v>
      </c>
      <c r="AV5" s="246">
        <v>0</v>
      </c>
      <c r="AX5" s="674"/>
      <c r="AY5" s="675" t="s">
        <v>1155</v>
      </c>
      <c r="AZ5" s="676">
        <v>-1.5</v>
      </c>
      <c r="BA5" s="677">
        <v>-1.5</v>
      </c>
      <c r="BB5" s="677">
        <v>-1.5</v>
      </c>
      <c r="BC5" s="677">
        <v>-1.5</v>
      </c>
      <c r="BD5" s="677">
        <v>-1.5</v>
      </c>
      <c r="BE5" s="677">
        <v>-1</v>
      </c>
      <c r="BF5" s="678">
        <v>-1</v>
      </c>
      <c r="BG5" s="678">
        <v>-1</v>
      </c>
      <c r="BH5" s="679">
        <v>-1</v>
      </c>
    </row>
    <row r="6" spans="1:61" ht="14.45" x14ac:dyDescent="0.3">
      <c r="A6" t="s">
        <v>1285</v>
      </c>
      <c r="B6" s="244"/>
      <c r="C6" s="245">
        <v>1</v>
      </c>
      <c r="D6" s="246">
        <v>-2</v>
      </c>
      <c r="E6" s="246">
        <v>-2</v>
      </c>
      <c r="F6" s="246">
        <v>-1.5</v>
      </c>
      <c r="G6" s="246">
        <v>-2</v>
      </c>
      <c r="H6" s="246">
        <v>-2</v>
      </c>
      <c r="I6" s="246">
        <v>-1.5</v>
      </c>
      <c r="J6" s="247">
        <v>-2</v>
      </c>
      <c r="K6" s="247">
        <v>-1.5</v>
      </c>
      <c r="L6" s="248">
        <v>-1.5</v>
      </c>
      <c r="N6" s="244"/>
      <c r="O6" s="245">
        <v>1</v>
      </c>
      <c r="P6" s="246">
        <v>-3.5</v>
      </c>
      <c r="Q6" s="246">
        <v>-3.5</v>
      </c>
      <c r="R6" s="246">
        <v>-3</v>
      </c>
      <c r="S6" s="246">
        <v>-3.5</v>
      </c>
      <c r="T6" s="246">
        <v>-3.5</v>
      </c>
      <c r="U6" s="246">
        <v>-3</v>
      </c>
      <c r="V6" s="246">
        <v>-3</v>
      </c>
      <c r="W6" s="246">
        <v>-3</v>
      </c>
      <c r="X6" s="246">
        <v>-2.5</v>
      </c>
      <c r="Z6" s="244"/>
      <c r="AA6" s="245">
        <v>1</v>
      </c>
      <c r="AB6" s="246">
        <f>D6-3</f>
        <v>-5</v>
      </c>
      <c r="AC6" s="246">
        <f t="shared" ref="AC6:AJ6" si="8">E6-3</f>
        <v>-5</v>
      </c>
      <c r="AD6" s="246">
        <f t="shared" si="8"/>
        <v>-4.5</v>
      </c>
      <c r="AE6" s="246">
        <f t="shared" si="8"/>
        <v>-5</v>
      </c>
      <c r="AF6" s="246">
        <f t="shared" si="8"/>
        <v>-5</v>
      </c>
      <c r="AG6" s="246">
        <f t="shared" si="8"/>
        <v>-4.5</v>
      </c>
      <c r="AH6" s="246">
        <f t="shared" si="8"/>
        <v>-5</v>
      </c>
      <c r="AI6" s="246">
        <f t="shared" si="8"/>
        <v>-4.5</v>
      </c>
      <c r="AJ6" s="246">
        <f t="shared" si="8"/>
        <v>-4.5</v>
      </c>
      <c r="AL6" s="244"/>
      <c r="AM6" s="245">
        <v>1</v>
      </c>
      <c r="AN6" s="246">
        <v>-2</v>
      </c>
      <c r="AO6" s="246">
        <v>-2</v>
      </c>
      <c r="AP6" s="246">
        <v>-2</v>
      </c>
      <c r="AQ6" s="246">
        <v>-2</v>
      </c>
      <c r="AR6" s="246">
        <v>-2</v>
      </c>
      <c r="AS6" s="246">
        <v>-2</v>
      </c>
      <c r="AT6" s="246">
        <v>-1</v>
      </c>
      <c r="AU6" s="246">
        <v>-1</v>
      </c>
      <c r="AV6" s="246">
        <v>-1</v>
      </c>
      <c r="AX6" s="244"/>
      <c r="AY6" s="245">
        <v>1</v>
      </c>
      <c r="AZ6" s="246">
        <v>-3</v>
      </c>
      <c r="BA6" s="246">
        <v>-3</v>
      </c>
      <c r="BB6" s="246">
        <v>-2.5</v>
      </c>
      <c r="BC6" s="246">
        <v>-3</v>
      </c>
      <c r="BD6" s="246">
        <v>-3</v>
      </c>
      <c r="BE6" s="246">
        <v>-2.5</v>
      </c>
      <c r="BF6" s="247">
        <v>-3</v>
      </c>
      <c r="BG6" s="247">
        <v>-2.5</v>
      </c>
      <c r="BH6" s="248">
        <v>-2.5</v>
      </c>
    </row>
    <row r="7" spans="1:61" ht="14.45" x14ac:dyDescent="0.3">
      <c r="A7" t="s">
        <v>1286</v>
      </c>
      <c r="B7" s="244"/>
      <c r="C7" s="245">
        <v>2</v>
      </c>
      <c r="D7" s="246">
        <v>-4</v>
      </c>
      <c r="E7" s="246">
        <v>-4</v>
      </c>
      <c r="F7" s="246">
        <v>-5</v>
      </c>
      <c r="G7" s="246">
        <v>-4.5</v>
      </c>
      <c r="H7" s="246">
        <v>-4</v>
      </c>
      <c r="I7" s="246">
        <v>-5</v>
      </c>
      <c r="J7" s="246">
        <v>-5</v>
      </c>
      <c r="K7" s="246">
        <v>-5</v>
      </c>
      <c r="L7" s="471">
        <v>-6</v>
      </c>
      <c r="N7" s="244"/>
      <c r="O7" s="245">
        <v>2</v>
      </c>
      <c r="P7" s="246">
        <v>-5</v>
      </c>
      <c r="Q7" s="246">
        <v>-5</v>
      </c>
      <c r="R7" s="246">
        <v>-4.5</v>
      </c>
      <c r="S7" s="246">
        <v>-5.5</v>
      </c>
      <c r="T7" s="246">
        <v>-5</v>
      </c>
      <c r="U7" s="246">
        <v>-4.5</v>
      </c>
      <c r="V7" s="246">
        <v>-5</v>
      </c>
      <c r="W7" s="246">
        <v>-5</v>
      </c>
      <c r="X7" s="246">
        <v>-5</v>
      </c>
      <c r="Z7" s="244"/>
      <c r="AA7" s="245">
        <v>2</v>
      </c>
      <c r="AB7" s="246" t="s">
        <v>803</v>
      </c>
      <c r="AC7" s="246" t="s">
        <v>803</v>
      </c>
      <c r="AD7" s="246" t="s">
        <v>803</v>
      </c>
      <c r="AE7" s="246" t="s">
        <v>803</v>
      </c>
      <c r="AF7" s="246" t="s">
        <v>803</v>
      </c>
      <c r="AG7" s="246" t="s">
        <v>803</v>
      </c>
      <c r="AH7" s="246" t="s">
        <v>803</v>
      </c>
      <c r="AI7" s="246" t="s">
        <v>803</v>
      </c>
      <c r="AJ7" s="246" t="s">
        <v>803</v>
      </c>
      <c r="AL7" s="244"/>
      <c r="AM7" s="245">
        <v>2</v>
      </c>
      <c r="AN7" s="246">
        <v>-3</v>
      </c>
      <c r="AO7" s="246">
        <v>-3</v>
      </c>
      <c r="AP7" s="246">
        <v>-3</v>
      </c>
      <c r="AQ7" s="246">
        <v>-3</v>
      </c>
      <c r="AR7" s="246">
        <v>-3</v>
      </c>
      <c r="AS7" s="246">
        <v>-3</v>
      </c>
      <c r="AT7" s="246">
        <v>-2</v>
      </c>
      <c r="AU7" s="246">
        <v>-2</v>
      </c>
      <c r="AV7" s="246">
        <v>-2</v>
      </c>
      <c r="AX7" s="244"/>
      <c r="AY7" s="245">
        <v>2</v>
      </c>
      <c r="AZ7" s="246">
        <v>-5</v>
      </c>
      <c r="BA7" s="246">
        <v>-5</v>
      </c>
      <c r="BB7" s="246">
        <v>-6</v>
      </c>
      <c r="BC7" s="246">
        <v>-5.5</v>
      </c>
      <c r="BD7" s="246">
        <v>-5</v>
      </c>
      <c r="BE7" s="246">
        <v>-6</v>
      </c>
      <c r="BF7" s="246">
        <v>-6</v>
      </c>
      <c r="BG7" s="246">
        <v>-6</v>
      </c>
      <c r="BH7" s="471">
        <v>-7</v>
      </c>
    </row>
    <row r="8" spans="1:61" ht="14.45" x14ac:dyDescent="0.3">
      <c r="A8" t="s">
        <v>1313</v>
      </c>
      <c r="B8" s="244"/>
      <c r="C8" s="245">
        <v>3</v>
      </c>
      <c r="D8" s="246">
        <v>-5.5</v>
      </c>
      <c r="E8" s="247">
        <v>-5</v>
      </c>
      <c r="F8" s="247">
        <v>-6</v>
      </c>
      <c r="G8" s="247">
        <v>-5.5</v>
      </c>
      <c r="H8" s="247">
        <v>-6.5</v>
      </c>
      <c r="I8" s="247">
        <v>-6</v>
      </c>
      <c r="J8" s="247">
        <v>-7</v>
      </c>
      <c r="K8" s="247">
        <v>-6</v>
      </c>
      <c r="L8" s="248">
        <v>-7</v>
      </c>
      <c r="N8" s="244"/>
      <c r="O8" s="245">
        <v>3</v>
      </c>
      <c r="P8" s="246">
        <v>-7.5</v>
      </c>
      <c r="Q8" s="247">
        <v>-7</v>
      </c>
      <c r="R8" s="247">
        <v>-6.5</v>
      </c>
      <c r="S8" s="247">
        <v>-9</v>
      </c>
      <c r="T8" s="247">
        <v>-8.5</v>
      </c>
      <c r="U8" s="247">
        <v>-7.5</v>
      </c>
      <c r="V8" s="247">
        <v>-9</v>
      </c>
      <c r="W8" s="247">
        <v>-8</v>
      </c>
      <c r="X8" s="247">
        <v>-8</v>
      </c>
      <c r="Z8" s="244"/>
      <c r="AA8" s="245">
        <v>3</v>
      </c>
      <c r="AB8" s="246" t="s">
        <v>803</v>
      </c>
      <c r="AC8" s="247" t="s">
        <v>803</v>
      </c>
      <c r="AD8" s="247" t="s">
        <v>803</v>
      </c>
      <c r="AE8" s="247" t="s">
        <v>803</v>
      </c>
      <c r="AF8" s="247" t="s">
        <v>803</v>
      </c>
      <c r="AG8" s="247" t="s">
        <v>803</v>
      </c>
      <c r="AH8" s="247" t="s">
        <v>803</v>
      </c>
      <c r="AI8" s="247" t="s">
        <v>803</v>
      </c>
      <c r="AJ8" s="247" t="s">
        <v>803</v>
      </c>
      <c r="AL8" s="244"/>
      <c r="AM8" s="245">
        <v>3</v>
      </c>
      <c r="AN8" s="246">
        <v>-4</v>
      </c>
      <c r="AO8" s="247">
        <v>-4</v>
      </c>
      <c r="AP8" s="247">
        <v>-4</v>
      </c>
      <c r="AQ8" s="247">
        <v>-4</v>
      </c>
      <c r="AR8" s="247">
        <v>-4</v>
      </c>
      <c r="AS8" s="247">
        <v>-4</v>
      </c>
      <c r="AT8" s="247">
        <v>-4</v>
      </c>
      <c r="AU8" s="247">
        <v>-4</v>
      </c>
      <c r="AV8" s="247">
        <v>-4</v>
      </c>
      <c r="AX8" s="244"/>
      <c r="AY8" s="245">
        <v>3</v>
      </c>
      <c r="AZ8" s="246">
        <v>-6.5</v>
      </c>
      <c r="BA8" s="247">
        <v>-6</v>
      </c>
      <c r="BB8" s="247">
        <v>-7</v>
      </c>
      <c r="BC8" s="247">
        <v>-6.5</v>
      </c>
      <c r="BD8" s="247">
        <v>-7.5</v>
      </c>
      <c r="BE8" s="247">
        <v>-7</v>
      </c>
      <c r="BF8" s="247">
        <v>-8</v>
      </c>
      <c r="BG8" s="247">
        <v>-7</v>
      </c>
      <c r="BH8" s="248">
        <v>-8</v>
      </c>
    </row>
    <row r="9" spans="1:61" ht="14.45" x14ac:dyDescent="0.3">
      <c r="A9" t="s">
        <v>1283</v>
      </c>
      <c r="B9" s="239" t="s">
        <v>199</v>
      </c>
      <c r="C9" s="240">
        <v>0</v>
      </c>
      <c r="D9" s="241">
        <v>0</v>
      </c>
      <c r="E9" s="242">
        <v>0</v>
      </c>
      <c r="F9" s="242">
        <v>0</v>
      </c>
      <c r="G9" s="242">
        <v>0</v>
      </c>
      <c r="H9" s="242">
        <v>0</v>
      </c>
      <c r="I9" s="242">
        <v>0</v>
      </c>
      <c r="J9" s="242">
        <v>0</v>
      </c>
      <c r="K9" s="242">
        <v>0</v>
      </c>
      <c r="L9" s="243">
        <v>0</v>
      </c>
      <c r="N9" s="239" t="s">
        <v>199</v>
      </c>
      <c r="O9" s="240">
        <v>0</v>
      </c>
      <c r="P9" s="241">
        <v>0</v>
      </c>
      <c r="Q9" s="241">
        <v>0</v>
      </c>
      <c r="R9" s="241">
        <v>0</v>
      </c>
      <c r="S9" s="241">
        <v>0</v>
      </c>
      <c r="T9" s="241">
        <v>0</v>
      </c>
      <c r="U9" s="241">
        <v>0</v>
      </c>
      <c r="V9" s="241">
        <v>0</v>
      </c>
      <c r="W9" s="241">
        <v>0</v>
      </c>
      <c r="X9" s="241">
        <v>0</v>
      </c>
      <c r="Z9" s="239" t="s">
        <v>199</v>
      </c>
      <c r="AA9" s="240">
        <v>0</v>
      </c>
      <c r="AB9" s="241">
        <v>0</v>
      </c>
      <c r="AC9" s="242">
        <v>0</v>
      </c>
      <c r="AD9" s="242">
        <v>0</v>
      </c>
      <c r="AE9" s="242">
        <v>0</v>
      </c>
      <c r="AF9" s="242">
        <v>0</v>
      </c>
      <c r="AG9" s="242">
        <v>0</v>
      </c>
      <c r="AH9" s="242">
        <v>0</v>
      </c>
      <c r="AI9" s="242">
        <v>0</v>
      </c>
      <c r="AJ9" s="242">
        <v>0</v>
      </c>
      <c r="AL9" s="239" t="s">
        <v>199</v>
      </c>
      <c r="AM9" s="240">
        <v>0</v>
      </c>
      <c r="AN9" s="241">
        <v>0</v>
      </c>
      <c r="AO9" s="242">
        <v>0</v>
      </c>
      <c r="AP9" s="242">
        <v>0</v>
      </c>
      <c r="AQ9" s="242">
        <v>0</v>
      </c>
      <c r="AR9" s="242">
        <v>0</v>
      </c>
      <c r="AS9" s="242">
        <v>0</v>
      </c>
      <c r="AT9" s="242">
        <v>0</v>
      </c>
      <c r="AU9" s="242">
        <v>0</v>
      </c>
      <c r="AV9" s="242">
        <v>0</v>
      </c>
      <c r="AX9" s="239" t="s">
        <v>199</v>
      </c>
      <c r="AY9" s="240">
        <v>0</v>
      </c>
      <c r="AZ9" s="241">
        <v>0</v>
      </c>
      <c r="BA9" s="242">
        <v>0</v>
      </c>
      <c r="BB9" s="242">
        <v>0</v>
      </c>
      <c r="BC9" s="242">
        <v>0</v>
      </c>
      <c r="BD9" s="242">
        <v>0</v>
      </c>
      <c r="BE9" s="242">
        <v>0</v>
      </c>
      <c r="BF9" s="242">
        <v>0</v>
      </c>
      <c r="BG9" s="242">
        <v>0</v>
      </c>
      <c r="BH9" s="243">
        <v>0</v>
      </c>
    </row>
    <row r="10" spans="1:61" ht="14.45" x14ac:dyDescent="0.3">
      <c r="A10" t="s">
        <v>1291</v>
      </c>
      <c r="B10" s="674"/>
      <c r="C10" s="675" t="s">
        <v>1155</v>
      </c>
      <c r="D10" s="676">
        <v>-0.5</v>
      </c>
      <c r="E10" s="677">
        <v>-0.5</v>
      </c>
      <c r="F10" s="677">
        <v>-0.5</v>
      </c>
      <c r="G10" s="677">
        <v>0</v>
      </c>
      <c r="H10" s="677">
        <v>0</v>
      </c>
      <c r="I10" s="677">
        <v>0</v>
      </c>
      <c r="J10" s="678">
        <v>0</v>
      </c>
      <c r="K10" s="678">
        <v>0</v>
      </c>
      <c r="L10" s="679">
        <v>0</v>
      </c>
      <c r="N10" s="674"/>
      <c r="O10" s="675" t="s">
        <v>1155</v>
      </c>
      <c r="P10" s="676">
        <v>-0.5</v>
      </c>
      <c r="Q10" s="676">
        <v>-0.5</v>
      </c>
      <c r="R10" s="676">
        <v>-0.5</v>
      </c>
      <c r="S10" s="676">
        <v>0</v>
      </c>
      <c r="T10" s="676">
        <v>0</v>
      </c>
      <c r="U10" s="676">
        <v>0</v>
      </c>
      <c r="V10" s="676">
        <v>0</v>
      </c>
      <c r="W10" s="676">
        <v>0</v>
      </c>
      <c r="X10" s="676">
        <v>0</v>
      </c>
      <c r="Z10" s="674"/>
      <c r="AA10" s="675" t="s">
        <v>1155</v>
      </c>
      <c r="AB10" s="246">
        <f>D10-3</f>
        <v>-3.5</v>
      </c>
      <c r="AC10" s="246">
        <f t="shared" ref="AC10:AC11" si="9">E10-3</f>
        <v>-3.5</v>
      </c>
      <c r="AD10" s="246">
        <f t="shared" ref="AD10:AD11" si="10">F10-3</f>
        <v>-3.5</v>
      </c>
      <c r="AE10" s="246">
        <f t="shared" ref="AE10:AE11" si="11">G10-3</f>
        <v>-3</v>
      </c>
      <c r="AF10" s="246">
        <f t="shared" ref="AF10:AF11" si="12">H10-3</f>
        <v>-3</v>
      </c>
      <c r="AG10" s="246">
        <f t="shared" ref="AG10:AG11" si="13">I10-3</f>
        <v>-3</v>
      </c>
      <c r="AH10" s="246">
        <f t="shared" ref="AH10:AH11" si="14">J10-3</f>
        <v>-3</v>
      </c>
      <c r="AI10" s="246">
        <f t="shared" ref="AI10:AI11" si="15">K10-3</f>
        <v>-3</v>
      </c>
      <c r="AJ10" s="246">
        <f t="shared" ref="AJ10:AJ11" si="16">L10-3</f>
        <v>-3</v>
      </c>
      <c r="AL10" s="674"/>
      <c r="AM10" s="675" t="s">
        <v>1155</v>
      </c>
      <c r="AN10" s="246">
        <v>0</v>
      </c>
      <c r="AO10" s="246">
        <v>0</v>
      </c>
      <c r="AP10" s="246">
        <v>0</v>
      </c>
      <c r="AQ10" s="246">
        <v>0</v>
      </c>
      <c r="AR10" s="246">
        <v>0</v>
      </c>
      <c r="AS10" s="246">
        <v>0</v>
      </c>
      <c r="AT10" s="246">
        <v>0</v>
      </c>
      <c r="AU10" s="246">
        <v>0</v>
      </c>
      <c r="AV10" s="246">
        <v>0</v>
      </c>
      <c r="AX10" s="674"/>
      <c r="AY10" s="675" t="s">
        <v>1155</v>
      </c>
      <c r="AZ10" s="676">
        <v>-1.5</v>
      </c>
      <c r="BA10" s="677">
        <v>-1.5</v>
      </c>
      <c r="BB10" s="677">
        <v>-1.5</v>
      </c>
      <c r="BC10" s="677">
        <v>-1</v>
      </c>
      <c r="BD10" s="677">
        <v>-1</v>
      </c>
      <c r="BE10" s="677">
        <v>-1</v>
      </c>
      <c r="BF10" s="678">
        <v>-1</v>
      </c>
      <c r="BG10" s="678">
        <v>-1</v>
      </c>
      <c r="BH10" s="679">
        <v>-1</v>
      </c>
    </row>
    <row r="11" spans="1:61" ht="14.45" x14ac:dyDescent="0.3">
      <c r="A11" t="s">
        <v>1292</v>
      </c>
      <c r="B11" s="244"/>
      <c r="C11" s="245">
        <v>1</v>
      </c>
      <c r="D11" s="246">
        <v>-1.5</v>
      </c>
      <c r="E11" s="246">
        <v>-1.5</v>
      </c>
      <c r="F11" s="246">
        <v>-1</v>
      </c>
      <c r="G11" s="246">
        <v>-1.5</v>
      </c>
      <c r="H11" s="246">
        <v>-1.5</v>
      </c>
      <c r="I11" s="246">
        <v>-1</v>
      </c>
      <c r="J11" s="247">
        <v>-1.5</v>
      </c>
      <c r="K11" s="247">
        <v>-1.5</v>
      </c>
      <c r="L11" s="248">
        <v>-1</v>
      </c>
      <c r="N11" s="244"/>
      <c r="O11" s="245">
        <v>1</v>
      </c>
      <c r="P11" s="246">
        <v>-3</v>
      </c>
      <c r="Q11" s="246">
        <v>-3</v>
      </c>
      <c r="R11" s="246">
        <v>-2.5</v>
      </c>
      <c r="S11" s="246">
        <v>-3</v>
      </c>
      <c r="T11" s="246">
        <v>-3</v>
      </c>
      <c r="U11" s="246">
        <v>-2.5</v>
      </c>
      <c r="V11" s="246">
        <v>-2.5</v>
      </c>
      <c r="W11" s="246">
        <v>-2.5</v>
      </c>
      <c r="X11" s="246">
        <v>-2</v>
      </c>
      <c r="Z11" s="244"/>
      <c r="AA11" s="245">
        <v>1</v>
      </c>
      <c r="AB11" s="246">
        <f>D11-3</f>
        <v>-4.5</v>
      </c>
      <c r="AC11" s="246">
        <f t="shared" si="9"/>
        <v>-4.5</v>
      </c>
      <c r="AD11" s="246">
        <f t="shared" si="10"/>
        <v>-4</v>
      </c>
      <c r="AE11" s="246">
        <f t="shared" si="11"/>
        <v>-4.5</v>
      </c>
      <c r="AF11" s="246">
        <f t="shared" si="12"/>
        <v>-4.5</v>
      </c>
      <c r="AG11" s="246">
        <f t="shared" si="13"/>
        <v>-4</v>
      </c>
      <c r="AH11" s="246">
        <f t="shared" si="14"/>
        <v>-4.5</v>
      </c>
      <c r="AI11" s="246">
        <f t="shared" si="15"/>
        <v>-4.5</v>
      </c>
      <c r="AJ11" s="246">
        <f t="shared" si="16"/>
        <v>-4</v>
      </c>
      <c r="AL11" s="244"/>
      <c r="AM11" s="245">
        <v>1</v>
      </c>
      <c r="AN11" s="246">
        <v>-1</v>
      </c>
      <c r="AO11" s="246">
        <v>-1</v>
      </c>
      <c r="AP11" s="246">
        <v>-1</v>
      </c>
      <c r="AQ11" s="246">
        <v>-1</v>
      </c>
      <c r="AR11" s="246">
        <v>0</v>
      </c>
      <c r="AS11" s="246">
        <v>0</v>
      </c>
      <c r="AT11" s="246">
        <v>0</v>
      </c>
      <c r="AU11" s="246">
        <v>0</v>
      </c>
      <c r="AV11" s="246">
        <v>0</v>
      </c>
      <c r="AX11" s="244"/>
      <c r="AY11" s="245">
        <v>1</v>
      </c>
      <c r="AZ11" s="246">
        <v>-2.5</v>
      </c>
      <c r="BA11" s="246">
        <v>-2.5</v>
      </c>
      <c r="BB11" s="246">
        <v>-2</v>
      </c>
      <c r="BC11" s="246">
        <v>-2.5</v>
      </c>
      <c r="BD11" s="246">
        <v>-2.5</v>
      </c>
      <c r="BE11" s="246">
        <v>-2</v>
      </c>
      <c r="BF11" s="247">
        <v>-2.5</v>
      </c>
      <c r="BG11" s="247">
        <v>-2.5</v>
      </c>
      <c r="BH11" s="248">
        <v>-2</v>
      </c>
    </row>
    <row r="12" spans="1:61" ht="14.45" x14ac:dyDescent="0.3">
      <c r="A12" t="s">
        <v>1293</v>
      </c>
      <c r="B12" s="244"/>
      <c r="C12" s="245">
        <v>2</v>
      </c>
      <c r="D12" s="246">
        <v>-2.5</v>
      </c>
      <c r="E12" s="247">
        <v>-2.5</v>
      </c>
      <c r="F12" s="247">
        <v>-3</v>
      </c>
      <c r="G12" s="247">
        <v>-3</v>
      </c>
      <c r="H12" s="247">
        <v>-3</v>
      </c>
      <c r="I12" s="247">
        <v>-3</v>
      </c>
      <c r="J12" s="247">
        <v>-4</v>
      </c>
      <c r="K12" s="247">
        <v>-4</v>
      </c>
      <c r="L12" s="248">
        <v>-4</v>
      </c>
      <c r="N12" s="244"/>
      <c r="O12" s="245">
        <v>2</v>
      </c>
      <c r="P12" s="246">
        <v>-4</v>
      </c>
      <c r="Q12" s="247">
        <v>-4</v>
      </c>
      <c r="R12" s="247">
        <v>-3.5</v>
      </c>
      <c r="S12" s="247">
        <v>-4.5</v>
      </c>
      <c r="T12" s="247">
        <v>-4.5</v>
      </c>
      <c r="U12" s="247">
        <v>-3.5</v>
      </c>
      <c r="V12" s="247">
        <v>-5</v>
      </c>
      <c r="W12" s="247">
        <v>-5</v>
      </c>
      <c r="X12" s="247">
        <v>-4</v>
      </c>
      <c r="Z12" s="244"/>
      <c r="AA12" s="245">
        <v>2</v>
      </c>
      <c r="AB12" s="246" t="s">
        <v>803</v>
      </c>
      <c r="AC12" s="247" t="s">
        <v>803</v>
      </c>
      <c r="AD12" s="247" t="s">
        <v>803</v>
      </c>
      <c r="AE12" s="247" t="s">
        <v>803</v>
      </c>
      <c r="AF12" s="247" t="s">
        <v>803</v>
      </c>
      <c r="AG12" s="247" t="s">
        <v>803</v>
      </c>
      <c r="AH12" s="247" t="s">
        <v>803</v>
      </c>
      <c r="AI12" s="247" t="s">
        <v>803</v>
      </c>
      <c r="AJ12" s="247" t="s">
        <v>803</v>
      </c>
      <c r="AL12" s="244"/>
      <c r="AM12" s="245">
        <v>2</v>
      </c>
      <c r="AN12" s="246">
        <v>-3</v>
      </c>
      <c r="AO12" s="247">
        <v>-2</v>
      </c>
      <c r="AP12" s="247">
        <v>-2</v>
      </c>
      <c r="AQ12" s="247">
        <v>-3</v>
      </c>
      <c r="AR12" s="247">
        <v>-2</v>
      </c>
      <c r="AS12" s="247">
        <v>-2</v>
      </c>
      <c r="AT12" s="247">
        <v>-1</v>
      </c>
      <c r="AU12" s="247">
        <v>-1</v>
      </c>
      <c r="AV12" s="247">
        <v>-1</v>
      </c>
      <c r="AX12" s="244"/>
      <c r="AY12" s="245">
        <v>2</v>
      </c>
      <c r="AZ12" s="246">
        <v>-3.5</v>
      </c>
      <c r="BA12" s="247">
        <v>-3.5</v>
      </c>
      <c r="BB12" s="247">
        <v>-4</v>
      </c>
      <c r="BC12" s="247">
        <v>-4</v>
      </c>
      <c r="BD12" s="247">
        <v>-4</v>
      </c>
      <c r="BE12" s="247">
        <v>-4</v>
      </c>
      <c r="BF12" s="247">
        <v>-5</v>
      </c>
      <c r="BG12" s="247">
        <v>-5</v>
      </c>
      <c r="BH12" s="248">
        <v>-5</v>
      </c>
    </row>
    <row r="13" spans="1:61" ht="14.45" x14ac:dyDescent="0.3">
      <c r="A13" t="s">
        <v>1287</v>
      </c>
      <c r="B13" s="692"/>
      <c r="C13" s="250">
        <v>3</v>
      </c>
      <c r="D13" s="251">
        <v>-4</v>
      </c>
      <c r="E13" s="252">
        <v>-4</v>
      </c>
      <c r="F13" s="252">
        <v>-5</v>
      </c>
      <c r="G13" s="252">
        <v>-5</v>
      </c>
      <c r="H13" s="252">
        <v>-5</v>
      </c>
      <c r="I13" s="252">
        <v>-5</v>
      </c>
      <c r="J13" s="252">
        <v>-6</v>
      </c>
      <c r="K13" s="252">
        <v>-6</v>
      </c>
      <c r="L13" s="252">
        <v>-6</v>
      </c>
      <c r="N13" s="692"/>
      <c r="O13" s="250">
        <v>3</v>
      </c>
      <c r="P13" s="251">
        <v>-6</v>
      </c>
      <c r="Q13" s="252">
        <v>-6</v>
      </c>
      <c r="R13" s="252">
        <v>-5.5</v>
      </c>
      <c r="S13" s="252">
        <v>-8</v>
      </c>
      <c r="T13" s="252">
        <v>-8</v>
      </c>
      <c r="U13" s="252">
        <v>-6.5</v>
      </c>
      <c r="V13" s="252">
        <v>-7</v>
      </c>
      <c r="W13" s="252">
        <v>-7</v>
      </c>
      <c r="X13" s="252">
        <v>-6</v>
      </c>
      <c r="Z13" s="692"/>
      <c r="AA13" s="250">
        <v>3</v>
      </c>
      <c r="AB13" s="251" t="s">
        <v>803</v>
      </c>
      <c r="AC13" s="252" t="s">
        <v>803</v>
      </c>
      <c r="AD13" s="252" t="s">
        <v>803</v>
      </c>
      <c r="AE13" s="252" t="s">
        <v>803</v>
      </c>
      <c r="AF13" s="252" t="s">
        <v>803</v>
      </c>
      <c r="AG13" s="252" t="s">
        <v>803</v>
      </c>
      <c r="AH13" s="252" t="s">
        <v>803</v>
      </c>
      <c r="AI13" s="252" t="s">
        <v>803</v>
      </c>
      <c r="AJ13" s="252" t="s">
        <v>803</v>
      </c>
      <c r="AL13" s="692"/>
      <c r="AM13" s="250">
        <v>3</v>
      </c>
      <c r="AN13" s="251">
        <v>-4</v>
      </c>
      <c r="AO13" s="252">
        <v>-3</v>
      </c>
      <c r="AP13" s="252">
        <v>-3</v>
      </c>
      <c r="AQ13" s="252">
        <v>-4</v>
      </c>
      <c r="AR13" s="252">
        <v>-3</v>
      </c>
      <c r="AS13" s="252">
        <v>-3</v>
      </c>
      <c r="AT13" s="252">
        <v>-3</v>
      </c>
      <c r="AU13" s="252">
        <v>-3</v>
      </c>
      <c r="AV13" s="252">
        <v>-3</v>
      </c>
      <c r="AX13" s="692"/>
      <c r="AY13" s="250">
        <v>3</v>
      </c>
      <c r="AZ13" s="251">
        <v>-5</v>
      </c>
      <c r="BA13" s="252">
        <v>-5</v>
      </c>
      <c r="BB13" s="252">
        <v>-6</v>
      </c>
      <c r="BC13" s="252">
        <v>-6</v>
      </c>
      <c r="BD13" s="252">
        <v>-6</v>
      </c>
      <c r="BE13" s="252">
        <v>-6</v>
      </c>
      <c r="BF13" s="252">
        <v>-7</v>
      </c>
      <c r="BG13" s="252">
        <v>-7</v>
      </c>
      <c r="BH13" s="252">
        <v>-7</v>
      </c>
    </row>
    <row r="14" spans="1:61" ht="14.45" x14ac:dyDescent="0.3">
      <c r="AZ14" s="817">
        <f>COLUMN()-COLUMN(D14)</f>
        <v>48</v>
      </c>
    </row>
    <row r="15" spans="1:61" ht="14.45" x14ac:dyDescent="0.3">
      <c r="B15" s="1" t="s">
        <v>910</v>
      </c>
      <c r="C15" s="351" t="s">
        <v>1464</v>
      </c>
      <c r="N15" s="1" t="s">
        <v>906</v>
      </c>
      <c r="O15" s="351" t="s">
        <v>1146</v>
      </c>
      <c r="Z15" s="1" t="s">
        <v>906</v>
      </c>
      <c r="AA15" s="351" t="s">
        <v>1148</v>
      </c>
      <c r="AE15" s="825"/>
      <c r="AX15" s="1" t="s">
        <v>910</v>
      </c>
      <c r="AY15" s="351" t="s">
        <v>1466</v>
      </c>
    </row>
    <row r="16" spans="1:61" ht="14.45" x14ac:dyDescent="0.3">
      <c r="D16" s="854" t="s">
        <v>315</v>
      </c>
      <c r="E16" s="854"/>
      <c r="F16" s="854"/>
      <c r="G16" s="854"/>
      <c r="H16" s="854"/>
      <c r="I16" s="854"/>
      <c r="J16" s="854"/>
      <c r="K16" s="854"/>
      <c r="L16" s="854"/>
      <c r="P16" s="854" t="s">
        <v>315</v>
      </c>
      <c r="Q16" s="854"/>
      <c r="R16" s="854"/>
      <c r="S16" s="854"/>
      <c r="T16" s="854"/>
      <c r="U16" s="854"/>
      <c r="V16" s="854"/>
      <c r="W16" s="854"/>
      <c r="X16" s="854"/>
      <c r="AB16" s="854" t="s">
        <v>315</v>
      </c>
      <c r="AC16" s="854"/>
      <c r="AD16" s="854"/>
      <c r="AE16" s="854"/>
      <c r="AF16" s="854"/>
      <c r="AG16" s="854"/>
      <c r="AH16" s="854"/>
      <c r="AI16" s="854"/>
      <c r="AJ16" s="854"/>
      <c r="AZ16" s="854" t="s">
        <v>315</v>
      </c>
      <c r="BA16" s="854"/>
      <c r="BB16" s="854"/>
      <c r="BC16" s="854"/>
      <c r="BD16" s="854"/>
      <c r="BE16" s="854"/>
      <c r="BF16" s="854"/>
      <c r="BG16" s="854"/>
      <c r="BH16" s="854"/>
    </row>
    <row r="17" spans="1:60" ht="14.45" x14ac:dyDescent="0.3">
      <c r="C17" t="s">
        <v>173</v>
      </c>
      <c r="D17" s="238">
        <v>1</v>
      </c>
      <c r="E17" s="238">
        <v>2</v>
      </c>
      <c r="F17" s="238">
        <v>3</v>
      </c>
      <c r="G17" s="238">
        <v>4</v>
      </c>
      <c r="H17" s="238">
        <v>5</v>
      </c>
      <c r="I17" s="238">
        <v>6</v>
      </c>
      <c r="J17" s="238">
        <v>7</v>
      </c>
      <c r="K17" s="238">
        <v>8</v>
      </c>
      <c r="L17" s="238">
        <v>9</v>
      </c>
      <c r="O17" t="s">
        <v>173</v>
      </c>
      <c r="P17" s="238">
        <v>1</v>
      </c>
      <c r="Q17" s="238">
        <v>2</v>
      </c>
      <c r="R17" s="238">
        <v>3</v>
      </c>
      <c r="S17" s="238">
        <v>4</v>
      </c>
      <c r="T17" s="238">
        <v>5</v>
      </c>
      <c r="U17" s="238">
        <v>6</v>
      </c>
      <c r="V17" s="238">
        <v>7</v>
      </c>
      <c r="W17" s="238">
        <v>8</v>
      </c>
      <c r="X17" s="238">
        <v>9</v>
      </c>
      <c r="AA17" t="s">
        <v>173</v>
      </c>
      <c r="AB17" s="238">
        <v>1</v>
      </c>
      <c r="AC17" s="238">
        <v>2</v>
      </c>
      <c r="AD17" s="238">
        <v>3</v>
      </c>
      <c r="AE17" s="238">
        <v>4</v>
      </c>
      <c r="AF17" s="238">
        <v>5</v>
      </c>
      <c r="AG17" s="238">
        <v>6</v>
      </c>
      <c r="AH17" s="238">
        <v>7</v>
      </c>
      <c r="AI17" s="238">
        <v>8</v>
      </c>
      <c r="AJ17" s="238">
        <v>9</v>
      </c>
      <c r="AY17" t="s">
        <v>173</v>
      </c>
      <c r="AZ17" s="238">
        <v>1</v>
      </c>
      <c r="BA17" s="238">
        <v>2</v>
      </c>
      <c r="BB17" s="238">
        <v>3</v>
      </c>
      <c r="BC17" s="238">
        <v>4</v>
      </c>
      <c r="BD17" s="238">
        <v>5</v>
      </c>
      <c r="BE17" s="238">
        <v>6</v>
      </c>
      <c r="BF17" s="238">
        <v>7</v>
      </c>
      <c r="BG17" s="238">
        <v>8</v>
      </c>
      <c r="BH17" s="238">
        <v>9</v>
      </c>
    </row>
    <row r="18" spans="1:60" ht="14.45" x14ac:dyDescent="0.3">
      <c r="A18" t="s">
        <v>1294</v>
      </c>
      <c r="B18" s="239" t="s">
        <v>185</v>
      </c>
      <c r="C18" s="240">
        <v>0</v>
      </c>
      <c r="D18" s="241">
        <v>0</v>
      </c>
      <c r="E18" s="242">
        <v>0</v>
      </c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N18" s="239" t="s">
        <v>185</v>
      </c>
      <c r="O18" s="240">
        <v>0</v>
      </c>
      <c r="P18" s="241">
        <v>0</v>
      </c>
      <c r="Q18" s="242">
        <v>0</v>
      </c>
      <c r="R18" s="242">
        <v>0</v>
      </c>
      <c r="S18" s="242">
        <v>0</v>
      </c>
      <c r="T18" s="242">
        <v>0</v>
      </c>
      <c r="U18" s="242">
        <v>0</v>
      </c>
      <c r="V18" s="242">
        <v>0</v>
      </c>
      <c r="W18" s="242">
        <v>0</v>
      </c>
      <c r="X18" s="242">
        <v>0</v>
      </c>
      <c r="Z18" s="239" t="s">
        <v>185</v>
      </c>
      <c r="AA18" s="240">
        <v>0</v>
      </c>
      <c r="AB18" s="241">
        <v>0</v>
      </c>
      <c r="AC18" s="242">
        <v>0</v>
      </c>
      <c r="AD18" s="242">
        <v>0</v>
      </c>
      <c r="AE18" s="242">
        <v>0</v>
      </c>
      <c r="AF18" s="242">
        <v>0</v>
      </c>
      <c r="AG18" s="242">
        <v>0</v>
      </c>
      <c r="AH18" s="242">
        <v>0</v>
      </c>
      <c r="AI18" s="242">
        <v>0</v>
      </c>
      <c r="AJ18" s="242">
        <v>0</v>
      </c>
      <c r="AX18" s="239" t="s">
        <v>185</v>
      </c>
      <c r="AY18" s="240">
        <v>0</v>
      </c>
      <c r="AZ18" s="241">
        <v>0</v>
      </c>
      <c r="BA18" s="242">
        <v>0</v>
      </c>
      <c r="BB18" s="242">
        <v>0</v>
      </c>
      <c r="BC18" s="242">
        <v>0</v>
      </c>
      <c r="BD18" s="242">
        <v>0</v>
      </c>
      <c r="BE18" s="242">
        <v>0</v>
      </c>
      <c r="BF18" s="242">
        <v>0</v>
      </c>
      <c r="BG18" s="242">
        <v>0</v>
      </c>
      <c r="BH18" s="242">
        <v>0</v>
      </c>
    </row>
    <row r="19" spans="1:60" ht="14.45" x14ac:dyDescent="0.3">
      <c r="A19" t="s">
        <v>1295</v>
      </c>
      <c r="B19" s="674"/>
      <c r="C19" s="675" t="s">
        <v>1155</v>
      </c>
      <c r="D19" s="676">
        <v>-0.5</v>
      </c>
      <c r="E19" s="676">
        <v>-0.5</v>
      </c>
      <c r="F19" s="676">
        <v>-0.5</v>
      </c>
      <c r="G19" s="676">
        <v>0</v>
      </c>
      <c r="H19" s="676">
        <v>0</v>
      </c>
      <c r="I19" s="676">
        <v>0</v>
      </c>
      <c r="J19" s="676">
        <v>0</v>
      </c>
      <c r="K19" s="676">
        <v>0</v>
      </c>
      <c r="L19" s="676">
        <v>0</v>
      </c>
      <c r="N19" s="674"/>
      <c r="O19" s="675" t="s">
        <v>1155</v>
      </c>
      <c r="P19" s="676">
        <v>-0.5</v>
      </c>
      <c r="Q19" s="678">
        <v>-0.5</v>
      </c>
      <c r="R19" s="678">
        <v>-0.5</v>
      </c>
      <c r="S19" s="678">
        <v>-0.5</v>
      </c>
      <c r="T19" s="678">
        <v>-0.5</v>
      </c>
      <c r="U19" s="678">
        <v>0</v>
      </c>
      <c r="V19" s="678">
        <v>0</v>
      </c>
      <c r="W19" s="678">
        <v>0</v>
      </c>
      <c r="X19" s="678">
        <v>0</v>
      </c>
      <c r="Z19" s="674"/>
      <c r="AA19" s="675" t="s">
        <v>1155</v>
      </c>
      <c r="AB19" s="676">
        <f>D19-3</f>
        <v>-3.5</v>
      </c>
      <c r="AC19" s="678">
        <f t="shared" ref="AC19:AC20" si="17">E19-3</f>
        <v>-3.5</v>
      </c>
      <c r="AD19" s="678">
        <f t="shared" ref="AD19:AD20" si="18">F19-3</f>
        <v>-3.5</v>
      </c>
      <c r="AE19" s="678">
        <f t="shared" ref="AE19:AE20" si="19">G19-3</f>
        <v>-3</v>
      </c>
      <c r="AF19" s="678">
        <f t="shared" ref="AF19:AF20" si="20">H19-3</f>
        <v>-3</v>
      </c>
      <c r="AG19" s="678">
        <f t="shared" ref="AG19:AG20" si="21">I19-3</f>
        <v>-3</v>
      </c>
      <c r="AH19" s="678">
        <f t="shared" ref="AH19:AH20" si="22">J19-3</f>
        <v>-3</v>
      </c>
      <c r="AI19" s="678">
        <f t="shared" ref="AI19:AI20" si="23">K19-3</f>
        <v>-3</v>
      </c>
      <c r="AJ19" s="678">
        <f t="shared" ref="AJ19:AJ20" si="24">L19-3</f>
        <v>-3</v>
      </c>
      <c r="AX19" s="674"/>
      <c r="AY19" s="675" t="s">
        <v>1155</v>
      </c>
      <c r="AZ19" s="676">
        <v>-1.5</v>
      </c>
      <c r="BA19" s="676">
        <v>-1.5</v>
      </c>
      <c r="BB19" s="676">
        <v>-1.5</v>
      </c>
      <c r="BC19" s="676">
        <v>-1</v>
      </c>
      <c r="BD19" s="676">
        <v>-1</v>
      </c>
      <c r="BE19" s="676">
        <v>-1</v>
      </c>
      <c r="BF19" s="676">
        <v>-1</v>
      </c>
      <c r="BG19" s="676">
        <v>-1</v>
      </c>
      <c r="BH19" s="676">
        <v>-1</v>
      </c>
    </row>
    <row r="20" spans="1:60" ht="14.45" x14ac:dyDescent="0.3">
      <c r="A20" t="s">
        <v>1296</v>
      </c>
      <c r="B20" s="244"/>
      <c r="C20" s="245">
        <v>1</v>
      </c>
      <c r="D20" s="246">
        <v>-2</v>
      </c>
      <c r="E20" s="246">
        <v>-2</v>
      </c>
      <c r="F20" s="246">
        <v>-1.5</v>
      </c>
      <c r="G20" s="247">
        <v>-2</v>
      </c>
      <c r="H20" s="246">
        <v>-2</v>
      </c>
      <c r="I20" s="246">
        <v>-1.5</v>
      </c>
      <c r="J20" s="247">
        <v>-2</v>
      </c>
      <c r="K20" s="247">
        <v>-1.5</v>
      </c>
      <c r="L20" s="247">
        <v>-1</v>
      </c>
      <c r="N20" s="244"/>
      <c r="O20" s="245">
        <v>1</v>
      </c>
      <c r="P20" s="246">
        <v>-3.5</v>
      </c>
      <c r="Q20" s="247">
        <v>-3.5</v>
      </c>
      <c r="R20" s="247">
        <v>-3</v>
      </c>
      <c r="S20" s="247">
        <v>-3.5</v>
      </c>
      <c r="T20" s="247">
        <v>-3.5</v>
      </c>
      <c r="U20" s="247">
        <v>-3</v>
      </c>
      <c r="V20" s="247">
        <v>-3</v>
      </c>
      <c r="W20" s="247">
        <v>-3</v>
      </c>
      <c r="X20" s="247">
        <v>-2.5</v>
      </c>
      <c r="Z20" s="244"/>
      <c r="AA20" s="245">
        <v>1</v>
      </c>
      <c r="AB20" s="246">
        <f>D20-3</f>
        <v>-5</v>
      </c>
      <c r="AC20" s="247">
        <f t="shared" si="17"/>
        <v>-5</v>
      </c>
      <c r="AD20" s="247">
        <f t="shared" si="18"/>
        <v>-4.5</v>
      </c>
      <c r="AE20" s="247">
        <f t="shared" si="19"/>
        <v>-5</v>
      </c>
      <c r="AF20" s="247">
        <f t="shared" si="20"/>
        <v>-5</v>
      </c>
      <c r="AG20" s="247">
        <f t="shared" si="21"/>
        <v>-4.5</v>
      </c>
      <c r="AH20" s="247">
        <f t="shared" si="22"/>
        <v>-5</v>
      </c>
      <c r="AI20" s="247">
        <f t="shared" si="23"/>
        <v>-4.5</v>
      </c>
      <c r="AJ20" s="247">
        <f t="shared" si="24"/>
        <v>-4</v>
      </c>
      <c r="AX20" s="244"/>
      <c r="AY20" s="245">
        <v>1</v>
      </c>
      <c r="AZ20" s="246">
        <v>-3</v>
      </c>
      <c r="BA20" s="246">
        <v>-3</v>
      </c>
      <c r="BB20" s="246">
        <v>-2.5</v>
      </c>
      <c r="BC20" s="247">
        <v>-3</v>
      </c>
      <c r="BD20" s="246">
        <v>-3</v>
      </c>
      <c r="BE20" s="246">
        <v>-2.5</v>
      </c>
      <c r="BF20" s="247">
        <v>-3</v>
      </c>
      <c r="BG20" s="247">
        <v>-2.5</v>
      </c>
      <c r="BH20" s="247">
        <v>-2</v>
      </c>
    </row>
    <row r="21" spans="1:60" ht="14.45" x14ac:dyDescent="0.3">
      <c r="A21" t="s">
        <v>1297</v>
      </c>
      <c r="B21" s="244"/>
      <c r="C21" s="245">
        <v>2</v>
      </c>
      <c r="D21" s="246">
        <v>-3.5</v>
      </c>
      <c r="E21" s="247">
        <v>-3.5</v>
      </c>
      <c r="F21" s="247">
        <v>-3</v>
      </c>
      <c r="G21" s="247">
        <v>-4</v>
      </c>
      <c r="H21" s="247">
        <v>-3.5</v>
      </c>
      <c r="I21" s="247">
        <v>-3</v>
      </c>
      <c r="J21" s="247">
        <v>-4</v>
      </c>
      <c r="K21" s="247">
        <v>-4.5</v>
      </c>
      <c r="L21" s="247">
        <v>-4</v>
      </c>
      <c r="N21" s="244"/>
      <c r="O21" s="245">
        <v>2</v>
      </c>
      <c r="P21" s="246">
        <v>-5</v>
      </c>
      <c r="Q21" s="246">
        <v>-5</v>
      </c>
      <c r="R21" s="246">
        <v>-4.5</v>
      </c>
      <c r="S21" s="246">
        <v>-5.5</v>
      </c>
      <c r="T21" s="246">
        <v>-5</v>
      </c>
      <c r="U21" s="246">
        <v>-4.5</v>
      </c>
      <c r="V21" s="246">
        <v>-5</v>
      </c>
      <c r="W21" s="246">
        <v>-5</v>
      </c>
      <c r="X21" s="246">
        <v>-5</v>
      </c>
      <c r="Z21" s="244"/>
      <c r="AA21" s="245">
        <v>2</v>
      </c>
      <c r="AB21" s="246" t="s">
        <v>803</v>
      </c>
      <c r="AC21" s="246" t="s">
        <v>803</v>
      </c>
      <c r="AD21" s="246" t="s">
        <v>803</v>
      </c>
      <c r="AE21" s="246" t="s">
        <v>803</v>
      </c>
      <c r="AF21" s="246" t="s">
        <v>803</v>
      </c>
      <c r="AG21" s="246" t="s">
        <v>803</v>
      </c>
      <c r="AH21" s="246" t="s">
        <v>803</v>
      </c>
      <c r="AI21" s="246" t="s">
        <v>803</v>
      </c>
      <c r="AJ21" s="246" t="s">
        <v>803</v>
      </c>
      <c r="AX21" s="244"/>
      <c r="AY21" s="245">
        <v>2</v>
      </c>
      <c r="AZ21" s="246">
        <v>-4.5</v>
      </c>
      <c r="BA21" s="247">
        <v>-4.5</v>
      </c>
      <c r="BB21" s="247">
        <v>-4</v>
      </c>
      <c r="BC21" s="247">
        <v>-5</v>
      </c>
      <c r="BD21" s="247">
        <v>-4.5</v>
      </c>
      <c r="BE21" s="247">
        <v>-4</v>
      </c>
      <c r="BF21" s="247">
        <v>-5</v>
      </c>
      <c r="BG21" s="247">
        <v>-5.5</v>
      </c>
      <c r="BH21" s="247">
        <v>-5</v>
      </c>
    </row>
    <row r="22" spans="1:60" ht="14.45" x14ac:dyDescent="0.3">
      <c r="A22" t="s">
        <v>1314</v>
      </c>
      <c r="B22" s="244"/>
      <c r="C22" s="245">
        <v>3</v>
      </c>
      <c r="D22" s="246">
        <v>-5.5</v>
      </c>
      <c r="E22" s="247">
        <v>-5</v>
      </c>
      <c r="F22" s="247">
        <v>-4.5</v>
      </c>
      <c r="G22" s="247">
        <v>-7</v>
      </c>
      <c r="H22" s="247">
        <v>-6.5</v>
      </c>
      <c r="I22" s="247">
        <v>-5.5</v>
      </c>
      <c r="J22" s="247">
        <v>-7</v>
      </c>
      <c r="K22" s="247">
        <v>-6</v>
      </c>
      <c r="L22" s="247">
        <v>-6</v>
      </c>
      <c r="N22" s="244"/>
      <c r="O22" s="245">
        <v>3</v>
      </c>
      <c r="P22" s="246">
        <v>-7.5</v>
      </c>
      <c r="Q22" s="247">
        <v>-7</v>
      </c>
      <c r="R22" s="247">
        <v>-6.5</v>
      </c>
      <c r="S22" s="247">
        <v>-9</v>
      </c>
      <c r="T22" s="247">
        <v>-8</v>
      </c>
      <c r="U22" s="247">
        <v>-7</v>
      </c>
      <c r="V22" s="247">
        <v>-8.5</v>
      </c>
      <c r="W22" s="247">
        <v>-7.5</v>
      </c>
      <c r="X22" s="247">
        <v>-7</v>
      </c>
      <c r="Z22" s="244"/>
      <c r="AA22" s="245">
        <v>3</v>
      </c>
      <c r="AB22" s="246" t="s">
        <v>803</v>
      </c>
      <c r="AC22" s="247" t="s">
        <v>803</v>
      </c>
      <c r="AD22" s="247" t="s">
        <v>803</v>
      </c>
      <c r="AE22" s="247" t="s">
        <v>803</v>
      </c>
      <c r="AF22" s="247" t="s">
        <v>803</v>
      </c>
      <c r="AG22" s="247" t="s">
        <v>803</v>
      </c>
      <c r="AH22" s="247" t="s">
        <v>803</v>
      </c>
      <c r="AI22" s="247" t="s">
        <v>803</v>
      </c>
      <c r="AJ22" s="247" t="s">
        <v>803</v>
      </c>
      <c r="AX22" s="244"/>
      <c r="AY22" s="245">
        <v>3</v>
      </c>
      <c r="AZ22" s="246">
        <v>-6.5</v>
      </c>
      <c r="BA22" s="247">
        <v>-6</v>
      </c>
      <c r="BB22" s="247">
        <v>-5.5</v>
      </c>
      <c r="BC22" s="247">
        <v>-8</v>
      </c>
      <c r="BD22" s="247">
        <v>-7.5</v>
      </c>
      <c r="BE22" s="247">
        <v>-6.5</v>
      </c>
      <c r="BF22" s="247">
        <v>-8</v>
      </c>
      <c r="BG22" s="247">
        <v>-7</v>
      </c>
      <c r="BH22" s="247">
        <v>-7</v>
      </c>
    </row>
    <row r="23" spans="1:60" ht="14.45" x14ac:dyDescent="0.3">
      <c r="A23" t="s">
        <v>1294</v>
      </c>
      <c r="B23" s="239" t="s">
        <v>199</v>
      </c>
      <c r="C23" s="240">
        <v>0</v>
      </c>
      <c r="D23" s="241">
        <v>0</v>
      </c>
      <c r="E23" s="242">
        <v>0</v>
      </c>
      <c r="F23" s="242">
        <v>0</v>
      </c>
      <c r="G23" s="242">
        <v>0</v>
      </c>
      <c r="H23" s="242">
        <v>0</v>
      </c>
      <c r="I23" s="242">
        <v>0</v>
      </c>
      <c r="J23" s="242">
        <v>0</v>
      </c>
      <c r="K23" s="242">
        <v>0</v>
      </c>
      <c r="L23" s="242">
        <v>0</v>
      </c>
      <c r="N23" s="239" t="s">
        <v>199</v>
      </c>
      <c r="O23" s="240">
        <v>0</v>
      </c>
      <c r="P23" s="241">
        <v>0</v>
      </c>
      <c r="Q23" s="241">
        <v>0</v>
      </c>
      <c r="R23" s="241">
        <v>0</v>
      </c>
      <c r="S23" s="241">
        <v>0</v>
      </c>
      <c r="T23" s="241">
        <v>0</v>
      </c>
      <c r="U23" s="241">
        <v>0</v>
      </c>
      <c r="V23" s="241">
        <v>0</v>
      </c>
      <c r="W23" s="241">
        <v>0</v>
      </c>
      <c r="X23" s="241">
        <v>0</v>
      </c>
      <c r="Z23" s="239" t="s">
        <v>199</v>
      </c>
      <c r="AA23" s="240">
        <v>0</v>
      </c>
      <c r="AB23" s="241">
        <v>0</v>
      </c>
      <c r="AC23" s="242">
        <v>0</v>
      </c>
      <c r="AD23" s="242">
        <v>0</v>
      </c>
      <c r="AE23" s="242">
        <v>0</v>
      </c>
      <c r="AF23" s="242">
        <v>0</v>
      </c>
      <c r="AG23" s="242">
        <v>0</v>
      </c>
      <c r="AH23" s="242">
        <v>0</v>
      </c>
      <c r="AI23" s="242">
        <v>0</v>
      </c>
      <c r="AJ23" s="242">
        <v>0</v>
      </c>
      <c r="AX23" s="239" t="s">
        <v>199</v>
      </c>
      <c r="AY23" s="240">
        <v>0</v>
      </c>
      <c r="AZ23" s="241">
        <v>0</v>
      </c>
      <c r="BA23" s="242">
        <v>0</v>
      </c>
      <c r="BB23" s="242">
        <v>0</v>
      </c>
      <c r="BC23" s="242">
        <v>0</v>
      </c>
      <c r="BD23" s="242">
        <v>0</v>
      </c>
      <c r="BE23" s="242">
        <v>0</v>
      </c>
      <c r="BF23" s="242">
        <v>0</v>
      </c>
      <c r="BG23" s="242">
        <v>0</v>
      </c>
      <c r="BH23" s="243">
        <v>0</v>
      </c>
    </row>
    <row r="24" spans="1:60" ht="14.45" x14ac:dyDescent="0.3">
      <c r="A24" t="s">
        <v>1299</v>
      </c>
      <c r="B24" s="674"/>
      <c r="C24" s="675" t="s">
        <v>1155</v>
      </c>
      <c r="D24" s="676">
        <v>-0.5</v>
      </c>
      <c r="E24" s="677">
        <v>-0.5</v>
      </c>
      <c r="F24" s="677">
        <v>-0.5</v>
      </c>
      <c r="G24" s="677">
        <v>0</v>
      </c>
      <c r="H24" s="677">
        <v>0</v>
      </c>
      <c r="I24" s="677">
        <v>0</v>
      </c>
      <c r="J24" s="678">
        <v>0</v>
      </c>
      <c r="K24" s="678">
        <v>0</v>
      </c>
      <c r="L24" s="678">
        <v>0</v>
      </c>
      <c r="N24" s="674"/>
      <c r="O24" s="675" t="s">
        <v>1155</v>
      </c>
      <c r="P24" s="676">
        <v>-0.5</v>
      </c>
      <c r="Q24" s="676">
        <v>-0.5</v>
      </c>
      <c r="R24" s="676">
        <v>-0.5</v>
      </c>
      <c r="S24" s="676">
        <v>-0.5</v>
      </c>
      <c r="T24" s="676">
        <v>-0.5</v>
      </c>
      <c r="U24" s="676">
        <v>0</v>
      </c>
      <c r="V24" s="676">
        <v>0</v>
      </c>
      <c r="W24" s="676">
        <v>0</v>
      </c>
      <c r="X24" s="676">
        <v>0</v>
      </c>
      <c r="Z24" s="674"/>
      <c r="AA24" s="675" t="s">
        <v>1155</v>
      </c>
      <c r="AB24" s="676">
        <f>D24-3</f>
        <v>-3.5</v>
      </c>
      <c r="AC24" s="677">
        <f t="shared" ref="AC24:AC25" si="25">E24-3</f>
        <v>-3.5</v>
      </c>
      <c r="AD24" s="677">
        <f t="shared" ref="AD24:AD25" si="26">F24-3</f>
        <v>-3.5</v>
      </c>
      <c r="AE24" s="677">
        <f t="shared" ref="AE24:AE25" si="27">G24-3</f>
        <v>-3</v>
      </c>
      <c r="AF24" s="677">
        <f t="shared" ref="AF24:AF25" si="28">H24-3</f>
        <v>-3</v>
      </c>
      <c r="AG24" s="677">
        <f t="shared" ref="AG24:AG25" si="29">I24-3</f>
        <v>-3</v>
      </c>
      <c r="AH24" s="677">
        <f t="shared" ref="AH24:AH25" si="30">J24-3</f>
        <v>-3</v>
      </c>
      <c r="AI24" s="677">
        <f t="shared" ref="AI24:AI25" si="31">K24-3</f>
        <v>-3</v>
      </c>
      <c r="AJ24" s="677">
        <f t="shared" ref="AJ24:AJ25" si="32">L24-3</f>
        <v>-3</v>
      </c>
      <c r="AX24" s="674"/>
      <c r="AY24" s="675" t="s">
        <v>1155</v>
      </c>
      <c r="AZ24" s="676">
        <v>-1.5</v>
      </c>
      <c r="BA24" s="677">
        <v>-1.5</v>
      </c>
      <c r="BB24" s="677">
        <v>-1.5</v>
      </c>
      <c r="BC24" s="677">
        <v>-1</v>
      </c>
      <c r="BD24" s="677">
        <v>-1</v>
      </c>
      <c r="BE24" s="677">
        <v>-1</v>
      </c>
      <c r="BF24" s="678">
        <v>-1</v>
      </c>
      <c r="BG24" s="678">
        <v>-1</v>
      </c>
      <c r="BH24" s="678">
        <v>-1</v>
      </c>
    </row>
    <row r="25" spans="1:60" ht="14.45" x14ac:dyDescent="0.3">
      <c r="A25" t="s">
        <v>1300</v>
      </c>
      <c r="B25" s="244"/>
      <c r="C25" s="245">
        <v>1</v>
      </c>
      <c r="D25" s="246">
        <v>-1.5</v>
      </c>
      <c r="E25" s="246">
        <v>-1.5</v>
      </c>
      <c r="F25" s="246">
        <v>-1</v>
      </c>
      <c r="G25" s="246">
        <v>-1.5</v>
      </c>
      <c r="H25" s="246">
        <v>-1.5</v>
      </c>
      <c r="I25" s="246">
        <v>-1</v>
      </c>
      <c r="J25" s="247">
        <v>-1</v>
      </c>
      <c r="K25" s="247">
        <v>-1</v>
      </c>
      <c r="L25" s="247">
        <v>-1</v>
      </c>
      <c r="N25" s="244"/>
      <c r="O25" s="245">
        <v>1</v>
      </c>
      <c r="P25" s="246">
        <v>-3</v>
      </c>
      <c r="Q25" s="246">
        <v>-3</v>
      </c>
      <c r="R25" s="246">
        <v>-2.5</v>
      </c>
      <c r="S25" s="246">
        <v>-3</v>
      </c>
      <c r="T25" s="246">
        <v>-3</v>
      </c>
      <c r="U25" s="246">
        <v>-2.5</v>
      </c>
      <c r="V25" s="246">
        <v>-2.5</v>
      </c>
      <c r="W25" s="246">
        <v>-2.5</v>
      </c>
      <c r="X25" s="246">
        <v>-2</v>
      </c>
      <c r="Z25" s="244"/>
      <c r="AA25" s="245">
        <v>1</v>
      </c>
      <c r="AB25" s="246">
        <f>D25-3</f>
        <v>-4.5</v>
      </c>
      <c r="AC25" s="246">
        <f t="shared" si="25"/>
        <v>-4.5</v>
      </c>
      <c r="AD25" s="246">
        <f t="shared" si="26"/>
        <v>-4</v>
      </c>
      <c r="AE25" s="246">
        <f t="shared" si="27"/>
        <v>-4.5</v>
      </c>
      <c r="AF25" s="246">
        <f t="shared" si="28"/>
        <v>-4.5</v>
      </c>
      <c r="AG25" s="246">
        <f t="shared" si="29"/>
        <v>-4</v>
      </c>
      <c r="AH25" s="246">
        <f t="shared" si="30"/>
        <v>-4</v>
      </c>
      <c r="AI25" s="246">
        <f t="shared" si="31"/>
        <v>-4</v>
      </c>
      <c r="AJ25" s="246">
        <f t="shared" si="32"/>
        <v>-4</v>
      </c>
      <c r="AX25" s="244"/>
      <c r="AY25" s="245">
        <v>1</v>
      </c>
      <c r="AZ25" s="246">
        <v>-2.5</v>
      </c>
      <c r="BA25" s="246">
        <v>-2.5</v>
      </c>
      <c r="BB25" s="246">
        <v>-2</v>
      </c>
      <c r="BC25" s="246">
        <v>-2.5</v>
      </c>
      <c r="BD25" s="246">
        <v>-2.5</v>
      </c>
      <c r="BE25" s="246">
        <v>-2</v>
      </c>
      <c r="BF25" s="247">
        <v>-2</v>
      </c>
      <c r="BG25" s="247">
        <v>-2</v>
      </c>
      <c r="BH25" s="247">
        <v>-2</v>
      </c>
    </row>
    <row r="26" spans="1:60" ht="14.45" x14ac:dyDescent="0.3">
      <c r="A26" t="s">
        <v>1301</v>
      </c>
      <c r="B26" s="244"/>
      <c r="C26" s="245">
        <v>2</v>
      </c>
      <c r="D26" s="246">
        <v>-2.5</v>
      </c>
      <c r="E26" s="247">
        <v>-2.5</v>
      </c>
      <c r="F26" s="247">
        <v>-2</v>
      </c>
      <c r="G26" s="247">
        <v>-3</v>
      </c>
      <c r="H26" s="247">
        <v>-3</v>
      </c>
      <c r="I26" s="247">
        <v>-2</v>
      </c>
      <c r="J26" s="247">
        <v>-3</v>
      </c>
      <c r="K26" s="247">
        <v>-3</v>
      </c>
      <c r="L26" s="247">
        <v>-3</v>
      </c>
      <c r="N26" s="244"/>
      <c r="O26" s="245">
        <v>2</v>
      </c>
      <c r="P26" s="246">
        <v>-4</v>
      </c>
      <c r="Q26" s="247">
        <v>-4</v>
      </c>
      <c r="R26" s="247">
        <v>-3.5</v>
      </c>
      <c r="S26" s="247">
        <v>-4.5</v>
      </c>
      <c r="T26" s="247">
        <v>-4.5</v>
      </c>
      <c r="U26" s="247">
        <v>-3.5</v>
      </c>
      <c r="V26" s="247">
        <v>-5</v>
      </c>
      <c r="W26" s="247">
        <v>-5</v>
      </c>
      <c r="X26" s="247">
        <v>-4</v>
      </c>
      <c r="Z26" s="244"/>
      <c r="AA26" s="245">
        <v>2</v>
      </c>
      <c r="AB26" s="246" t="s">
        <v>803</v>
      </c>
      <c r="AC26" s="247" t="s">
        <v>803</v>
      </c>
      <c r="AD26" s="247" t="s">
        <v>803</v>
      </c>
      <c r="AE26" s="247" t="s">
        <v>803</v>
      </c>
      <c r="AF26" s="247" t="s">
        <v>803</v>
      </c>
      <c r="AG26" s="247" t="s">
        <v>803</v>
      </c>
      <c r="AH26" s="247" t="s">
        <v>803</v>
      </c>
      <c r="AI26" s="247" t="s">
        <v>803</v>
      </c>
      <c r="AJ26" s="247" t="s">
        <v>803</v>
      </c>
      <c r="AX26" s="244"/>
      <c r="AY26" s="245">
        <v>2</v>
      </c>
      <c r="AZ26" s="246">
        <v>-3.5</v>
      </c>
      <c r="BA26" s="247">
        <v>-3.5</v>
      </c>
      <c r="BB26" s="247">
        <v>-3</v>
      </c>
      <c r="BC26" s="247">
        <v>-4</v>
      </c>
      <c r="BD26" s="247">
        <v>-4</v>
      </c>
      <c r="BE26" s="247">
        <v>-3</v>
      </c>
      <c r="BF26" s="247">
        <v>-4</v>
      </c>
      <c r="BG26" s="247">
        <v>-4</v>
      </c>
      <c r="BH26" s="247">
        <v>-4</v>
      </c>
    </row>
    <row r="27" spans="1:60" x14ac:dyDescent="0.25">
      <c r="A27" t="s">
        <v>1298</v>
      </c>
      <c r="B27" s="692"/>
      <c r="C27" s="250">
        <v>3</v>
      </c>
      <c r="D27" s="251">
        <v>-4</v>
      </c>
      <c r="E27" s="252">
        <v>-4</v>
      </c>
      <c r="F27" s="252">
        <v>-3.5</v>
      </c>
      <c r="G27" s="252">
        <v>-6</v>
      </c>
      <c r="H27" s="252">
        <v>-6</v>
      </c>
      <c r="I27" s="252">
        <v>-4.5</v>
      </c>
      <c r="J27" s="252">
        <v>-5</v>
      </c>
      <c r="K27" s="252">
        <v>-5</v>
      </c>
      <c r="L27" s="252">
        <v>-5</v>
      </c>
      <c r="N27" s="692"/>
      <c r="O27" s="250">
        <v>3</v>
      </c>
      <c r="P27" s="251">
        <v>-6</v>
      </c>
      <c r="Q27" s="252">
        <v>-6</v>
      </c>
      <c r="R27" s="252">
        <v>-5.5</v>
      </c>
      <c r="S27" s="252">
        <v>-8</v>
      </c>
      <c r="T27" s="252">
        <v>-8</v>
      </c>
      <c r="U27" s="252">
        <v>-6.5</v>
      </c>
      <c r="V27" s="252">
        <v>-7</v>
      </c>
      <c r="W27" s="252">
        <v>-7</v>
      </c>
      <c r="X27" s="252">
        <v>-6</v>
      </c>
      <c r="Z27" s="692"/>
      <c r="AA27" s="250">
        <v>3</v>
      </c>
      <c r="AB27" s="251" t="s">
        <v>803</v>
      </c>
      <c r="AC27" s="252" t="s">
        <v>803</v>
      </c>
      <c r="AD27" s="252" t="s">
        <v>803</v>
      </c>
      <c r="AE27" s="252" t="s">
        <v>803</v>
      </c>
      <c r="AF27" s="252" t="s">
        <v>803</v>
      </c>
      <c r="AG27" s="252" t="s">
        <v>803</v>
      </c>
      <c r="AH27" s="252" t="s">
        <v>803</v>
      </c>
      <c r="AI27" s="252" t="s">
        <v>803</v>
      </c>
      <c r="AJ27" s="252" t="s">
        <v>803</v>
      </c>
      <c r="AX27" s="692"/>
      <c r="AY27" s="250">
        <v>3</v>
      </c>
      <c r="AZ27" s="251">
        <v>-5</v>
      </c>
      <c r="BA27" s="252">
        <v>-5</v>
      </c>
      <c r="BB27" s="252">
        <v>-4.5</v>
      </c>
      <c r="BC27" s="252">
        <v>-7</v>
      </c>
      <c r="BD27" s="252">
        <v>-7</v>
      </c>
      <c r="BE27" s="252">
        <v>-5.5</v>
      </c>
      <c r="BF27" s="252">
        <v>-6</v>
      </c>
      <c r="BG27" s="252">
        <v>-6</v>
      </c>
      <c r="BH27" s="252">
        <v>-6</v>
      </c>
    </row>
    <row r="29" spans="1:60" x14ac:dyDescent="0.25">
      <c r="B29" s="1" t="s">
        <v>911</v>
      </c>
      <c r="C29" s="351" t="s">
        <v>1464</v>
      </c>
      <c r="AX29" s="1" t="s">
        <v>911</v>
      </c>
      <c r="AY29" s="351" t="s">
        <v>1466</v>
      </c>
    </row>
    <row r="30" spans="1:60" x14ac:dyDescent="0.25">
      <c r="D30" s="854" t="s">
        <v>315</v>
      </c>
      <c r="E30" s="854"/>
      <c r="F30" s="854"/>
      <c r="G30" s="854"/>
      <c r="H30" s="854"/>
      <c r="I30" s="854"/>
      <c r="J30" s="854"/>
      <c r="K30" s="854"/>
      <c r="L30" s="854"/>
      <c r="AZ30" s="854" t="s">
        <v>315</v>
      </c>
      <c r="BA30" s="854"/>
      <c r="BB30" s="854"/>
      <c r="BC30" s="854"/>
      <c r="BD30" s="854"/>
      <c r="BE30" s="854"/>
      <c r="BF30" s="854"/>
      <c r="BG30" s="854"/>
      <c r="BH30" s="854"/>
    </row>
    <row r="31" spans="1:60" x14ac:dyDescent="0.25">
      <c r="C31" t="s">
        <v>173</v>
      </c>
      <c r="D31" s="238">
        <v>1</v>
      </c>
      <c r="E31" s="238">
        <v>2</v>
      </c>
      <c r="F31" s="238">
        <v>3</v>
      </c>
      <c r="G31" s="238">
        <v>4</v>
      </c>
      <c r="H31" s="238">
        <v>5</v>
      </c>
      <c r="I31" s="238">
        <v>6</v>
      </c>
      <c r="J31" s="238">
        <v>7</v>
      </c>
      <c r="K31" s="238">
        <v>8</v>
      </c>
      <c r="L31" s="238">
        <v>9</v>
      </c>
      <c r="O31" s="299"/>
      <c r="AY31" t="s">
        <v>173</v>
      </c>
      <c r="AZ31" s="238">
        <v>1</v>
      </c>
      <c r="BA31" s="238">
        <v>2</v>
      </c>
      <c r="BB31" s="238">
        <v>3</v>
      </c>
      <c r="BC31" s="238">
        <v>4</v>
      </c>
      <c r="BD31" s="238">
        <v>5</v>
      </c>
      <c r="BE31" s="238">
        <v>6</v>
      </c>
      <c r="BF31" s="238">
        <v>7</v>
      </c>
      <c r="BG31" s="238">
        <v>8</v>
      </c>
      <c r="BH31" s="238">
        <v>9</v>
      </c>
    </row>
    <row r="32" spans="1:60" x14ac:dyDescent="0.25">
      <c r="A32" t="s">
        <v>1302</v>
      </c>
      <c r="B32" s="239" t="s">
        <v>185</v>
      </c>
      <c r="C32" s="240">
        <v>0</v>
      </c>
      <c r="D32" s="241">
        <v>0</v>
      </c>
      <c r="E32" s="242">
        <v>0</v>
      </c>
      <c r="F32" s="242">
        <v>0</v>
      </c>
      <c r="G32" s="242">
        <v>0</v>
      </c>
      <c r="H32" s="242">
        <v>0</v>
      </c>
      <c r="I32" s="242">
        <v>0</v>
      </c>
      <c r="J32" s="242">
        <v>0</v>
      </c>
      <c r="K32" s="242">
        <v>0</v>
      </c>
      <c r="L32" s="243">
        <v>0</v>
      </c>
      <c r="O32" s="299"/>
      <c r="AX32" s="239" t="s">
        <v>185</v>
      </c>
      <c r="AY32" s="240">
        <v>0</v>
      </c>
      <c r="AZ32" s="241">
        <v>0</v>
      </c>
      <c r="BA32" s="242">
        <v>0</v>
      </c>
      <c r="BB32" s="242">
        <v>0</v>
      </c>
      <c r="BC32" s="242">
        <v>0</v>
      </c>
      <c r="BD32" s="242">
        <v>0</v>
      </c>
      <c r="BE32" s="242">
        <v>0</v>
      </c>
      <c r="BF32" s="242">
        <v>0</v>
      </c>
      <c r="BG32" s="242">
        <v>0</v>
      </c>
      <c r="BH32" s="243">
        <v>0</v>
      </c>
    </row>
    <row r="33" spans="1:60" x14ac:dyDescent="0.25">
      <c r="A33" t="s">
        <v>1303</v>
      </c>
      <c r="B33" s="674"/>
      <c r="C33" s="675" t="s">
        <v>1155</v>
      </c>
      <c r="D33" s="676">
        <v>0</v>
      </c>
      <c r="E33" s="677">
        <v>0</v>
      </c>
      <c r="F33" s="677">
        <v>0</v>
      </c>
      <c r="G33" s="677">
        <v>0</v>
      </c>
      <c r="H33" s="677">
        <v>0</v>
      </c>
      <c r="I33" s="677">
        <v>0</v>
      </c>
      <c r="J33" s="677">
        <v>0</v>
      </c>
      <c r="K33" s="677">
        <v>0</v>
      </c>
      <c r="L33" s="680">
        <v>0</v>
      </c>
      <c r="O33" s="299"/>
      <c r="AX33" s="674"/>
      <c r="AY33" s="675" t="s">
        <v>1155</v>
      </c>
      <c r="AZ33" s="676">
        <v>-1</v>
      </c>
      <c r="BA33" s="677">
        <v>-1</v>
      </c>
      <c r="BB33" s="677">
        <v>-1</v>
      </c>
      <c r="BC33" s="677">
        <v>-1</v>
      </c>
      <c r="BD33" s="677">
        <v>-1</v>
      </c>
      <c r="BE33" s="677">
        <v>-1</v>
      </c>
      <c r="BF33" s="677">
        <v>-1</v>
      </c>
      <c r="BG33" s="677">
        <v>-1</v>
      </c>
      <c r="BH33" s="680">
        <v>-1</v>
      </c>
    </row>
    <row r="34" spans="1:60" x14ac:dyDescent="0.25">
      <c r="A34" t="s">
        <v>1304</v>
      </c>
      <c r="B34" s="244"/>
      <c r="C34" s="245">
        <v>1</v>
      </c>
      <c r="D34" s="246">
        <v>-1.5</v>
      </c>
      <c r="E34" s="246">
        <v>-1.5</v>
      </c>
      <c r="F34" s="246">
        <v>-1</v>
      </c>
      <c r="G34" s="246">
        <v>-1</v>
      </c>
      <c r="H34" s="246">
        <v>-1</v>
      </c>
      <c r="I34" s="246">
        <v>-1</v>
      </c>
      <c r="J34" s="246">
        <v>-1</v>
      </c>
      <c r="K34" s="246">
        <v>-1</v>
      </c>
      <c r="L34" s="471">
        <v>-0.5</v>
      </c>
      <c r="AX34" s="244"/>
      <c r="AY34" s="245">
        <v>1</v>
      </c>
      <c r="AZ34" s="246">
        <v>-2.5</v>
      </c>
      <c r="BA34" s="246">
        <v>-2.5</v>
      </c>
      <c r="BB34" s="246">
        <v>-2</v>
      </c>
      <c r="BC34" s="246">
        <v>-2</v>
      </c>
      <c r="BD34" s="246">
        <v>-2</v>
      </c>
      <c r="BE34" s="246">
        <v>-2</v>
      </c>
      <c r="BF34" s="246">
        <v>-2</v>
      </c>
      <c r="BG34" s="246">
        <v>-2</v>
      </c>
      <c r="BH34" s="471">
        <v>-1.5</v>
      </c>
    </row>
    <row r="35" spans="1:60" x14ac:dyDescent="0.25">
      <c r="A35" t="s">
        <v>1305</v>
      </c>
      <c r="B35" s="244"/>
      <c r="C35" s="245">
        <v>2</v>
      </c>
      <c r="D35" s="246">
        <v>-3</v>
      </c>
      <c r="E35" s="247">
        <v>-3</v>
      </c>
      <c r="F35" s="247">
        <v>-2.5</v>
      </c>
      <c r="G35" s="247">
        <v>-3</v>
      </c>
      <c r="H35" s="247">
        <v>-3</v>
      </c>
      <c r="I35" s="247">
        <v>-2.5</v>
      </c>
      <c r="J35" s="247">
        <v>-3</v>
      </c>
      <c r="K35" s="247">
        <v>-3</v>
      </c>
      <c r="L35" s="248">
        <v>-2.5</v>
      </c>
      <c r="AX35" s="244"/>
      <c r="AY35" s="245">
        <v>2</v>
      </c>
      <c r="AZ35" s="246">
        <v>-4</v>
      </c>
      <c r="BA35" s="247">
        <v>-4</v>
      </c>
      <c r="BB35" s="247">
        <v>-3.5</v>
      </c>
      <c r="BC35" s="247">
        <v>-4</v>
      </c>
      <c r="BD35" s="247">
        <v>-4</v>
      </c>
      <c r="BE35" s="247">
        <v>-3.5</v>
      </c>
      <c r="BF35" s="247">
        <v>-4</v>
      </c>
      <c r="BG35" s="247">
        <v>-4</v>
      </c>
      <c r="BH35" s="248">
        <v>-3.5</v>
      </c>
    </row>
    <row r="36" spans="1:60" x14ac:dyDescent="0.25">
      <c r="A36" t="s">
        <v>1315</v>
      </c>
      <c r="B36" s="244"/>
      <c r="C36" s="245">
        <v>3</v>
      </c>
      <c r="D36" s="246">
        <v>-5</v>
      </c>
      <c r="E36" s="247">
        <v>-4.5</v>
      </c>
      <c r="F36" s="247">
        <v>-4</v>
      </c>
      <c r="G36" s="247">
        <v>-6</v>
      </c>
      <c r="H36" s="247">
        <v>-5.5</v>
      </c>
      <c r="I36" s="247">
        <v>-4.5</v>
      </c>
      <c r="J36" s="247">
        <v>-6</v>
      </c>
      <c r="K36" s="247">
        <v>-5</v>
      </c>
      <c r="L36" s="248">
        <v>-4</v>
      </c>
      <c r="AX36" s="244"/>
      <c r="AY36" s="245">
        <v>3</v>
      </c>
      <c r="AZ36" s="246">
        <v>-6</v>
      </c>
      <c r="BA36" s="247">
        <v>-5.5</v>
      </c>
      <c r="BB36" s="247">
        <v>-5</v>
      </c>
      <c r="BC36" s="247">
        <v>-7</v>
      </c>
      <c r="BD36" s="247">
        <v>-6.5</v>
      </c>
      <c r="BE36" s="247">
        <v>-5.5</v>
      </c>
      <c r="BF36" s="247">
        <v>-7</v>
      </c>
      <c r="BG36" s="247">
        <v>-6</v>
      </c>
      <c r="BH36" s="248">
        <v>-5</v>
      </c>
    </row>
    <row r="37" spans="1:60" x14ac:dyDescent="0.25">
      <c r="A37" t="s">
        <v>1302</v>
      </c>
      <c r="B37" s="239" t="s">
        <v>199</v>
      </c>
      <c r="C37" s="240">
        <v>0</v>
      </c>
      <c r="D37" s="241">
        <v>0</v>
      </c>
      <c r="E37" s="242">
        <v>0</v>
      </c>
      <c r="F37" s="242">
        <v>0</v>
      </c>
      <c r="G37" s="242">
        <v>0</v>
      </c>
      <c r="H37" s="242">
        <v>0</v>
      </c>
      <c r="I37" s="242">
        <v>0</v>
      </c>
      <c r="J37" s="242">
        <v>0</v>
      </c>
      <c r="K37" s="242">
        <v>0</v>
      </c>
      <c r="L37" s="243">
        <v>0</v>
      </c>
      <c r="AX37" s="239" t="s">
        <v>199</v>
      </c>
      <c r="AY37" s="240">
        <v>0</v>
      </c>
      <c r="AZ37" s="241">
        <v>0</v>
      </c>
      <c r="BA37" s="242">
        <v>0</v>
      </c>
      <c r="BB37" s="242">
        <v>0</v>
      </c>
      <c r="BC37" s="242">
        <v>0</v>
      </c>
      <c r="BD37" s="242">
        <v>0</v>
      </c>
      <c r="BE37" s="242">
        <v>0</v>
      </c>
      <c r="BF37" s="242">
        <v>0</v>
      </c>
      <c r="BG37" s="242">
        <v>0</v>
      </c>
      <c r="BH37" s="243">
        <v>0</v>
      </c>
    </row>
    <row r="38" spans="1:60" x14ac:dyDescent="0.25">
      <c r="A38" t="s">
        <v>1307</v>
      </c>
      <c r="B38" s="674"/>
      <c r="C38" s="675" t="s">
        <v>1155</v>
      </c>
      <c r="D38" s="676">
        <v>0</v>
      </c>
      <c r="E38" s="677">
        <v>0</v>
      </c>
      <c r="F38" s="677">
        <v>0</v>
      </c>
      <c r="G38" s="677">
        <v>0</v>
      </c>
      <c r="H38" s="677">
        <v>0</v>
      </c>
      <c r="I38" s="677">
        <v>0</v>
      </c>
      <c r="J38" s="677">
        <v>0</v>
      </c>
      <c r="K38" s="677">
        <v>0</v>
      </c>
      <c r="L38" s="680">
        <v>0</v>
      </c>
      <c r="AX38" s="674"/>
      <c r="AY38" s="675" t="s">
        <v>1155</v>
      </c>
      <c r="AZ38" s="676">
        <v>-1</v>
      </c>
      <c r="BA38" s="677">
        <v>-1</v>
      </c>
      <c r="BB38" s="677">
        <v>-1</v>
      </c>
      <c r="BC38" s="677">
        <v>-1</v>
      </c>
      <c r="BD38" s="677">
        <v>-1</v>
      </c>
      <c r="BE38" s="677">
        <v>-1</v>
      </c>
      <c r="BF38" s="677">
        <v>-1</v>
      </c>
      <c r="BG38" s="677">
        <v>-1</v>
      </c>
      <c r="BH38" s="680">
        <v>-1</v>
      </c>
    </row>
    <row r="39" spans="1:60" x14ac:dyDescent="0.25">
      <c r="A39" t="s">
        <v>1308</v>
      </c>
      <c r="B39" s="244"/>
      <c r="C39" s="245">
        <v>1</v>
      </c>
      <c r="D39" s="246">
        <v>-1</v>
      </c>
      <c r="E39" s="246">
        <v>-1</v>
      </c>
      <c r="F39" s="246">
        <v>-0.5</v>
      </c>
      <c r="G39" s="246">
        <v>-1</v>
      </c>
      <c r="H39" s="246">
        <v>-1</v>
      </c>
      <c r="I39" s="246">
        <v>-0.5</v>
      </c>
      <c r="J39" s="246">
        <v>-0.5</v>
      </c>
      <c r="K39" s="246">
        <v>-0.5</v>
      </c>
      <c r="L39" s="471">
        <v>0</v>
      </c>
      <c r="AX39" s="244"/>
      <c r="AY39" s="245">
        <v>1</v>
      </c>
      <c r="AZ39" s="246">
        <v>-2</v>
      </c>
      <c r="BA39" s="246">
        <v>-2</v>
      </c>
      <c r="BB39" s="246">
        <v>-1.5</v>
      </c>
      <c r="BC39" s="246">
        <v>-2</v>
      </c>
      <c r="BD39" s="246">
        <v>-2</v>
      </c>
      <c r="BE39" s="246">
        <v>-1.5</v>
      </c>
      <c r="BF39" s="246">
        <v>-1.5</v>
      </c>
      <c r="BG39" s="246">
        <v>-1.5</v>
      </c>
      <c r="BH39" s="471">
        <v>-1</v>
      </c>
    </row>
    <row r="40" spans="1:60" x14ac:dyDescent="0.25">
      <c r="A40" t="s">
        <v>1309</v>
      </c>
      <c r="B40" s="244"/>
      <c r="C40" s="245">
        <v>2</v>
      </c>
      <c r="D40" s="246">
        <v>-2</v>
      </c>
      <c r="E40" s="247">
        <v>-2</v>
      </c>
      <c r="F40" s="247">
        <v>-1</v>
      </c>
      <c r="G40" s="247">
        <v>-2</v>
      </c>
      <c r="H40" s="247">
        <v>-2</v>
      </c>
      <c r="I40" s="247">
        <v>-1</v>
      </c>
      <c r="J40" s="247">
        <v>-2</v>
      </c>
      <c r="K40" s="247">
        <v>-2</v>
      </c>
      <c r="L40" s="248">
        <v>-2</v>
      </c>
      <c r="AX40" s="244"/>
      <c r="AY40" s="245">
        <v>2</v>
      </c>
      <c r="AZ40" s="246">
        <v>-3</v>
      </c>
      <c r="BA40" s="247">
        <v>-3</v>
      </c>
      <c r="BB40" s="247">
        <v>-2</v>
      </c>
      <c r="BC40" s="247">
        <v>-3</v>
      </c>
      <c r="BD40" s="247">
        <v>-3</v>
      </c>
      <c r="BE40" s="247">
        <v>-2</v>
      </c>
      <c r="BF40" s="247">
        <v>-3</v>
      </c>
      <c r="BG40" s="247">
        <v>-3</v>
      </c>
      <c r="BH40" s="248">
        <v>-3</v>
      </c>
    </row>
    <row r="41" spans="1:60" x14ac:dyDescent="0.25">
      <c r="A41" t="s">
        <v>1306</v>
      </c>
      <c r="B41" s="692"/>
      <c r="C41" s="250">
        <v>3</v>
      </c>
      <c r="D41" s="251">
        <v>-3</v>
      </c>
      <c r="E41" s="252">
        <v>-3</v>
      </c>
      <c r="F41" s="252">
        <v>-2</v>
      </c>
      <c r="G41" s="252">
        <v>-4</v>
      </c>
      <c r="H41" s="252">
        <v>-4</v>
      </c>
      <c r="I41" s="252">
        <v>-3.5</v>
      </c>
      <c r="J41" s="252">
        <v>-4</v>
      </c>
      <c r="K41" s="252">
        <v>-4</v>
      </c>
      <c r="L41" s="252">
        <v>-4</v>
      </c>
      <c r="AX41" s="692"/>
      <c r="AY41" s="250">
        <v>3</v>
      </c>
      <c r="AZ41" s="251">
        <v>-4</v>
      </c>
      <c r="BA41" s="252">
        <v>-4</v>
      </c>
      <c r="BB41" s="252">
        <v>-3</v>
      </c>
      <c r="BC41" s="252">
        <v>-5</v>
      </c>
      <c r="BD41" s="252">
        <v>-5</v>
      </c>
      <c r="BE41" s="252">
        <v>-4.5</v>
      </c>
      <c r="BF41" s="252">
        <v>-5</v>
      </c>
      <c r="BG41" s="252">
        <v>-5</v>
      </c>
      <c r="BH41" s="252">
        <v>-5</v>
      </c>
    </row>
  </sheetData>
  <sheetProtection algorithmName="SHA-512" hashValue="uVv3kCtz4AS2UkfKHcj4iGXvybIIlcM//OYRXcTzNesN67dCX8fb5DdxgB26DKyROmAfl3erUT/HPCGWirPuyQ==" saltValue="BWxRikC17+PEgIfcARhLvg==" spinCount="100000" sheet="1" objects="1" scenarios="1" autoFilter="0"/>
  <mergeCells count="11">
    <mergeCell ref="D30:L30"/>
    <mergeCell ref="D16:L16"/>
    <mergeCell ref="D2:L2"/>
    <mergeCell ref="P2:X2"/>
    <mergeCell ref="P16:X16"/>
    <mergeCell ref="AZ2:BH2"/>
    <mergeCell ref="AZ16:BH16"/>
    <mergeCell ref="AZ30:BH30"/>
    <mergeCell ref="AN2:AV2"/>
    <mergeCell ref="AB2:AJ2"/>
    <mergeCell ref="AB16:AJ16"/>
  </mergeCell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:AI33"/>
  <sheetViews>
    <sheetView workbookViewId="0">
      <selection activeCell="O20" sqref="O20"/>
    </sheetView>
  </sheetViews>
  <sheetFormatPr defaultRowHeight="15" x14ac:dyDescent="0.25"/>
  <cols>
    <col min="1" max="1" width="10.7109375" customWidth="1"/>
    <col min="13" max="13" width="10.7109375" bestFit="1" customWidth="1"/>
    <col min="25" max="25" width="6" customWidth="1"/>
    <col min="33" max="33" width="13.85546875" customWidth="1"/>
    <col min="34" max="34" width="7.28515625" customWidth="1"/>
    <col min="35" max="35" width="11.140625" customWidth="1"/>
  </cols>
  <sheetData>
    <row r="1" spans="1:35" ht="14.45" x14ac:dyDescent="0.3">
      <c r="A1" s="1" t="s">
        <v>977</v>
      </c>
      <c r="M1" s="1" t="s">
        <v>71</v>
      </c>
      <c r="Y1" s="1" t="s">
        <v>1078</v>
      </c>
    </row>
    <row r="2" spans="1:35" ht="14.45" x14ac:dyDescent="0.3">
      <c r="C2" s="854" t="s">
        <v>315</v>
      </c>
      <c r="D2" s="854"/>
      <c r="E2" s="854"/>
      <c r="F2" s="854"/>
      <c r="G2" s="854"/>
      <c r="H2" s="854"/>
      <c r="I2" s="854"/>
      <c r="J2" s="854"/>
      <c r="K2" s="854"/>
      <c r="O2" s="854" t="s">
        <v>315</v>
      </c>
      <c r="P2" s="854"/>
      <c r="Q2" s="854"/>
      <c r="R2" s="854"/>
      <c r="S2" s="854"/>
      <c r="T2" s="854"/>
      <c r="U2" s="854"/>
      <c r="V2" s="854"/>
    </row>
    <row r="3" spans="1:35" ht="14.45" x14ac:dyDescent="0.3">
      <c r="C3" s="238">
        <v>1</v>
      </c>
      <c r="D3" s="238">
        <v>2</v>
      </c>
      <c r="E3" s="238">
        <v>3</v>
      </c>
      <c r="F3" s="238">
        <v>4</v>
      </c>
      <c r="G3" s="238">
        <v>5</v>
      </c>
      <c r="H3" s="238">
        <v>6</v>
      </c>
      <c r="I3" s="238">
        <v>7</v>
      </c>
      <c r="J3" s="238">
        <v>8</v>
      </c>
      <c r="K3" s="446">
        <v>9</v>
      </c>
      <c r="O3" s="238">
        <v>1</v>
      </c>
      <c r="P3" s="238">
        <v>2</v>
      </c>
      <c r="Q3" s="238">
        <v>3</v>
      </c>
      <c r="R3" s="238">
        <v>4</v>
      </c>
      <c r="S3" s="238">
        <v>5</v>
      </c>
      <c r="T3" s="238">
        <v>6</v>
      </c>
      <c r="U3" s="238">
        <v>7</v>
      </c>
      <c r="V3" s="238">
        <v>8</v>
      </c>
      <c r="W3" s="238">
        <v>9</v>
      </c>
      <c r="AA3" s="238">
        <v>1</v>
      </c>
      <c r="AB3" s="238">
        <v>2</v>
      </c>
      <c r="AC3" s="238">
        <v>3</v>
      </c>
      <c r="AD3" s="238">
        <v>4</v>
      </c>
      <c r="AE3" s="238">
        <v>5</v>
      </c>
      <c r="AF3" s="238">
        <v>6</v>
      </c>
      <c r="AG3" s="238">
        <v>7</v>
      </c>
      <c r="AH3" s="238">
        <v>8</v>
      </c>
      <c r="AI3" s="446">
        <v>9</v>
      </c>
    </row>
    <row r="4" spans="1:35" ht="14.45" x14ac:dyDescent="0.3">
      <c r="A4" s="239" t="s">
        <v>804</v>
      </c>
      <c r="B4" s="253" t="s">
        <v>192</v>
      </c>
      <c r="C4" s="254">
        <v>-6</v>
      </c>
      <c r="D4" s="255">
        <v>-6</v>
      </c>
      <c r="E4" s="255">
        <v>-5</v>
      </c>
      <c r="F4" s="255">
        <v>-6</v>
      </c>
      <c r="G4" s="255">
        <v>-6</v>
      </c>
      <c r="H4" s="255">
        <v>-4</v>
      </c>
      <c r="I4" s="255">
        <v>-4</v>
      </c>
      <c r="J4" s="255">
        <v>-3</v>
      </c>
      <c r="K4" s="472">
        <v>-3</v>
      </c>
      <c r="L4" s="693"/>
      <c r="M4" s="239" t="s">
        <v>804</v>
      </c>
      <c r="N4" s="253" t="s">
        <v>192</v>
      </c>
      <c r="O4" s="254">
        <v>-8</v>
      </c>
      <c r="P4" s="255">
        <v>-8</v>
      </c>
      <c r="Q4" s="255">
        <v>-7</v>
      </c>
      <c r="R4" s="255">
        <v>-8</v>
      </c>
      <c r="S4" s="255">
        <v>-8</v>
      </c>
      <c r="T4" s="255">
        <v>-6</v>
      </c>
      <c r="U4" s="255">
        <v>-6</v>
      </c>
      <c r="V4" s="255">
        <v>-5</v>
      </c>
      <c r="W4" s="472">
        <v>-5</v>
      </c>
      <c r="Y4" s="239" t="s">
        <v>804</v>
      </c>
      <c r="Z4" s="253" t="s">
        <v>192</v>
      </c>
      <c r="AA4" s="254">
        <v>-3</v>
      </c>
      <c r="AB4" s="255">
        <v>-5</v>
      </c>
      <c r="AC4" s="255">
        <v>-5</v>
      </c>
      <c r="AD4" s="255">
        <v>-4</v>
      </c>
      <c r="AE4" s="255">
        <v>-5</v>
      </c>
      <c r="AF4" s="255">
        <v>-5</v>
      </c>
      <c r="AG4" s="255">
        <v>-3</v>
      </c>
      <c r="AH4" s="255">
        <v>-5</v>
      </c>
      <c r="AI4" s="472">
        <v>-5</v>
      </c>
    </row>
    <row r="5" spans="1:35" ht="14.45" x14ac:dyDescent="0.3">
      <c r="A5" s="244"/>
      <c r="B5" s="256" t="s">
        <v>205</v>
      </c>
      <c r="C5" s="257">
        <v>-11</v>
      </c>
      <c r="D5" s="258">
        <v>-11</v>
      </c>
      <c r="E5" s="258">
        <v>-9</v>
      </c>
      <c r="F5" s="258">
        <v>-10</v>
      </c>
      <c r="G5" s="258">
        <v>-11</v>
      </c>
      <c r="H5" s="258">
        <v>-9</v>
      </c>
      <c r="I5" s="258">
        <v>-9</v>
      </c>
      <c r="J5" s="258">
        <v>-8</v>
      </c>
      <c r="K5" s="259">
        <v>-8</v>
      </c>
      <c r="L5" s="693"/>
      <c r="M5" s="244"/>
      <c r="N5" s="256" t="s">
        <v>205</v>
      </c>
      <c r="O5" s="257">
        <v>-13</v>
      </c>
      <c r="P5" s="258">
        <v>-13</v>
      </c>
      <c r="Q5" s="258">
        <v>-11</v>
      </c>
      <c r="R5" s="258">
        <v>-12</v>
      </c>
      <c r="S5" s="258">
        <v>-13</v>
      </c>
      <c r="T5" s="258">
        <v>-11</v>
      </c>
      <c r="U5" s="258">
        <v>-11</v>
      </c>
      <c r="V5" s="258">
        <v>-10</v>
      </c>
      <c r="W5" s="259">
        <v>-10</v>
      </c>
      <c r="Y5" s="244"/>
      <c r="Z5" s="256" t="s">
        <v>205</v>
      </c>
      <c r="AA5" s="257">
        <v>-8</v>
      </c>
      <c r="AB5" s="258">
        <v>-9</v>
      </c>
      <c r="AC5" s="258">
        <v>-9</v>
      </c>
      <c r="AD5" s="258">
        <v>-8</v>
      </c>
      <c r="AE5" s="258">
        <v>-8</v>
      </c>
      <c r="AF5" s="258">
        <v>-8</v>
      </c>
      <c r="AG5" s="258">
        <v>-7</v>
      </c>
      <c r="AH5" s="258">
        <v>-8</v>
      </c>
      <c r="AI5" s="259">
        <v>-9</v>
      </c>
    </row>
    <row r="6" spans="1:35" ht="14.45" x14ac:dyDescent="0.3">
      <c r="A6" s="244"/>
      <c r="B6" s="260" t="s">
        <v>217</v>
      </c>
      <c r="C6" s="261">
        <v>-15</v>
      </c>
      <c r="D6" s="261">
        <v>-15</v>
      </c>
      <c r="E6" s="261">
        <v>-13</v>
      </c>
      <c r="F6" s="261">
        <v>-14</v>
      </c>
      <c r="G6" s="261">
        <v>-15</v>
      </c>
      <c r="H6" s="261">
        <v>-13</v>
      </c>
      <c r="I6" s="261">
        <v>-12</v>
      </c>
      <c r="J6" s="261">
        <v>-12</v>
      </c>
      <c r="K6" s="262">
        <v>-12</v>
      </c>
      <c r="L6" s="693"/>
      <c r="M6" s="244"/>
      <c r="N6" s="260" t="s">
        <v>217</v>
      </c>
      <c r="O6" s="261">
        <v>-19.5</v>
      </c>
      <c r="P6" s="261">
        <v>-19.5</v>
      </c>
      <c r="Q6" s="261">
        <v>-17.5</v>
      </c>
      <c r="R6" s="261">
        <v>-18</v>
      </c>
      <c r="S6" s="261">
        <v>-19.5</v>
      </c>
      <c r="T6" s="261">
        <v>-17.5</v>
      </c>
      <c r="U6" s="261">
        <v>-17</v>
      </c>
      <c r="V6" s="261">
        <v>-16.5</v>
      </c>
      <c r="W6" s="262">
        <v>-16.5</v>
      </c>
      <c r="Y6" s="244"/>
      <c r="Z6" s="260" t="s">
        <v>217</v>
      </c>
      <c r="AA6" s="261">
        <v>-13</v>
      </c>
      <c r="AB6" s="261">
        <v>-14</v>
      </c>
      <c r="AC6" s="261">
        <v>-14</v>
      </c>
      <c r="AD6" s="261">
        <v>-13</v>
      </c>
      <c r="AE6" s="261">
        <v>-13</v>
      </c>
      <c r="AF6" s="261">
        <v>-13</v>
      </c>
      <c r="AG6" s="261">
        <v>-12</v>
      </c>
      <c r="AH6" s="261">
        <v>-13</v>
      </c>
      <c r="AI6" s="262">
        <v>-14</v>
      </c>
    </row>
    <row r="7" spans="1:35" ht="14.45" x14ac:dyDescent="0.3">
      <c r="A7" s="239" t="s">
        <v>805</v>
      </c>
      <c r="B7" s="253" t="s">
        <v>251</v>
      </c>
      <c r="C7" s="254">
        <v>-6</v>
      </c>
      <c r="D7" s="255">
        <v>-6</v>
      </c>
      <c r="E7" s="255">
        <v>-5</v>
      </c>
      <c r="F7" s="255">
        <v>-6</v>
      </c>
      <c r="G7" s="255">
        <v>-6</v>
      </c>
      <c r="H7" s="255">
        <v>-4</v>
      </c>
      <c r="I7" s="255">
        <v>-4</v>
      </c>
      <c r="J7" s="255">
        <v>-3</v>
      </c>
      <c r="K7" s="472">
        <v>-3</v>
      </c>
      <c r="L7" s="693"/>
      <c r="M7" s="239" t="s">
        <v>805</v>
      </c>
      <c r="N7" s="253" t="s">
        <v>251</v>
      </c>
      <c r="O7" s="254">
        <v>-8</v>
      </c>
      <c r="P7" s="255">
        <v>-8</v>
      </c>
      <c r="Q7" s="255">
        <v>-7</v>
      </c>
      <c r="R7" s="255">
        <v>-8</v>
      </c>
      <c r="S7" s="255">
        <v>-8</v>
      </c>
      <c r="T7" s="255">
        <v>-6</v>
      </c>
      <c r="U7" s="255">
        <v>-6</v>
      </c>
      <c r="V7" s="255">
        <v>-5</v>
      </c>
      <c r="W7" s="472">
        <v>-5</v>
      </c>
      <c r="Y7" s="239" t="s">
        <v>805</v>
      </c>
      <c r="Z7" s="253" t="s">
        <v>251</v>
      </c>
      <c r="AA7" s="254">
        <v>-3</v>
      </c>
      <c r="AB7" s="255">
        <v>-5</v>
      </c>
      <c r="AC7" s="255">
        <v>-5</v>
      </c>
      <c r="AD7" s="255">
        <v>-4</v>
      </c>
      <c r="AE7" s="255">
        <v>-5</v>
      </c>
      <c r="AF7" s="255">
        <v>-5</v>
      </c>
      <c r="AG7" s="255">
        <v>-3</v>
      </c>
      <c r="AH7" s="255">
        <v>-5</v>
      </c>
      <c r="AI7" s="472">
        <v>-5</v>
      </c>
    </row>
    <row r="8" spans="1:35" ht="14.45" x14ac:dyDescent="0.3">
      <c r="A8" s="244"/>
      <c r="B8" s="256" t="s">
        <v>255</v>
      </c>
      <c r="C8" s="257">
        <v>-11</v>
      </c>
      <c r="D8" s="258">
        <v>-11</v>
      </c>
      <c r="E8" s="258">
        <v>-9</v>
      </c>
      <c r="F8" s="258">
        <v>-10</v>
      </c>
      <c r="G8" s="258">
        <v>-11</v>
      </c>
      <c r="H8" s="258">
        <v>-9</v>
      </c>
      <c r="I8" s="258">
        <v>-9</v>
      </c>
      <c r="J8" s="258">
        <v>-8</v>
      </c>
      <c r="K8" s="259">
        <v>-8</v>
      </c>
      <c r="L8" s="693"/>
      <c r="M8" s="244"/>
      <c r="N8" s="256" t="s">
        <v>255</v>
      </c>
      <c r="O8" s="257">
        <v>-13</v>
      </c>
      <c r="P8" s="258">
        <v>-13</v>
      </c>
      <c r="Q8" s="258">
        <v>-11</v>
      </c>
      <c r="R8" s="258">
        <v>-12</v>
      </c>
      <c r="S8" s="258">
        <v>-13</v>
      </c>
      <c r="T8" s="258">
        <v>-11</v>
      </c>
      <c r="U8" s="258">
        <v>-11</v>
      </c>
      <c r="V8" s="258">
        <v>-10</v>
      </c>
      <c r="W8" s="259">
        <v>-10</v>
      </c>
      <c r="Y8" s="244"/>
      <c r="Z8" s="256" t="s">
        <v>255</v>
      </c>
      <c r="AA8" s="257">
        <v>-8</v>
      </c>
      <c r="AB8" s="258">
        <v>-9</v>
      </c>
      <c r="AC8" s="258">
        <v>-9</v>
      </c>
      <c r="AD8" s="258">
        <v>-8</v>
      </c>
      <c r="AE8" s="258">
        <v>-8</v>
      </c>
      <c r="AF8" s="258">
        <v>-8</v>
      </c>
      <c r="AG8" s="258">
        <v>-7</v>
      </c>
      <c r="AH8" s="258">
        <v>-8</v>
      </c>
      <c r="AI8" s="259">
        <v>-9</v>
      </c>
    </row>
    <row r="9" spans="1:35" ht="14.45" x14ac:dyDescent="0.3">
      <c r="A9" s="244"/>
      <c r="B9" s="260" t="s">
        <v>259</v>
      </c>
      <c r="C9" s="261">
        <v>-17.5</v>
      </c>
      <c r="D9" s="261">
        <v>-17.5</v>
      </c>
      <c r="E9" s="261">
        <v>-15.5</v>
      </c>
      <c r="F9" s="261">
        <v>-16</v>
      </c>
      <c r="G9" s="261">
        <v>-17.5</v>
      </c>
      <c r="H9" s="261">
        <v>-15.5</v>
      </c>
      <c r="I9" s="261">
        <v>-15</v>
      </c>
      <c r="J9" s="261">
        <v>-14.5</v>
      </c>
      <c r="K9" s="262">
        <v>-14.5</v>
      </c>
      <c r="L9" s="693"/>
      <c r="M9" s="244"/>
      <c r="N9" s="260" t="s">
        <v>259</v>
      </c>
      <c r="O9" s="261">
        <v>-19.5</v>
      </c>
      <c r="P9" s="261">
        <v>-19.5</v>
      </c>
      <c r="Q9" s="261">
        <v>-17.5</v>
      </c>
      <c r="R9" s="261">
        <v>-18</v>
      </c>
      <c r="S9" s="261">
        <v>-19.5</v>
      </c>
      <c r="T9" s="261">
        <v>-17.5</v>
      </c>
      <c r="U9" s="261">
        <v>-17</v>
      </c>
      <c r="V9" s="261">
        <v>-16.5</v>
      </c>
      <c r="W9" s="262">
        <v>-16.5</v>
      </c>
      <c r="Y9" s="244"/>
      <c r="Z9" s="260" t="s">
        <v>259</v>
      </c>
      <c r="AA9" s="261">
        <v>-13</v>
      </c>
      <c r="AB9" s="261">
        <v>-14</v>
      </c>
      <c r="AC9" s="261">
        <v>-14</v>
      </c>
      <c r="AD9" s="261">
        <v>-13</v>
      </c>
      <c r="AE9" s="261">
        <v>-13</v>
      </c>
      <c r="AF9" s="261">
        <v>-13</v>
      </c>
      <c r="AG9" s="261">
        <v>-12</v>
      </c>
      <c r="AH9" s="261">
        <v>-13</v>
      </c>
      <c r="AI9" s="262">
        <v>-14</v>
      </c>
    </row>
    <row r="10" spans="1:35" ht="14.45" x14ac:dyDescent="0.3">
      <c r="A10" s="239" t="s">
        <v>1278</v>
      </c>
      <c r="B10" s="253" t="s">
        <v>1275</v>
      </c>
      <c r="C10" s="254">
        <v>-5</v>
      </c>
      <c r="D10" s="255">
        <v>-5</v>
      </c>
      <c r="E10" s="255">
        <v>-4</v>
      </c>
      <c r="F10" s="255">
        <v>-5</v>
      </c>
      <c r="G10" s="255">
        <v>-5</v>
      </c>
      <c r="H10" s="255">
        <v>-3</v>
      </c>
      <c r="I10" s="255">
        <v>-3</v>
      </c>
      <c r="J10" s="255">
        <v>-2</v>
      </c>
      <c r="K10" s="472">
        <v>-2</v>
      </c>
      <c r="L10" s="693"/>
      <c r="M10" s="239" t="s">
        <v>1278</v>
      </c>
      <c r="N10" s="253" t="s">
        <v>1275</v>
      </c>
      <c r="O10" s="254">
        <v>-7</v>
      </c>
      <c r="P10" s="255">
        <v>-7</v>
      </c>
      <c r="Q10" s="255">
        <v>-6</v>
      </c>
      <c r="R10" s="255">
        <v>-7</v>
      </c>
      <c r="S10" s="255">
        <v>-7</v>
      </c>
      <c r="T10" s="255">
        <v>-5</v>
      </c>
      <c r="U10" s="255">
        <v>-5</v>
      </c>
      <c r="V10" s="255">
        <v>-4</v>
      </c>
      <c r="W10" s="472">
        <v>-4</v>
      </c>
      <c r="Y10" s="239" t="s">
        <v>1278</v>
      </c>
      <c r="Z10" s="253" t="s">
        <v>1275</v>
      </c>
      <c r="AA10" s="254">
        <v>-3</v>
      </c>
      <c r="AB10" s="255">
        <v>-5</v>
      </c>
      <c r="AC10" s="255">
        <v>-5</v>
      </c>
      <c r="AD10" s="255">
        <v>-4</v>
      </c>
      <c r="AE10" s="255">
        <v>-5</v>
      </c>
      <c r="AF10" s="255">
        <v>-5</v>
      </c>
      <c r="AG10" s="255">
        <v>-3</v>
      </c>
      <c r="AH10" s="255">
        <v>-5</v>
      </c>
      <c r="AI10" s="472">
        <v>-5</v>
      </c>
    </row>
    <row r="11" spans="1:35" ht="14.45" x14ac:dyDescent="0.3">
      <c r="A11" s="244"/>
      <c r="B11" s="256" t="s">
        <v>1276</v>
      </c>
      <c r="C11" s="257">
        <v>-10</v>
      </c>
      <c r="D11" s="258">
        <v>-10</v>
      </c>
      <c r="E11" s="258">
        <v>-8</v>
      </c>
      <c r="F11" s="258">
        <v>-9</v>
      </c>
      <c r="G11" s="258">
        <v>-10</v>
      </c>
      <c r="H11" s="258">
        <v>-8</v>
      </c>
      <c r="I11" s="258">
        <v>-8</v>
      </c>
      <c r="J11" s="258">
        <v>-7</v>
      </c>
      <c r="K11" s="259">
        <v>-7</v>
      </c>
      <c r="L11" s="693"/>
      <c r="M11" s="244"/>
      <c r="N11" s="256" t="s">
        <v>1276</v>
      </c>
      <c r="O11" s="257">
        <v>-13</v>
      </c>
      <c r="P11" s="258">
        <v>-13</v>
      </c>
      <c r="Q11" s="258">
        <v>-11</v>
      </c>
      <c r="R11" s="258">
        <v>-12</v>
      </c>
      <c r="S11" s="258">
        <v>-13</v>
      </c>
      <c r="T11" s="258">
        <v>-11</v>
      </c>
      <c r="U11" s="258">
        <v>-11</v>
      </c>
      <c r="V11" s="258">
        <v>-10</v>
      </c>
      <c r="W11" s="259">
        <v>-10</v>
      </c>
      <c r="Y11" s="244"/>
      <c r="Z11" s="256" t="s">
        <v>1276</v>
      </c>
      <c r="AA11" s="257">
        <v>-8</v>
      </c>
      <c r="AB11" s="258">
        <v>-9</v>
      </c>
      <c r="AC11" s="258">
        <v>-9</v>
      </c>
      <c r="AD11" s="258">
        <v>-8</v>
      </c>
      <c r="AE11" s="258">
        <v>-8</v>
      </c>
      <c r="AF11" s="258">
        <v>-8</v>
      </c>
      <c r="AG11" s="258">
        <v>-7</v>
      </c>
      <c r="AH11" s="258">
        <v>-8</v>
      </c>
      <c r="AI11" s="259">
        <v>-9</v>
      </c>
    </row>
    <row r="12" spans="1:35" ht="14.45" x14ac:dyDescent="0.3">
      <c r="A12" s="244"/>
      <c r="B12" s="260" t="s">
        <v>1277</v>
      </c>
      <c r="C12" s="261">
        <v>-16.5</v>
      </c>
      <c r="D12" s="261">
        <v>-16.5</v>
      </c>
      <c r="E12" s="261">
        <v>-14.5</v>
      </c>
      <c r="F12" s="261">
        <v>-15</v>
      </c>
      <c r="G12" s="261">
        <v>-16.5</v>
      </c>
      <c r="H12" s="261">
        <v>-14.5</v>
      </c>
      <c r="I12" s="261">
        <v>-14</v>
      </c>
      <c r="J12" s="261">
        <v>-13.5</v>
      </c>
      <c r="K12" s="262">
        <v>-13.5</v>
      </c>
      <c r="L12" s="693"/>
      <c r="M12" s="244"/>
      <c r="N12" s="260" t="s">
        <v>1277</v>
      </c>
      <c r="O12" s="261">
        <v>-18.5</v>
      </c>
      <c r="P12" s="261">
        <v>-18.5</v>
      </c>
      <c r="Q12" s="261">
        <v>-16.5</v>
      </c>
      <c r="R12" s="261">
        <v>-17</v>
      </c>
      <c r="S12" s="261">
        <v>-18.5</v>
      </c>
      <c r="T12" s="261">
        <v>-16.5</v>
      </c>
      <c r="U12" s="261">
        <v>-16</v>
      </c>
      <c r="V12" s="261">
        <v>-15.5</v>
      </c>
      <c r="W12" s="262">
        <v>-15.5</v>
      </c>
      <c r="Y12" s="692"/>
      <c r="Z12" s="263" t="s">
        <v>1277</v>
      </c>
      <c r="AA12" s="264">
        <v>-13</v>
      </c>
      <c r="AB12" s="264">
        <v>-14</v>
      </c>
      <c r="AC12" s="264">
        <v>-14</v>
      </c>
      <c r="AD12" s="264">
        <v>-13</v>
      </c>
      <c r="AE12" s="264">
        <v>-13</v>
      </c>
      <c r="AF12" s="264">
        <v>-13</v>
      </c>
      <c r="AG12" s="264">
        <v>-12</v>
      </c>
      <c r="AH12" s="264">
        <v>-13</v>
      </c>
      <c r="AI12" s="265">
        <v>-14</v>
      </c>
    </row>
    <row r="13" spans="1:35" ht="14.45" x14ac:dyDescent="0.3">
      <c r="A13" s="239" t="s">
        <v>171</v>
      </c>
      <c r="B13" s="253" t="s">
        <v>1156</v>
      </c>
      <c r="C13" s="254">
        <v>-4</v>
      </c>
      <c r="D13" s="255">
        <v>-4</v>
      </c>
      <c r="E13" s="255">
        <v>-4</v>
      </c>
      <c r="F13" s="255">
        <v>-4.5</v>
      </c>
      <c r="G13" s="255">
        <v>-4.5</v>
      </c>
      <c r="H13" s="255">
        <v>-4.5</v>
      </c>
      <c r="I13" s="255">
        <v>-4</v>
      </c>
      <c r="J13" s="255">
        <v>-4</v>
      </c>
      <c r="K13" s="472">
        <v>-4</v>
      </c>
      <c r="L13" s="693"/>
      <c r="M13" s="239" t="s">
        <v>171</v>
      </c>
      <c r="N13" s="253" t="s">
        <v>1156</v>
      </c>
      <c r="O13" s="254">
        <v>-5</v>
      </c>
      <c r="P13" s="255">
        <v>-5</v>
      </c>
      <c r="Q13" s="255">
        <v>-5</v>
      </c>
      <c r="R13" s="255">
        <v>-5</v>
      </c>
      <c r="S13" s="255">
        <v>-5</v>
      </c>
      <c r="T13" s="255">
        <v>-4</v>
      </c>
      <c r="U13" s="255">
        <v>-4</v>
      </c>
      <c r="V13" s="255">
        <v>-4</v>
      </c>
      <c r="W13" s="472">
        <v>-3.5</v>
      </c>
      <c r="Y13" s="239" t="s">
        <v>171</v>
      </c>
      <c r="Z13" s="253" t="s">
        <v>1156</v>
      </c>
      <c r="AA13" s="254">
        <v>0</v>
      </c>
      <c r="AB13" s="255">
        <v>0</v>
      </c>
      <c r="AC13" s="255">
        <v>0</v>
      </c>
      <c r="AD13" s="255">
        <v>-4</v>
      </c>
      <c r="AE13" s="255">
        <v>-4</v>
      </c>
      <c r="AF13" s="255">
        <v>-4</v>
      </c>
      <c r="AG13" s="255">
        <v>-7</v>
      </c>
      <c r="AH13" s="255">
        <v>-7</v>
      </c>
      <c r="AI13" s="472">
        <v>-7</v>
      </c>
    </row>
    <row r="14" spans="1:35" ht="14.45" x14ac:dyDescent="0.3">
      <c r="A14" s="674"/>
      <c r="B14" s="681" t="s">
        <v>193</v>
      </c>
      <c r="C14" s="682">
        <v>-10</v>
      </c>
      <c r="D14" s="683">
        <v>-10</v>
      </c>
      <c r="E14" s="683">
        <v>-10</v>
      </c>
      <c r="F14" s="683">
        <v>-11</v>
      </c>
      <c r="G14" s="683">
        <v>-11</v>
      </c>
      <c r="H14" s="683">
        <v>-11</v>
      </c>
      <c r="I14" s="683">
        <v>-10</v>
      </c>
      <c r="J14" s="683">
        <v>-10</v>
      </c>
      <c r="K14" s="684">
        <v>-10</v>
      </c>
      <c r="L14" s="693"/>
      <c r="M14" s="674"/>
      <c r="N14" s="681" t="s">
        <v>193</v>
      </c>
      <c r="O14" s="682">
        <v>-12</v>
      </c>
      <c r="P14" s="683">
        <v>-12</v>
      </c>
      <c r="Q14" s="683">
        <v>-12</v>
      </c>
      <c r="R14" s="683">
        <v>-12</v>
      </c>
      <c r="S14" s="683">
        <v>-12</v>
      </c>
      <c r="T14" s="683">
        <v>-10</v>
      </c>
      <c r="U14" s="683">
        <v>-10</v>
      </c>
      <c r="V14" s="683">
        <v>-10</v>
      </c>
      <c r="W14" s="684">
        <v>-9</v>
      </c>
      <c r="Y14" s="674"/>
      <c r="Z14" s="681" t="s">
        <v>193</v>
      </c>
      <c r="AA14" s="682">
        <v>0</v>
      </c>
      <c r="AB14" s="683">
        <v>0</v>
      </c>
      <c r="AC14" s="683">
        <v>0</v>
      </c>
      <c r="AD14" s="683">
        <v>-8</v>
      </c>
      <c r="AE14" s="683">
        <v>-8</v>
      </c>
      <c r="AF14" s="683">
        <v>-8</v>
      </c>
      <c r="AG14" s="683">
        <v>-13</v>
      </c>
      <c r="AH14" s="683">
        <v>-13</v>
      </c>
      <c r="AI14" s="684">
        <v>-13</v>
      </c>
    </row>
    <row r="15" spans="1:35" ht="14.45" x14ac:dyDescent="0.3">
      <c r="A15" s="244"/>
      <c r="B15" s="256" t="s">
        <v>206</v>
      </c>
      <c r="C15" s="257">
        <v>-17</v>
      </c>
      <c r="D15" s="258">
        <v>-17</v>
      </c>
      <c r="E15" s="258">
        <v>-17</v>
      </c>
      <c r="F15" s="258">
        <v>-17</v>
      </c>
      <c r="G15" s="258">
        <v>-17</v>
      </c>
      <c r="H15" s="258">
        <v>-14</v>
      </c>
      <c r="I15" s="258">
        <v>-14</v>
      </c>
      <c r="J15" s="258">
        <v>-14</v>
      </c>
      <c r="K15" s="259">
        <v>-14</v>
      </c>
      <c r="L15" s="693"/>
      <c r="M15" s="244"/>
      <c r="N15" s="256" t="s">
        <v>206</v>
      </c>
      <c r="O15" s="257">
        <v>-18</v>
      </c>
      <c r="P15" s="258">
        <v>-18</v>
      </c>
      <c r="Q15" s="258">
        <v>-18</v>
      </c>
      <c r="R15" s="258">
        <v>-18</v>
      </c>
      <c r="S15" s="258">
        <v>-18</v>
      </c>
      <c r="T15" s="258">
        <v>-14</v>
      </c>
      <c r="U15" s="258">
        <v>-14</v>
      </c>
      <c r="V15" s="258">
        <v>-14</v>
      </c>
      <c r="W15" s="259">
        <v>-13</v>
      </c>
      <c r="Y15" s="244"/>
      <c r="Z15" s="256" t="s">
        <v>206</v>
      </c>
      <c r="AA15" s="257">
        <v>0</v>
      </c>
      <c r="AB15" s="258">
        <v>0</v>
      </c>
      <c r="AC15" s="258">
        <v>0</v>
      </c>
      <c r="AD15" s="258">
        <v>-14</v>
      </c>
      <c r="AE15" s="258">
        <v>-14</v>
      </c>
      <c r="AF15" s="258">
        <v>-14</v>
      </c>
      <c r="AG15" s="258">
        <v>-18</v>
      </c>
      <c r="AH15" s="258">
        <v>-18</v>
      </c>
      <c r="AI15" s="259">
        <v>-18</v>
      </c>
    </row>
    <row r="16" spans="1:35" ht="14.45" x14ac:dyDescent="0.3">
      <c r="A16" s="692"/>
      <c r="B16" s="263" t="s">
        <v>218</v>
      </c>
      <c r="C16" s="264">
        <v>-23.5</v>
      </c>
      <c r="D16" s="264">
        <v>-23.5</v>
      </c>
      <c r="E16" s="264">
        <v>-22.5</v>
      </c>
      <c r="F16" s="264">
        <v>-23.5</v>
      </c>
      <c r="G16" s="264">
        <v>-23.5</v>
      </c>
      <c r="H16" s="264">
        <v>-21.5</v>
      </c>
      <c r="I16" s="264">
        <v>-21.5</v>
      </c>
      <c r="J16" s="264">
        <v>-21.5</v>
      </c>
      <c r="K16" s="265">
        <v>-20</v>
      </c>
      <c r="L16" s="693"/>
      <c r="M16" s="692"/>
      <c r="N16" s="263" t="s">
        <v>218</v>
      </c>
      <c r="O16" s="264">
        <v>-23.5</v>
      </c>
      <c r="P16" s="264">
        <v>-23.5</v>
      </c>
      <c r="Q16" s="264">
        <v>-22.5</v>
      </c>
      <c r="R16" s="264">
        <v>-23.5</v>
      </c>
      <c r="S16" s="264">
        <v>-23.5</v>
      </c>
      <c r="T16" s="264">
        <v>-20.5</v>
      </c>
      <c r="U16" s="264">
        <v>-20.5</v>
      </c>
      <c r="V16" s="264">
        <v>-20.5</v>
      </c>
      <c r="W16" s="265">
        <v>-18.5</v>
      </c>
      <c r="Y16" s="692"/>
      <c r="Z16" s="263" t="s">
        <v>218</v>
      </c>
      <c r="AA16" s="264">
        <v>0</v>
      </c>
      <c r="AB16" s="264">
        <v>0</v>
      </c>
      <c r="AC16" s="264">
        <v>0</v>
      </c>
      <c r="AD16" s="264">
        <v>-19</v>
      </c>
      <c r="AE16" s="264">
        <v>-19</v>
      </c>
      <c r="AF16" s="264">
        <v>-19</v>
      </c>
      <c r="AG16" s="264">
        <v>-23</v>
      </c>
      <c r="AH16" s="264">
        <v>-23</v>
      </c>
      <c r="AI16" s="265">
        <v>-23</v>
      </c>
    </row>
    <row r="17" spans="1:29" ht="14.45" x14ac:dyDescent="0.3">
      <c r="L17" s="693"/>
      <c r="Z17" s="33"/>
      <c r="AC17" s="33"/>
    </row>
    <row r="18" spans="1:29" ht="14.45" x14ac:dyDescent="0.3">
      <c r="A18" s="1" t="s">
        <v>978</v>
      </c>
      <c r="L18" s="693"/>
    </row>
    <row r="19" spans="1:29" ht="14.45" x14ac:dyDescent="0.3">
      <c r="C19" s="854" t="s">
        <v>315</v>
      </c>
      <c r="D19" s="854"/>
      <c r="E19" s="854"/>
      <c r="F19" s="854"/>
      <c r="G19" s="854"/>
      <c r="H19" s="854"/>
      <c r="I19" s="854"/>
      <c r="J19" s="854"/>
      <c r="K19" s="854"/>
      <c r="L19" s="693"/>
      <c r="O19" s="33"/>
    </row>
    <row r="20" spans="1:29" ht="14.45" x14ac:dyDescent="0.3">
      <c r="C20" s="238">
        <v>1</v>
      </c>
      <c r="D20" s="238">
        <v>2</v>
      </c>
      <c r="E20" s="238">
        <v>3</v>
      </c>
      <c r="F20" s="238">
        <v>4</v>
      </c>
      <c r="G20" s="238">
        <v>5</v>
      </c>
      <c r="H20" s="238">
        <v>6</v>
      </c>
      <c r="I20" s="238">
        <v>7</v>
      </c>
      <c r="J20" s="238">
        <v>8</v>
      </c>
      <c r="K20" s="446">
        <v>9</v>
      </c>
      <c r="L20" s="693"/>
      <c r="O20" s="33"/>
    </row>
    <row r="21" spans="1:29" ht="14.45" x14ac:dyDescent="0.3">
      <c r="A21" s="239" t="s">
        <v>804</v>
      </c>
      <c r="B21" s="253" t="s">
        <v>192</v>
      </c>
      <c r="C21" s="254">
        <v>-4</v>
      </c>
      <c r="D21" s="255">
        <v>-4</v>
      </c>
      <c r="E21" s="255">
        <v>-3</v>
      </c>
      <c r="F21" s="255">
        <v>-4</v>
      </c>
      <c r="G21" s="255">
        <v>-4</v>
      </c>
      <c r="H21" s="255">
        <v>-2</v>
      </c>
      <c r="I21" s="255">
        <v>-2</v>
      </c>
      <c r="J21" s="255">
        <v>-1</v>
      </c>
      <c r="K21" s="472">
        <v>-1</v>
      </c>
      <c r="L21" s="693"/>
    </row>
    <row r="22" spans="1:29" ht="14.45" x14ac:dyDescent="0.3">
      <c r="A22" s="244"/>
      <c r="B22" s="256" t="s">
        <v>205</v>
      </c>
      <c r="C22" s="257">
        <v>-8</v>
      </c>
      <c r="D22" s="258">
        <v>-8</v>
      </c>
      <c r="E22" s="258">
        <v>-6</v>
      </c>
      <c r="F22" s="258">
        <v>-7</v>
      </c>
      <c r="G22" s="258">
        <v>-8</v>
      </c>
      <c r="H22" s="258">
        <v>-6</v>
      </c>
      <c r="I22" s="258">
        <v>-6</v>
      </c>
      <c r="J22" s="258">
        <v>-5</v>
      </c>
      <c r="K22" s="259">
        <v>-5</v>
      </c>
    </row>
    <row r="23" spans="1:29" ht="14.45" x14ac:dyDescent="0.3">
      <c r="A23" s="244"/>
      <c r="B23" s="260" t="s">
        <v>217</v>
      </c>
      <c r="C23" s="261">
        <v>-13</v>
      </c>
      <c r="D23" s="261">
        <v>-13</v>
      </c>
      <c r="E23" s="261">
        <v>-11</v>
      </c>
      <c r="F23" s="261">
        <v>-12</v>
      </c>
      <c r="G23" s="261">
        <v>-13</v>
      </c>
      <c r="H23" s="261">
        <v>-11</v>
      </c>
      <c r="I23" s="261">
        <v>-10</v>
      </c>
      <c r="J23" s="261">
        <v>-10</v>
      </c>
      <c r="K23" s="262">
        <v>-10</v>
      </c>
    </row>
    <row r="24" spans="1:29" ht="14.45" x14ac:dyDescent="0.3">
      <c r="A24" s="239" t="s">
        <v>805</v>
      </c>
      <c r="B24" s="253" t="s">
        <v>251</v>
      </c>
      <c r="C24" s="254">
        <v>-4</v>
      </c>
      <c r="D24" s="255">
        <v>-4</v>
      </c>
      <c r="E24" s="255">
        <v>-3</v>
      </c>
      <c r="F24" s="255">
        <v>-4</v>
      </c>
      <c r="G24" s="255">
        <v>-4</v>
      </c>
      <c r="H24" s="255">
        <v>-2</v>
      </c>
      <c r="I24" s="255">
        <v>-2</v>
      </c>
      <c r="J24" s="255">
        <v>-1</v>
      </c>
      <c r="K24" s="472">
        <v>-1</v>
      </c>
    </row>
    <row r="25" spans="1:29" ht="14.45" x14ac:dyDescent="0.3">
      <c r="A25" s="244"/>
      <c r="B25" s="256" t="s">
        <v>255</v>
      </c>
      <c r="C25" s="257">
        <v>-8</v>
      </c>
      <c r="D25" s="258">
        <v>-8</v>
      </c>
      <c r="E25" s="258">
        <v>-6</v>
      </c>
      <c r="F25" s="258">
        <v>-7</v>
      </c>
      <c r="G25" s="258">
        <v>-8</v>
      </c>
      <c r="H25" s="258">
        <v>-6</v>
      </c>
      <c r="I25" s="258">
        <v>-6</v>
      </c>
      <c r="J25" s="258">
        <v>-5</v>
      </c>
      <c r="K25" s="259">
        <v>-5</v>
      </c>
    </row>
    <row r="26" spans="1:29" ht="14.45" x14ac:dyDescent="0.3">
      <c r="A26" s="244"/>
      <c r="B26" s="260" t="s">
        <v>259</v>
      </c>
      <c r="C26" s="261">
        <v>-13</v>
      </c>
      <c r="D26" s="261">
        <v>-13</v>
      </c>
      <c r="E26" s="261">
        <v>-11</v>
      </c>
      <c r="F26" s="261">
        <v>-12</v>
      </c>
      <c r="G26" s="261">
        <v>-13</v>
      </c>
      <c r="H26" s="261">
        <v>-11</v>
      </c>
      <c r="I26" s="261">
        <v>-10</v>
      </c>
      <c r="J26" s="261">
        <v>-10</v>
      </c>
      <c r="K26" s="262">
        <v>-10</v>
      </c>
      <c r="X26" s="299"/>
    </row>
    <row r="27" spans="1:29" x14ac:dyDescent="0.25">
      <c r="A27" s="239" t="s">
        <v>806</v>
      </c>
      <c r="B27" s="253" t="s">
        <v>1275</v>
      </c>
      <c r="C27" s="254">
        <v>-3</v>
      </c>
      <c r="D27" s="255">
        <v>-3</v>
      </c>
      <c r="E27" s="255">
        <v>-2</v>
      </c>
      <c r="F27" s="255">
        <v>-3</v>
      </c>
      <c r="G27" s="255">
        <v>-3</v>
      </c>
      <c r="H27" s="255">
        <v>-1</v>
      </c>
      <c r="I27" s="255">
        <v>-1</v>
      </c>
      <c r="J27" s="255">
        <v>0</v>
      </c>
      <c r="K27" s="472">
        <v>0</v>
      </c>
    </row>
    <row r="28" spans="1:29" x14ac:dyDescent="0.25">
      <c r="A28" s="244"/>
      <c r="B28" s="256" t="s">
        <v>1276</v>
      </c>
      <c r="C28" s="257">
        <v>-7</v>
      </c>
      <c r="D28" s="258">
        <v>-7</v>
      </c>
      <c r="E28" s="258">
        <v>-5</v>
      </c>
      <c r="F28" s="258">
        <v>-6</v>
      </c>
      <c r="G28" s="258">
        <v>-7</v>
      </c>
      <c r="H28" s="258">
        <v>-5</v>
      </c>
      <c r="I28" s="258">
        <v>-5</v>
      </c>
      <c r="J28" s="258">
        <v>-4</v>
      </c>
      <c r="K28" s="259">
        <v>-4</v>
      </c>
    </row>
    <row r="29" spans="1:29" x14ac:dyDescent="0.25">
      <c r="A29" s="244"/>
      <c r="B29" s="260" t="s">
        <v>1277</v>
      </c>
      <c r="C29" s="261">
        <v>-12</v>
      </c>
      <c r="D29" s="261">
        <v>-12</v>
      </c>
      <c r="E29" s="261">
        <v>-10</v>
      </c>
      <c r="F29" s="261">
        <v>-11</v>
      </c>
      <c r="G29" s="261">
        <v>-12</v>
      </c>
      <c r="H29" s="261">
        <v>-10</v>
      </c>
      <c r="I29" s="261">
        <v>-9</v>
      </c>
      <c r="J29" s="261">
        <v>-9</v>
      </c>
      <c r="K29" s="262">
        <v>-9</v>
      </c>
    </row>
    <row r="30" spans="1:29" x14ac:dyDescent="0.25">
      <c r="A30" s="239" t="s">
        <v>171</v>
      </c>
      <c r="B30" s="253" t="s">
        <v>1156</v>
      </c>
      <c r="C30" s="254">
        <v>-2</v>
      </c>
      <c r="D30" s="255">
        <v>-2</v>
      </c>
      <c r="E30" s="255">
        <v>-2</v>
      </c>
      <c r="F30" s="255">
        <v>-2.5</v>
      </c>
      <c r="G30" s="255">
        <v>-2.5</v>
      </c>
      <c r="H30" s="255">
        <v>-2.5</v>
      </c>
      <c r="I30" s="255">
        <v>-2</v>
      </c>
      <c r="J30" s="255">
        <v>-2</v>
      </c>
      <c r="K30" s="472">
        <v>-2</v>
      </c>
    </row>
    <row r="31" spans="1:29" x14ac:dyDescent="0.25">
      <c r="A31" s="674"/>
      <c r="B31" s="681" t="s">
        <v>193</v>
      </c>
      <c r="C31" s="682">
        <v>-8</v>
      </c>
      <c r="D31" s="683">
        <v>-8</v>
      </c>
      <c r="E31" s="683">
        <v>-8</v>
      </c>
      <c r="F31" s="683">
        <v>-9</v>
      </c>
      <c r="G31" s="683">
        <v>-9</v>
      </c>
      <c r="H31" s="683">
        <v>-9</v>
      </c>
      <c r="I31" s="683">
        <v>-8</v>
      </c>
      <c r="J31" s="683">
        <v>-8</v>
      </c>
      <c r="K31" s="684">
        <v>-8</v>
      </c>
    </row>
    <row r="32" spans="1:29" x14ac:dyDescent="0.25">
      <c r="A32" s="244"/>
      <c r="B32" s="256" t="s">
        <v>206</v>
      </c>
      <c r="C32" s="257">
        <v>-15</v>
      </c>
      <c r="D32" s="258">
        <v>-15</v>
      </c>
      <c r="E32" s="258">
        <v>-15</v>
      </c>
      <c r="F32" s="258">
        <v>-15</v>
      </c>
      <c r="G32" s="258">
        <v>-15</v>
      </c>
      <c r="H32" s="258">
        <v>-12</v>
      </c>
      <c r="I32" s="258">
        <v>-12</v>
      </c>
      <c r="J32" s="258">
        <v>-12</v>
      </c>
      <c r="K32" s="259">
        <v>-12</v>
      </c>
    </row>
    <row r="33" spans="1:11" x14ac:dyDescent="0.25">
      <c r="A33" s="692"/>
      <c r="B33" s="263" t="s">
        <v>218</v>
      </c>
      <c r="C33" s="264">
        <v>-21.5</v>
      </c>
      <c r="D33" s="264">
        <v>-21.5</v>
      </c>
      <c r="E33" s="264">
        <v>-20.5</v>
      </c>
      <c r="F33" s="264">
        <v>-21.5</v>
      </c>
      <c r="G33" s="264">
        <v>-21.5</v>
      </c>
      <c r="H33" s="264">
        <v>-19.5</v>
      </c>
      <c r="I33" s="264">
        <v>-19.5</v>
      </c>
      <c r="J33" s="264">
        <v>-19.5</v>
      </c>
      <c r="K33" s="265">
        <v>-18</v>
      </c>
    </row>
  </sheetData>
  <sheetProtection algorithmName="SHA-512" hashValue="pafHKyodnIVvhL7QDa0/SeOCU+gpK3uJIvYisNw9OgjlKccG/50oORBkIfzVpWMMn1HPaDP0o7NrXaqb0YMvyw==" saltValue="o+3VASGDpjNbIKZnEbcmmQ==" spinCount="100000" sheet="1" objects="1" scenarios="1" autoFilter="0"/>
  <mergeCells count="3">
    <mergeCell ref="O2:V2"/>
    <mergeCell ref="C2:K2"/>
    <mergeCell ref="C19:K19"/>
  </mergeCell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O93"/>
  <sheetViews>
    <sheetView workbookViewId="0">
      <selection activeCell="B1" sqref="B1:L13"/>
    </sheetView>
  </sheetViews>
  <sheetFormatPr defaultColWidth="9.28515625" defaultRowHeight="15" x14ac:dyDescent="0.25"/>
  <cols>
    <col min="1" max="1" width="9.28515625" style="476"/>
    <col min="2" max="2" width="17.5703125" style="476" bestFit="1" customWidth="1"/>
    <col min="3" max="3" width="11.28515625" style="476" customWidth="1"/>
    <col min="4" max="16384" width="9.28515625" style="476"/>
  </cols>
  <sheetData>
    <row r="1" spans="2:15" ht="14.45" x14ac:dyDescent="0.3">
      <c r="B1" s="480" t="s">
        <v>991</v>
      </c>
    </row>
    <row r="2" spans="2:15" ht="14.45" x14ac:dyDescent="0.3">
      <c r="B2" s="480"/>
    </row>
    <row r="3" spans="2:15" ht="14.45" x14ac:dyDescent="0.3">
      <c r="C3" s="902" t="s">
        <v>988</v>
      </c>
      <c r="D3" s="902"/>
      <c r="E3" s="902"/>
      <c r="F3" s="902"/>
      <c r="G3" s="902" t="s">
        <v>989</v>
      </c>
      <c r="H3" s="902"/>
      <c r="I3" s="902"/>
      <c r="J3" s="902"/>
      <c r="K3" s="902" t="s">
        <v>990</v>
      </c>
      <c r="L3" s="902"/>
    </row>
    <row r="4" spans="2:15" ht="14.45" x14ac:dyDescent="0.3">
      <c r="C4" s="902" t="s">
        <v>189</v>
      </c>
      <c r="D4" s="902"/>
      <c r="E4" s="902" t="s">
        <v>203</v>
      </c>
      <c r="F4" s="902"/>
      <c r="G4" s="902" t="s">
        <v>228</v>
      </c>
      <c r="H4" s="902"/>
      <c r="I4" s="902" t="s">
        <v>234</v>
      </c>
      <c r="J4" s="902"/>
      <c r="K4" s="902" t="s">
        <v>239</v>
      </c>
      <c r="L4" s="902"/>
    </row>
    <row r="5" spans="2:15" ht="14.45" x14ac:dyDescent="0.3">
      <c r="C5" s="478" t="s">
        <v>980</v>
      </c>
      <c r="D5" s="478" t="s">
        <v>981</v>
      </c>
      <c r="E5" s="478" t="s">
        <v>980</v>
      </c>
      <c r="F5" s="478" t="s">
        <v>981</v>
      </c>
      <c r="G5" s="478" t="s">
        <v>980</v>
      </c>
      <c r="H5" s="478" t="s">
        <v>981</v>
      </c>
      <c r="I5" s="478" t="s">
        <v>980</v>
      </c>
      <c r="J5" s="478" t="s">
        <v>981</v>
      </c>
      <c r="K5" s="478" t="s">
        <v>980</v>
      </c>
      <c r="L5" s="478" t="s">
        <v>981</v>
      </c>
    </row>
    <row r="6" spans="2:15" s="477" customFormat="1" ht="14.45" x14ac:dyDescent="0.3">
      <c r="B6" s="479" t="s">
        <v>185</v>
      </c>
      <c r="C6" s="479">
        <v>56</v>
      </c>
      <c r="D6" s="479">
        <v>59</v>
      </c>
      <c r="E6" s="479">
        <v>56</v>
      </c>
      <c r="F6" s="479">
        <v>61</v>
      </c>
      <c r="G6" s="479">
        <v>55</v>
      </c>
      <c r="H6" s="479">
        <v>60</v>
      </c>
      <c r="I6" s="479">
        <v>54</v>
      </c>
      <c r="J6" s="479">
        <v>62</v>
      </c>
      <c r="K6" s="479">
        <v>53</v>
      </c>
      <c r="L6" s="479">
        <v>62</v>
      </c>
      <c r="N6" s="476"/>
      <c r="O6" s="476"/>
    </row>
    <row r="7" spans="2:15" s="477" customFormat="1" ht="14.45" x14ac:dyDescent="0.3">
      <c r="B7" s="479" t="s">
        <v>982</v>
      </c>
      <c r="C7" s="479">
        <v>34</v>
      </c>
      <c r="D7" s="479">
        <v>35.5</v>
      </c>
      <c r="E7" s="479">
        <v>33</v>
      </c>
      <c r="F7" s="479">
        <v>36</v>
      </c>
      <c r="G7" s="479">
        <v>32.5</v>
      </c>
      <c r="H7" s="479">
        <v>37.5</v>
      </c>
      <c r="I7" s="479">
        <v>32</v>
      </c>
      <c r="J7" s="479">
        <v>38</v>
      </c>
      <c r="K7" s="479">
        <v>31</v>
      </c>
      <c r="L7" s="479">
        <v>38.700000000000003</v>
      </c>
    </row>
    <row r="8" spans="2:15" s="477" customFormat="1" ht="14.45" x14ac:dyDescent="0.3">
      <c r="B8" s="479" t="s">
        <v>983</v>
      </c>
      <c r="C8" s="479">
        <v>40.6</v>
      </c>
      <c r="D8" s="479">
        <v>41.2</v>
      </c>
      <c r="E8" s="479">
        <v>40.6</v>
      </c>
      <c r="F8" s="479">
        <v>41.2</v>
      </c>
      <c r="G8" s="479">
        <v>40.4</v>
      </c>
      <c r="H8" s="479">
        <v>41.6</v>
      </c>
      <c r="I8" s="479">
        <v>40.200000000000003</v>
      </c>
      <c r="J8" s="479">
        <v>42.2</v>
      </c>
      <c r="K8" s="479">
        <v>39.799999999999997</v>
      </c>
      <c r="L8" s="479">
        <v>42.6</v>
      </c>
    </row>
    <row r="9" spans="2:15" s="477" customFormat="1" ht="14.45" x14ac:dyDescent="0.3">
      <c r="B9" s="479" t="s">
        <v>204</v>
      </c>
      <c r="C9" s="479">
        <v>2.5</v>
      </c>
      <c r="D9" s="479">
        <v>3.5</v>
      </c>
      <c r="E9" s="479">
        <v>2</v>
      </c>
      <c r="F9" s="479">
        <v>4</v>
      </c>
      <c r="G9" s="479">
        <v>2.5</v>
      </c>
      <c r="H9" s="479">
        <v>4.7</v>
      </c>
      <c r="I9" s="479">
        <v>2</v>
      </c>
      <c r="J9" s="479">
        <v>5.5</v>
      </c>
      <c r="K9" s="479">
        <v>2</v>
      </c>
      <c r="L9" s="479">
        <v>6.5</v>
      </c>
    </row>
    <row r="10" spans="2:15" s="477" customFormat="1" ht="14.45" x14ac:dyDescent="0.3">
      <c r="B10" s="479" t="s">
        <v>984</v>
      </c>
      <c r="C10" s="479">
        <v>0</v>
      </c>
      <c r="D10" s="479">
        <v>0.5</v>
      </c>
      <c r="E10" s="479">
        <v>0</v>
      </c>
      <c r="F10" s="479">
        <v>0.9</v>
      </c>
      <c r="G10" s="479">
        <v>0</v>
      </c>
      <c r="H10" s="479">
        <v>0.9</v>
      </c>
      <c r="I10" s="479">
        <v>0</v>
      </c>
      <c r="J10" s="479">
        <v>1.2</v>
      </c>
      <c r="K10" s="479">
        <v>0</v>
      </c>
      <c r="L10" s="479">
        <v>1.6</v>
      </c>
    </row>
    <row r="11" spans="2:15" s="477" customFormat="1" ht="14.45" x14ac:dyDescent="0.3">
      <c r="B11" s="479" t="s">
        <v>985</v>
      </c>
      <c r="C11" s="479">
        <v>50</v>
      </c>
      <c r="D11" s="479">
        <v>55</v>
      </c>
      <c r="E11" s="479">
        <v>50</v>
      </c>
      <c r="F11" s="479">
        <v>55</v>
      </c>
      <c r="G11" s="479">
        <v>45</v>
      </c>
      <c r="H11" s="479">
        <v>55</v>
      </c>
      <c r="I11" s="479">
        <v>45</v>
      </c>
      <c r="J11" s="479">
        <v>55</v>
      </c>
      <c r="K11" s="479">
        <v>45</v>
      </c>
      <c r="L11" s="479">
        <v>55</v>
      </c>
    </row>
    <row r="12" spans="2:15" s="477" customFormat="1" ht="14.45" x14ac:dyDescent="0.3">
      <c r="B12" s="479" t="s">
        <v>986</v>
      </c>
      <c r="C12" s="479">
        <v>75</v>
      </c>
      <c r="D12" s="479">
        <v>80</v>
      </c>
      <c r="E12" s="479">
        <v>75</v>
      </c>
      <c r="F12" s="479">
        <v>80</v>
      </c>
      <c r="G12" s="479">
        <v>70</v>
      </c>
      <c r="H12" s="479">
        <v>80</v>
      </c>
      <c r="I12" s="479">
        <v>70</v>
      </c>
      <c r="J12" s="479">
        <v>80</v>
      </c>
      <c r="K12" s="479">
        <v>70</v>
      </c>
      <c r="L12" s="479">
        <v>80</v>
      </c>
    </row>
    <row r="13" spans="2:15" s="477" customFormat="1" ht="14.45" x14ac:dyDescent="0.3">
      <c r="B13" s="479" t="s">
        <v>987</v>
      </c>
      <c r="C13" s="479">
        <v>59.5</v>
      </c>
      <c r="D13" s="479">
        <v>62.7</v>
      </c>
      <c r="E13" s="479">
        <v>59</v>
      </c>
      <c r="F13" s="479">
        <v>63.2</v>
      </c>
      <c r="G13" s="479">
        <v>58.5</v>
      </c>
      <c r="H13" s="479">
        <v>64</v>
      </c>
      <c r="I13" s="479">
        <v>58</v>
      </c>
      <c r="J13" s="479">
        <v>64.7</v>
      </c>
      <c r="K13" s="479">
        <v>57.5</v>
      </c>
      <c r="L13" s="479">
        <v>66.2</v>
      </c>
    </row>
    <row r="15" spans="2:15" ht="14.45" x14ac:dyDescent="0.3">
      <c r="B15" s="480" t="s">
        <v>992</v>
      </c>
    </row>
    <row r="17" spans="2:8" ht="14.45" x14ac:dyDescent="0.3">
      <c r="B17" s="477" t="s">
        <v>235</v>
      </c>
      <c r="C17" s="901" t="s">
        <v>1077</v>
      </c>
      <c r="D17" s="901"/>
      <c r="E17" s="901" t="s">
        <v>1077</v>
      </c>
      <c r="F17" s="901"/>
      <c r="G17" s="901" t="s">
        <v>1154</v>
      </c>
      <c r="H17" s="901"/>
    </row>
    <row r="18" spans="2:8" ht="14.45" x14ac:dyDescent="0.3">
      <c r="C18" s="901" t="s">
        <v>247</v>
      </c>
      <c r="D18" s="901"/>
      <c r="E18" s="901" t="s">
        <v>1153</v>
      </c>
      <c r="F18" s="901"/>
      <c r="G18" s="901" t="s">
        <v>202</v>
      </c>
      <c r="H18" s="901"/>
    </row>
    <row r="19" spans="2:8" ht="14.45" x14ac:dyDescent="0.3">
      <c r="C19" s="477" t="s">
        <v>980</v>
      </c>
      <c r="D19" s="477" t="s">
        <v>981</v>
      </c>
      <c r="E19" s="477" t="s">
        <v>980</v>
      </c>
      <c r="F19" s="477" t="s">
        <v>981</v>
      </c>
      <c r="G19" s="477" t="s">
        <v>980</v>
      </c>
      <c r="H19" s="477" t="s">
        <v>981</v>
      </c>
    </row>
    <row r="20" spans="2:8" ht="14.45" x14ac:dyDescent="0.3">
      <c r="B20" s="479" t="s">
        <v>185</v>
      </c>
      <c r="C20" s="479">
        <v>57</v>
      </c>
      <c r="D20" s="479">
        <v>61</v>
      </c>
      <c r="E20" s="479">
        <v>55</v>
      </c>
      <c r="F20" s="479">
        <v>62</v>
      </c>
      <c r="G20" s="479">
        <v>54</v>
      </c>
      <c r="H20" s="479">
        <v>66</v>
      </c>
    </row>
    <row r="21" spans="2:8" ht="14.45" x14ac:dyDescent="0.3">
      <c r="B21" s="479" t="s">
        <v>1067</v>
      </c>
      <c r="C21" s="479">
        <v>59</v>
      </c>
      <c r="D21" s="479">
        <v>62</v>
      </c>
      <c r="E21" s="479">
        <v>58</v>
      </c>
      <c r="F21" s="479">
        <v>64</v>
      </c>
      <c r="G21" s="479">
        <v>57</v>
      </c>
      <c r="H21" s="479">
        <v>66</v>
      </c>
    </row>
    <row r="22" spans="2:8" ht="14.45" x14ac:dyDescent="0.3">
      <c r="B22" s="479" t="s">
        <v>1066</v>
      </c>
      <c r="C22" s="479">
        <v>1.55</v>
      </c>
      <c r="D22" s="479">
        <v>1.63</v>
      </c>
      <c r="E22" s="479">
        <v>1.53</v>
      </c>
      <c r="F22" s="479">
        <v>1.63</v>
      </c>
      <c r="G22" s="479">
        <v>1.5</v>
      </c>
      <c r="H22" s="479">
        <v>1.65</v>
      </c>
    </row>
    <row r="23" spans="2:8" ht="14.45" x14ac:dyDescent="0.3">
      <c r="B23" s="479" t="s">
        <v>982</v>
      </c>
      <c r="C23" s="479">
        <v>32</v>
      </c>
      <c r="D23" s="479">
        <v>36</v>
      </c>
      <c r="E23" s="479">
        <v>32</v>
      </c>
      <c r="F23" s="479">
        <v>36</v>
      </c>
      <c r="G23" s="479">
        <v>32</v>
      </c>
      <c r="H23" s="479">
        <v>38</v>
      </c>
    </row>
    <row r="24" spans="2:8" ht="14.45" x14ac:dyDescent="0.3">
      <c r="B24" s="479" t="s">
        <v>1064</v>
      </c>
      <c r="C24" s="479">
        <v>12</v>
      </c>
      <c r="D24" s="479">
        <v>15.5</v>
      </c>
      <c r="E24" s="479">
        <v>12</v>
      </c>
      <c r="F24" s="479">
        <v>15.5</v>
      </c>
      <c r="G24" s="479">
        <v>11</v>
      </c>
      <c r="H24" s="479">
        <v>17</v>
      </c>
    </row>
    <row r="25" spans="2:8" ht="14.45" x14ac:dyDescent="0.3">
      <c r="B25" s="479" t="s">
        <v>983</v>
      </c>
      <c r="C25" s="479">
        <v>39</v>
      </c>
      <c r="D25" s="479">
        <v>42</v>
      </c>
      <c r="E25" s="479">
        <v>39</v>
      </c>
      <c r="F25" s="479">
        <v>42</v>
      </c>
      <c r="G25" s="479">
        <v>39</v>
      </c>
      <c r="H25" s="479">
        <v>43</v>
      </c>
    </row>
    <row r="26" spans="2:8" ht="14.45" x14ac:dyDescent="0.3">
      <c r="B26" s="479" t="s">
        <v>1060</v>
      </c>
      <c r="C26" s="479">
        <v>42</v>
      </c>
      <c r="D26" s="479">
        <v>45</v>
      </c>
      <c r="E26" s="479">
        <v>42</v>
      </c>
      <c r="F26" s="479">
        <v>45</v>
      </c>
      <c r="G26" s="479">
        <v>41</v>
      </c>
      <c r="H26" s="479">
        <v>47</v>
      </c>
    </row>
    <row r="27" spans="2:8" x14ac:dyDescent="0.25">
      <c r="B27" s="479" t="s">
        <v>1</v>
      </c>
      <c r="C27" s="479">
        <v>2.5</v>
      </c>
      <c r="D27" s="479">
        <v>3.5</v>
      </c>
      <c r="E27" s="479">
        <v>2.5</v>
      </c>
      <c r="F27" s="479">
        <v>4.5</v>
      </c>
      <c r="G27" s="479">
        <v>2</v>
      </c>
      <c r="H27" s="479">
        <v>5.5</v>
      </c>
    </row>
    <row r="29" spans="2:8" x14ac:dyDescent="0.25">
      <c r="B29" s="477" t="s">
        <v>240</v>
      </c>
      <c r="C29" s="901" t="s">
        <v>1077</v>
      </c>
      <c r="D29" s="901"/>
      <c r="E29" s="901" t="s">
        <v>1077</v>
      </c>
      <c r="F29" s="901"/>
      <c r="G29" s="901" t="s">
        <v>1154</v>
      </c>
      <c r="H29" s="901"/>
    </row>
    <row r="30" spans="2:8" x14ac:dyDescent="0.25">
      <c r="C30" s="901" t="s">
        <v>247</v>
      </c>
      <c r="D30" s="901"/>
      <c r="E30" s="901" t="s">
        <v>1153</v>
      </c>
      <c r="F30" s="901"/>
      <c r="G30" s="901" t="s">
        <v>202</v>
      </c>
      <c r="H30" s="901"/>
    </row>
    <row r="31" spans="2:8" x14ac:dyDescent="0.25">
      <c r="C31" s="477" t="s">
        <v>980</v>
      </c>
      <c r="D31" s="477" t="s">
        <v>981</v>
      </c>
      <c r="E31" s="477" t="s">
        <v>980</v>
      </c>
      <c r="F31" s="477" t="s">
        <v>981</v>
      </c>
      <c r="G31" s="477" t="s">
        <v>980</v>
      </c>
      <c r="H31" s="477" t="s">
        <v>981</v>
      </c>
    </row>
    <row r="32" spans="2:8" x14ac:dyDescent="0.25">
      <c r="B32" s="479" t="s">
        <v>185</v>
      </c>
      <c r="C32" s="479">
        <v>57</v>
      </c>
      <c r="D32" s="479">
        <v>62</v>
      </c>
      <c r="E32" s="479">
        <v>56</v>
      </c>
      <c r="F32" s="479">
        <v>64</v>
      </c>
      <c r="G32" s="479">
        <v>54</v>
      </c>
      <c r="H32" s="479">
        <v>68</v>
      </c>
    </row>
    <row r="33" spans="2:8" x14ac:dyDescent="0.25">
      <c r="B33" s="479" t="s">
        <v>1067</v>
      </c>
      <c r="C33" s="479">
        <v>58</v>
      </c>
      <c r="D33" s="479">
        <v>62</v>
      </c>
      <c r="E33" s="479">
        <v>58</v>
      </c>
      <c r="F33" s="479">
        <v>64</v>
      </c>
      <c r="G33" s="479">
        <v>56</v>
      </c>
      <c r="H33" s="479">
        <v>66</v>
      </c>
    </row>
    <row r="34" spans="2:8" x14ac:dyDescent="0.25">
      <c r="B34" s="479" t="s">
        <v>1066</v>
      </c>
      <c r="C34" s="479">
        <v>1.38</v>
      </c>
      <c r="D34" s="479">
        <v>1.47</v>
      </c>
      <c r="E34" s="479">
        <v>1.38</v>
      </c>
      <c r="F34" s="479">
        <v>1.54</v>
      </c>
      <c r="G34" s="479">
        <v>1.35</v>
      </c>
      <c r="H34" s="479">
        <v>1.59</v>
      </c>
    </row>
    <row r="35" spans="2:8" x14ac:dyDescent="0.25">
      <c r="B35" s="479" t="s">
        <v>982</v>
      </c>
      <c r="C35" s="479">
        <v>33</v>
      </c>
      <c r="D35" s="479">
        <v>36</v>
      </c>
      <c r="E35" s="479">
        <v>32</v>
      </c>
      <c r="F35" s="479">
        <v>37</v>
      </c>
      <c r="G35" s="479">
        <v>31</v>
      </c>
      <c r="H35" s="479">
        <v>38</v>
      </c>
    </row>
    <row r="36" spans="2:8" x14ac:dyDescent="0.25">
      <c r="B36" s="479" t="s">
        <v>1064</v>
      </c>
      <c r="C36" s="479">
        <v>12</v>
      </c>
      <c r="D36" s="479">
        <v>16</v>
      </c>
      <c r="E36" s="479">
        <v>12</v>
      </c>
      <c r="F36" s="479">
        <v>16</v>
      </c>
      <c r="G36" s="479">
        <v>12</v>
      </c>
      <c r="H36" s="479">
        <v>18</v>
      </c>
    </row>
    <row r="37" spans="2:8" x14ac:dyDescent="0.25">
      <c r="B37" s="479" t="s">
        <v>983</v>
      </c>
      <c r="C37" s="479">
        <v>39</v>
      </c>
      <c r="D37" s="479">
        <v>42</v>
      </c>
      <c r="E37" s="479">
        <v>39</v>
      </c>
      <c r="F37" s="479">
        <v>42</v>
      </c>
      <c r="G37" s="479">
        <v>38</v>
      </c>
      <c r="H37" s="479">
        <v>43</v>
      </c>
    </row>
    <row r="38" spans="2:8" x14ac:dyDescent="0.25">
      <c r="B38" s="479" t="s">
        <v>1060</v>
      </c>
      <c r="C38" s="479">
        <v>41</v>
      </c>
      <c r="D38" s="479">
        <v>45</v>
      </c>
      <c r="E38" s="479">
        <v>41</v>
      </c>
      <c r="F38" s="479">
        <v>45</v>
      </c>
      <c r="G38" s="479">
        <v>40</v>
      </c>
      <c r="H38" s="479">
        <v>46</v>
      </c>
    </row>
    <row r="39" spans="2:8" x14ac:dyDescent="0.25">
      <c r="B39" s="479" t="s">
        <v>1</v>
      </c>
      <c r="C39" s="479">
        <v>2.5</v>
      </c>
      <c r="D39" s="479">
        <v>3.5</v>
      </c>
      <c r="E39" s="479">
        <v>2.5</v>
      </c>
      <c r="F39" s="479">
        <v>4.5</v>
      </c>
      <c r="G39" s="479">
        <v>2</v>
      </c>
      <c r="H39" s="479">
        <v>5</v>
      </c>
    </row>
    <row r="41" spans="2:8" x14ac:dyDescent="0.25">
      <c r="B41" s="477" t="s">
        <v>967</v>
      </c>
      <c r="C41" s="901" t="s">
        <v>1077</v>
      </c>
      <c r="D41" s="901"/>
      <c r="E41" s="901" t="s">
        <v>1077</v>
      </c>
      <c r="F41" s="901"/>
      <c r="G41" s="901" t="s">
        <v>1154</v>
      </c>
      <c r="H41" s="901"/>
    </row>
    <row r="42" spans="2:8" x14ac:dyDescent="0.25">
      <c r="C42" s="901" t="s">
        <v>247</v>
      </c>
      <c r="D42" s="901"/>
      <c r="E42" s="901" t="s">
        <v>1153</v>
      </c>
      <c r="F42" s="901"/>
      <c r="G42" s="901" t="s">
        <v>202</v>
      </c>
      <c r="H42" s="901"/>
    </row>
    <row r="43" spans="2:8" x14ac:dyDescent="0.25">
      <c r="C43" s="477" t="s">
        <v>980</v>
      </c>
      <c r="D43" s="477" t="s">
        <v>981</v>
      </c>
      <c r="E43" s="477" t="s">
        <v>980</v>
      </c>
      <c r="F43" s="477" t="s">
        <v>981</v>
      </c>
      <c r="G43" s="477" t="s">
        <v>980</v>
      </c>
      <c r="H43" s="477" t="s">
        <v>981</v>
      </c>
    </row>
    <row r="44" spans="2:8" x14ac:dyDescent="0.25">
      <c r="B44" s="479" t="s">
        <v>185</v>
      </c>
      <c r="C44" s="479">
        <v>55</v>
      </c>
      <c r="D44" s="479">
        <v>58</v>
      </c>
      <c r="E44" s="479">
        <v>54.5</v>
      </c>
      <c r="F44" s="479">
        <v>60</v>
      </c>
      <c r="G44" s="479">
        <v>53.5</v>
      </c>
      <c r="H44" s="479">
        <v>64</v>
      </c>
    </row>
    <row r="45" spans="2:8" x14ac:dyDescent="0.25">
      <c r="B45" s="479" t="s">
        <v>1067</v>
      </c>
      <c r="C45" s="479">
        <v>57</v>
      </c>
      <c r="D45" s="479">
        <v>61</v>
      </c>
      <c r="E45" s="479">
        <v>57</v>
      </c>
      <c r="F45" s="479">
        <v>62.5</v>
      </c>
      <c r="G45" s="479">
        <v>56</v>
      </c>
      <c r="H45" s="479">
        <v>65</v>
      </c>
    </row>
    <row r="46" spans="2:8" x14ac:dyDescent="0.25">
      <c r="B46" s="479" t="s">
        <v>1066</v>
      </c>
      <c r="C46" s="479">
        <v>1.95</v>
      </c>
      <c r="D46" s="479">
        <v>2.08</v>
      </c>
      <c r="E46" s="479">
        <v>1.95</v>
      </c>
      <c r="F46" s="479">
        <v>2.0699999999999998</v>
      </c>
      <c r="G46" s="479">
        <v>1.92</v>
      </c>
      <c r="H46" s="479">
        <v>2.14</v>
      </c>
    </row>
    <row r="47" spans="2:8" x14ac:dyDescent="0.25">
      <c r="B47" s="479" t="s">
        <v>982</v>
      </c>
      <c r="C47" s="479">
        <v>32</v>
      </c>
      <c r="D47" s="479">
        <v>35</v>
      </c>
      <c r="E47" s="479">
        <v>32</v>
      </c>
      <c r="F47" s="479">
        <v>35</v>
      </c>
      <c r="G47" s="479">
        <v>32</v>
      </c>
      <c r="H47" s="479">
        <v>36</v>
      </c>
    </row>
    <row r="48" spans="2:8" x14ac:dyDescent="0.25">
      <c r="B48" s="479" t="s">
        <v>1064</v>
      </c>
      <c r="C48" s="479">
        <v>12.5</v>
      </c>
      <c r="D48" s="479">
        <v>15</v>
      </c>
      <c r="E48" s="479">
        <v>12.5</v>
      </c>
      <c r="F48" s="479">
        <v>15</v>
      </c>
      <c r="G48" s="479">
        <v>12</v>
      </c>
      <c r="H48" s="479">
        <v>16</v>
      </c>
    </row>
    <row r="49" spans="2:8" x14ac:dyDescent="0.25">
      <c r="B49" s="479" t="s">
        <v>983</v>
      </c>
      <c r="C49" s="479">
        <v>39</v>
      </c>
      <c r="D49" s="479">
        <v>41.5</v>
      </c>
      <c r="E49" s="479">
        <v>39</v>
      </c>
      <c r="F49" s="479">
        <v>41.5</v>
      </c>
      <c r="G49" s="479">
        <v>37.5</v>
      </c>
      <c r="H49" s="479">
        <v>43.5</v>
      </c>
    </row>
    <row r="50" spans="2:8" x14ac:dyDescent="0.25">
      <c r="B50" s="479" t="s">
        <v>1060</v>
      </c>
      <c r="C50" s="479">
        <v>42</v>
      </c>
      <c r="D50" s="479">
        <v>46</v>
      </c>
      <c r="E50" s="479">
        <v>42</v>
      </c>
      <c r="F50" s="479">
        <v>46</v>
      </c>
      <c r="G50" s="479">
        <v>41</v>
      </c>
      <c r="H50" s="479">
        <v>47</v>
      </c>
    </row>
    <row r="51" spans="2:8" x14ac:dyDescent="0.25">
      <c r="B51" s="479" t="s">
        <v>1</v>
      </c>
      <c r="C51" s="479">
        <v>2.5</v>
      </c>
      <c r="D51" s="479">
        <v>3.5</v>
      </c>
      <c r="E51" s="479">
        <v>2.5</v>
      </c>
      <c r="F51" s="479">
        <v>4</v>
      </c>
      <c r="G51" s="479">
        <v>2</v>
      </c>
      <c r="H51" s="479">
        <v>4.5</v>
      </c>
    </row>
    <row r="53" spans="2:8" x14ac:dyDescent="0.25">
      <c r="B53" s="477" t="s">
        <v>919</v>
      </c>
      <c r="C53" s="901" t="s">
        <v>1077</v>
      </c>
      <c r="D53" s="901"/>
      <c r="E53" s="901" t="s">
        <v>1077</v>
      </c>
      <c r="F53" s="901"/>
      <c r="G53" s="901" t="s">
        <v>1154</v>
      </c>
      <c r="H53" s="901"/>
    </row>
    <row r="54" spans="2:8" x14ac:dyDescent="0.25">
      <c r="C54" s="901" t="s">
        <v>247</v>
      </c>
      <c r="D54" s="901"/>
      <c r="E54" s="901" t="s">
        <v>1153</v>
      </c>
      <c r="F54" s="901"/>
      <c r="G54" s="901" t="s">
        <v>202</v>
      </c>
      <c r="H54" s="901"/>
    </row>
    <row r="55" spans="2:8" x14ac:dyDescent="0.25">
      <c r="C55" s="476" t="s">
        <v>980</v>
      </c>
      <c r="D55" s="476" t="s">
        <v>981</v>
      </c>
      <c r="E55" s="476" t="s">
        <v>980</v>
      </c>
      <c r="F55" s="476" t="s">
        <v>981</v>
      </c>
      <c r="G55" s="476" t="s">
        <v>980</v>
      </c>
      <c r="H55" s="476" t="s">
        <v>981</v>
      </c>
    </row>
    <row r="56" spans="2:8" x14ac:dyDescent="0.25">
      <c r="B56" s="479" t="s">
        <v>185</v>
      </c>
      <c r="C56" s="479">
        <v>68</v>
      </c>
      <c r="D56" s="479">
        <v>72</v>
      </c>
      <c r="E56" s="479">
        <v>67</v>
      </c>
      <c r="F56" s="479">
        <v>74</v>
      </c>
      <c r="G56" s="479">
        <v>65</v>
      </c>
      <c r="H56" s="479">
        <v>76</v>
      </c>
    </row>
    <row r="57" spans="2:8" x14ac:dyDescent="0.25">
      <c r="B57" s="479" t="s">
        <v>1067</v>
      </c>
      <c r="C57" s="479">
        <v>69</v>
      </c>
      <c r="D57" s="479">
        <v>72</v>
      </c>
      <c r="E57" s="479">
        <v>69</v>
      </c>
      <c r="F57" s="479">
        <v>74</v>
      </c>
      <c r="G57" s="479">
        <v>68</v>
      </c>
      <c r="H57" s="479">
        <v>75</v>
      </c>
    </row>
    <row r="58" spans="2:8" x14ac:dyDescent="0.25">
      <c r="B58" s="479" t="s">
        <v>1066</v>
      </c>
      <c r="C58" s="479">
        <v>1</v>
      </c>
      <c r="D58" s="479">
        <v>1.03</v>
      </c>
      <c r="E58" s="479">
        <v>1</v>
      </c>
      <c r="F58" s="479">
        <v>1.03</v>
      </c>
      <c r="G58" s="479">
        <v>1</v>
      </c>
      <c r="H58" s="479">
        <v>1.04</v>
      </c>
    </row>
    <row r="59" spans="2:8" x14ac:dyDescent="0.25">
      <c r="B59" s="479" t="s">
        <v>982</v>
      </c>
      <c r="C59" s="479">
        <v>39</v>
      </c>
      <c r="D59" s="479">
        <v>45</v>
      </c>
      <c r="E59" s="479">
        <v>37</v>
      </c>
      <c r="F59" s="479">
        <v>49</v>
      </c>
      <c r="G59" s="479">
        <v>34</v>
      </c>
      <c r="H59" s="479">
        <v>50</v>
      </c>
    </row>
    <row r="60" spans="2:8" x14ac:dyDescent="0.25">
      <c r="B60" s="479" t="s">
        <v>1064</v>
      </c>
      <c r="C60" s="479">
        <v>12</v>
      </c>
      <c r="D60" s="479">
        <v>14.5</v>
      </c>
      <c r="E60" s="479">
        <v>12</v>
      </c>
      <c r="F60" s="479">
        <v>14.5</v>
      </c>
      <c r="G60" s="479">
        <v>9</v>
      </c>
      <c r="H60" s="479">
        <v>14</v>
      </c>
    </row>
    <row r="61" spans="2:8" x14ac:dyDescent="0.25">
      <c r="B61" s="479" t="s">
        <v>983</v>
      </c>
      <c r="C61" s="479"/>
      <c r="D61" s="479"/>
      <c r="E61" s="479"/>
      <c r="F61" s="479"/>
      <c r="G61" s="479"/>
      <c r="H61" s="479"/>
    </row>
    <row r="62" spans="2:8" x14ac:dyDescent="0.25">
      <c r="B62" s="479" t="s">
        <v>1060</v>
      </c>
      <c r="C62" s="479">
        <v>57</v>
      </c>
      <c r="D62" s="479">
        <v>62</v>
      </c>
      <c r="E62" s="479">
        <v>56</v>
      </c>
      <c r="F62" s="479">
        <v>63</v>
      </c>
      <c r="G62" s="479">
        <v>55</v>
      </c>
      <c r="H62" s="479">
        <v>64</v>
      </c>
    </row>
    <row r="63" spans="2:8" x14ac:dyDescent="0.25">
      <c r="B63" s="479" t="s">
        <v>1</v>
      </c>
      <c r="C63" s="479">
        <v>2.5</v>
      </c>
      <c r="D63" s="479">
        <v>4</v>
      </c>
      <c r="E63" s="479">
        <v>2.5</v>
      </c>
      <c r="F63" s="479">
        <v>4.5</v>
      </c>
      <c r="G63" s="479">
        <v>2</v>
      </c>
      <c r="H63" s="479">
        <v>5</v>
      </c>
    </row>
    <row r="64" spans="2:8" x14ac:dyDescent="0.25">
      <c r="B64" s="673" t="s">
        <v>1087</v>
      </c>
      <c r="C64" s="479"/>
      <c r="D64" s="479"/>
      <c r="E64" s="479"/>
      <c r="F64" s="479"/>
      <c r="G64" s="479"/>
      <c r="H64" s="479"/>
    </row>
    <row r="65" spans="2:8" x14ac:dyDescent="0.25">
      <c r="B65" s="673" t="s">
        <v>1058</v>
      </c>
      <c r="C65" s="479">
        <v>1</v>
      </c>
      <c r="D65" s="479">
        <v>99</v>
      </c>
      <c r="E65" s="479">
        <v>1</v>
      </c>
      <c r="F65" s="479">
        <v>99</v>
      </c>
      <c r="G65" s="479">
        <v>1</v>
      </c>
      <c r="H65" s="479">
        <v>99</v>
      </c>
    </row>
    <row r="67" spans="2:8" x14ac:dyDescent="0.25">
      <c r="B67" s="477" t="s">
        <v>970</v>
      </c>
      <c r="C67" s="901" t="s">
        <v>1077</v>
      </c>
      <c r="D67" s="901"/>
      <c r="E67" s="901" t="s">
        <v>1077</v>
      </c>
      <c r="F67" s="901"/>
      <c r="G67" s="901" t="s">
        <v>1154</v>
      </c>
      <c r="H67" s="901"/>
    </row>
    <row r="68" spans="2:8" x14ac:dyDescent="0.25">
      <c r="C68" s="901" t="s">
        <v>247</v>
      </c>
      <c r="D68" s="901"/>
      <c r="E68" s="901" t="s">
        <v>1153</v>
      </c>
      <c r="F68" s="901"/>
      <c r="G68" s="901" t="s">
        <v>202</v>
      </c>
      <c r="H68" s="901"/>
    </row>
    <row r="69" spans="2:8" x14ac:dyDescent="0.25">
      <c r="C69" s="477" t="s">
        <v>980</v>
      </c>
      <c r="D69" s="477" t="s">
        <v>981</v>
      </c>
      <c r="E69" s="477" t="s">
        <v>980</v>
      </c>
      <c r="F69" s="477" t="s">
        <v>981</v>
      </c>
      <c r="G69" s="477" t="s">
        <v>980</v>
      </c>
      <c r="H69" s="477" t="s">
        <v>981</v>
      </c>
    </row>
    <row r="70" spans="2:8" x14ac:dyDescent="0.25">
      <c r="B70" s="479" t="s">
        <v>185</v>
      </c>
      <c r="C70" s="479">
        <v>60</v>
      </c>
      <c r="D70" s="479">
        <v>64.5</v>
      </c>
      <c r="E70" s="479">
        <v>60</v>
      </c>
      <c r="F70" s="479">
        <v>64.5</v>
      </c>
      <c r="G70" s="479">
        <v>56</v>
      </c>
      <c r="H70" s="479">
        <v>67</v>
      </c>
    </row>
    <row r="71" spans="2:8" x14ac:dyDescent="0.25">
      <c r="B71" s="479" t="s">
        <v>1067</v>
      </c>
      <c r="C71" s="479">
        <v>62</v>
      </c>
      <c r="D71" s="479">
        <v>66</v>
      </c>
      <c r="E71" s="479">
        <v>62</v>
      </c>
      <c r="F71" s="479">
        <v>66</v>
      </c>
      <c r="G71" s="479">
        <v>59</v>
      </c>
      <c r="H71" s="479">
        <v>68.5</v>
      </c>
    </row>
    <row r="72" spans="2:8" x14ac:dyDescent="0.25">
      <c r="B72" s="479" t="s">
        <v>1066</v>
      </c>
      <c r="C72" s="479">
        <v>1.39</v>
      </c>
      <c r="D72" s="479">
        <v>1.45</v>
      </c>
      <c r="E72" s="479">
        <v>1.39</v>
      </c>
      <c r="F72" s="479">
        <v>1.45</v>
      </c>
      <c r="G72" s="479">
        <v>1.36</v>
      </c>
      <c r="H72" s="479">
        <v>1.48</v>
      </c>
    </row>
    <row r="73" spans="2:8" x14ac:dyDescent="0.25">
      <c r="B73" s="479" t="s">
        <v>1064</v>
      </c>
      <c r="C73" s="479">
        <v>12</v>
      </c>
      <c r="D73" s="479">
        <v>14</v>
      </c>
      <c r="E73" s="479">
        <v>12</v>
      </c>
      <c r="F73" s="479">
        <v>14</v>
      </c>
      <c r="G73" s="479">
        <v>10.5</v>
      </c>
      <c r="H73" s="479">
        <v>15</v>
      </c>
    </row>
    <row r="74" spans="2:8" x14ac:dyDescent="0.25">
      <c r="B74" s="673" t="s">
        <v>1065</v>
      </c>
      <c r="C74" s="479">
        <v>54</v>
      </c>
      <c r="D74" s="479">
        <v>55</v>
      </c>
      <c r="E74" s="479">
        <v>54</v>
      </c>
      <c r="F74" s="479">
        <v>55</v>
      </c>
      <c r="G74" s="479">
        <v>52.5</v>
      </c>
      <c r="H74" s="479">
        <v>56</v>
      </c>
    </row>
    <row r="75" spans="2:8" x14ac:dyDescent="0.25">
      <c r="B75" s="673" t="s">
        <v>1063</v>
      </c>
      <c r="C75" s="479">
        <v>42</v>
      </c>
      <c r="D75" s="479">
        <v>44</v>
      </c>
      <c r="E75" s="479">
        <v>42</v>
      </c>
      <c r="F75" s="479">
        <v>44</v>
      </c>
      <c r="G75" s="479">
        <v>41.5</v>
      </c>
      <c r="H75" s="479">
        <v>45.5</v>
      </c>
    </row>
    <row r="76" spans="2:8" x14ac:dyDescent="0.25">
      <c r="B76" s="673" t="s">
        <v>1062</v>
      </c>
      <c r="C76" s="479">
        <v>34</v>
      </c>
      <c r="D76" s="479">
        <v>37</v>
      </c>
      <c r="E76" s="479">
        <v>34</v>
      </c>
      <c r="F76" s="479">
        <v>37</v>
      </c>
      <c r="G76" s="479">
        <v>34</v>
      </c>
      <c r="H76" s="479">
        <v>38</v>
      </c>
    </row>
    <row r="77" spans="2:8" x14ac:dyDescent="0.25">
      <c r="B77" s="673" t="s">
        <v>1061</v>
      </c>
      <c r="C77" s="479">
        <v>35</v>
      </c>
      <c r="D77" s="479">
        <v>42</v>
      </c>
      <c r="E77" s="479">
        <v>35</v>
      </c>
      <c r="F77" s="479">
        <v>42</v>
      </c>
      <c r="G77" s="479">
        <v>33</v>
      </c>
      <c r="H77" s="479">
        <v>45</v>
      </c>
    </row>
    <row r="78" spans="2:8" x14ac:dyDescent="0.25">
      <c r="B78" s="479" t="s">
        <v>1060</v>
      </c>
      <c r="C78" s="479">
        <v>49</v>
      </c>
      <c r="D78" s="479">
        <v>52.5</v>
      </c>
      <c r="E78" s="479">
        <v>49</v>
      </c>
      <c r="F78" s="479">
        <v>52.5</v>
      </c>
      <c r="G78" s="479">
        <v>47</v>
      </c>
      <c r="H78" s="479">
        <v>54</v>
      </c>
    </row>
    <row r="79" spans="2:8" x14ac:dyDescent="0.25">
      <c r="B79" s="479" t="s">
        <v>1</v>
      </c>
      <c r="C79" s="479">
        <v>2</v>
      </c>
      <c r="D79" s="479">
        <v>3.5</v>
      </c>
      <c r="E79" s="479">
        <v>2</v>
      </c>
      <c r="F79" s="479">
        <v>3.5</v>
      </c>
      <c r="G79" s="479">
        <v>2</v>
      </c>
      <c r="H79" s="479">
        <v>3.8</v>
      </c>
    </row>
    <row r="81" spans="2:8" x14ac:dyDescent="0.25">
      <c r="B81" s="477" t="s">
        <v>210</v>
      </c>
      <c r="C81" s="901" t="s">
        <v>1077</v>
      </c>
      <c r="D81" s="901"/>
      <c r="E81" s="901" t="s">
        <v>1077</v>
      </c>
      <c r="F81" s="901"/>
      <c r="G81" s="901" t="s">
        <v>1154</v>
      </c>
      <c r="H81" s="901"/>
    </row>
    <row r="82" spans="2:8" x14ac:dyDescent="0.25">
      <c r="C82" s="901" t="s">
        <v>247</v>
      </c>
      <c r="D82" s="901"/>
      <c r="E82" s="901" t="s">
        <v>1153</v>
      </c>
      <c r="F82" s="901"/>
      <c r="G82" s="901" t="s">
        <v>202</v>
      </c>
      <c r="H82" s="901"/>
    </row>
    <row r="83" spans="2:8" x14ac:dyDescent="0.25">
      <c r="C83" s="477" t="s">
        <v>980</v>
      </c>
      <c r="D83" s="477" t="s">
        <v>981</v>
      </c>
      <c r="E83" s="477" t="s">
        <v>980</v>
      </c>
      <c r="F83" s="477" t="s">
        <v>981</v>
      </c>
      <c r="G83" s="477" t="s">
        <v>980</v>
      </c>
      <c r="H83" s="477" t="s">
        <v>981</v>
      </c>
    </row>
    <row r="84" spans="2:8" x14ac:dyDescent="0.25">
      <c r="B84" s="479" t="s">
        <v>185</v>
      </c>
      <c r="C84" s="479">
        <v>60</v>
      </c>
      <c r="D84" s="479">
        <v>63</v>
      </c>
      <c r="E84" s="479">
        <v>60</v>
      </c>
      <c r="F84" s="479">
        <v>64</v>
      </c>
      <c r="G84" s="479">
        <v>58</v>
      </c>
      <c r="H84" s="479">
        <v>66</v>
      </c>
    </row>
    <row r="85" spans="2:8" x14ac:dyDescent="0.25">
      <c r="B85" s="479" t="s">
        <v>1067</v>
      </c>
      <c r="C85" s="479">
        <v>62</v>
      </c>
      <c r="D85" s="479">
        <v>65</v>
      </c>
      <c r="E85" s="479">
        <v>62</v>
      </c>
      <c r="F85" s="479">
        <v>68</v>
      </c>
      <c r="G85" s="479">
        <v>59</v>
      </c>
      <c r="H85" s="479">
        <v>69.5</v>
      </c>
    </row>
    <row r="86" spans="2:8" x14ac:dyDescent="0.25">
      <c r="B86" s="479" t="s">
        <v>1066</v>
      </c>
      <c r="C86" s="479">
        <v>1</v>
      </c>
      <c r="D86" s="479">
        <v>1.03</v>
      </c>
      <c r="E86" s="479">
        <v>1</v>
      </c>
      <c r="F86" s="479">
        <v>1.03</v>
      </c>
      <c r="G86" s="479">
        <v>1</v>
      </c>
      <c r="H86" s="479">
        <v>1.04</v>
      </c>
    </row>
    <row r="87" spans="2:8" x14ac:dyDescent="0.25">
      <c r="B87" s="479" t="s">
        <v>982</v>
      </c>
      <c r="C87" s="479">
        <v>35</v>
      </c>
      <c r="D87" s="479">
        <v>37</v>
      </c>
      <c r="E87" s="479">
        <v>34</v>
      </c>
      <c r="F87" s="479">
        <v>39</v>
      </c>
      <c r="G87" s="479">
        <v>33</v>
      </c>
      <c r="H87" s="479">
        <v>40</v>
      </c>
    </row>
    <row r="88" spans="2:8" x14ac:dyDescent="0.25">
      <c r="B88" s="479" t="s">
        <v>1064</v>
      </c>
      <c r="C88" s="479">
        <v>13</v>
      </c>
      <c r="D88" s="479">
        <v>15</v>
      </c>
      <c r="E88" s="479">
        <v>13</v>
      </c>
      <c r="F88" s="479">
        <v>15</v>
      </c>
      <c r="G88" s="479">
        <v>12.5</v>
      </c>
      <c r="H88" s="479">
        <v>16.5</v>
      </c>
    </row>
    <row r="89" spans="2:8" x14ac:dyDescent="0.25">
      <c r="B89" s="479" t="s">
        <v>983</v>
      </c>
      <c r="C89" s="479">
        <v>36</v>
      </c>
      <c r="D89" s="479">
        <v>39</v>
      </c>
      <c r="E89" s="479">
        <v>36</v>
      </c>
      <c r="F89" s="479">
        <v>39</v>
      </c>
      <c r="G89" s="479">
        <v>36</v>
      </c>
      <c r="H89" s="479">
        <v>40</v>
      </c>
    </row>
    <row r="90" spans="2:8" x14ac:dyDescent="0.25">
      <c r="B90" s="479" t="s">
        <v>1060</v>
      </c>
      <c r="C90" s="479">
        <v>48</v>
      </c>
      <c r="D90" s="479">
        <v>53</v>
      </c>
      <c r="E90" s="479">
        <v>48</v>
      </c>
      <c r="F90" s="479">
        <v>53</v>
      </c>
      <c r="G90" s="479">
        <v>46</v>
      </c>
      <c r="H90" s="479">
        <v>54</v>
      </c>
    </row>
    <row r="91" spans="2:8" x14ac:dyDescent="0.25">
      <c r="B91" s="479" t="s">
        <v>1</v>
      </c>
      <c r="C91" s="479">
        <v>2.5</v>
      </c>
      <c r="D91" s="479">
        <v>4</v>
      </c>
      <c r="E91" s="479">
        <v>2.5</v>
      </c>
      <c r="F91" s="479">
        <v>4</v>
      </c>
      <c r="G91" s="479">
        <v>2.5</v>
      </c>
      <c r="H91" s="479">
        <v>5</v>
      </c>
    </row>
    <row r="92" spans="2:8" x14ac:dyDescent="0.25">
      <c r="B92" s="673" t="s">
        <v>1059</v>
      </c>
      <c r="C92" s="479">
        <v>45</v>
      </c>
      <c r="D92" s="479">
        <v>65</v>
      </c>
      <c r="E92" s="479">
        <v>45</v>
      </c>
      <c r="F92" s="479">
        <v>65</v>
      </c>
      <c r="G92" s="479">
        <v>45</v>
      </c>
      <c r="H92" s="479">
        <v>65</v>
      </c>
    </row>
    <row r="93" spans="2:8" x14ac:dyDescent="0.25">
      <c r="B93" s="673" t="s">
        <v>1057</v>
      </c>
      <c r="C93" s="479">
        <v>-5</v>
      </c>
      <c r="D93" s="479">
        <v>-5</v>
      </c>
      <c r="E93" s="479">
        <v>-6</v>
      </c>
      <c r="F93" s="479">
        <v>6</v>
      </c>
      <c r="G93" s="479">
        <v>-7</v>
      </c>
      <c r="H93" s="479">
        <v>7</v>
      </c>
    </row>
  </sheetData>
  <sheetProtection algorithmName="SHA-512" hashValue="QQ402X5djNzo+0plsixlGvNuXsUwcMbJNLM57iI49SHDvqXuNE0or80BfsNnmBb0o5WLrRebydqq92K1d/O1Vg==" saltValue="xXlXzl6Pwn30rcwvmY9G+Q==" spinCount="100000" sheet="1" objects="1" scenarios="1" autoFilter="0"/>
  <mergeCells count="44">
    <mergeCell ref="C3:F3"/>
    <mergeCell ref="G3:J3"/>
    <mergeCell ref="K3:L3"/>
    <mergeCell ref="C4:D4"/>
    <mergeCell ref="E4:F4"/>
    <mergeCell ref="G4:H4"/>
    <mergeCell ref="I4:J4"/>
    <mergeCell ref="K4:L4"/>
    <mergeCell ref="C17:D17"/>
    <mergeCell ref="C18:D18"/>
    <mergeCell ref="G18:H18"/>
    <mergeCell ref="E18:F18"/>
    <mergeCell ref="E17:F17"/>
    <mergeCell ref="G17:H17"/>
    <mergeCell ref="C29:D29"/>
    <mergeCell ref="E29:F29"/>
    <mergeCell ref="G29:H29"/>
    <mergeCell ref="C30:D30"/>
    <mergeCell ref="E30:F30"/>
    <mergeCell ref="G30:H30"/>
    <mergeCell ref="C41:D41"/>
    <mergeCell ref="E41:F41"/>
    <mergeCell ref="G41:H41"/>
    <mergeCell ref="C42:D42"/>
    <mergeCell ref="E42:F42"/>
    <mergeCell ref="G42:H42"/>
    <mergeCell ref="C53:D53"/>
    <mergeCell ref="E53:F53"/>
    <mergeCell ref="G53:H53"/>
    <mergeCell ref="C54:D54"/>
    <mergeCell ref="E54:F54"/>
    <mergeCell ref="G54:H54"/>
    <mergeCell ref="C67:D67"/>
    <mergeCell ref="E67:F67"/>
    <mergeCell ref="G67:H67"/>
    <mergeCell ref="C68:D68"/>
    <mergeCell ref="E68:F68"/>
    <mergeCell ref="G68:H68"/>
    <mergeCell ref="C81:D81"/>
    <mergeCell ref="E81:F81"/>
    <mergeCell ref="G81:H81"/>
    <mergeCell ref="C82:D82"/>
    <mergeCell ref="E82:F82"/>
    <mergeCell ref="G82:H82"/>
  </mergeCells>
  <pageMargins left="0.7" right="0.7" top="0.75" bottom="0.75" header="0.3" footer="0.3"/>
  <pageSetup paperSize="9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:L18"/>
  <sheetViews>
    <sheetView topLeftCell="B1" workbookViewId="0">
      <selection activeCell="L25" sqref="L25"/>
    </sheetView>
  </sheetViews>
  <sheetFormatPr defaultRowHeight="15" x14ac:dyDescent="0.25"/>
  <cols>
    <col min="1" max="1" width="24.7109375" hidden="1" customWidth="1"/>
    <col min="2" max="2" width="14.42578125" customWidth="1"/>
    <col min="3" max="3" width="14.7109375" customWidth="1"/>
  </cols>
  <sheetData>
    <row r="1" spans="1:12" x14ac:dyDescent="0.3">
      <c r="B1" s="1" t="s">
        <v>1341</v>
      </c>
    </row>
    <row r="2" spans="1:12" x14ac:dyDescent="0.3">
      <c r="D2" s="854" t="s">
        <v>315</v>
      </c>
      <c r="E2" s="854"/>
      <c r="F2" s="854"/>
      <c r="G2" s="854"/>
      <c r="H2" s="854"/>
      <c r="I2" s="854"/>
      <c r="J2" s="854"/>
      <c r="K2" s="854"/>
    </row>
    <row r="3" spans="1:12" x14ac:dyDescent="0.3">
      <c r="B3" s="1" t="s">
        <v>167</v>
      </c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</row>
    <row r="4" spans="1:12" x14ac:dyDescent="0.3">
      <c r="A4" t="str">
        <f>B4&amp;"-"&amp;C4</f>
        <v>3EX-EX1</v>
      </c>
      <c r="B4" s="239" t="s">
        <v>342</v>
      </c>
      <c r="C4" s="266" t="s">
        <v>189</v>
      </c>
      <c r="D4" s="267">
        <v>0</v>
      </c>
      <c r="E4" s="267">
        <v>0</v>
      </c>
      <c r="F4" s="267">
        <v>0</v>
      </c>
      <c r="G4" s="267">
        <v>0</v>
      </c>
      <c r="H4" s="267">
        <v>0</v>
      </c>
      <c r="I4" s="267">
        <v>0</v>
      </c>
      <c r="J4" s="267">
        <v>0</v>
      </c>
      <c r="K4" s="267">
        <v>0</v>
      </c>
      <c r="L4" s="468">
        <v>0</v>
      </c>
    </row>
    <row r="5" spans="1:12" x14ac:dyDescent="0.3">
      <c r="A5" t="str">
        <f>B4&amp;"-"&amp;C5</f>
        <v>3EX-EX2</v>
      </c>
      <c r="B5" s="244"/>
      <c r="C5" s="260" t="s">
        <v>203</v>
      </c>
      <c r="D5" s="268">
        <v>-2</v>
      </c>
      <c r="E5" s="268">
        <v>-2</v>
      </c>
      <c r="F5" s="268">
        <v>-1</v>
      </c>
      <c r="G5" s="268">
        <v>-2</v>
      </c>
      <c r="H5" s="268">
        <v>-2</v>
      </c>
      <c r="I5" s="268">
        <v>-1</v>
      </c>
      <c r="J5" s="268">
        <v>-1</v>
      </c>
      <c r="K5" s="268">
        <v>-1</v>
      </c>
      <c r="L5" s="469">
        <v>-0.5</v>
      </c>
    </row>
    <row r="6" spans="1:12" x14ac:dyDescent="0.3">
      <c r="A6" t="str">
        <f>B6&amp;"-"&amp;C6</f>
        <v>EX-EX1</v>
      </c>
      <c r="B6" s="239" t="s">
        <v>188</v>
      </c>
      <c r="C6" s="266" t="s">
        <v>189</v>
      </c>
      <c r="D6" s="267">
        <v>0</v>
      </c>
      <c r="E6" s="267">
        <v>0</v>
      </c>
      <c r="F6" s="267">
        <v>0</v>
      </c>
      <c r="G6" s="267">
        <v>0</v>
      </c>
      <c r="H6" s="267">
        <v>0</v>
      </c>
      <c r="I6" s="267">
        <v>0</v>
      </c>
      <c r="J6" s="267">
        <v>0</v>
      </c>
      <c r="K6" s="267">
        <v>0</v>
      </c>
      <c r="L6" s="468">
        <v>0</v>
      </c>
    </row>
    <row r="7" spans="1:12" x14ac:dyDescent="0.3">
      <c r="A7" t="str">
        <f>B6&amp;"-"&amp;C7</f>
        <v>EX-EX2</v>
      </c>
      <c r="B7" s="244"/>
      <c r="C7" s="260" t="s">
        <v>203</v>
      </c>
      <c r="D7" s="268">
        <v>-2</v>
      </c>
      <c r="E7" s="268">
        <v>-2</v>
      </c>
      <c r="F7" s="268">
        <v>-1</v>
      </c>
      <c r="G7" s="268">
        <v>-2</v>
      </c>
      <c r="H7" s="268">
        <v>-2</v>
      </c>
      <c r="I7" s="268">
        <v>-1</v>
      </c>
      <c r="J7" s="268">
        <v>-1.5</v>
      </c>
      <c r="K7" s="268">
        <v>-1.5</v>
      </c>
      <c r="L7" s="469">
        <v>-0.5</v>
      </c>
    </row>
    <row r="8" spans="1:12" x14ac:dyDescent="0.3">
      <c r="A8" t="str">
        <f>B8&amp;"-"&amp;C8</f>
        <v>VG-VG1</v>
      </c>
      <c r="B8" s="239" t="s">
        <v>202</v>
      </c>
      <c r="C8" s="266" t="s">
        <v>228</v>
      </c>
      <c r="D8" s="267">
        <v>2</v>
      </c>
      <c r="E8" s="267">
        <v>2</v>
      </c>
      <c r="F8" s="267">
        <v>2</v>
      </c>
      <c r="G8" s="267">
        <v>2</v>
      </c>
      <c r="H8" s="267">
        <v>2</v>
      </c>
      <c r="I8" s="267">
        <v>1.5</v>
      </c>
      <c r="J8" s="267">
        <v>1.5</v>
      </c>
      <c r="K8" s="267">
        <v>1</v>
      </c>
      <c r="L8" s="468">
        <v>1</v>
      </c>
    </row>
    <row r="9" spans="1:12" x14ac:dyDescent="0.3">
      <c r="A9" t="str">
        <f>B8&amp;"-"&amp;C9</f>
        <v>VG-VG2</v>
      </c>
      <c r="B9" s="249"/>
      <c r="C9" s="263" t="s">
        <v>234</v>
      </c>
      <c r="D9" s="270">
        <v>0</v>
      </c>
      <c r="E9" s="269">
        <v>0</v>
      </c>
      <c r="F9" s="269">
        <v>0</v>
      </c>
      <c r="G9" s="269">
        <v>0</v>
      </c>
      <c r="H9" s="269">
        <v>0</v>
      </c>
      <c r="I9" s="269">
        <v>0</v>
      </c>
      <c r="J9" s="269">
        <v>0</v>
      </c>
      <c r="K9" s="269">
        <v>0</v>
      </c>
      <c r="L9" s="470">
        <v>0</v>
      </c>
    </row>
    <row r="10" spans="1:12" x14ac:dyDescent="0.3">
      <c r="A10" t="str">
        <f>B10&amp;"-"&amp;C10</f>
        <v>G-GD1</v>
      </c>
      <c r="B10" s="239" t="s">
        <v>215</v>
      </c>
      <c r="C10" s="266" t="s">
        <v>239</v>
      </c>
      <c r="D10" s="267">
        <v>0</v>
      </c>
      <c r="E10" s="267">
        <v>0</v>
      </c>
      <c r="F10" s="267">
        <v>0</v>
      </c>
      <c r="G10" s="267">
        <v>0</v>
      </c>
      <c r="H10" s="267">
        <v>0</v>
      </c>
      <c r="I10" s="267">
        <v>0</v>
      </c>
      <c r="J10" s="267">
        <v>0</v>
      </c>
      <c r="K10" s="267">
        <v>0</v>
      </c>
      <c r="L10" s="468">
        <v>0</v>
      </c>
    </row>
    <row r="11" spans="1:12" x14ac:dyDescent="0.3">
      <c r="A11" t="str">
        <f>B10&amp;"-"&amp;C11</f>
        <v>G-GD2</v>
      </c>
      <c r="B11" s="249"/>
      <c r="C11" s="263" t="s">
        <v>243</v>
      </c>
      <c r="D11" s="270">
        <v>0</v>
      </c>
      <c r="E11" s="269">
        <v>0</v>
      </c>
      <c r="F11" s="269">
        <v>0</v>
      </c>
      <c r="G11" s="269">
        <v>0</v>
      </c>
      <c r="H11" s="269">
        <v>0</v>
      </c>
      <c r="I11" s="269">
        <v>0</v>
      </c>
      <c r="J11" s="269">
        <v>0</v>
      </c>
      <c r="K11" s="269">
        <v>0</v>
      </c>
      <c r="L11" s="470">
        <v>0</v>
      </c>
    </row>
    <row r="12" spans="1:12" x14ac:dyDescent="0.3">
      <c r="A12" t="str">
        <f>B12&amp;"-"&amp;C12</f>
        <v>Fancy Shape-ID</v>
      </c>
      <c r="B12" s="239" t="s">
        <v>807</v>
      </c>
      <c r="C12" s="266" t="s">
        <v>918</v>
      </c>
      <c r="D12" s="267">
        <v>0</v>
      </c>
      <c r="E12" s="267">
        <v>0</v>
      </c>
      <c r="F12" s="267">
        <v>0</v>
      </c>
      <c r="G12" s="267">
        <v>0</v>
      </c>
      <c r="H12" s="267">
        <v>0</v>
      </c>
      <c r="I12" s="267">
        <v>0</v>
      </c>
      <c r="J12" s="267">
        <v>0</v>
      </c>
      <c r="K12" s="267">
        <v>0</v>
      </c>
      <c r="L12" s="468">
        <v>0</v>
      </c>
    </row>
    <row r="13" spans="1:12" x14ac:dyDescent="0.3">
      <c r="A13" t="str">
        <f>B12&amp;"-"&amp;C13</f>
        <v>Fancy Shape-EX</v>
      </c>
      <c r="B13" s="244"/>
      <c r="C13" s="260" t="s">
        <v>188</v>
      </c>
      <c r="D13" s="268">
        <v>0</v>
      </c>
      <c r="E13" s="268">
        <v>0</v>
      </c>
      <c r="F13" s="268">
        <v>0</v>
      </c>
      <c r="G13" s="268">
        <v>0</v>
      </c>
      <c r="H13" s="268">
        <v>0</v>
      </c>
      <c r="I13" s="268">
        <v>0</v>
      </c>
      <c r="J13" s="268">
        <v>0</v>
      </c>
      <c r="K13" s="268">
        <v>0</v>
      </c>
      <c r="L13" s="469">
        <v>0</v>
      </c>
    </row>
    <row r="14" spans="1:12" x14ac:dyDescent="0.3">
      <c r="A14" t="str">
        <f>B12&amp;"-"&amp;C14</f>
        <v>Fancy Shape-VG</v>
      </c>
      <c r="B14" s="249"/>
      <c r="C14" s="263" t="s">
        <v>202</v>
      </c>
      <c r="D14" s="268">
        <v>0</v>
      </c>
      <c r="E14" s="268">
        <v>0</v>
      </c>
      <c r="F14" s="268">
        <v>0</v>
      </c>
      <c r="G14" s="268">
        <v>0</v>
      </c>
      <c r="H14" s="268">
        <v>0</v>
      </c>
      <c r="I14" s="268">
        <v>0</v>
      </c>
      <c r="J14" s="268">
        <v>0</v>
      </c>
      <c r="K14" s="268">
        <v>0</v>
      </c>
      <c r="L14" s="469">
        <v>0</v>
      </c>
    </row>
    <row r="17" spans="2:2" x14ac:dyDescent="0.3">
      <c r="B17" t="s">
        <v>975</v>
      </c>
    </row>
    <row r="18" spans="2:2" x14ac:dyDescent="0.3">
      <c r="B18" t="s">
        <v>976</v>
      </c>
    </row>
  </sheetData>
  <sheetProtection algorithmName="SHA-512" hashValue="flSLq4Li5VAbf60XKoiK1Oep1+Ty8qsRyC3H9IAuHaLP80SUUUIOJxIhJfMISrb4+vobXKNYrGHr29tGPxpovA==" saltValue="uwsPoobl+SH7bZ3enMLyjw==" spinCount="100000" sheet="1" objects="1" scenarios="1" autoFilter="0"/>
  <mergeCells count="1">
    <mergeCell ref="D2:K2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:Z113"/>
  <sheetViews>
    <sheetView topLeftCell="B1" workbookViewId="0">
      <selection activeCell="E12" sqref="E12"/>
    </sheetView>
  </sheetViews>
  <sheetFormatPr defaultRowHeight="15" x14ac:dyDescent="0.25"/>
  <cols>
    <col min="1" max="1" width="13.7109375" hidden="1" customWidth="1"/>
    <col min="2" max="2" width="13.28515625" customWidth="1"/>
    <col min="3" max="3" width="12.5703125" customWidth="1"/>
  </cols>
  <sheetData>
    <row r="1" spans="1:26" ht="14.45" x14ac:dyDescent="0.3">
      <c r="B1" s="1" t="s">
        <v>25</v>
      </c>
      <c r="D1" s="854" t="s">
        <v>315</v>
      </c>
      <c r="E1" s="854"/>
      <c r="F1" s="854"/>
      <c r="G1" s="854"/>
      <c r="H1" s="854"/>
      <c r="I1" s="854"/>
      <c r="J1" s="854"/>
      <c r="K1" s="854"/>
      <c r="L1" s="435"/>
      <c r="N1" s="1" t="s">
        <v>71</v>
      </c>
      <c r="P1" s="854" t="s">
        <v>315</v>
      </c>
      <c r="Q1" s="854"/>
      <c r="R1" s="854"/>
      <c r="S1" s="854"/>
      <c r="T1" s="854"/>
      <c r="U1" s="854"/>
      <c r="V1" s="854"/>
      <c r="W1" s="854"/>
    </row>
    <row r="2" spans="1:26" ht="14.45" x14ac:dyDescent="0.3">
      <c r="B2" t="s">
        <v>162</v>
      </c>
      <c r="C2" t="s">
        <v>163</v>
      </c>
      <c r="D2" s="238">
        <v>1</v>
      </c>
      <c r="E2" s="238">
        <v>2</v>
      </c>
      <c r="F2" s="238">
        <v>3</v>
      </c>
      <c r="G2" s="238">
        <v>4</v>
      </c>
      <c r="H2" s="238">
        <v>5</v>
      </c>
      <c r="I2" s="238">
        <v>6</v>
      </c>
      <c r="J2" s="238">
        <v>7</v>
      </c>
      <c r="K2" s="238">
        <v>8</v>
      </c>
      <c r="L2" s="238">
        <v>9</v>
      </c>
      <c r="N2" t="s">
        <v>162</v>
      </c>
      <c r="O2" t="s">
        <v>163</v>
      </c>
      <c r="P2" s="238">
        <v>1</v>
      </c>
      <c r="Q2" s="238">
        <v>2</v>
      </c>
      <c r="R2" s="238">
        <v>3</v>
      </c>
      <c r="S2" s="238">
        <v>4</v>
      </c>
      <c r="T2" s="238">
        <v>5</v>
      </c>
      <c r="U2" s="238">
        <v>6</v>
      </c>
      <c r="V2" s="238">
        <v>7</v>
      </c>
      <c r="W2" s="238">
        <v>8</v>
      </c>
      <c r="X2" s="446">
        <v>9</v>
      </c>
    </row>
    <row r="3" spans="1:26" ht="14.45" x14ac:dyDescent="0.3">
      <c r="A3" t="str">
        <f>B3</f>
        <v>PP1</v>
      </c>
      <c r="B3" s="239" t="s">
        <v>184</v>
      </c>
      <c r="C3" s="301"/>
      <c r="D3" s="341" t="s">
        <v>808</v>
      </c>
      <c r="E3" s="341"/>
      <c r="F3" s="341" t="s">
        <v>187</v>
      </c>
      <c r="G3" s="341" t="s">
        <v>242</v>
      </c>
      <c r="H3" s="342"/>
      <c r="I3" s="342"/>
      <c r="J3" s="342"/>
      <c r="K3" s="342"/>
      <c r="L3" s="343"/>
      <c r="N3" s="239" t="s">
        <v>184</v>
      </c>
      <c r="O3" s="301"/>
      <c r="P3" s="341" t="s">
        <v>808</v>
      </c>
      <c r="Q3" s="341"/>
      <c r="R3" s="341" t="s">
        <v>187</v>
      </c>
      <c r="S3" s="341" t="s">
        <v>233</v>
      </c>
      <c r="T3" s="342"/>
      <c r="U3" s="342"/>
      <c r="V3" s="342"/>
      <c r="W3" s="342"/>
      <c r="X3" s="343"/>
    </row>
    <row r="4" spans="1:26" ht="14.45" x14ac:dyDescent="0.3">
      <c r="A4" t="str">
        <f>B3&amp;"-"&amp;C4</f>
        <v>PP1-Table</v>
      </c>
      <c r="B4" s="244"/>
      <c r="C4" s="256" t="s">
        <v>185</v>
      </c>
      <c r="D4" s="344">
        <v>0</v>
      </c>
      <c r="E4" s="344">
        <v>0</v>
      </c>
      <c r="F4" s="344">
        <v>0</v>
      </c>
      <c r="G4" s="344">
        <v>0</v>
      </c>
      <c r="H4" s="344">
        <v>0</v>
      </c>
      <c r="I4" s="344">
        <v>0</v>
      </c>
      <c r="J4" s="344" t="s">
        <v>803</v>
      </c>
      <c r="K4" s="344" t="s">
        <v>803</v>
      </c>
      <c r="L4" s="447" t="s">
        <v>803</v>
      </c>
      <c r="N4" s="244"/>
      <c r="O4" s="256" t="s">
        <v>185</v>
      </c>
      <c r="P4" s="344">
        <v>0</v>
      </c>
      <c r="Q4" s="344">
        <v>0</v>
      </c>
      <c r="R4" s="344">
        <v>0</v>
      </c>
      <c r="S4" s="344">
        <v>0</v>
      </c>
      <c r="T4" s="344">
        <v>0</v>
      </c>
      <c r="U4" s="344">
        <v>0</v>
      </c>
      <c r="V4" s="344" t="s">
        <v>803</v>
      </c>
      <c r="W4" s="344" t="s">
        <v>803</v>
      </c>
      <c r="X4" s="447" t="s">
        <v>803</v>
      </c>
      <c r="Z4" s="445"/>
    </row>
    <row r="5" spans="1:26" ht="14.45" x14ac:dyDescent="0.3">
      <c r="A5" t="str">
        <f>B3&amp;"-"&amp;C5</f>
        <v>PP1-Crown</v>
      </c>
      <c r="B5" s="244"/>
      <c r="C5" s="260" t="s">
        <v>199</v>
      </c>
      <c r="D5" s="344">
        <v>0</v>
      </c>
      <c r="E5" s="344">
        <v>0</v>
      </c>
      <c r="F5" s="344">
        <v>0</v>
      </c>
      <c r="G5" s="344">
        <v>0</v>
      </c>
      <c r="H5" s="344">
        <v>0</v>
      </c>
      <c r="I5" s="344">
        <v>0</v>
      </c>
      <c r="J5" s="344" t="s">
        <v>803</v>
      </c>
      <c r="K5" s="344" t="s">
        <v>803</v>
      </c>
      <c r="L5" s="447" t="s">
        <v>803</v>
      </c>
      <c r="N5" s="244"/>
      <c r="O5" s="260" t="s">
        <v>199</v>
      </c>
      <c r="P5" s="344">
        <v>0</v>
      </c>
      <c r="Q5" s="344">
        <v>0</v>
      </c>
      <c r="R5" s="344">
        <v>0</v>
      </c>
      <c r="S5" s="344">
        <v>0</v>
      </c>
      <c r="T5" s="344">
        <v>0</v>
      </c>
      <c r="U5" s="344">
        <v>0</v>
      </c>
      <c r="V5" s="344" t="s">
        <v>803</v>
      </c>
      <c r="W5" s="344" t="s">
        <v>803</v>
      </c>
      <c r="X5" s="447" t="s">
        <v>803</v>
      </c>
    </row>
    <row r="6" spans="1:26" ht="14.45" x14ac:dyDescent="0.3">
      <c r="A6" t="str">
        <f>B3&amp;"-"&amp;C6</f>
        <v>PP1-Girdle</v>
      </c>
      <c r="B6" s="244"/>
      <c r="C6" s="260" t="s">
        <v>204</v>
      </c>
      <c r="D6" s="344">
        <v>0</v>
      </c>
      <c r="E6" s="344">
        <v>0</v>
      </c>
      <c r="F6" s="344">
        <v>0</v>
      </c>
      <c r="G6" s="344">
        <v>0</v>
      </c>
      <c r="H6" s="344">
        <v>0</v>
      </c>
      <c r="I6" s="344">
        <v>0</v>
      </c>
      <c r="J6" s="344" t="s">
        <v>803</v>
      </c>
      <c r="K6" s="344" t="s">
        <v>803</v>
      </c>
      <c r="L6" s="447" t="s">
        <v>803</v>
      </c>
      <c r="N6" s="244"/>
      <c r="O6" s="260" t="s">
        <v>204</v>
      </c>
      <c r="P6" s="344">
        <v>0</v>
      </c>
      <c r="Q6" s="344">
        <v>0</v>
      </c>
      <c r="R6" s="344">
        <v>0</v>
      </c>
      <c r="S6" s="344">
        <v>0</v>
      </c>
      <c r="T6" s="344">
        <v>0</v>
      </c>
      <c r="U6" s="344">
        <v>0</v>
      </c>
      <c r="V6" s="344" t="s">
        <v>803</v>
      </c>
      <c r="W6" s="344" t="s">
        <v>803</v>
      </c>
      <c r="X6" s="447" t="s">
        <v>803</v>
      </c>
    </row>
    <row r="7" spans="1:26" ht="14.45" x14ac:dyDescent="0.3">
      <c r="A7" t="str">
        <f>B3&amp;"-"&amp;C7</f>
        <v>PP1-Pavilion</v>
      </c>
      <c r="B7" s="249"/>
      <c r="C7" s="263" t="s">
        <v>219</v>
      </c>
      <c r="D7" s="345">
        <v>0</v>
      </c>
      <c r="E7" s="345">
        <v>0</v>
      </c>
      <c r="F7" s="345">
        <v>0</v>
      </c>
      <c r="G7" s="345">
        <v>0</v>
      </c>
      <c r="H7" s="345">
        <v>0</v>
      </c>
      <c r="I7" s="345">
        <v>0</v>
      </c>
      <c r="J7" s="345" t="s">
        <v>803</v>
      </c>
      <c r="K7" s="345" t="s">
        <v>803</v>
      </c>
      <c r="L7" s="448" t="s">
        <v>803</v>
      </c>
      <c r="N7" s="249"/>
      <c r="O7" s="263" t="s">
        <v>219</v>
      </c>
      <c r="P7" s="345">
        <v>0</v>
      </c>
      <c r="Q7" s="345">
        <v>0</v>
      </c>
      <c r="R7" s="345">
        <v>0</v>
      </c>
      <c r="S7" s="345">
        <v>0</v>
      </c>
      <c r="T7" s="345">
        <v>0</v>
      </c>
      <c r="U7" s="345">
        <v>0</v>
      </c>
      <c r="V7" s="345" t="s">
        <v>803</v>
      </c>
      <c r="W7" s="345" t="s">
        <v>803</v>
      </c>
      <c r="X7" s="448" t="s">
        <v>803</v>
      </c>
    </row>
    <row r="8" spans="1:26" ht="14.45" x14ac:dyDescent="0.3">
      <c r="A8" t="str">
        <f>B8</f>
        <v>PP2</v>
      </c>
      <c r="B8" s="239" t="s">
        <v>198</v>
      </c>
      <c r="C8" s="301"/>
      <c r="D8" s="341" t="s">
        <v>808</v>
      </c>
      <c r="E8" s="341"/>
      <c r="F8" s="341" t="s">
        <v>187</v>
      </c>
      <c r="G8" s="341" t="s">
        <v>250</v>
      </c>
      <c r="H8" s="342"/>
      <c r="I8" s="342"/>
      <c r="J8" s="342"/>
      <c r="K8" s="342"/>
      <c r="L8" s="343"/>
      <c r="N8" s="239" t="s">
        <v>198</v>
      </c>
      <c r="O8" s="301"/>
      <c r="P8" s="341" t="s">
        <v>808</v>
      </c>
      <c r="Q8" s="341"/>
      <c r="R8" s="341" t="s">
        <v>187</v>
      </c>
      <c r="S8" s="341" t="s">
        <v>242</v>
      </c>
      <c r="T8" s="342"/>
      <c r="U8" s="342"/>
      <c r="V8" s="342"/>
      <c r="W8" s="342"/>
      <c r="X8" s="343"/>
    </row>
    <row r="9" spans="1:26" ht="14.45" x14ac:dyDescent="0.3">
      <c r="A9" t="str">
        <f>B8&amp;"-"&amp;C9</f>
        <v>PP2-Table</v>
      </c>
      <c r="B9" s="244"/>
      <c r="C9" s="256" t="s">
        <v>185</v>
      </c>
      <c r="D9" s="449">
        <v>0</v>
      </c>
      <c r="E9" s="450">
        <v>0</v>
      </c>
      <c r="F9" s="450">
        <v>0</v>
      </c>
      <c r="G9" s="450">
        <v>0</v>
      </c>
      <c r="H9" s="450">
        <v>0</v>
      </c>
      <c r="I9" s="450">
        <v>0</v>
      </c>
      <c r="J9" s="450" t="s">
        <v>803</v>
      </c>
      <c r="K9" s="450" t="s">
        <v>803</v>
      </c>
      <c r="L9" s="451" t="s">
        <v>803</v>
      </c>
      <c r="N9" s="244"/>
      <c r="O9" s="256" t="s">
        <v>185</v>
      </c>
      <c r="P9" s="449">
        <v>-5.0000000000000001E-3</v>
      </c>
      <c r="Q9" s="450">
        <v>-5.0000000000000001E-3</v>
      </c>
      <c r="R9" s="450">
        <v>0</v>
      </c>
      <c r="S9" s="450">
        <v>0</v>
      </c>
      <c r="T9" s="450">
        <v>0</v>
      </c>
      <c r="U9" s="450">
        <v>0</v>
      </c>
      <c r="V9" s="450" t="s">
        <v>803</v>
      </c>
      <c r="W9" s="450" t="s">
        <v>803</v>
      </c>
      <c r="X9" s="451" t="s">
        <v>803</v>
      </c>
    </row>
    <row r="10" spans="1:26" ht="14.45" x14ac:dyDescent="0.3">
      <c r="A10" t="str">
        <f>B8&amp;"-"&amp;C10</f>
        <v>PP2-Crown</v>
      </c>
      <c r="B10" s="244"/>
      <c r="C10" s="260" t="s">
        <v>199</v>
      </c>
      <c r="D10" s="344">
        <v>0</v>
      </c>
      <c r="E10" s="344">
        <v>0</v>
      </c>
      <c r="F10" s="344">
        <v>0</v>
      </c>
      <c r="G10" s="344">
        <v>0</v>
      </c>
      <c r="H10" s="344">
        <v>0</v>
      </c>
      <c r="I10" s="344">
        <v>0</v>
      </c>
      <c r="J10" s="344" t="s">
        <v>803</v>
      </c>
      <c r="K10" s="344" t="s">
        <v>803</v>
      </c>
      <c r="L10" s="447" t="s">
        <v>803</v>
      </c>
      <c r="N10" s="244"/>
      <c r="O10" s="260" t="s">
        <v>199</v>
      </c>
      <c r="P10" s="344">
        <v>0</v>
      </c>
      <c r="Q10" s="344">
        <v>0</v>
      </c>
      <c r="R10" s="344">
        <v>0</v>
      </c>
      <c r="S10" s="344">
        <v>0</v>
      </c>
      <c r="T10" s="344">
        <v>0</v>
      </c>
      <c r="U10" s="344">
        <v>0</v>
      </c>
      <c r="V10" s="344" t="s">
        <v>803</v>
      </c>
      <c r="W10" s="344" t="s">
        <v>803</v>
      </c>
      <c r="X10" s="447" t="s">
        <v>803</v>
      </c>
    </row>
    <row r="11" spans="1:26" ht="14.45" x14ac:dyDescent="0.3">
      <c r="A11" t="str">
        <f>B8&amp;"-"&amp;C11</f>
        <v>PP2-Girdle</v>
      </c>
      <c r="B11" s="244"/>
      <c r="C11" s="260" t="s">
        <v>204</v>
      </c>
      <c r="D11" s="344">
        <v>0</v>
      </c>
      <c r="E11" s="344">
        <v>0</v>
      </c>
      <c r="F11" s="344">
        <v>0</v>
      </c>
      <c r="G11" s="344">
        <v>0</v>
      </c>
      <c r="H11" s="344">
        <v>0</v>
      </c>
      <c r="I11" s="344">
        <v>0</v>
      </c>
      <c r="J11" s="344" t="s">
        <v>803</v>
      </c>
      <c r="K11" s="344" t="s">
        <v>803</v>
      </c>
      <c r="L11" s="447" t="s">
        <v>803</v>
      </c>
      <c r="N11" s="244"/>
      <c r="O11" s="260" t="s">
        <v>204</v>
      </c>
      <c r="P11" s="344">
        <v>0</v>
      </c>
      <c r="Q11" s="344">
        <v>0</v>
      </c>
      <c r="R11" s="344">
        <v>0</v>
      </c>
      <c r="S11" s="344">
        <v>0</v>
      </c>
      <c r="T11" s="344">
        <v>0</v>
      </c>
      <c r="U11" s="344">
        <v>0</v>
      </c>
      <c r="V11" s="344" t="s">
        <v>803</v>
      </c>
      <c r="W11" s="344" t="s">
        <v>803</v>
      </c>
      <c r="X11" s="447" t="s">
        <v>803</v>
      </c>
    </row>
    <row r="12" spans="1:26" ht="14.45" x14ac:dyDescent="0.3">
      <c r="A12" t="str">
        <f>B8&amp;"-"&amp;C12</f>
        <v>PP2-Pavilion</v>
      </c>
      <c r="B12" s="249"/>
      <c r="C12" s="263" t="s">
        <v>219</v>
      </c>
      <c r="D12" s="345">
        <v>0</v>
      </c>
      <c r="E12" s="345">
        <v>0</v>
      </c>
      <c r="F12" s="345">
        <v>0</v>
      </c>
      <c r="G12" s="345">
        <v>0</v>
      </c>
      <c r="H12" s="345">
        <v>0</v>
      </c>
      <c r="I12" s="345">
        <v>0</v>
      </c>
      <c r="J12" s="345" t="s">
        <v>803</v>
      </c>
      <c r="K12" s="345" t="s">
        <v>803</v>
      </c>
      <c r="L12" s="448" t="s">
        <v>803</v>
      </c>
      <c r="N12" s="249"/>
      <c r="O12" s="263" t="s">
        <v>219</v>
      </c>
      <c r="P12" s="345">
        <v>0</v>
      </c>
      <c r="Q12" s="345">
        <v>0</v>
      </c>
      <c r="R12" s="345">
        <v>0</v>
      </c>
      <c r="S12" s="345">
        <v>0</v>
      </c>
      <c r="T12" s="345">
        <v>0</v>
      </c>
      <c r="U12" s="345">
        <v>0</v>
      </c>
      <c r="V12" s="345" t="s">
        <v>803</v>
      </c>
      <c r="W12" s="345" t="s">
        <v>803</v>
      </c>
      <c r="X12" s="448" t="s">
        <v>803</v>
      </c>
    </row>
    <row r="13" spans="1:26" ht="14.45" x14ac:dyDescent="0.3">
      <c r="A13" t="str">
        <f>B13</f>
        <v>F1</v>
      </c>
      <c r="B13" s="239" t="s">
        <v>212</v>
      </c>
      <c r="C13" s="301"/>
      <c r="D13" s="341" t="s">
        <v>808</v>
      </c>
      <c r="E13" s="341"/>
      <c r="F13" s="341" t="s">
        <v>233</v>
      </c>
      <c r="G13" s="341" t="s">
        <v>250</v>
      </c>
      <c r="H13" s="342"/>
      <c r="I13" s="342"/>
      <c r="J13" s="342"/>
      <c r="K13" s="342"/>
      <c r="L13" s="343"/>
      <c r="N13" s="239" t="s">
        <v>212</v>
      </c>
      <c r="O13" s="301"/>
      <c r="P13" s="341" t="s">
        <v>808</v>
      </c>
      <c r="Q13" s="341"/>
      <c r="R13" s="341" t="s">
        <v>233</v>
      </c>
      <c r="S13" s="341" t="s">
        <v>250</v>
      </c>
      <c r="T13" s="342"/>
      <c r="U13" s="342"/>
      <c r="V13" s="342"/>
      <c r="W13" s="342"/>
      <c r="X13" s="343"/>
    </row>
    <row r="14" spans="1:26" ht="14.45" x14ac:dyDescent="0.3">
      <c r="A14" t="str">
        <f>B13&amp;"-"&amp;C14</f>
        <v>F1-Table</v>
      </c>
      <c r="B14" s="244"/>
      <c r="C14" s="256" t="s">
        <v>185</v>
      </c>
      <c r="D14" s="449">
        <v>0</v>
      </c>
      <c r="E14" s="450">
        <v>0</v>
      </c>
      <c r="F14" s="450">
        <v>0</v>
      </c>
      <c r="G14" s="450">
        <v>0</v>
      </c>
      <c r="H14" s="450">
        <v>0</v>
      </c>
      <c r="I14" s="450">
        <v>0</v>
      </c>
      <c r="J14" s="450" t="s">
        <v>803</v>
      </c>
      <c r="K14" s="450" t="s">
        <v>803</v>
      </c>
      <c r="L14" s="451" t="s">
        <v>803</v>
      </c>
      <c r="N14" s="244"/>
      <c r="O14" s="256" t="s">
        <v>185</v>
      </c>
      <c r="P14" s="449">
        <v>0</v>
      </c>
      <c r="Q14" s="450">
        <v>0</v>
      </c>
      <c r="R14" s="450">
        <v>0</v>
      </c>
      <c r="S14" s="450">
        <v>0</v>
      </c>
      <c r="T14" s="450">
        <v>0</v>
      </c>
      <c r="U14" s="450">
        <v>0</v>
      </c>
      <c r="V14" s="450" t="s">
        <v>803</v>
      </c>
      <c r="W14" s="450" t="s">
        <v>803</v>
      </c>
      <c r="X14" s="451" t="s">
        <v>803</v>
      </c>
    </row>
    <row r="15" spans="1:26" ht="14.45" x14ac:dyDescent="0.3">
      <c r="A15" t="str">
        <f>B13&amp;"-"&amp;C15</f>
        <v>F1-Crown</v>
      </c>
      <c r="B15" s="244"/>
      <c r="C15" s="260" t="s">
        <v>199</v>
      </c>
      <c r="D15" s="344">
        <v>0</v>
      </c>
      <c r="E15" s="450">
        <v>0</v>
      </c>
      <c r="F15" s="344">
        <v>0</v>
      </c>
      <c r="G15" s="344">
        <v>0</v>
      </c>
      <c r="H15" s="344">
        <v>0</v>
      </c>
      <c r="I15" s="344">
        <v>0</v>
      </c>
      <c r="J15" s="344" t="s">
        <v>803</v>
      </c>
      <c r="K15" s="344" t="s">
        <v>803</v>
      </c>
      <c r="L15" s="447" t="s">
        <v>803</v>
      </c>
      <c r="N15" s="244"/>
      <c r="O15" s="260" t="s">
        <v>199</v>
      </c>
      <c r="P15" s="344">
        <v>0</v>
      </c>
      <c r="Q15" s="450">
        <v>0</v>
      </c>
      <c r="R15" s="344">
        <v>0</v>
      </c>
      <c r="S15" s="344">
        <v>0</v>
      </c>
      <c r="T15" s="344">
        <v>0</v>
      </c>
      <c r="U15" s="344">
        <v>0</v>
      </c>
      <c r="V15" s="344" t="s">
        <v>803</v>
      </c>
      <c r="W15" s="344" t="s">
        <v>803</v>
      </c>
      <c r="X15" s="447" t="s">
        <v>803</v>
      </c>
    </row>
    <row r="16" spans="1:26" ht="14.45" x14ac:dyDescent="0.3">
      <c r="A16" t="str">
        <f>B13&amp;"-"&amp;C16</f>
        <v>F1-Girdle</v>
      </c>
      <c r="B16" s="244"/>
      <c r="C16" s="260" t="s">
        <v>204</v>
      </c>
      <c r="D16" s="344">
        <v>0</v>
      </c>
      <c r="E16" s="344">
        <v>0</v>
      </c>
      <c r="F16" s="344">
        <v>0</v>
      </c>
      <c r="G16" s="344">
        <v>0</v>
      </c>
      <c r="H16" s="344">
        <v>0</v>
      </c>
      <c r="I16" s="344">
        <v>0</v>
      </c>
      <c r="J16" s="344" t="s">
        <v>803</v>
      </c>
      <c r="K16" s="344" t="s">
        <v>803</v>
      </c>
      <c r="L16" s="447" t="s">
        <v>803</v>
      </c>
      <c r="N16" s="244"/>
      <c r="O16" s="260" t="s">
        <v>204</v>
      </c>
      <c r="P16" s="344">
        <v>0</v>
      </c>
      <c r="Q16" s="344">
        <v>0</v>
      </c>
      <c r="R16" s="344">
        <v>0</v>
      </c>
      <c r="S16" s="344">
        <v>0</v>
      </c>
      <c r="T16" s="344">
        <v>0</v>
      </c>
      <c r="U16" s="344">
        <v>0</v>
      </c>
      <c r="V16" s="344" t="s">
        <v>803</v>
      </c>
      <c r="W16" s="344" t="s">
        <v>803</v>
      </c>
      <c r="X16" s="447" t="s">
        <v>803</v>
      </c>
    </row>
    <row r="17" spans="1:24" ht="14.45" x14ac:dyDescent="0.3">
      <c r="A17" t="str">
        <f>B13&amp;"-"&amp;C17</f>
        <v>F1-Pavilion</v>
      </c>
      <c r="B17" s="249"/>
      <c r="C17" s="263" t="s">
        <v>219</v>
      </c>
      <c r="D17" s="345">
        <v>0</v>
      </c>
      <c r="E17" s="450">
        <v>0</v>
      </c>
      <c r="F17" s="345">
        <v>0</v>
      </c>
      <c r="G17" s="345">
        <v>0</v>
      </c>
      <c r="H17" s="345">
        <v>0</v>
      </c>
      <c r="I17" s="345">
        <v>0</v>
      </c>
      <c r="J17" s="345" t="s">
        <v>803</v>
      </c>
      <c r="K17" s="345" t="s">
        <v>803</v>
      </c>
      <c r="L17" s="448" t="s">
        <v>803</v>
      </c>
      <c r="N17" s="249"/>
      <c r="O17" s="263" t="s">
        <v>219</v>
      </c>
      <c r="P17" s="345">
        <v>0</v>
      </c>
      <c r="Q17" s="450">
        <v>0</v>
      </c>
      <c r="R17" s="345">
        <v>0</v>
      </c>
      <c r="S17" s="345">
        <v>0</v>
      </c>
      <c r="T17" s="345">
        <v>0</v>
      </c>
      <c r="U17" s="345">
        <v>0</v>
      </c>
      <c r="V17" s="345" t="s">
        <v>803</v>
      </c>
      <c r="W17" s="345" t="s">
        <v>803</v>
      </c>
      <c r="X17" s="448" t="s">
        <v>803</v>
      </c>
    </row>
    <row r="18" spans="1:24" ht="14.45" x14ac:dyDescent="0.3">
      <c r="A18" t="str">
        <f>B18</f>
        <v>F2</v>
      </c>
      <c r="B18" s="239" t="s">
        <v>225</v>
      </c>
      <c r="C18" s="301"/>
      <c r="D18" s="452" t="s">
        <v>808</v>
      </c>
      <c r="E18" s="341"/>
      <c r="F18" s="341" t="s">
        <v>250</v>
      </c>
      <c r="G18" s="341" t="s">
        <v>265</v>
      </c>
      <c r="H18" s="342"/>
      <c r="I18" s="342"/>
      <c r="J18" s="342"/>
      <c r="K18" s="342"/>
      <c r="L18" s="343"/>
      <c r="N18" s="239" t="s">
        <v>225</v>
      </c>
      <c r="O18" s="301"/>
      <c r="P18" s="452" t="s">
        <v>808</v>
      </c>
      <c r="Q18" s="341"/>
      <c r="R18" s="341" t="s">
        <v>250</v>
      </c>
      <c r="S18" s="341" t="s">
        <v>265</v>
      </c>
      <c r="T18" s="342"/>
      <c r="U18" s="342"/>
      <c r="V18" s="342"/>
      <c r="W18" s="342"/>
      <c r="X18" s="343"/>
    </row>
    <row r="19" spans="1:24" ht="14.45" x14ac:dyDescent="0.3">
      <c r="A19" t="str">
        <f>B18&amp;"-"&amp;C19</f>
        <v>F2-Table</v>
      </c>
      <c r="B19" s="244"/>
      <c r="C19" s="256" t="s">
        <v>185</v>
      </c>
      <c r="D19" s="449" t="s">
        <v>803</v>
      </c>
      <c r="E19" s="449" t="s">
        <v>803</v>
      </c>
      <c r="F19" s="449" t="s">
        <v>803</v>
      </c>
      <c r="G19" s="449">
        <v>0</v>
      </c>
      <c r="H19" s="449">
        <v>0</v>
      </c>
      <c r="I19" s="449">
        <v>0</v>
      </c>
      <c r="J19" s="449">
        <v>0</v>
      </c>
      <c r="K19" s="449">
        <v>0</v>
      </c>
      <c r="L19" s="447">
        <v>0</v>
      </c>
      <c r="N19" s="244"/>
      <c r="O19" s="256" t="s">
        <v>185</v>
      </c>
      <c r="P19" s="449" t="s">
        <v>803</v>
      </c>
      <c r="Q19" s="449" t="s">
        <v>803</v>
      </c>
      <c r="R19" s="449" t="s">
        <v>803</v>
      </c>
      <c r="S19" s="449">
        <v>0</v>
      </c>
      <c r="T19" s="449">
        <v>0</v>
      </c>
      <c r="U19" s="449">
        <v>0</v>
      </c>
      <c r="V19" s="449">
        <v>0</v>
      </c>
      <c r="W19" s="449">
        <v>0</v>
      </c>
      <c r="X19" s="447">
        <v>0</v>
      </c>
    </row>
    <row r="20" spans="1:24" ht="14.45" x14ac:dyDescent="0.3">
      <c r="A20" t="str">
        <f>B18&amp;"-"&amp;C20</f>
        <v>F2-Crown</v>
      </c>
      <c r="B20" s="244"/>
      <c r="C20" s="260" t="s">
        <v>199</v>
      </c>
      <c r="D20" s="449" t="s">
        <v>803</v>
      </c>
      <c r="E20" s="449" t="s">
        <v>803</v>
      </c>
      <c r="F20" s="449" t="s">
        <v>803</v>
      </c>
      <c r="G20" s="449">
        <v>0</v>
      </c>
      <c r="H20" s="449">
        <v>0</v>
      </c>
      <c r="I20" s="449">
        <v>0</v>
      </c>
      <c r="J20" s="449">
        <v>0</v>
      </c>
      <c r="K20" s="449">
        <v>0</v>
      </c>
      <c r="L20" s="447">
        <v>0</v>
      </c>
      <c r="N20" s="244"/>
      <c r="O20" s="260" t="s">
        <v>199</v>
      </c>
      <c r="P20" s="449" t="s">
        <v>803</v>
      </c>
      <c r="Q20" s="449" t="s">
        <v>803</v>
      </c>
      <c r="R20" s="449" t="s">
        <v>803</v>
      </c>
      <c r="S20" s="449">
        <v>0</v>
      </c>
      <c r="T20" s="449">
        <v>0</v>
      </c>
      <c r="U20" s="449">
        <v>0</v>
      </c>
      <c r="V20" s="449">
        <v>0</v>
      </c>
      <c r="W20" s="449">
        <v>0</v>
      </c>
      <c r="X20" s="447">
        <v>0</v>
      </c>
    </row>
    <row r="21" spans="1:24" ht="14.45" x14ac:dyDescent="0.3">
      <c r="A21" t="str">
        <f>B18&amp;"-"&amp;C21</f>
        <v>F2-Girdle</v>
      </c>
      <c r="B21" s="244"/>
      <c r="C21" s="260" t="s">
        <v>204</v>
      </c>
      <c r="D21" s="449" t="s">
        <v>803</v>
      </c>
      <c r="E21" s="449" t="s">
        <v>803</v>
      </c>
      <c r="F21" s="449" t="s">
        <v>803</v>
      </c>
      <c r="G21" s="449">
        <v>0</v>
      </c>
      <c r="H21" s="449">
        <v>0</v>
      </c>
      <c r="I21" s="449">
        <v>0</v>
      </c>
      <c r="J21" s="449">
        <v>0</v>
      </c>
      <c r="K21" s="449">
        <v>0</v>
      </c>
      <c r="L21" s="447">
        <v>0</v>
      </c>
      <c r="N21" s="244"/>
      <c r="O21" s="260" t="s">
        <v>204</v>
      </c>
      <c r="P21" s="449" t="s">
        <v>803</v>
      </c>
      <c r="Q21" s="449" t="s">
        <v>803</v>
      </c>
      <c r="R21" s="449" t="s">
        <v>803</v>
      </c>
      <c r="S21" s="449">
        <v>0</v>
      </c>
      <c r="T21" s="449">
        <v>0</v>
      </c>
      <c r="U21" s="449">
        <v>0</v>
      </c>
      <c r="V21" s="449">
        <v>0</v>
      </c>
      <c r="W21" s="449">
        <v>0</v>
      </c>
      <c r="X21" s="447">
        <v>0</v>
      </c>
    </row>
    <row r="22" spans="1:24" ht="14.45" x14ac:dyDescent="0.3">
      <c r="A22" t="str">
        <f>B18&amp;"-"&amp;C22</f>
        <v>F2-Pavilion</v>
      </c>
      <c r="B22" s="249"/>
      <c r="C22" s="263" t="s">
        <v>219</v>
      </c>
      <c r="D22" s="449" t="s">
        <v>803</v>
      </c>
      <c r="E22" s="449" t="s">
        <v>803</v>
      </c>
      <c r="F22" s="449" t="s">
        <v>803</v>
      </c>
      <c r="G22" s="449">
        <v>0</v>
      </c>
      <c r="H22" s="449">
        <v>0</v>
      </c>
      <c r="I22" s="449">
        <v>0</v>
      </c>
      <c r="J22" s="449">
        <v>0</v>
      </c>
      <c r="K22" s="449">
        <v>0</v>
      </c>
      <c r="L22" s="447">
        <v>0</v>
      </c>
      <c r="N22" s="249"/>
      <c r="O22" s="263" t="s">
        <v>219</v>
      </c>
      <c r="P22" s="449" t="s">
        <v>803</v>
      </c>
      <c r="Q22" s="449" t="s">
        <v>803</v>
      </c>
      <c r="R22" s="449" t="s">
        <v>803</v>
      </c>
      <c r="S22" s="449">
        <v>0</v>
      </c>
      <c r="T22" s="449">
        <v>0</v>
      </c>
      <c r="U22" s="449">
        <v>0</v>
      </c>
      <c r="V22" s="449">
        <v>0</v>
      </c>
      <c r="W22" s="449">
        <v>0</v>
      </c>
      <c r="X22" s="447">
        <v>0</v>
      </c>
    </row>
    <row r="23" spans="1:24" ht="14.45" x14ac:dyDescent="0.3">
      <c r="A23" t="str">
        <f>B23</f>
        <v>F3</v>
      </c>
      <c r="B23" s="239" t="s">
        <v>231</v>
      </c>
      <c r="C23" s="301"/>
      <c r="D23" s="341" t="s">
        <v>808</v>
      </c>
      <c r="E23" s="341"/>
      <c r="F23" s="341" t="s">
        <v>258</v>
      </c>
      <c r="G23" s="341" t="s">
        <v>279</v>
      </c>
      <c r="H23" s="342"/>
      <c r="I23" s="342"/>
      <c r="J23" s="342"/>
      <c r="K23" s="342"/>
      <c r="L23" s="343"/>
      <c r="N23" s="239" t="s">
        <v>231</v>
      </c>
      <c r="O23" s="301"/>
      <c r="P23" s="341" t="s">
        <v>808</v>
      </c>
      <c r="Q23" s="341"/>
      <c r="R23" s="341" t="s">
        <v>258</v>
      </c>
      <c r="S23" s="341" t="s">
        <v>279</v>
      </c>
      <c r="T23" s="342"/>
      <c r="U23" s="342"/>
      <c r="V23" s="342"/>
      <c r="W23" s="342"/>
      <c r="X23" s="343"/>
    </row>
    <row r="24" spans="1:24" ht="14.45" x14ac:dyDescent="0.3">
      <c r="A24" t="str">
        <f>B23&amp;"-"&amp;C24</f>
        <v>F3-Table</v>
      </c>
      <c r="B24" s="244"/>
      <c r="C24" s="256" t="s">
        <v>185</v>
      </c>
      <c r="D24" s="449" t="s">
        <v>803</v>
      </c>
      <c r="E24" s="450" t="s">
        <v>803</v>
      </c>
      <c r="F24" s="450" t="s">
        <v>803</v>
      </c>
      <c r="G24" s="449" t="s">
        <v>803</v>
      </c>
      <c r="H24" s="449" t="s">
        <v>803</v>
      </c>
      <c r="I24" s="449" t="s">
        <v>803</v>
      </c>
      <c r="J24" s="449">
        <v>0</v>
      </c>
      <c r="K24" s="449">
        <v>0</v>
      </c>
      <c r="L24" s="447">
        <v>0</v>
      </c>
      <c r="N24" s="244"/>
      <c r="O24" s="256" t="s">
        <v>185</v>
      </c>
      <c r="P24" s="449" t="s">
        <v>803</v>
      </c>
      <c r="Q24" s="450" t="s">
        <v>803</v>
      </c>
      <c r="R24" s="450" t="s">
        <v>803</v>
      </c>
      <c r="S24" s="449" t="s">
        <v>803</v>
      </c>
      <c r="T24" s="449" t="s">
        <v>803</v>
      </c>
      <c r="U24" s="449" t="s">
        <v>803</v>
      </c>
      <c r="V24" s="449">
        <v>0</v>
      </c>
      <c r="W24" s="449">
        <v>0</v>
      </c>
      <c r="X24" s="447">
        <v>0</v>
      </c>
    </row>
    <row r="25" spans="1:24" ht="14.45" x14ac:dyDescent="0.3">
      <c r="A25" t="str">
        <f>B23&amp;"-"&amp;C25</f>
        <v>F3-Crown</v>
      </c>
      <c r="B25" s="244"/>
      <c r="C25" s="260" t="s">
        <v>199</v>
      </c>
      <c r="D25" s="344" t="s">
        <v>803</v>
      </c>
      <c r="E25" s="344" t="s">
        <v>803</v>
      </c>
      <c r="F25" s="344" t="s">
        <v>803</v>
      </c>
      <c r="G25" s="449" t="s">
        <v>803</v>
      </c>
      <c r="H25" s="449" t="s">
        <v>803</v>
      </c>
      <c r="I25" s="449" t="s">
        <v>803</v>
      </c>
      <c r="J25" s="449">
        <v>0</v>
      </c>
      <c r="K25" s="449">
        <v>0</v>
      </c>
      <c r="L25" s="447">
        <v>0</v>
      </c>
      <c r="N25" s="244"/>
      <c r="O25" s="260" t="s">
        <v>199</v>
      </c>
      <c r="P25" s="344" t="s">
        <v>803</v>
      </c>
      <c r="Q25" s="344" t="s">
        <v>803</v>
      </c>
      <c r="R25" s="344" t="s">
        <v>803</v>
      </c>
      <c r="S25" s="449" t="s">
        <v>803</v>
      </c>
      <c r="T25" s="449" t="s">
        <v>803</v>
      </c>
      <c r="U25" s="449" t="s">
        <v>803</v>
      </c>
      <c r="V25" s="449">
        <v>0</v>
      </c>
      <c r="W25" s="449">
        <v>0</v>
      </c>
      <c r="X25" s="447">
        <v>0</v>
      </c>
    </row>
    <row r="26" spans="1:24" ht="14.45" x14ac:dyDescent="0.3">
      <c r="A26" t="str">
        <f>B23&amp;"-"&amp;C26</f>
        <v>F3-Girdle</v>
      </c>
      <c r="B26" s="244"/>
      <c r="C26" s="260" t="s">
        <v>204</v>
      </c>
      <c r="D26" s="344" t="s">
        <v>803</v>
      </c>
      <c r="E26" s="344" t="s">
        <v>803</v>
      </c>
      <c r="F26" s="344" t="s">
        <v>803</v>
      </c>
      <c r="G26" s="449" t="s">
        <v>803</v>
      </c>
      <c r="H26" s="449" t="s">
        <v>803</v>
      </c>
      <c r="I26" s="449" t="s">
        <v>803</v>
      </c>
      <c r="J26" s="449">
        <v>0</v>
      </c>
      <c r="K26" s="449">
        <v>0</v>
      </c>
      <c r="L26" s="447">
        <v>0</v>
      </c>
      <c r="N26" s="244"/>
      <c r="O26" s="260" t="s">
        <v>204</v>
      </c>
      <c r="P26" s="344" t="s">
        <v>803</v>
      </c>
      <c r="Q26" s="344" t="s">
        <v>803</v>
      </c>
      <c r="R26" s="344" t="s">
        <v>803</v>
      </c>
      <c r="S26" s="449" t="s">
        <v>803</v>
      </c>
      <c r="T26" s="449" t="s">
        <v>803</v>
      </c>
      <c r="U26" s="449" t="s">
        <v>803</v>
      </c>
      <c r="V26" s="449">
        <v>0</v>
      </c>
      <c r="W26" s="449">
        <v>0</v>
      </c>
      <c r="X26" s="447">
        <v>0</v>
      </c>
    </row>
    <row r="27" spans="1:24" x14ac:dyDescent="0.25">
      <c r="A27" t="str">
        <f>B23&amp;"-"&amp;C27</f>
        <v>F3-Pavilion</v>
      </c>
      <c r="B27" s="249"/>
      <c r="C27" s="263" t="s">
        <v>219</v>
      </c>
      <c r="D27" s="345" t="s">
        <v>803</v>
      </c>
      <c r="E27" s="345" t="s">
        <v>803</v>
      </c>
      <c r="F27" s="345" t="s">
        <v>803</v>
      </c>
      <c r="G27" s="449" t="s">
        <v>803</v>
      </c>
      <c r="H27" s="449" t="s">
        <v>803</v>
      </c>
      <c r="I27" s="449" t="s">
        <v>803</v>
      </c>
      <c r="J27" s="449">
        <v>0</v>
      </c>
      <c r="K27" s="449">
        <v>0</v>
      </c>
      <c r="L27" s="447">
        <v>0</v>
      </c>
      <c r="N27" s="249"/>
      <c r="O27" s="263" t="s">
        <v>219</v>
      </c>
      <c r="P27" s="345" t="s">
        <v>803</v>
      </c>
      <c r="Q27" s="345" t="s">
        <v>803</v>
      </c>
      <c r="R27" s="345" t="s">
        <v>803</v>
      </c>
      <c r="S27" s="449" t="s">
        <v>803</v>
      </c>
      <c r="T27" s="449" t="s">
        <v>803</v>
      </c>
      <c r="U27" s="449" t="s">
        <v>803</v>
      </c>
      <c r="V27" s="449">
        <v>0</v>
      </c>
      <c r="W27" s="449">
        <v>0</v>
      </c>
      <c r="X27" s="447">
        <v>0</v>
      </c>
    </row>
    <row r="28" spans="1:24" x14ac:dyDescent="0.25">
      <c r="A28" t="str">
        <f>B28</f>
        <v>F4</v>
      </c>
      <c r="B28" s="239" t="s">
        <v>236</v>
      </c>
      <c r="C28" s="301"/>
      <c r="D28" s="341" t="s">
        <v>808</v>
      </c>
      <c r="E28" s="341"/>
      <c r="F28" s="341" t="s">
        <v>265</v>
      </c>
      <c r="G28" s="341" t="s">
        <v>279</v>
      </c>
      <c r="H28" s="342"/>
      <c r="I28" s="342"/>
      <c r="J28" s="342"/>
      <c r="K28" s="342"/>
      <c r="L28" s="343"/>
      <c r="N28" s="239" t="s">
        <v>236</v>
      </c>
      <c r="O28" s="301"/>
      <c r="P28" s="341" t="s">
        <v>808</v>
      </c>
      <c r="Q28" s="341"/>
      <c r="R28" s="341" t="s">
        <v>265</v>
      </c>
      <c r="S28" s="341" t="s">
        <v>279</v>
      </c>
      <c r="T28" s="342"/>
      <c r="U28" s="342"/>
      <c r="V28" s="342"/>
      <c r="W28" s="342"/>
      <c r="X28" s="343"/>
    </row>
    <row r="29" spans="1:24" x14ac:dyDescent="0.25">
      <c r="A29" t="str">
        <f>B28&amp;"-"&amp;C29</f>
        <v>F4-Table</v>
      </c>
      <c r="B29" s="244"/>
      <c r="C29" s="256" t="s">
        <v>185</v>
      </c>
      <c r="D29" s="449" t="s">
        <v>803</v>
      </c>
      <c r="E29" s="450" t="s">
        <v>803</v>
      </c>
      <c r="F29" s="450" t="s">
        <v>803</v>
      </c>
      <c r="G29" s="450" t="s">
        <v>803</v>
      </c>
      <c r="H29" s="450" t="s">
        <v>803</v>
      </c>
      <c r="I29" s="449" t="s">
        <v>803</v>
      </c>
      <c r="J29" s="450">
        <v>0</v>
      </c>
      <c r="K29" s="450">
        <v>0</v>
      </c>
      <c r="L29" s="451">
        <v>0</v>
      </c>
      <c r="N29" s="244"/>
      <c r="O29" s="256" t="s">
        <v>185</v>
      </c>
      <c r="P29" s="449" t="s">
        <v>803</v>
      </c>
      <c r="Q29" s="450" t="s">
        <v>803</v>
      </c>
      <c r="R29" s="450" t="s">
        <v>803</v>
      </c>
      <c r="S29" s="450" t="s">
        <v>803</v>
      </c>
      <c r="T29" s="450" t="s">
        <v>803</v>
      </c>
      <c r="U29" s="449" t="s">
        <v>803</v>
      </c>
      <c r="V29" s="450">
        <v>0</v>
      </c>
      <c r="W29" s="450">
        <v>0</v>
      </c>
      <c r="X29" s="451">
        <v>0</v>
      </c>
    </row>
    <row r="30" spans="1:24" x14ac:dyDescent="0.25">
      <c r="A30" t="str">
        <f>B28&amp;"-"&amp;C30</f>
        <v>F4-Crown</v>
      </c>
      <c r="B30" s="244"/>
      <c r="C30" s="260" t="s">
        <v>199</v>
      </c>
      <c r="D30" s="344" t="s">
        <v>803</v>
      </c>
      <c r="E30" s="344" t="s">
        <v>803</v>
      </c>
      <c r="F30" s="344" t="s">
        <v>803</v>
      </c>
      <c r="G30" s="344" t="s">
        <v>803</v>
      </c>
      <c r="H30" s="344" t="s">
        <v>803</v>
      </c>
      <c r="I30" s="449" t="s">
        <v>803</v>
      </c>
      <c r="J30" s="344">
        <v>0</v>
      </c>
      <c r="K30" s="344">
        <v>0</v>
      </c>
      <c r="L30" s="447">
        <v>0</v>
      </c>
      <c r="N30" s="244"/>
      <c r="O30" s="260" t="s">
        <v>199</v>
      </c>
      <c r="P30" s="344" t="s">
        <v>803</v>
      </c>
      <c r="Q30" s="344" t="s">
        <v>803</v>
      </c>
      <c r="R30" s="344" t="s">
        <v>803</v>
      </c>
      <c r="S30" s="344" t="s">
        <v>803</v>
      </c>
      <c r="T30" s="344" t="s">
        <v>803</v>
      </c>
      <c r="U30" s="449" t="s">
        <v>803</v>
      </c>
      <c r="V30" s="344">
        <v>0</v>
      </c>
      <c r="W30" s="344">
        <v>0</v>
      </c>
      <c r="X30" s="447">
        <v>0</v>
      </c>
    </row>
    <row r="31" spans="1:24" x14ac:dyDescent="0.25">
      <c r="A31" t="str">
        <f>B28&amp;"-"&amp;C31</f>
        <v>F4-Girdle</v>
      </c>
      <c r="B31" s="244"/>
      <c r="C31" s="260" t="s">
        <v>204</v>
      </c>
      <c r="D31" s="344" t="s">
        <v>803</v>
      </c>
      <c r="E31" s="344" t="s">
        <v>803</v>
      </c>
      <c r="F31" s="344" t="s">
        <v>803</v>
      </c>
      <c r="G31" s="344" t="s">
        <v>803</v>
      </c>
      <c r="H31" s="344" t="s">
        <v>803</v>
      </c>
      <c r="I31" s="449" t="s">
        <v>803</v>
      </c>
      <c r="J31" s="344">
        <v>0</v>
      </c>
      <c r="K31" s="344">
        <v>0</v>
      </c>
      <c r="L31" s="447">
        <v>0</v>
      </c>
      <c r="N31" s="244"/>
      <c r="O31" s="260" t="s">
        <v>204</v>
      </c>
      <c r="P31" s="344" t="s">
        <v>803</v>
      </c>
      <c r="Q31" s="344" t="s">
        <v>803</v>
      </c>
      <c r="R31" s="344" t="s">
        <v>803</v>
      </c>
      <c r="S31" s="344" t="s">
        <v>803</v>
      </c>
      <c r="T31" s="344" t="s">
        <v>803</v>
      </c>
      <c r="U31" s="449" t="s">
        <v>803</v>
      </c>
      <c r="V31" s="344">
        <v>0</v>
      </c>
      <c r="W31" s="344">
        <v>0</v>
      </c>
      <c r="X31" s="447">
        <v>0</v>
      </c>
    </row>
    <row r="32" spans="1:24" x14ac:dyDescent="0.25">
      <c r="A32" t="str">
        <f>B28&amp;"-"&amp;C32</f>
        <v>F4-Pavilion</v>
      </c>
      <c r="B32" s="249"/>
      <c r="C32" s="263" t="s">
        <v>219</v>
      </c>
      <c r="D32" s="345" t="s">
        <v>803</v>
      </c>
      <c r="E32" s="345" t="s">
        <v>803</v>
      </c>
      <c r="F32" s="345" t="s">
        <v>803</v>
      </c>
      <c r="G32" s="345" t="s">
        <v>803</v>
      </c>
      <c r="H32" s="345" t="s">
        <v>803</v>
      </c>
      <c r="I32" s="449" t="s">
        <v>803</v>
      </c>
      <c r="J32" s="345">
        <v>0</v>
      </c>
      <c r="K32" s="345">
        <v>0</v>
      </c>
      <c r="L32" s="448">
        <v>0</v>
      </c>
      <c r="N32" s="249"/>
      <c r="O32" s="263" t="s">
        <v>219</v>
      </c>
      <c r="P32" s="345" t="s">
        <v>803</v>
      </c>
      <c r="Q32" s="345" t="s">
        <v>803</v>
      </c>
      <c r="R32" s="345" t="s">
        <v>803</v>
      </c>
      <c r="S32" s="345" t="s">
        <v>803</v>
      </c>
      <c r="T32" s="345" t="s">
        <v>803</v>
      </c>
      <c r="U32" s="449" t="s">
        <v>803</v>
      </c>
      <c r="V32" s="345">
        <v>0</v>
      </c>
      <c r="W32" s="345">
        <v>0</v>
      </c>
      <c r="X32" s="448">
        <v>0</v>
      </c>
    </row>
    <row r="33" spans="1:24" x14ac:dyDescent="0.25">
      <c r="A33" t="str">
        <f>B33</f>
        <v>TW1</v>
      </c>
      <c r="B33" s="239" t="s">
        <v>241</v>
      </c>
      <c r="C33" s="301"/>
      <c r="D33" s="341" t="s">
        <v>808</v>
      </c>
      <c r="E33" s="341"/>
      <c r="F33" s="341" t="s">
        <v>250</v>
      </c>
      <c r="G33" s="341" t="s">
        <v>265</v>
      </c>
      <c r="H33" s="342"/>
      <c r="I33" s="342"/>
      <c r="J33" s="342"/>
      <c r="K33" s="342"/>
      <c r="L33" s="343"/>
      <c r="N33" s="239" t="s">
        <v>241</v>
      </c>
      <c r="O33" s="301"/>
      <c r="P33" s="341" t="s">
        <v>808</v>
      </c>
      <c r="Q33" s="341"/>
      <c r="R33" s="341" t="s">
        <v>250</v>
      </c>
      <c r="S33" s="341" t="s">
        <v>265</v>
      </c>
      <c r="T33" s="342"/>
      <c r="U33" s="342"/>
      <c r="V33" s="342"/>
      <c r="W33" s="342"/>
      <c r="X33" s="343"/>
    </row>
    <row r="34" spans="1:24" x14ac:dyDescent="0.25">
      <c r="A34" t="str">
        <f>B33&amp;"-"&amp;C34</f>
        <v>TW1-Table</v>
      </c>
      <c r="B34" s="244"/>
      <c r="C34" s="256" t="s">
        <v>185</v>
      </c>
      <c r="D34" s="449" t="s">
        <v>803</v>
      </c>
      <c r="E34" s="450" t="s">
        <v>803</v>
      </c>
      <c r="F34" s="450" t="s">
        <v>803</v>
      </c>
      <c r="G34" s="449">
        <v>-5.0000000000000001E-3</v>
      </c>
      <c r="H34" s="449">
        <v>-5.0000000000000001E-3</v>
      </c>
      <c r="I34" s="450">
        <v>0</v>
      </c>
      <c r="J34" s="449">
        <v>1.4999999999999999E-2</v>
      </c>
      <c r="K34" s="449">
        <v>1.4999999999999999E-2</v>
      </c>
      <c r="L34" s="447">
        <v>5.0000000000000001E-3</v>
      </c>
      <c r="N34" s="244"/>
      <c r="O34" s="256" t="s">
        <v>185</v>
      </c>
      <c r="P34" s="449" t="s">
        <v>803</v>
      </c>
      <c r="Q34" s="450" t="s">
        <v>803</v>
      </c>
      <c r="R34" s="450" t="s">
        <v>803</v>
      </c>
      <c r="S34" s="449">
        <v>0</v>
      </c>
      <c r="T34" s="449">
        <v>0</v>
      </c>
      <c r="U34" s="450">
        <v>0</v>
      </c>
      <c r="V34" s="449">
        <v>1.4999999999999999E-2</v>
      </c>
      <c r="W34" s="449">
        <v>1.4999999999999999E-2</v>
      </c>
      <c r="X34" s="447">
        <v>5.0000000000000001E-3</v>
      </c>
    </row>
    <row r="35" spans="1:24" x14ac:dyDescent="0.25">
      <c r="A35" t="str">
        <f>B33&amp;"-"&amp;C35</f>
        <v>TW1-Crown</v>
      </c>
      <c r="B35" s="244"/>
      <c r="C35" s="260" t="s">
        <v>199</v>
      </c>
      <c r="D35" s="344" t="s">
        <v>803</v>
      </c>
      <c r="E35" s="344" t="s">
        <v>803</v>
      </c>
      <c r="F35" s="344" t="s">
        <v>803</v>
      </c>
      <c r="G35" s="449">
        <v>0</v>
      </c>
      <c r="H35" s="449">
        <v>0</v>
      </c>
      <c r="I35" s="344">
        <v>0</v>
      </c>
      <c r="J35" s="449">
        <v>1.4999999999999999E-2</v>
      </c>
      <c r="K35" s="449">
        <v>1.4999999999999999E-2</v>
      </c>
      <c r="L35" s="447">
        <v>5.0000000000000001E-3</v>
      </c>
      <c r="N35" s="244"/>
      <c r="O35" s="260" t="s">
        <v>199</v>
      </c>
      <c r="P35" s="344" t="s">
        <v>803</v>
      </c>
      <c r="Q35" s="344" t="s">
        <v>803</v>
      </c>
      <c r="R35" s="344" t="s">
        <v>803</v>
      </c>
      <c r="S35" s="449">
        <v>0</v>
      </c>
      <c r="T35" s="449">
        <v>0</v>
      </c>
      <c r="U35" s="344">
        <v>0</v>
      </c>
      <c r="V35" s="449">
        <v>1.4999999999999999E-2</v>
      </c>
      <c r="W35" s="449">
        <v>1.4999999999999999E-2</v>
      </c>
      <c r="X35" s="447">
        <v>5.0000000000000001E-3</v>
      </c>
    </row>
    <row r="36" spans="1:24" x14ac:dyDescent="0.25">
      <c r="A36" t="str">
        <f>B33&amp;"-"&amp;C36</f>
        <v>TW1-Girdle</v>
      </c>
      <c r="B36" s="244"/>
      <c r="C36" s="260" t="s">
        <v>204</v>
      </c>
      <c r="D36" s="344" t="s">
        <v>803</v>
      </c>
      <c r="E36" s="344" t="s">
        <v>803</v>
      </c>
      <c r="F36" s="344" t="s">
        <v>803</v>
      </c>
      <c r="G36" s="449">
        <v>0</v>
      </c>
      <c r="H36" s="449">
        <v>0</v>
      </c>
      <c r="I36" s="344">
        <v>0</v>
      </c>
      <c r="J36" s="449">
        <v>0</v>
      </c>
      <c r="K36" s="449">
        <v>0</v>
      </c>
      <c r="L36" s="447">
        <v>0</v>
      </c>
      <c r="N36" s="244"/>
      <c r="O36" s="260" t="s">
        <v>204</v>
      </c>
      <c r="P36" s="344" t="s">
        <v>803</v>
      </c>
      <c r="Q36" s="344" t="s">
        <v>803</v>
      </c>
      <c r="R36" s="344" t="s">
        <v>803</v>
      </c>
      <c r="S36" s="449">
        <v>0</v>
      </c>
      <c r="T36" s="449">
        <v>0</v>
      </c>
      <c r="U36" s="344">
        <v>0</v>
      </c>
      <c r="V36" s="449">
        <v>0</v>
      </c>
      <c r="W36" s="449">
        <v>0</v>
      </c>
      <c r="X36" s="447">
        <v>0</v>
      </c>
    </row>
    <row r="37" spans="1:24" x14ac:dyDescent="0.25">
      <c r="A37" t="str">
        <f>B33&amp;"-"&amp;C37</f>
        <v>TW1-Pavilion</v>
      </c>
      <c r="B37" s="249"/>
      <c r="C37" s="263" t="s">
        <v>219</v>
      </c>
      <c r="D37" s="345" t="s">
        <v>803</v>
      </c>
      <c r="E37" s="345" t="s">
        <v>803</v>
      </c>
      <c r="F37" s="345" t="s">
        <v>803</v>
      </c>
      <c r="G37" s="449">
        <v>0</v>
      </c>
      <c r="H37" s="449">
        <v>0</v>
      </c>
      <c r="I37" s="345">
        <v>0</v>
      </c>
      <c r="J37" s="449">
        <v>0</v>
      </c>
      <c r="K37" s="449">
        <v>0</v>
      </c>
      <c r="L37" s="447">
        <v>0</v>
      </c>
      <c r="N37" s="249"/>
      <c r="O37" s="263" t="s">
        <v>219</v>
      </c>
      <c r="P37" s="345" t="s">
        <v>803</v>
      </c>
      <c r="Q37" s="345" t="s">
        <v>803</v>
      </c>
      <c r="R37" s="345" t="s">
        <v>803</v>
      </c>
      <c r="S37" s="449">
        <v>0</v>
      </c>
      <c r="T37" s="449">
        <v>0</v>
      </c>
      <c r="U37" s="345">
        <v>0</v>
      </c>
      <c r="V37" s="449">
        <v>0</v>
      </c>
      <c r="W37" s="449">
        <v>0</v>
      </c>
      <c r="X37" s="447">
        <v>0</v>
      </c>
    </row>
    <row r="38" spans="1:24" x14ac:dyDescent="0.25">
      <c r="A38" t="str">
        <f>B38</f>
        <v>TW2</v>
      </c>
      <c r="B38" s="239" t="s">
        <v>244</v>
      </c>
      <c r="C38" s="301"/>
      <c r="D38" s="341" t="s">
        <v>808</v>
      </c>
      <c r="E38" s="341"/>
      <c r="F38" s="341" t="s">
        <v>250</v>
      </c>
      <c r="G38" s="341" t="s">
        <v>279</v>
      </c>
      <c r="H38" s="342"/>
      <c r="I38" s="342"/>
      <c r="J38" s="342"/>
      <c r="K38" s="342"/>
      <c r="L38" s="343"/>
      <c r="N38" s="239" t="s">
        <v>244</v>
      </c>
      <c r="O38" s="301"/>
      <c r="P38" s="341" t="s">
        <v>808</v>
      </c>
      <c r="Q38" s="341"/>
      <c r="R38" s="341" t="s">
        <v>250</v>
      </c>
      <c r="S38" s="341" t="s">
        <v>279</v>
      </c>
      <c r="T38" s="342"/>
      <c r="U38" s="342"/>
      <c r="V38" s="342"/>
      <c r="W38" s="342"/>
      <c r="X38" s="343"/>
    </row>
    <row r="39" spans="1:24" x14ac:dyDescent="0.25">
      <c r="A39" t="str">
        <f>B38&amp;"-"&amp;C39</f>
        <v>TW2-Table</v>
      </c>
      <c r="B39" s="244"/>
      <c r="C39" s="256" t="s">
        <v>185</v>
      </c>
      <c r="D39" s="449" t="s">
        <v>803</v>
      </c>
      <c r="E39" s="450" t="s">
        <v>803</v>
      </c>
      <c r="F39" s="450" t="s">
        <v>803</v>
      </c>
      <c r="G39" s="449">
        <v>-0.01</v>
      </c>
      <c r="H39" s="449">
        <v>-0.01</v>
      </c>
      <c r="I39" s="449">
        <v>-5.0000000000000001E-3</v>
      </c>
      <c r="J39" s="449">
        <v>0.01</v>
      </c>
      <c r="K39" s="449">
        <v>0.01</v>
      </c>
      <c r="L39" s="447">
        <v>0</v>
      </c>
      <c r="N39" s="244"/>
      <c r="O39" s="256" t="s">
        <v>185</v>
      </c>
      <c r="P39" s="449" t="s">
        <v>803</v>
      </c>
      <c r="Q39" s="450" t="s">
        <v>803</v>
      </c>
      <c r="R39" s="450" t="s">
        <v>803</v>
      </c>
      <c r="S39" s="449">
        <v>-5.0000000000000001E-3</v>
      </c>
      <c r="T39" s="449">
        <v>-5.0000000000000001E-3</v>
      </c>
      <c r="U39" s="449">
        <v>-5.0000000000000001E-3</v>
      </c>
      <c r="V39" s="449">
        <v>0.01</v>
      </c>
      <c r="W39" s="449">
        <v>0.01</v>
      </c>
      <c r="X39" s="447">
        <v>0</v>
      </c>
    </row>
    <row r="40" spans="1:24" x14ac:dyDescent="0.25">
      <c r="A40" t="str">
        <f>B38&amp;"-"&amp;C40</f>
        <v>TW2-Crown</v>
      </c>
      <c r="B40" s="244"/>
      <c r="C40" s="260" t="s">
        <v>199</v>
      </c>
      <c r="D40" s="344" t="s">
        <v>803</v>
      </c>
      <c r="E40" s="344" t="s">
        <v>803</v>
      </c>
      <c r="F40" s="344" t="s">
        <v>803</v>
      </c>
      <c r="G40" s="449">
        <v>0</v>
      </c>
      <c r="H40" s="449">
        <v>0</v>
      </c>
      <c r="I40" s="449">
        <v>0</v>
      </c>
      <c r="J40" s="449">
        <v>0.01</v>
      </c>
      <c r="K40" s="449">
        <v>0.01</v>
      </c>
      <c r="L40" s="447">
        <v>0</v>
      </c>
      <c r="N40" s="244"/>
      <c r="O40" s="260" t="s">
        <v>199</v>
      </c>
      <c r="P40" s="344" t="s">
        <v>803</v>
      </c>
      <c r="Q40" s="344" t="s">
        <v>803</v>
      </c>
      <c r="R40" s="344" t="s">
        <v>803</v>
      </c>
      <c r="S40" s="449">
        <v>-5.0000000000000001E-3</v>
      </c>
      <c r="T40" s="449">
        <v>-5.0000000000000001E-3</v>
      </c>
      <c r="U40" s="449">
        <v>0</v>
      </c>
      <c r="V40" s="449">
        <v>0.01</v>
      </c>
      <c r="W40" s="449">
        <v>0.01</v>
      </c>
      <c r="X40" s="447">
        <v>0</v>
      </c>
    </row>
    <row r="41" spans="1:24" x14ac:dyDescent="0.25">
      <c r="A41" t="str">
        <f>B38&amp;"-"&amp;C41</f>
        <v>TW2-Girdle</v>
      </c>
      <c r="B41" s="244"/>
      <c r="C41" s="260" t="s">
        <v>204</v>
      </c>
      <c r="D41" s="344" t="s">
        <v>803</v>
      </c>
      <c r="E41" s="344" t="s">
        <v>803</v>
      </c>
      <c r="F41" s="344" t="s">
        <v>803</v>
      </c>
      <c r="G41" s="449">
        <v>0</v>
      </c>
      <c r="H41" s="449">
        <v>0</v>
      </c>
      <c r="I41" s="449">
        <v>0</v>
      </c>
      <c r="J41" s="449">
        <v>0</v>
      </c>
      <c r="K41" s="449">
        <v>0</v>
      </c>
      <c r="L41" s="447">
        <v>0</v>
      </c>
      <c r="N41" s="244"/>
      <c r="O41" s="260" t="s">
        <v>204</v>
      </c>
      <c r="P41" s="344" t="s">
        <v>803</v>
      </c>
      <c r="Q41" s="344" t="s">
        <v>803</v>
      </c>
      <c r="R41" s="344" t="s">
        <v>803</v>
      </c>
      <c r="S41" s="449">
        <v>0</v>
      </c>
      <c r="T41" s="449">
        <v>0</v>
      </c>
      <c r="U41" s="449">
        <v>0</v>
      </c>
      <c r="V41" s="449">
        <v>0</v>
      </c>
      <c r="W41" s="449">
        <v>0</v>
      </c>
      <c r="X41" s="447">
        <v>0</v>
      </c>
    </row>
    <row r="42" spans="1:24" x14ac:dyDescent="0.25">
      <c r="A42" t="str">
        <f>B38&amp;"-"&amp;C42</f>
        <v>TW2-Pavilion</v>
      </c>
      <c r="B42" s="249"/>
      <c r="C42" s="263" t="s">
        <v>219</v>
      </c>
      <c r="D42" s="345" t="s">
        <v>803</v>
      </c>
      <c r="E42" s="345" t="s">
        <v>803</v>
      </c>
      <c r="F42" s="345" t="s">
        <v>803</v>
      </c>
      <c r="G42" s="449">
        <v>0</v>
      </c>
      <c r="H42" s="449">
        <v>0</v>
      </c>
      <c r="I42" s="449">
        <v>0</v>
      </c>
      <c r="J42" s="449">
        <v>0</v>
      </c>
      <c r="K42" s="449">
        <v>0</v>
      </c>
      <c r="L42" s="447">
        <v>0</v>
      </c>
      <c r="N42" s="249"/>
      <c r="O42" s="263" t="s">
        <v>219</v>
      </c>
      <c r="P42" s="345" t="s">
        <v>803</v>
      </c>
      <c r="Q42" s="345" t="s">
        <v>803</v>
      </c>
      <c r="R42" s="345" t="s">
        <v>803</v>
      </c>
      <c r="S42" s="449">
        <v>0</v>
      </c>
      <c r="T42" s="449">
        <v>0</v>
      </c>
      <c r="U42" s="449">
        <v>0</v>
      </c>
      <c r="V42" s="449">
        <v>0</v>
      </c>
      <c r="W42" s="449">
        <v>0</v>
      </c>
      <c r="X42" s="447">
        <v>0</v>
      </c>
    </row>
    <row r="43" spans="1:24" x14ac:dyDescent="0.25">
      <c r="A43" t="str">
        <f>B43</f>
        <v>TW3</v>
      </c>
      <c r="B43" s="239" t="s">
        <v>248</v>
      </c>
      <c r="C43" s="301"/>
      <c r="D43" s="341" t="s">
        <v>808</v>
      </c>
      <c r="E43" s="341"/>
      <c r="F43" s="341" t="s">
        <v>265</v>
      </c>
      <c r="G43" s="341" t="s">
        <v>279</v>
      </c>
      <c r="H43" s="342"/>
      <c r="I43" s="342"/>
      <c r="J43" s="342"/>
      <c r="K43" s="342"/>
      <c r="L43" s="343"/>
      <c r="N43" s="239" t="s">
        <v>248</v>
      </c>
      <c r="O43" s="301"/>
      <c r="P43" s="341" t="s">
        <v>808</v>
      </c>
      <c r="Q43" s="341"/>
      <c r="R43" s="341" t="s">
        <v>265</v>
      </c>
      <c r="S43" s="341" t="s">
        <v>279</v>
      </c>
      <c r="T43" s="342"/>
      <c r="U43" s="342"/>
      <c r="V43" s="342"/>
      <c r="W43" s="342"/>
      <c r="X43" s="343"/>
    </row>
    <row r="44" spans="1:24" x14ac:dyDescent="0.25">
      <c r="A44" t="str">
        <f>B43&amp;"-"&amp;C44</f>
        <v>TW3-Table</v>
      </c>
      <c r="B44" s="244"/>
      <c r="C44" s="256" t="s">
        <v>185</v>
      </c>
      <c r="D44" s="449" t="s">
        <v>803</v>
      </c>
      <c r="E44" s="450" t="s">
        <v>803</v>
      </c>
      <c r="F44" s="450" t="s">
        <v>803</v>
      </c>
      <c r="G44" s="450" t="s">
        <v>803</v>
      </c>
      <c r="H44" s="450" t="s">
        <v>803</v>
      </c>
      <c r="I44" s="449" t="s">
        <v>803</v>
      </c>
      <c r="J44" s="449">
        <v>5.0000000000000001E-3</v>
      </c>
      <c r="K44" s="449">
        <v>5.0000000000000001E-3</v>
      </c>
      <c r="L44" s="447">
        <v>0</v>
      </c>
      <c r="N44" s="244"/>
      <c r="O44" s="256" t="s">
        <v>185</v>
      </c>
      <c r="P44" s="449" t="s">
        <v>803</v>
      </c>
      <c r="Q44" s="450" t="s">
        <v>803</v>
      </c>
      <c r="R44" s="450" t="s">
        <v>803</v>
      </c>
      <c r="S44" s="450" t="s">
        <v>803</v>
      </c>
      <c r="T44" s="450" t="s">
        <v>803</v>
      </c>
      <c r="U44" s="449">
        <v>0</v>
      </c>
      <c r="V44" s="449">
        <v>0.01</v>
      </c>
      <c r="W44" s="449">
        <v>0.01</v>
      </c>
      <c r="X44" s="447">
        <v>0</v>
      </c>
    </row>
    <row r="45" spans="1:24" x14ac:dyDescent="0.25">
      <c r="A45" t="str">
        <f>B43&amp;"-"&amp;C45</f>
        <v>TW3-Crown</v>
      </c>
      <c r="B45" s="244"/>
      <c r="C45" s="260" t="s">
        <v>199</v>
      </c>
      <c r="D45" s="344" t="s">
        <v>803</v>
      </c>
      <c r="E45" s="344" t="s">
        <v>803</v>
      </c>
      <c r="F45" s="344" t="s">
        <v>803</v>
      </c>
      <c r="G45" s="344" t="s">
        <v>803</v>
      </c>
      <c r="H45" s="344" t="s">
        <v>803</v>
      </c>
      <c r="I45" s="449" t="s">
        <v>803</v>
      </c>
      <c r="J45" s="449">
        <v>5.0000000000000001E-3</v>
      </c>
      <c r="K45" s="449">
        <v>5.0000000000000001E-3</v>
      </c>
      <c r="L45" s="447">
        <v>0</v>
      </c>
      <c r="N45" s="244"/>
      <c r="O45" s="260" t="s">
        <v>199</v>
      </c>
      <c r="P45" s="344" t="s">
        <v>803</v>
      </c>
      <c r="Q45" s="344" t="s">
        <v>803</v>
      </c>
      <c r="R45" s="344" t="s">
        <v>803</v>
      </c>
      <c r="S45" s="344" t="s">
        <v>803</v>
      </c>
      <c r="T45" s="344" t="s">
        <v>803</v>
      </c>
      <c r="U45" s="449">
        <v>0</v>
      </c>
      <c r="V45" s="449">
        <v>5.0000000000000001E-3</v>
      </c>
      <c r="W45" s="449">
        <v>5.0000000000000001E-3</v>
      </c>
      <c r="X45" s="447">
        <v>0</v>
      </c>
    </row>
    <row r="46" spans="1:24" x14ac:dyDescent="0.25">
      <c r="A46" t="str">
        <f>B43&amp;"-"&amp;C46</f>
        <v>TW3-Girdle</v>
      </c>
      <c r="B46" s="244"/>
      <c r="C46" s="260" t="s">
        <v>204</v>
      </c>
      <c r="D46" s="344" t="s">
        <v>803</v>
      </c>
      <c r="E46" s="344" t="s">
        <v>803</v>
      </c>
      <c r="F46" s="344" t="s">
        <v>803</v>
      </c>
      <c r="G46" s="344" t="s">
        <v>803</v>
      </c>
      <c r="H46" s="344" t="s">
        <v>803</v>
      </c>
      <c r="I46" s="449" t="s">
        <v>803</v>
      </c>
      <c r="J46" s="449">
        <v>0</v>
      </c>
      <c r="K46" s="449">
        <v>0</v>
      </c>
      <c r="L46" s="447">
        <v>0</v>
      </c>
      <c r="N46" s="244"/>
      <c r="O46" s="260" t="s">
        <v>204</v>
      </c>
      <c r="P46" s="344" t="s">
        <v>803</v>
      </c>
      <c r="Q46" s="344" t="s">
        <v>803</v>
      </c>
      <c r="R46" s="344" t="s">
        <v>803</v>
      </c>
      <c r="S46" s="344" t="s">
        <v>803</v>
      </c>
      <c r="T46" s="344" t="s">
        <v>803</v>
      </c>
      <c r="U46" s="449">
        <v>0</v>
      </c>
      <c r="V46" s="449">
        <v>0</v>
      </c>
      <c r="W46" s="449">
        <v>0</v>
      </c>
      <c r="X46" s="447">
        <v>0</v>
      </c>
    </row>
    <row r="47" spans="1:24" x14ac:dyDescent="0.25">
      <c r="A47" t="str">
        <f>B43&amp;"-"&amp;C47</f>
        <v>TW3-Pavilion</v>
      </c>
      <c r="B47" s="249"/>
      <c r="C47" s="263" t="s">
        <v>219</v>
      </c>
      <c r="D47" s="345" t="s">
        <v>803</v>
      </c>
      <c r="E47" s="345" t="s">
        <v>803</v>
      </c>
      <c r="F47" s="345" t="s">
        <v>803</v>
      </c>
      <c r="G47" s="345" t="s">
        <v>803</v>
      </c>
      <c r="H47" s="345" t="s">
        <v>803</v>
      </c>
      <c r="I47" s="449" t="s">
        <v>803</v>
      </c>
      <c r="J47" s="449">
        <v>0</v>
      </c>
      <c r="K47" s="449">
        <v>0</v>
      </c>
      <c r="L47" s="447">
        <v>0</v>
      </c>
      <c r="N47" s="249"/>
      <c r="O47" s="263" t="s">
        <v>219</v>
      </c>
      <c r="P47" s="345" t="s">
        <v>803</v>
      </c>
      <c r="Q47" s="345" t="s">
        <v>803</v>
      </c>
      <c r="R47" s="345" t="s">
        <v>803</v>
      </c>
      <c r="S47" s="345" t="s">
        <v>803</v>
      </c>
      <c r="T47" s="345" t="s">
        <v>803</v>
      </c>
      <c r="U47" s="449">
        <v>0</v>
      </c>
      <c r="V47" s="449">
        <v>0</v>
      </c>
      <c r="W47" s="449">
        <v>0</v>
      </c>
      <c r="X47" s="447">
        <v>0</v>
      </c>
    </row>
    <row r="48" spans="1:24" x14ac:dyDescent="0.25">
      <c r="A48" t="str">
        <f>B48</f>
        <v>N1</v>
      </c>
      <c r="B48" s="239" t="s">
        <v>252</v>
      </c>
      <c r="C48" s="301"/>
      <c r="D48" s="341" t="s">
        <v>808</v>
      </c>
      <c r="E48" s="341"/>
      <c r="F48" s="341" t="s">
        <v>214</v>
      </c>
      <c r="G48" s="341" t="s">
        <v>265</v>
      </c>
      <c r="H48" s="342"/>
      <c r="I48" s="342"/>
      <c r="J48" s="342"/>
      <c r="K48" s="342"/>
      <c r="L48" s="343"/>
      <c r="N48" s="239" t="s">
        <v>192</v>
      </c>
      <c r="O48" s="301"/>
      <c r="P48" s="341" t="s">
        <v>808</v>
      </c>
      <c r="Q48" s="341"/>
      <c r="R48" s="341" t="s">
        <v>214</v>
      </c>
      <c r="S48" s="341" t="s">
        <v>265</v>
      </c>
      <c r="T48" s="342"/>
      <c r="U48" s="342"/>
      <c r="V48" s="342"/>
      <c r="W48" s="342"/>
      <c r="X48" s="343"/>
    </row>
    <row r="49" spans="1:24" x14ac:dyDescent="0.25">
      <c r="A49" t="str">
        <f>B48&amp;"-"&amp;C49</f>
        <v>N1-Table</v>
      </c>
      <c r="B49" s="244"/>
      <c r="C49" s="256" t="s">
        <v>185</v>
      </c>
      <c r="D49" s="449">
        <v>0</v>
      </c>
      <c r="E49" s="450">
        <v>0</v>
      </c>
      <c r="F49" s="450">
        <v>0</v>
      </c>
      <c r="G49" s="449">
        <v>0</v>
      </c>
      <c r="H49" s="449">
        <v>0</v>
      </c>
      <c r="I49" s="450">
        <v>0</v>
      </c>
      <c r="J49" s="449">
        <v>0</v>
      </c>
      <c r="K49" s="449">
        <v>0</v>
      </c>
      <c r="L49" s="447">
        <v>0</v>
      </c>
      <c r="N49" s="244"/>
      <c r="O49" s="256" t="s">
        <v>185</v>
      </c>
      <c r="P49" s="449" t="s">
        <v>803</v>
      </c>
      <c r="Q49" s="450" t="s">
        <v>803</v>
      </c>
      <c r="R49" s="450" t="s">
        <v>803</v>
      </c>
      <c r="S49" s="449">
        <v>0</v>
      </c>
      <c r="T49" s="449">
        <v>0</v>
      </c>
      <c r="U49" s="450">
        <v>0</v>
      </c>
      <c r="V49" s="449">
        <v>0</v>
      </c>
      <c r="W49" s="449">
        <v>0</v>
      </c>
      <c r="X49" s="447">
        <v>0</v>
      </c>
    </row>
    <row r="50" spans="1:24" x14ac:dyDescent="0.25">
      <c r="A50" t="str">
        <f>B48&amp;"-"&amp;C50</f>
        <v>N1-Crown</v>
      </c>
      <c r="B50" s="244"/>
      <c r="C50" s="260" t="s">
        <v>199</v>
      </c>
      <c r="D50" s="344">
        <v>0</v>
      </c>
      <c r="E50" s="344">
        <v>0</v>
      </c>
      <c r="F50" s="344">
        <v>0</v>
      </c>
      <c r="G50" s="449">
        <v>0</v>
      </c>
      <c r="H50" s="449">
        <v>0</v>
      </c>
      <c r="I50" s="344">
        <v>0</v>
      </c>
      <c r="J50" s="449">
        <v>0</v>
      </c>
      <c r="K50" s="449">
        <v>0</v>
      </c>
      <c r="L50" s="447">
        <v>0</v>
      </c>
      <c r="N50" s="244"/>
      <c r="O50" s="260" t="s">
        <v>199</v>
      </c>
      <c r="P50" s="344" t="s">
        <v>803</v>
      </c>
      <c r="Q50" s="344" t="s">
        <v>803</v>
      </c>
      <c r="R50" s="344" t="s">
        <v>803</v>
      </c>
      <c r="S50" s="449">
        <v>0</v>
      </c>
      <c r="T50" s="449">
        <v>0</v>
      </c>
      <c r="U50" s="344">
        <v>0</v>
      </c>
      <c r="V50" s="449">
        <v>0</v>
      </c>
      <c r="W50" s="449">
        <v>0</v>
      </c>
      <c r="X50" s="447">
        <v>0</v>
      </c>
    </row>
    <row r="51" spans="1:24" x14ac:dyDescent="0.25">
      <c r="A51" t="str">
        <f>B48&amp;"-"&amp;C51</f>
        <v>N1-Girdle</v>
      </c>
      <c r="B51" s="244"/>
      <c r="C51" s="260" t="s">
        <v>204</v>
      </c>
      <c r="D51" s="344">
        <v>0</v>
      </c>
      <c r="E51" s="344">
        <v>0</v>
      </c>
      <c r="F51" s="344">
        <v>0</v>
      </c>
      <c r="G51" s="449">
        <v>0</v>
      </c>
      <c r="H51" s="449">
        <v>0</v>
      </c>
      <c r="I51" s="344">
        <v>0</v>
      </c>
      <c r="J51" s="449">
        <v>0</v>
      </c>
      <c r="K51" s="449">
        <v>0</v>
      </c>
      <c r="L51" s="447">
        <v>0</v>
      </c>
      <c r="N51" s="244"/>
      <c r="O51" s="260" t="s">
        <v>204</v>
      </c>
      <c r="P51" s="344" t="s">
        <v>803</v>
      </c>
      <c r="Q51" s="344" t="s">
        <v>803</v>
      </c>
      <c r="R51" s="344" t="s">
        <v>803</v>
      </c>
      <c r="S51" s="449">
        <v>0</v>
      </c>
      <c r="T51" s="449">
        <v>0</v>
      </c>
      <c r="U51" s="344">
        <v>0</v>
      </c>
      <c r="V51" s="449">
        <v>0</v>
      </c>
      <c r="W51" s="449">
        <v>0</v>
      </c>
      <c r="X51" s="447">
        <v>0</v>
      </c>
    </row>
    <row r="52" spans="1:24" x14ac:dyDescent="0.25">
      <c r="A52" t="str">
        <f>B48&amp;"-"&amp;C52</f>
        <v>N1-Pavilion</v>
      </c>
      <c r="B52" s="249"/>
      <c r="C52" s="263" t="s">
        <v>219</v>
      </c>
      <c r="D52" s="345">
        <v>0</v>
      </c>
      <c r="E52" s="345">
        <v>0</v>
      </c>
      <c r="F52" s="345">
        <v>0</v>
      </c>
      <c r="G52" s="449">
        <v>0</v>
      </c>
      <c r="H52" s="449">
        <v>0</v>
      </c>
      <c r="I52" s="345">
        <v>0</v>
      </c>
      <c r="J52" s="449">
        <v>0</v>
      </c>
      <c r="K52" s="449">
        <v>0</v>
      </c>
      <c r="L52" s="447">
        <v>0</v>
      </c>
      <c r="N52" s="249"/>
      <c r="O52" s="263" t="s">
        <v>219</v>
      </c>
      <c r="P52" s="345" t="s">
        <v>803</v>
      </c>
      <c r="Q52" s="345" t="s">
        <v>803</v>
      </c>
      <c r="R52" s="345" t="s">
        <v>803</v>
      </c>
      <c r="S52" s="449">
        <v>0</v>
      </c>
      <c r="T52" s="449">
        <v>0</v>
      </c>
      <c r="U52" s="345">
        <v>0</v>
      </c>
      <c r="V52" s="449">
        <v>0</v>
      </c>
      <c r="W52" s="449">
        <v>0</v>
      </c>
      <c r="X52" s="447">
        <v>0</v>
      </c>
    </row>
    <row r="53" spans="1:24" x14ac:dyDescent="0.25">
      <c r="A53" t="str">
        <f>B53</f>
        <v>N2</v>
      </c>
      <c r="B53" s="239" t="s">
        <v>256</v>
      </c>
      <c r="C53" s="301"/>
      <c r="D53" s="341" t="s">
        <v>808</v>
      </c>
      <c r="E53" s="341"/>
      <c r="F53" s="341" t="s">
        <v>214</v>
      </c>
      <c r="G53" s="341" t="s">
        <v>265</v>
      </c>
      <c r="H53" s="342"/>
      <c r="I53" s="342"/>
      <c r="J53" s="342"/>
      <c r="K53" s="342"/>
      <c r="L53" s="343"/>
      <c r="N53" s="239" t="s">
        <v>205</v>
      </c>
      <c r="O53" s="301"/>
      <c r="P53" s="341" t="s">
        <v>808</v>
      </c>
      <c r="Q53" s="341"/>
      <c r="R53" s="341" t="s">
        <v>214</v>
      </c>
      <c r="S53" s="341" t="s">
        <v>265</v>
      </c>
      <c r="T53" s="342"/>
      <c r="U53" s="342"/>
      <c r="V53" s="342"/>
      <c r="W53" s="342"/>
      <c r="X53" s="343"/>
    </row>
    <row r="54" spans="1:24" x14ac:dyDescent="0.25">
      <c r="A54" t="str">
        <f>B53&amp;"-"&amp;C54</f>
        <v>N2-Table</v>
      </c>
      <c r="B54" s="244"/>
      <c r="C54" s="256" t="s">
        <v>185</v>
      </c>
      <c r="D54" s="449">
        <v>0</v>
      </c>
      <c r="E54" s="450">
        <v>0</v>
      </c>
      <c r="F54" s="450">
        <v>0</v>
      </c>
      <c r="G54" s="449">
        <v>0</v>
      </c>
      <c r="H54" s="449">
        <v>0</v>
      </c>
      <c r="I54" s="449">
        <v>0</v>
      </c>
      <c r="J54" s="449">
        <v>0</v>
      </c>
      <c r="K54" s="449">
        <v>0</v>
      </c>
      <c r="L54" s="447" t="s">
        <v>803</v>
      </c>
      <c r="N54" s="244"/>
      <c r="O54" s="256" t="s">
        <v>185</v>
      </c>
      <c r="P54" s="449" t="s">
        <v>803</v>
      </c>
      <c r="Q54" s="450" t="s">
        <v>803</v>
      </c>
      <c r="R54" s="450" t="s">
        <v>803</v>
      </c>
      <c r="S54" s="449">
        <v>0</v>
      </c>
      <c r="T54" s="449">
        <v>0</v>
      </c>
      <c r="U54" s="449">
        <v>0</v>
      </c>
      <c r="V54" s="449">
        <v>0</v>
      </c>
      <c r="W54" s="449">
        <v>0</v>
      </c>
      <c r="X54" s="447">
        <v>0</v>
      </c>
    </row>
    <row r="55" spans="1:24" x14ac:dyDescent="0.25">
      <c r="A55" t="str">
        <f>B53&amp;"-"&amp;C55</f>
        <v>N2-Crown</v>
      </c>
      <c r="B55" s="244"/>
      <c r="C55" s="260" t="s">
        <v>199</v>
      </c>
      <c r="D55" s="344">
        <v>0</v>
      </c>
      <c r="E55" s="344">
        <v>0</v>
      </c>
      <c r="F55" s="344">
        <v>0</v>
      </c>
      <c r="G55" s="449">
        <v>0</v>
      </c>
      <c r="H55" s="449">
        <v>0</v>
      </c>
      <c r="I55" s="449">
        <v>0</v>
      </c>
      <c r="J55" s="449">
        <v>0</v>
      </c>
      <c r="K55" s="449">
        <v>0</v>
      </c>
      <c r="L55" s="447" t="s">
        <v>803</v>
      </c>
      <c r="N55" s="244"/>
      <c r="O55" s="260" t="s">
        <v>199</v>
      </c>
      <c r="P55" s="344" t="s">
        <v>803</v>
      </c>
      <c r="Q55" s="344" t="s">
        <v>803</v>
      </c>
      <c r="R55" s="344" t="s">
        <v>803</v>
      </c>
      <c r="S55" s="449">
        <v>0</v>
      </c>
      <c r="T55" s="449">
        <v>0</v>
      </c>
      <c r="U55" s="449">
        <v>0</v>
      </c>
      <c r="V55" s="449">
        <v>0</v>
      </c>
      <c r="W55" s="449">
        <v>0</v>
      </c>
      <c r="X55" s="447">
        <v>0</v>
      </c>
    </row>
    <row r="56" spans="1:24" x14ac:dyDescent="0.25">
      <c r="A56" t="str">
        <f>B53&amp;"-"&amp;C56</f>
        <v>N2-Girdle</v>
      </c>
      <c r="B56" s="244"/>
      <c r="C56" s="260" t="s">
        <v>204</v>
      </c>
      <c r="D56" s="344">
        <v>0</v>
      </c>
      <c r="E56" s="344">
        <v>0</v>
      </c>
      <c r="F56" s="344">
        <v>0</v>
      </c>
      <c r="G56" s="449">
        <v>0</v>
      </c>
      <c r="H56" s="449">
        <v>0</v>
      </c>
      <c r="I56" s="449">
        <v>0</v>
      </c>
      <c r="J56" s="449">
        <v>0</v>
      </c>
      <c r="K56" s="449">
        <v>0</v>
      </c>
      <c r="L56" s="447" t="s">
        <v>803</v>
      </c>
      <c r="N56" s="244"/>
      <c r="O56" s="260" t="s">
        <v>204</v>
      </c>
      <c r="P56" s="344" t="s">
        <v>803</v>
      </c>
      <c r="Q56" s="344" t="s">
        <v>803</v>
      </c>
      <c r="R56" s="344" t="s">
        <v>803</v>
      </c>
      <c r="S56" s="449">
        <v>0</v>
      </c>
      <c r="T56" s="449">
        <v>0</v>
      </c>
      <c r="U56" s="449">
        <v>0</v>
      </c>
      <c r="V56" s="449">
        <v>0</v>
      </c>
      <c r="W56" s="449">
        <v>0</v>
      </c>
      <c r="X56" s="447">
        <v>0</v>
      </c>
    </row>
    <row r="57" spans="1:24" x14ac:dyDescent="0.25">
      <c r="A57" t="str">
        <f>B53&amp;"-"&amp;C57</f>
        <v>N2-Pavilion</v>
      </c>
      <c r="B57" s="249"/>
      <c r="C57" s="263" t="s">
        <v>219</v>
      </c>
      <c r="D57" s="345">
        <v>0</v>
      </c>
      <c r="E57" s="345">
        <v>0</v>
      </c>
      <c r="F57" s="345">
        <v>0</v>
      </c>
      <c r="G57" s="449">
        <v>0</v>
      </c>
      <c r="H57" s="449">
        <v>0</v>
      </c>
      <c r="I57" s="449">
        <v>0</v>
      </c>
      <c r="J57" s="449">
        <v>0</v>
      </c>
      <c r="K57" s="449">
        <v>0</v>
      </c>
      <c r="L57" s="447" t="s">
        <v>803</v>
      </c>
      <c r="N57" s="249"/>
      <c r="O57" s="263" t="s">
        <v>219</v>
      </c>
      <c r="P57" s="345" t="s">
        <v>803</v>
      </c>
      <c r="Q57" s="345" t="s">
        <v>803</v>
      </c>
      <c r="R57" s="345" t="s">
        <v>803</v>
      </c>
      <c r="S57" s="449">
        <v>0</v>
      </c>
      <c r="T57" s="449">
        <v>0</v>
      </c>
      <c r="U57" s="449">
        <v>0</v>
      </c>
      <c r="V57" s="449">
        <v>0</v>
      </c>
      <c r="W57" s="449">
        <v>0</v>
      </c>
      <c r="X57" s="447">
        <v>0</v>
      </c>
    </row>
    <row r="58" spans="1:24" x14ac:dyDescent="0.25">
      <c r="A58" t="str">
        <f>B58</f>
        <v>N3</v>
      </c>
      <c r="B58" s="239" t="s">
        <v>260</v>
      </c>
      <c r="C58" s="301"/>
      <c r="D58" s="341" t="s">
        <v>808</v>
      </c>
      <c r="E58" s="341"/>
      <c r="F58" s="341" t="s">
        <v>250</v>
      </c>
      <c r="G58" s="341" t="s">
        <v>279</v>
      </c>
      <c r="H58" s="342"/>
      <c r="I58" s="342"/>
      <c r="J58" s="342"/>
      <c r="K58" s="342"/>
      <c r="L58" s="343"/>
      <c r="N58" s="239" t="s">
        <v>217</v>
      </c>
      <c r="O58" s="301"/>
      <c r="P58" s="341" t="s">
        <v>808</v>
      </c>
      <c r="Q58" s="341"/>
      <c r="R58" s="341" t="s">
        <v>250</v>
      </c>
      <c r="S58" s="341" t="s">
        <v>279</v>
      </c>
      <c r="T58" s="342"/>
      <c r="U58" s="342"/>
      <c r="V58" s="342"/>
      <c r="W58" s="342"/>
      <c r="X58" s="343"/>
    </row>
    <row r="59" spans="1:24" x14ac:dyDescent="0.25">
      <c r="A59" t="str">
        <f>B58&amp;"-"&amp;C59</f>
        <v>N3-Table</v>
      </c>
      <c r="B59" s="244"/>
      <c r="C59" s="256" t="s">
        <v>185</v>
      </c>
      <c r="D59" s="449" t="s">
        <v>803</v>
      </c>
      <c r="E59" s="450" t="s">
        <v>803</v>
      </c>
      <c r="F59" s="450" t="s">
        <v>803</v>
      </c>
      <c r="G59" s="449">
        <v>0</v>
      </c>
      <c r="H59" s="449">
        <v>0</v>
      </c>
      <c r="I59" s="449">
        <v>0</v>
      </c>
      <c r="J59" s="449">
        <v>0</v>
      </c>
      <c r="K59" s="449">
        <v>0</v>
      </c>
      <c r="L59" s="447">
        <v>0</v>
      </c>
      <c r="N59" s="244"/>
      <c r="O59" s="256" t="s">
        <v>185</v>
      </c>
      <c r="P59" s="449" t="s">
        <v>803</v>
      </c>
      <c r="Q59" s="450" t="s">
        <v>803</v>
      </c>
      <c r="R59" s="450" t="s">
        <v>803</v>
      </c>
      <c r="S59" s="449">
        <v>0</v>
      </c>
      <c r="T59" s="449">
        <v>0</v>
      </c>
      <c r="U59" s="449">
        <v>0</v>
      </c>
      <c r="V59" s="449">
        <v>0</v>
      </c>
      <c r="W59" s="449">
        <v>0</v>
      </c>
      <c r="X59" s="447">
        <v>0</v>
      </c>
    </row>
    <row r="60" spans="1:24" x14ac:dyDescent="0.25">
      <c r="A60" t="str">
        <f>B58&amp;"-"&amp;C60</f>
        <v>N3-Crown</v>
      </c>
      <c r="B60" s="244"/>
      <c r="C60" s="260" t="s">
        <v>199</v>
      </c>
      <c r="D60" s="344" t="s">
        <v>803</v>
      </c>
      <c r="E60" s="344" t="s">
        <v>803</v>
      </c>
      <c r="F60" s="344" t="s">
        <v>803</v>
      </c>
      <c r="G60" s="449">
        <v>0</v>
      </c>
      <c r="H60" s="449">
        <v>0</v>
      </c>
      <c r="I60" s="449">
        <v>0</v>
      </c>
      <c r="J60" s="449">
        <v>0</v>
      </c>
      <c r="K60" s="449">
        <v>0</v>
      </c>
      <c r="L60" s="447">
        <v>0</v>
      </c>
      <c r="N60" s="244"/>
      <c r="O60" s="260" t="s">
        <v>199</v>
      </c>
      <c r="P60" s="344" t="s">
        <v>803</v>
      </c>
      <c r="Q60" s="344" t="s">
        <v>803</v>
      </c>
      <c r="R60" s="344" t="s">
        <v>803</v>
      </c>
      <c r="S60" s="449">
        <v>0</v>
      </c>
      <c r="T60" s="449">
        <v>0</v>
      </c>
      <c r="U60" s="449">
        <v>0</v>
      </c>
      <c r="V60" s="449">
        <v>0</v>
      </c>
      <c r="W60" s="449">
        <v>0</v>
      </c>
      <c r="X60" s="447">
        <v>0</v>
      </c>
    </row>
    <row r="61" spans="1:24" x14ac:dyDescent="0.25">
      <c r="A61" t="str">
        <f>B58&amp;"-"&amp;C61</f>
        <v>N3-Girdle</v>
      </c>
      <c r="B61" s="244"/>
      <c r="C61" s="260" t="s">
        <v>204</v>
      </c>
      <c r="D61" s="344" t="s">
        <v>803</v>
      </c>
      <c r="E61" s="344" t="s">
        <v>803</v>
      </c>
      <c r="F61" s="344" t="s">
        <v>803</v>
      </c>
      <c r="G61" s="449">
        <v>0</v>
      </c>
      <c r="H61" s="449">
        <v>0</v>
      </c>
      <c r="I61" s="449">
        <v>0</v>
      </c>
      <c r="J61" s="449">
        <v>0</v>
      </c>
      <c r="K61" s="449">
        <v>0</v>
      </c>
      <c r="L61" s="447">
        <v>0</v>
      </c>
      <c r="N61" s="244"/>
      <c r="O61" s="260" t="s">
        <v>204</v>
      </c>
      <c r="P61" s="344" t="s">
        <v>803</v>
      </c>
      <c r="Q61" s="344" t="s">
        <v>803</v>
      </c>
      <c r="R61" s="344" t="s">
        <v>803</v>
      </c>
      <c r="S61" s="449">
        <v>0</v>
      </c>
      <c r="T61" s="449">
        <v>0</v>
      </c>
      <c r="U61" s="449">
        <v>0</v>
      </c>
      <c r="V61" s="449">
        <v>0</v>
      </c>
      <c r="W61" s="449">
        <v>0</v>
      </c>
      <c r="X61" s="447">
        <v>0</v>
      </c>
    </row>
    <row r="62" spans="1:24" x14ac:dyDescent="0.25">
      <c r="A62" t="str">
        <f>B58&amp;"-"&amp;C62</f>
        <v>N3-Pavilion</v>
      </c>
      <c r="B62" s="249"/>
      <c r="C62" s="263" t="s">
        <v>219</v>
      </c>
      <c r="D62" s="345" t="s">
        <v>803</v>
      </c>
      <c r="E62" s="345" t="s">
        <v>803</v>
      </c>
      <c r="F62" s="345" t="s">
        <v>803</v>
      </c>
      <c r="G62" s="449">
        <v>0</v>
      </c>
      <c r="H62" s="449">
        <v>0</v>
      </c>
      <c r="I62" s="449">
        <v>0</v>
      </c>
      <c r="J62" s="449">
        <v>0</v>
      </c>
      <c r="K62" s="449">
        <v>0</v>
      </c>
      <c r="L62" s="447">
        <v>0</v>
      </c>
      <c r="N62" s="249"/>
      <c r="O62" s="263" t="s">
        <v>219</v>
      </c>
      <c r="P62" s="345" t="s">
        <v>803</v>
      </c>
      <c r="Q62" s="345" t="s">
        <v>803</v>
      </c>
      <c r="R62" s="345" t="s">
        <v>803</v>
      </c>
      <c r="S62" s="449">
        <v>0</v>
      </c>
      <c r="T62" s="449">
        <v>0</v>
      </c>
      <c r="U62" s="449">
        <v>0</v>
      </c>
      <c r="V62" s="449">
        <v>0</v>
      </c>
      <c r="W62" s="449">
        <v>0</v>
      </c>
      <c r="X62" s="447">
        <v>0</v>
      </c>
    </row>
    <row r="63" spans="1:24" x14ac:dyDescent="0.25">
      <c r="A63" t="str">
        <f>B63</f>
        <v>N4</v>
      </c>
      <c r="B63" s="239" t="s">
        <v>263</v>
      </c>
      <c r="C63" s="301"/>
      <c r="D63" s="341" t="s">
        <v>808</v>
      </c>
      <c r="E63" s="341"/>
      <c r="F63" s="341" t="s">
        <v>258</v>
      </c>
      <c r="G63" s="341" t="s">
        <v>279</v>
      </c>
      <c r="H63" s="342"/>
      <c r="I63" s="342"/>
      <c r="J63" s="342"/>
      <c r="K63" s="342"/>
      <c r="L63" s="343"/>
      <c r="N63" s="239" t="s">
        <v>229</v>
      </c>
      <c r="O63" s="301"/>
      <c r="P63" s="341" t="s">
        <v>808</v>
      </c>
      <c r="Q63" s="341"/>
      <c r="R63" s="341" t="s">
        <v>258</v>
      </c>
      <c r="S63" s="341" t="s">
        <v>279</v>
      </c>
      <c r="T63" s="342"/>
      <c r="U63" s="342"/>
      <c r="V63" s="342"/>
      <c r="W63" s="342"/>
      <c r="X63" s="343"/>
    </row>
    <row r="64" spans="1:24" x14ac:dyDescent="0.25">
      <c r="A64" t="str">
        <f>B63&amp;"-"&amp;C64</f>
        <v>N4-Table</v>
      </c>
      <c r="B64" s="244"/>
      <c r="C64" s="256" t="s">
        <v>185</v>
      </c>
      <c r="D64" s="449" t="s">
        <v>803</v>
      </c>
      <c r="E64" s="450" t="s">
        <v>803</v>
      </c>
      <c r="F64" s="450" t="s">
        <v>803</v>
      </c>
      <c r="G64" s="450" t="s">
        <v>803</v>
      </c>
      <c r="H64" s="450" t="s">
        <v>803</v>
      </c>
      <c r="I64" s="449" t="s">
        <v>803</v>
      </c>
      <c r="J64" s="450">
        <v>0</v>
      </c>
      <c r="K64" s="450">
        <v>0</v>
      </c>
      <c r="L64" s="451">
        <v>0</v>
      </c>
      <c r="N64" s="244"/>
      <c r="O64" s="256" t="s">
        <v>185</v>
      </c>
      <c r="P64" s="449" t="s">
        <v>803</v>
      </c>
      <c r="Q64" s="450" t="s">
        <v>803</v>
      </c>
      <c r="R64" s="450" t="s">
        <v>803</v>
      </c>
      <c r="S64" s="450" t="s">
        <v>803</v>
      </c>
      <c r="T64" s="450" t="s">
        <v>803</v>
      </c>
      <c r="U64" s="449" t="s">
        <v>803</v>
      </c>
      <c r="V64" s="450">
        <v>0</v>
      </c>
      <c r="W64" s="450">
        <v>0</v>
      </c>
      <c r="X64" s="451">
        <v>0</v>
      </c>
    </row>
    <row r="65" spans="1:24" x14ac:dyDescent="0.25">
      <c r="A65" t="str">
        <f>B63&amp;"-"&amp;C65</f>
        <v>N4-Crown</v>
      </c>
      <c r="B65" s="244"/>
      <c r="C65" s="260" t="s">
        <v>199</v>
      </c>
      <c r="D65" s="344" t="s">
        <v>803</v>
      </c>
      <c r="E65" s="344" t="s">
        <v>803</v>
      </c>
      <c r="F65" s="344" t="s">
        <v>803</v>
      </c>
      <c r="G65" s="344" t="s">
        <v>803</v>
      </c>
      <c r="H65" s="344" t="s">
        <v>803</v>
      </c>
      <c r="I65" s="449" t="s">
        <v>803</v>
      </c>
      <c r="J65" s="344">
        <v>0</v>
      </c>
      <c r="K65" s="344">
        <v>0</v>
      </c>
      <c r="L65" s="447">
        <v>0</v>
      </c>
      <c r="N65" s="244"/>
      <c r="O65" s="260" t="s">
        <v>199</v>
      </c>
      <c r="P65" s="344" t="s">
        <v>803</v>
      </c>
      <c r="Q65" s="344" t="s">
        <v>803</v>
      </c>
      <c r="R65" s="344" t="s">
        <v>803</v>
      </c>
      <c r="S65" s="344" t="s">
        <v>803</v>
      </c>
      <c r="T65" s="344" t="s">
        <v>803</v>
      </c>
      <c r="U65" s="449" t="s">
        <v>803</v>
      </c>
      <c r="V65" s="344">
        <v>0</v>
      </c>
      <c r="W65" s="344">
        <v>0</v>
      </c>
      <c r="X65" s="447">
        <v>0</v>
      </c>
    </row>
    <row r="66" spans="1:24" x14ac:dyDescent="0.25">
      <c r="A66" t="str">
        <f>B63&amp;"-"&amp;C66</f>
        <v>N4-Girdle</v>
      </c>
      <c r="B66" s="244"/>
      <c r="C66" s="260" t="s">
        <v>204</v>
      </c>
      <c r="D66" s="344" t="s">
        <v>803</v>
      </c>
      <c r="E66" s="344" t="s">
        <v>803</v>
      </c>
      <c r="F66" s="344" t="s">
        <v>803</v>
      </c>
      <c r="G66" s="344" t="s">
        <v>803</v>
      </c>
      <c r="H66" s="344" t="s">
        <v>803</v>
      </c>
      <c r="I66" s="449" t="s">
        <v>803</v>
      </c>
      <c r="J66" s="344">
        <v>0</v>
      </c>
      <c r="K66" s="344">
        <v>0</v>
      </c>
      <c r="L66" s="447">
        <v>0</v>
      </c>
      <c r="N66" s="244"/>
      <c r="O66" s="260" t="s">
        <v>204</v>
      </c>
      <c r="P66" s="344" t="s">
        <v>803</v>
      </c>
      <c r="Q66" s="344" t="s">
        <v>803</v>
      </c>
      <c r="R66" s="344" t="s">
        <v>803</v>
      </c>
      <c r="S66" s="344" t="s">
        <v>803</v>
      </c>
      <c r="T66" s="344" t="s">
        <v>803</v>
      </c>
      <c r="U66" s="449" t="s">
        <v>803</v>
      </c>
      <c r="V66" s="344">
        <v>0</v>
      </c>
      <c r="W66" s="344">
        <v>0</v>
      </c>
      <c r="X66" s="447">
        <v>0</v>
      </c>
    </row>
    <row r="67" spans="1:24" x14ac:dyDescent="0.25">
      <c r="A67" t="str">
        <f>B63&amp;"-"&amp;C67</f>
        <v>N4-Pavilion</v>
      </c>
      <c r="B67" s="249"/>
      <c r="C67" s="263" t="s">
        <v>219</v>
      </c>
      <c r="D67" s="345" t="s">
        <v>803</v>
      </c>
      <c r="E67" s="345" t="s">
        <v>803</v>
      </c>
      <c r="F67" s="345" t="s">
        <v>803</v>
      </c>
      <c r="G67" s="345" t="s">
        <v>803</v>
      </c>
      <c r="H67" s="345" t="s">
        <v>803</v>
      </c>
      <c r="I67" s="449" t="s">
        <v>803</v>
      </c>
      <c r="J67" s="345">
        <v>0</v>
      </c>
      <c r="K67" s="345">
        <v>0</v>
      </c>
      <c r="L67" s="448">
        <v>0</v>
      </c>
      <c r="N67" s="249"/>
      <c r="O67" s="263" t="s">
        <v>219</v>
      </c>
      <c r="P67" s="345" t="s">
        <v>803</v>
      </c>
      <c r="Q67" s="345" t="s">
        <v>803</v>
      </c>
      <c r="R67" s="345" t="s">
        <v>803</v>
      </c>
      <c r="S67" s="345" t="s">
        <v>803</v>
      </c>
      <c r="T67" s="345" t="s">
        <v>803</v>
      </c>
      <c r="U67" s="449" t="s">
        <v>803</v>
      </c>
      <c r="V67" s="345">
        <v>0</v>
      </c>
      <c r="W67" s="345">
        <v>0</v>
      </c>
      <c r="X67" s="448">
        <v>0</v>
      </c>
    </row>
    <row r="68" spans="1:24" x14ac:dyDescent="0.25">
      <c r="A68" t="str">
        <f>B68</f>
        <v>C1</v>
      </c>
      <c r="B68" s="239" t="s">
        <v>267</v>
      </c>
      <c r="C68" s="301"/>
      <c r="D68" s="341" t="s">
        <v>808</v>
      </c>
      <c r="E68" s="341"/>
      <c r="F68" s="341" t="s">
        <v>242</v>
      </c>
      <c r="G68" s="341" t="s">
        <v>258</v>
      </c>
      <c r="H68" s="342"/>
      <c r="I68" s="342"/>
      <c r="J68" s="342"/>
      <c r="K68" s="342"/>
      <c r="L68" s="343"/>
      <c r="N68" s="239" t="s">
        <v>267</v>
      </c>
      <c r="O68" s="301"/>
      <c r="P68" s="341" t="s">
        <v>808</v>
      </c>
      <c r="Q68" s="341"/>
      <c r="R68" s="341" t="s">
        <v>242</v>
      </c>
      <c r="S68" s="341" t="s">
        <v>258</v>
      </c>
      <c r="T68" s="342"/>
      <c r="U68" s="342"/>
      <c r="V68" s="342"/>
      <c r="W68" s="342"/>
      <c r="X68" s="343"/>
    </row>
    <row r="69" spans="1:24" x14ac:dyDescent="0.25">
      <c r="A69" t="str">
        <f>B68&amp;"-"&amp;C69</f>
        <v>C1-Table</v>
      </c>
      <c r="B69" s="244"/>
      <c r="C69" s="256" t="s">
        <v>185</v>
      </c>
      <c r="D69" s="449" t="s">
        <v>803</v>
      </c>
      <c r="E69" s="450" t="s">
        <v>803</v>
      </c>
      <c r="F69" s="450" t="s">
        <v>803</v>
      </c>
      <c r="G69" s="449">
        <v>0</v>
      </c>
      <c r="H69" s="449">
        <v>0</v>
      </c>
      <c r="I69" s="450">
        <v>0</v>
      </c>
      <c r="J69" s="449">
        <v>0</v>
      </c>
      <c r="K69" s="449">
        <v>0</v>
      </c>
      <c r="L69" s="447">
        <v>0</v>
      </c>
      <c r="N69" s="244"/>
      <c r="O69" s="256" t="s">
        <v>185</v>
      </c>
      <c r="P69" s="449" t="s">
        <v>803</v>
      </c>
      <c r="Q69" s="450" t="s">
        <v>803</v>
      </c>
      <c r="R69" s="450" t="s">
        <v>803</v>
      </c>
      <c r="S69" s="449">
        <v>0</v>
      </c>
      <c r="T69" s="449">
        <v>0</v>
      </c>
      <c r="U69" s="450">
        <v>0</v>
      </c>
      <c r="V69" s="449">
        <v>0</v>
      </c>
      <c r="W69" s="449">
        <v>0</v>
      </c>
      <c r="X69" s="447">
        <v>0</v>
      </c>
    </row>
    <row r="70" spans="1:24" x14ac:dyDescent="0.25">
      <c r="A70" t="str">
        <f>B68&amp;"-"&amp;C70</f>
        <v>C1-Crown</v>
      </c>
      <c r="B70" s="244"/>
      <c r="C70" s="260" t="s">
        <v>199</v>
      </c>
      <c r="D70" s="344" t="s">
        <v>803</v>
      </c>
      <c r="E70" s="344" t="s">
        <v>803</v>
      </c>
      <c r="F70" s="344" t="s">
        <v>803</v>
      </c>
      <c r="G70" s="449">
        <v>0</v>
      </c>
      <c r="H70" s="449">
        <v>0</v>
      </c>
      <c r="I70" s="344">
        <v>0</v>
      </c>
      <c r="J70" s="449">
        <v>0</v>
      </c>
      <c r="K70" s="449">
        <v>0</v>
      </c>
      <c r="L70" s="447">
        <v>0</v>
      </c>
      <c r="N70" s="244"/>
      <c r="O70" s="260" t="s">
        <v>199</v>
      </c>
      <c r="P70" s="344" t="s">
        <v>803</v>
      </c>
      <c r="Q70" s="344" t="s">
        <v>803</v>
      </c>
      <c r="R70" s="344" t="s">
        <v>803</v>
      </c>
      <c r="S70" s="449">
        <v>0</v>
      </c>
      <c r="T70" s="449">
        <v>0</v>
      </c>
      <c r="U70" s="344">
        <v>0</v>
      </c>
      <c r="V70" s="449">
        <v>0</v>
      </c>
      <c r="W70" s="449">
        <v>0</v>
      </c>
      <c r="X70" s="447">
        <v>0</v>
      </c>
    </row>
    <row r="71" spans="1:24" x14ac:dyDescent="0.25">
      <c r="A71" t="str">
        <f>B68&amp;"-"&amp;C71</f>
        <v>C1-Girdle</v>
      </c>
      <c r="B71" s="244"/>
      <c r="C71" s="260" t="s">
        <v>204</v>
      </c>
      <c r="D71" s="344" t="s">
        <v>803</v>
      </c>
      <c r="E71" s="344" t="s">
        <v>803</v>
      </c>
      <c r="F71" s="344" t="s">
        <v>803</v>
      </c>
      <c r="G71" s="449">
        <v>0</v>
      </c>
      <c r="H71" s="449">
        <v>0</v>
      </c>
      <c r="I71" s="344">
        <v>0</v>
      </c>
      <c r="J71" s="449">
        <v>0</v>
      </c>
      <c r="K71" s="449">
        <v>0</v>
      </c>
      <c r="L71" s="447">
        <v>0</v>
      </c>
      <c r="N71" s="244"/>
      <c r="O71" s="260" t="s">
        <v>204</v>
      </c>
      <c r="P71" s="344" t="s">
        <v>803</v>
      </c>
      <c r="Q71" s="344" t="s">
        <v>803</v>
      </c>
      <c r="R71" s="344" t="s">
        <v>803</v>
      </c>
      <c r="S71" s="449">
        <v>0</v>
      </c>
      <c r="T71" s="449">
        <v>0</v>
      </c>
      <c r="U71" s="344">
        <v>0</v>
      </c>
      <c r="V71" s="449">
        <v>0</v>
      </c>
      <c r="W71" s="449">
        <v>0</v>
      </c>
      <c r="X71" s="447">
        <v>0</v>
      </c>
    </row>
    <row r="72" spans="1:24" x14ac:dyDescent="0.25">
      <c r="A72" t="str">
        <f>B68&amp;"-"&amp;C72</f>
        <v>C1-Pavilion</v>
      </c>
      <c r="B72" s="249"/>
      <c r="C72" s="263" t="s">
        <v>219</v>
      </c>
      <c r="D72" s="345" t="s">
        <v>803</v>
      </c>
      <c r="E72" s="345" t="s">
        <v>803</v>
      </c>
      <c r="F72" s="345" t="s">
        <v>803</v>
      </c>
      <c r="G72" s="449">
        <v>0</v>
      </c>
      <c r="H72" s="449">
        <v>0</v>
      </c>
      <c r="I72" s="345">
        <v>0</v>
      </c>
      <c r="J72" s="449">
        <v>0</v>
      </c>
      <c r="K72" s="449">
        <v>0</v>
      </c>
      <c r="L72" s="447">
        <v>0</v>
      </c>
      <c r="N72" s="249"/>
      <c r="O72" s="263" t="s">
        <v>219</v>
      </c>
      <c r="P72" s="345" t="s">
        <v>803</v>
      </c>
      <c r="Q72" s="345" t="s">
        <v>803</v>
      </c>
      <c r="R72" s="345" t="s">
        <v>803</v>
      </c>
      <c r="S72" s="449">
        <v>0</v>
      </c>
      <c r="T72" s="449">
        <v>0</v>
      </c>
      <c r="U72" s="345">
        <v>0</v>
      </c>
      <c r="V72" s="449">
        <v>0</v>
      </c>
      <c r="W72" s="449">
        <v>0</v>
      </c>
      <c r="X72" s="447">
        <v>0</v>
      </c>
    </row>
    <row r="73" spans="1:24" x14ac:dyDescent="0.25">
      <c r="A73" t="str">
        <f>B73</f>
        <v>C2</v>
      </c>
      <c r="B73" s="239" t="s">
        <v>271</v>
      </c>
      <c r="C73" s="301"/>
      <c r="D73" s="341" t="s">
        <v>808</v>
      </c>
      <c r="E73" s="341"/>
      <c r="F73" s="341" t="s">
        <v>242</v>
      </c>
      <c r="G73" s="341" t="s">
        <v>258</v>
      </c>
      <c r="H73" s="342"/>
      <c r="I73" s="342"/>
      <c r="J73" s="342"/>
      <c r="K73" s="342"/>
      <c r="L73" s="343"/>
      <c r="N73" s="239" t="s">
        <v>271</v>
      </c>
      <c r="O73" s="301"/>
      <c r="P73" s="341" t="s">
        <v>808</v>
      </c>
      <c r="Q73" s="341"/>
      <c r="R73" s="341" t="s">
        <v>242</v>
      </c>
      <c r="S73" s="341" t="s">
        <v>258</v>
      </c>
      <c r="T73" s="342"/>
      <c r="U73" s="342"/>
      <c r="V73" s="342"/>
      <c r="W73" s="342"/>
      <c r="X73" s="343"/>
    </row>
    <row r="74" spans="1:24" x14ac:dyDescent="0.25">
      <c r="A74" t="str">
        <f>B73&amp;"-"&amp;C74</f>
        <v>C2-Table</v>
      </c>
      <c r="B74" s="244"/>
      <c r="C74" s="256" t="s">
        <v>185</v>
      </c>
      <c r="D74" s="449" t="s">
        <v>803</v>
      </c>
      <c r="E74" s="450" t="s">
        <v>803</v>
      </c>
      <c r="F74" s="450" t="s">
        <v>803</v>
      </c>
      <c r="G74" s="449">
        <v>0</v>
      </c>
      <c r="H74" s="449">
        <v>0</v>
      </c>
      <c r="I74" s="449">
        <v>0</v>
      </c>
      <c r="J74" s="449">
        <v>0</v>
      </c>
      <c r="K74" s="449">
        <v>0</v>
      </c>
      <c r="L74" s="447">
        <v>0</v>
      </c>
      <c r="N74" s="244"/>
      <c r="O74" s="256" t="s">
        <v>185</v>
      </c>
      <c r="P74" s="449" t="s">
        <v>803</v>
      </c>
      <c r="Q74" s="450" t="s">
        <v>803</v>
      </c>
      <c r="R74" s="450" t="s">
        <v>803</v>
      </c>
      <c r="S74" s="449">
        <v>0</v>
      </c>
      <c r="T74" s="449">
        <v>0</v>
      </c>
      <c r="U74" s="449">
        <v>0</v>
      </c>
      <c r="V74" s="449">
        <v>0</v>
      </c>
      <c r="W74" s="449">
        <v>0</v>
      </c>
      <c r="X74" s="447">
        <v>0</v>
      </c>
    </row>
    <row r="75" spans="1:24" x14ac:dyDescent="0.25">
      <c r="A75" t="str">
        <f>B73&amp;"-"&amp;C75</f>
        <v>C2-Crown</v>
      </c>
      <c r="B75" s="244"/>
      <c r="C75" s="260" t="s">
        <v>199</v>
      </c>
      <c r="D75" s="344" t="s">
        <v>803</v>
      </c>
      <c r="E75" s="344" t="s">
        <v>803</v>
      </c>
      <c r="F75" s="344" t="s">
        <v>803</v>
      </c>
      <c r="G75" s="449">
        <v>0</v>
      </c>
      <c r="H75" s="449">
        <v>0</v>
      </c>
      <c r="I75" s="449">
        <v>0</v>
      </c>
      <c r="J75" s="449">
        <v>0</v>
      </c>
      <c r="K75" s="449">
        <v>0</v>
      </c>
      <c r="L75" s="447">
        <v>0</v>
      </c>
      <c r="N75" s="244"/>
      <c r="O75" s="260" t="s">
        <v>199</v>
      </c>
      <c r="P75" s="344" t="s">
        <v>803</v>
      </c>
      <c r="Q75" s="344" t="s">
        <v>803</v>
      </c>
      <c r="R75" s="344" t="s">
        <v>803</v>
      </c>
      <c r="S75" s="449">
        <v>0</v>
      </c>
      <c r="T75" s="449">
        <v>0</v>
      </c>
      <c r="U75" s="449">
        <v>0</v>
      </c>
      <c r="V75" s="449">
        <v>0</v>
      </c>
      <c r="W75" s="449">
        <v>0</v>
      </c>
      <c r="X75" s="447">
        <v>0</v>
      </c>
    </row>
    <row r="76" spans="1:24" x14ac:dyDescent="0.25">
      <c r="A76" t="str">
        <f>B73&amp;"-"&amp;C76</f>
        <v>C2-Girdle</v>
      </c>
      <c r="B76" s="244"/>
      <c r="C76" s="260" t="s">
        <v>204</v>
      </c>
      <c r="D76" s="344" t="s">
        <v>803</v>
      </c>
      <c r="E76" s="344" t="s">
        <v>803</v>
      </c>
      <c r="F76" s="344" t="s">
        <v>803</v>
      </c>
      <c r="G76" s="449">
        <v>0</v>
      </c>
      <c r="H76" s="449">
        <v>0</v>
      </c>
      <c r="I76" s="449">
        <v>0</v>
      </c>
      <c r="J76" s="449">
        <v>0</v>
      </c>
      <c r="K76" s="449">
        <v>0</v>
      </c>
      <c r="L76" s="447">
        <v>0</v>
      </c>
      <c r="N76" s="244"/>
      <c r="O76" s="260" t="s">
        <v>204</v>
      </c>
      <c r="P76" s="344" t="s">
        <v>803</v>
      </c>
      <c r="Q76" s="344" t="s">
        <v>803</v>
      </c>
      <c r="R76" s="344" t="s">
        <v>803</v>
      </c>
      <c r="S76" s="449">
        <v>0</v>
      </c>
      <c r="T76" s="449">
        <v>0</v>
      </c>
      <c r="U76" s="449">
        <v>0</v>
      </c>
      <c r="V76" s="449">
        <v>0</v>
      </c>
      <c r="W76" s="449">
        <v>0</v>
      </c>
      <c r="X76" s="447">
        <v>0</v>
      </c>
    </row>
    <row r="77" spans="1:24" x14ac:dyDescent="0.25">
      <c r="A77" t="str">
        <f>B73&amp;"-"&amp;C77</f>
        <v>C2-Pavilion</v>
      </c>
      <c r="B77" s="249"/>
      <c r="C77" s="263" t="s">
        <v>219</v>
      </c>
      <c r="D77" s="345" t="s">
        <v>803</v>
      </c>
      <c r="E77" s="345" t="s">
        <v>803</v>
      </c>
      <c r="F77" s="345" t="s">
        <v>803</v>
      </c>
      <c r="G77" s="449">
        <v>0</v>
      </c>
      <c r="H77" s="449">
        <v>0</v>
      </c>
      <c r="I77" s="449">
        <v>0</v>
      </c>
      <c r="J77" s="449">
        <v>0</v>
      </c>
      <c r="K77" s="449">
        <v>0</v>
      </c>
      <c r="L77" s="447">
        <v>0</v>
      </c>
      <c r="N77" s="249"/>
      <c r="O77" s="263" t="s">
        <v>219</v>
      </c>
      <c r="P77" s="345" t="s">
        <v>803</v>
      </c>
      <c r="Q77" s="345" t="s">
        <v>803</v>
      </c>
      <c r="R77" s="345" t="s">
        <v>803</v>
      </c>
      <c r="S77" s="449">
        <v>0</v>
      </c>
      <c r="T77" s="449">
        <v>0</v>
      </c>
      <c r="U77" s="449">
        <v>0</v>
      </c>
      <c r="V77" s="449">
        <v>0</v>
      </c>
      <c r="W77" s="449">
        <v>0</v>
      </c>
      <c r="X77" s="447">
        <v>0</v>
      </c>
    </row>
    <row r="78" spans="1:24" x14ac:dyDescent="0.25">
      <c r="A78" t="str">
        <f>B78</f>
        <v>C3</v>
      </c>
      <c r="B78" s="239" t="s">
        <v>274</v>
      </c>
      <c r="C78" s="301"/>
      <c r="D78" s="341" t="s">
        <v>808</v>
      </c>
      <c r="E78" s="341"/>
      <c r="F78" s="341" t="s">
        <v>250</v>
      </c>
      <c r="G78" s="341" t="s">
        <v>279</v>
      </c>
      <c r="H78" s="342"/>
      <c r="I78" s="342"/>
      <c r="J78" s="342"/>
      <c r="K78" s="342"/>
      <c r="L78" s="343"/>
      <c r="N78" s="239" t="s">
        <v>274</v>
      </c>
      <c r="O78" s="301"/>
      <c r="P78" s="341" t="s">
        <v>808</v>
      </c>
      <c r="Q78" s="341"/>
      <c r="R78" s="341" t="s">
        <v>250</v>
      </c>
      <c r="S78" s="341" t="s">
        <v>279</v>
      </c>
      <c r="T78" s="342"/>
      <c r="U78" s="342"/>
      <c r="V78" s="342"/>
      <c r="W78" s="342"/>
      <c r="X78" s="343"/>
    </row>
    <row r="79" spans="1:24" x14ac:dyDescent="0.25">
      <c r="A79" t="str">
        <f>B78&amp;"-"&amp;C79</f>
        <v>C3-Table</v>
      </c>
      <c r="B79" s="244"/>
      <c r="C79" s="256" t="s">
        <v>185</v>
      </c>
      <c r="D79" s="449" t="s">
        <v>803</v>
      </c>
      <c r="E79" s="450" t="s">
        <v>803</v>
      </c>
      <c r="F79" s="450" t="s">
        <v>803</v>
      </c>
      <c r="G79" s="450">
        <v>0</v>
      </c>
      <c r="H79" s="450">
        <v>0</v>
      </c>
      <c r="I79" s="449">
        <v>0</v>
      </c>
      <c r="J79" s="449">
        <v>0</v>
      </c>
      <c r="K79" s="449">
        <v>0</v>
      </c>
      <c r="L79" s="447">
        <v>0</v>
      </c>
      <c r="N79" s="244"/>
      <c r="O79" s="256" t="s">
        <v>185</v>
      </c>
      <c r="P79" s="449" t="s">
        <v>803</v>
      </c>
      <c r="Q79" s="450" t="s">
        <v>803</v>
      </c>
      <c r="R79" s="450" t="s">
        <v>803</v>
      </c>
      <c r="S79" s="450">
        <v>0</v>
      </c>
      <c r="T79" s="450">
        <v>0</v>
      </c>
      <c r="U79" s="449">
        <v>0</v>
      </c>
      <c r="V79" s="449">
        <v>0</v>
      </c>
      <c r="W79" s="449">
        <v>0</v>
      </c>
      <c r="X79" s="447">
        <v>0</v>
      </c>
    </row>
    <row r="80" spans="1:24" x14ac:dyDescent="0.25">
      <c r="A80" t="str">
        <f>B78&amp;"-"&amp;C80</f>
        <v>C3-Crown</v>
      </c>
      <c r="B80" s="244"/>
      <c r="C80" s="260" t="s">
        <v>199</v>
      </c>
      <c r="D80" s="344" t="s">
        <v>803</v>
      </c>
      <c r="E80" s="344" t="s">
        <v>803</v>
      </c>
      <c r="F80" s="344" t="s">
        <v>803</v>
      </c>
      <c r="G80" s="344">
        <v>0</v>
      </c>
      <c r="H80" s="344">
        <v>0</v>
      </c>
      <c r="I80" s="449">
        <v>0</v>
      </c>
      <c r="J80" s="449">
        <v>0</v>
      </c>
      <c r="K80" s="449">
        <v>0</v>
      </c>
      <c r="L80" s="447">
        <v>0</v>
      </c>
      <c r="N80" s="244"/>
      <c r="O80" s="260" t="s">
        <v>199</v>
      </c>
      <c r="P80" s="344" t="s">
        <v>803</v>
      </c>
      <c r="Q80" s="344" t="s">
        <v>803</v>
      </c>
      <c r="R80" s="344" t="s">
        <v>803</v>
      </c>
      <c r="S80" s="344">
        <v>0</v>
      </c>
      <c r="T80" s="344">
        <v>0</v>
      </c>
      <c r="U80" s="449">
        <v>0</v>
      </c>
      <c r="V80" s="449">
        <v>0</v>
      </c>
      <c r="W80" s="449">
        <v>0</v>
      </c>
      <c r="X80" s="447">
        <v>0</v>
      </c>
    </row>
    <row r="81" spans="1:24" x14ac:dyDescent="0.25">
      <c r="A81" t="str">
        <f>B78&amp;"-"&amp;C81</f>
        <v>C3-Girdle</v>
      </c>
      <c r="B81" s="244"/>
      <c r="C81" s="260" t="s">
        <v>204</v>
      </c>
      <c r="D81" s="344" t="s">
        <v>803</v>
      </c>
      <c r="E81" s="344" t="s">
        <v>803</v>
      </c>
      <c r="F81" s="344" t="s">
        <v>803</v>
      </c>
      <c r="G81" s="344">
        <v>0</v>
      </c>
      <c r="H81" s="344">
        <v>0</v>
      </c>
      <c r="I81" s="449">
        <v>0</v>
      </c>
      <c r="J81" s="449">
        <v>0</v>
      </c>
      <c r="K81" s="449">
        <v>0</v>
      </c>
      <c r="L81" s="447">
        <v>0</v>
      </c>
      <c r="N81" s="244"/>
      <c r="O81" s="260" t="s">
        <v>204</v>
      </c>
      <c r="P81" s="344" t="s">
        <v>803</v>
      </c>
      <c r="Q81" s="344" t="s">
        <v>803</v>
      </c>
      <c r="R81" s="344" t="s">
        <v>803</v>
      </c>
      <c r="S81" s="344">
        <v>0</v>
      </c>
      <c r="T81" s="344">
        <v>0</v>
      </c>
      <c r="U81" s="449">
        <v>0</v>
      </c>
      <c r="V81" s="449">
        <v>0</v>
      </c>
      <c r="W81" s="449">
        <v>0</v>
      </c>
      <c r="X81" s="447">
        <v>0</v>
      </c>
    </row>
    <row r="82" spans="1:24" x14ac:dyDescent="0.25">
      <c r="A82" t="str">
        <f>B78&amp;"-"&amp;C82</f>
        <v>C3-Pavilion</v>
      </c>
      <c r="B82" s="249"/>
      <c r="C82" s="263" t="s">
        <v>219</v>
      </c>
      <c r="D82" s="345" t="s">
        <v>803</v>
      </c>
      <c r="E82" s="345" t="s">
        <v>803</v>
      </c>
      <c r="F82" s="345" t="s">
        <v>803</v>
      </c>
      <c r="G82" s="345">
        <v>0</v>
      </c>
      <c r="H82" s="345">
        <v>0</v>
      </c>
      <c r="I82" s="449">
        <v>0</v>
      </c>
      <c r="J82" s="449">
        <v>0</v>
      </c>
      <c r="K82" s="449">
        <v>0</v>
      </c>
      <c r="L82" s="447">
        <v>0</v>
      </c>
      <c r="N82" s="249"/>
      <c r="O82" s="263" t="s">
        <v>219</v>
      </c>
      <c r="P82" s="345" t="s">
        <v>803</v>
      </c>
      <c r="Q82" s="345" t="s">
        <v>803</v>
      </c>
      <c r="R82" s="345" t="s">
        <v>803</v>
      </c>
      <c r="S82" s="345">
        <v>0</v>
      </c>
      <c r="T82" s="345">
        <v>0</v>
      </c>
      <c r="U82" s="449">
        <v>0</v>
      </c>
      <c r="V82" s="449">
        <v>0</v>
      </c>
      <c r="W82" s="449">
        <v>0</v>
      </c>
      <c r="X82" s="447">
        <v>0</v>
      </c>
    </row>
    <row r="83" spans="1:24" x14ac:dyDescent="0.25">
      <c r="A83" t="str">
        <f>B83</f>
        <v>CO1</v>
      </c>
      <c r="B83" s="239" t="s">
        <v>277</v>
      </c>
      <c r="C83" s="301"/>
      <c r="D83" s="341" t="s">
        <v>808</v>
      </c>
      <c r="E83" s="341"/>
      <c r="F83" s="341" t="s">
        <v>242</v>
      </c>
      <c r="G83" s="341" t="s">
        <v>258</v>
      </c>
      <c r="H83" s="342"/>
      <c r="I83" s="342"/>
      <c r="J83" s="342"/>
      <c r="K83" s="342"/>
      <c r="L83" s="343"/>
      <c r="N83" s="239" t="s">
        <v>277</v>
      </c>
      <c r="O83" s="301"/>
      <c r="P83" s="341" t="s">
        <v>808</v>
      </c>
      <c r="Q83" s="341"/>
      <c r="R83" s="341" t="s">
        <v>242</v>
      </c>
      <c r="S83" s="341" t="s">
        <v>258</v>
      </c>
      <c r="T83" s="342"/>
      <c r="U83" s="342"/>
      <c r="V83" s="342"/>
      <c r="W83" s="342"/>
      <c r="X83" s="343"/>
    </row>
    <row r="84" spans="1:24" x14ac:dyDescent="0.25">
      <c r="A84" t="str">
        <f>B83&amp;"-"&amp;C84</f>
        <v>CO1-Table</v>
      </c>
      <c r="B84" s="244"/>
      <c r="C84" s="256" t="s">
        <v>185</v>
      </c>
      <c r="D84" s="449" t="s">
        <v>803</v>
      </c>
      <c r="E84" s="450" t="s">
        <v>803</v>
      </c>
      <c r="F84" s="450" t="s">
        <v>803</v>
      </c>
      <c r="G84" s="449">
        <v>-5.0000000000000001E-3</v>
      </c>
      <c r="H84" s="449">
        <v>-5.0000000000000001E-3</v>
      </c>
      <c r="I84" s="450">
        <v>0</v>
      </c>
      <c r="J84" s="449">
        <v>0</v>
      </c>
      <c r="K84" s="449">
        <v>0</v>
      </c>
      <c r="L84" s="447">
        <v>0</v>
      </c>
      <c r="N84" s="244"/>
      <c r="O84" s="256" t="s">
        <v>185</v>
      </c>
      <c r="P84" s="449" t="s">
        <v>803</v>
      </c>
      <c r="Q84" s="450" t="s">
        <v>803</v>
      </c>
      <c r="R84" s="450" t="s">
        <v>803</v>
      </c>
      <c r="S84" s="449">
        <v>-0.01</v>
      </c>
      <c r="T84" s="449">
        <v>-0.01</v>
      </c>
      <c r="U84" s="450">
        <v>-5.0000000000000001E-3</v>
      </c>
      <c r="V84" s="449">
        <v>0</v>
      </c>
      <c r="W84" s="449">
        <v>0</v>
      </c>
      <c r="X84" s="447">
        <v>0</v>
      </c>
    </row>
    <row r="85" spans="1:24" x14ac:dyDescent="0.25">
      <c r="A85" t="str">
        <f>B83&amp;"-"&amp;C85</f>
        <v>CO1-Crown</v>
      </c>
      <c r="B85" s="244"/>
      <c r="C85" s="260" t="s">
        <v>199</v>
      </c>
      <c r="D85" s="344" t="s">
        <v>803</v>
      </c>
      <c r="E85" s="344" t="s">
        <v>803</v>
      </c>
      <c r="F85" s="344" t="s">
        <v>803</v>
      </c>
      <c r="G85" s="449">
        <v>0</v>
      </c>
      <c r="H85" s="449">
        <v>0</v>
      </c>
      <c r="I85" s="344">
        <v>0</v>
      </c>
      <c r="J85" s="449">
        <v>0</v>
      </c>
      <c r="K85" s="449">
        <v>0</v>
      </c>
      <c r="L85" s="447">
        <v>0</v>
      </c>
      <c r="N85" s="244"/>
      <c r="O85" s="260" t="s">
        <v>199</v>
      </c>
      <c r="P85" s="344" t="s">
        <v>803</v>
      </c>
      <c r="Q85" s="344" t="s">
        <v>803</v>
      </c>
      <c r="R85" s="344" t="s">
        <v>803</v>
      </c>
      <c r="S85" s="449">
        <v>-5.0000000000000001E-3</v>
      </c>
      <c r="T85" s="449">
        <v>-5.0000000000000001E-3</v>
      </c>
      <c r="U85" s="344">
        <v>0</v>
      </c>
      <c r="V85" s="449">
        <v>0</v>
      </c>
      <c r="W85" s="449">
        <v>0</v>
      </c>
      <c r="X85" s="447">
        <v>0</v>
      </c>
    </row>
    <row r="86" spans="1:24" x14ac:dyDescent="0.25">
      <c r="A86" t="str">
        <f>B83&amp;"-"&amp;C86</f>
        <v>CO1-Girdle</v>
      </c>
      <c r="B86" s="244"/>
      <c r="C86" s="260" t="s">
        <v>204</v>
      </c>
      <c r="D86" s="344" t="s">
        <v>803</v>
      </c>
      <c r="E86" s="344" t="s">
        <v>803</v>
      </c>
      <c r="F86" s="344" t="s">
        <v>803</v>
      </c>
      <c r="G86" s="449">
        <v>0</v>
      </c>
      <c r="H86" s="449">
        <v>0</v>
      </c>
      <c r="I86" s="344">
        <v>0</v>
      </c>
      <c r="J86" s="449">
        <v>0</v>
      </c>
      <c r="K86" s="449">
        <v>0</v>
      </c>
      <c r="L86" s="447">
        <v>0</v>
      </c>
      <c r="N86" s="244"/>
      <c r="O86" s="260" t="s">
        <v>204</v>
      </c>
      <c r="P86" s="344" t="s">
        <v>803</v>
      </c>
      <c r="Q86" s="344" t="s">
        <v>803</v>
      </c>
      <c r="R86" s="344" t="s">
        <v>803</v>
      </c>
      <c r="S86" s="449">
        <v>0</v>
      </c>
      <c r="T86" s="449">
        <v>0</v>
      </c>
      <c r="U86" s="344">
        <v>0</v>
      </c>
      <c r="V86" s="449">
        <v>0</v>
      </c>
      <c r="W86" s="449">
        <v>0</v>
      </c>
      <c r="X86" s="447">
        <v>0</v>
      </c>
    </row>
    <row r="87" spans="1:24" x14ac:dyDescent="0.25">
      <c r="A87" t="str">
        <f>B83&amp;"-"&amp;C87</f>
        <v>CO1-Pavilion</v>
      </c>
      <c r="B87" s="249"/>
      <c r="C87" s="263" t="s">
        <v>219</v>
      </c>
      <c r="D87" s="345" t="s">
        <v>803</v>
      </c>
      <c r="E87" s="345" t="s">
        <v>803</v>
      </c>
      <c r="F87" s="345" t="s">
        <v>803</v>
      </c>
      <c r="G87" s="449">
        <v>0</v>
      </c>
      <c r="H87" s="449">
        <v>0</v>
      </c>
      <c r="I87" s="345">
        <v>0</v>
      </c>
      <c r="J87" s="449">
        <v>0</v>
      </c>
      <c r="K87" s="449">
        <v>0</v>
      </c>
      <c r="L87" s="447">
        <v>0</v>
      </c>
      <c r="N87" s="249"/>
      <c r="O87" s="263" t="s">
        <v>219</v>
      </c>
      <c r="P87" s="345" t="s">
        <v>803</v>
      </c>
      <c r="Q87" s="345" t="s">
        <v>803</v>
      </c>
      <c r="R87" s="345" t="s">
        <v>803</v>
      </c>
      <c r="S87" s="449">
        <v>0</v>
      </c>
      <c r="T87" s="449">
        <v>0</v>
      </c>
      <c r="U87" s="345">
        <v>0</v>
      </c>
      <c r="V87" s="449">
        <v>0</v>
      </c>
      <c r="W87" s="449">
        <v>0</v>
      </c>
      <c r="X87" s="447">
        <v>0</v>
      </c>
    </row>
    <row r="88" spans="1:24" x14ac:dyDescent="0.25">
      <c r="A88" t="str">
        <f>B88</f>
        <v>CO2</v>
      </c>
      <c r="B88" s="239" t="s">
        <v>280</v>
      </c>
      <c r="C88" s="301"/>
      <c r="D88" s="341" t="s">
        <v>808</v>
      </c>
      <c r="E88" s="341"/>
      <c r="F88" s="341" t="s">
        <v>242</v>
      </c>
      <c r="G88" s="341" t="s">
        <v>258</v>
      </c>
      <c r="H88" s="342"/>
      <c r="I88" s="342"/>
      <c r="J88" s="342"/>
      <c r="K88" s="342"/>
      <c r="L88" s="343"/>
      <c r="N88" s="239" t="s">
        <v>280</v>
      </c>
      <c r="O88" s="301"/>
      <c r="P88" s="341" t="s">
        <v>808</v>
      </c>
      <c r="Q88" s="341"/>
      <c r="R88" s="341" t="s">
        <v>242</v>
      </c>
      <c r="S88" s="341" t="s">
        <v>265</v>
      </c>
      <c r="T88" s="342"/>
      <c r="U88" s="342"/>
      <c r="V88" s="342"/>
      <c r="W88" s="342"/>
      <c r="X88" s="343"/>
    </row>
    <row r="89" spans="1:24" x14ac:dyDescent="0.25">
      <c r="A89" t="str">
        <f>B88&amp;"-"&amp;C89</f>
        <v>CO2-Table</v>
      </c>
      <c r="B89" s="244"/>
      <c r="C89" s="256" t="s">
        <v>185</v>
      </c>
      <c r="D89" s="449" t="s">
        <v>803</v>
      </c>
      <c r="E89" s="450" t="s">
        <v>803</v>
      </c>
      <c r="F89" s="450" t="s">
        <v>803</v>
      </c>
      <c r="G89" s="449">
        <v>-0.01</v>
      </c>
      <c r="H89" s="449">
        <v>-0.01</v>
      </c>
      <c r="I89" s="449">
        <v>-0.01</v>
      </c>
      <c r="J89" s="449">
        <v>-0.01</v>
      </c>
      <c r="K89" s="449">
        <v>0</v>
      </c>
      <c r="L89" s="447">
        <v>0</v>
      </c>
      <c r="N89" s="244"/>
      <c r="O89" s="256" t="s">
        <v>185</v>
      </c>
      <c r="P89" s="449" t="s">
        <v>803</v>
      </c>
      <c r="Q89" s="450" t="s">
        <v>803</v>
      </c>
      <c r="R89" s="450" t="s">
        <v>803</v>
      </c>
      <c r="S89" s="449">
        <v>-1.4999999999999999E-2</v>
      </c>
      <c r="T89" s="449">
        <v>-1.4999999999999999E-2</v>
      </c>
      <c r="U89" s="449">
        <v>-0.01</v>
      </c>
      <c r="V89" s="449">
        <v>0</v>
      </c>
      <c r="W89" s="449">
        <v>0</v>
      </c>
      <c r="X89" s="447">
        <v>0</v>
      </c>
    </row>
    <row r="90" spans="1:24" x14ac:dyDescent="0.25">
      <c r="A90" t="str">
        <f>B88&amp;"-"&amp;C90</f>
        <v>CO2-Crown</v>
      </c>
      <c r="B90" s="244"/>
      <c r="C90" s="260" t="s">
        <v>199</v>
      </c>
      <c r="D90" s="344" t="s">
        <v>803</v>
      </c>
      <c r="E90" s="344" t="s">
        <v>803</v>
      </c>
      <c r="F90" s="344" t="s">
        <v>803</v>
      </c>
      <c r="G90" s="449">
        <v>-5.0000000000000001E-3</v>
      </c>
      <c r="H90" s="449">
        <v>-5.0000000000000001E-3</v>
      </c>
      <c r="I90" s="449">
        <v>-5.0000000000000001E-3</v>
      </c>
      <c r="J90" s="449">
        <v>0</v>
      </c>
      <c r="K90" s="449">
        <v>0</v>
      </c>
      <c r="L90" s="447">
        <v>0</v>
      </c>
      <c r="N90" s="244"/>
      <c r="O90" s="260" t="s">
        <v>199</v>
      </c>
      <c r="P90" s="344" t="s">
        <v>803</v>
      </c>
      <c r="Q90" s="344" t="s">
        <v>803</v>
      </c>
      <c r="R90" s="344" t="s">
        <v>803</v>
      </c>
      <c r="S90" s="449">
        <v>-0.01</v>
      </c>
      <c r="T90" s="449">
        <v>-0.01</v>
      </c>
      <c r="U90" s="449">
        <v>-5.0000000000000001E-3</v>
      </c>
      <c r="V90" s="449">
        <v>0</v>
      </c>
      <c r="W90" s="449">
        <v>0</v>
      </c>
      <c r="X90" s="447">
        <v>0</v>
      </c>
    </row>
    <row r="91" spans="1:24" x14ac:dyDescent="0.25">
      <c r="A91" t="str">
        <f>B88&amp;"-"&amp;C91</f>
        <v>CO2-Girdle</v>
      </c>
      <c r="B91" s="244"/>
      <c r="C91" s="260" t="s">
        <v>204</v>
      </c>
      <c r="D91" s="344" t="s">
        <v>803</v>
      </c>
      <c r="E91" s="344" t="s">
        <v>803</v>
      </c>
      <c r="F91" s="344" t="s">
        <v>803</v>
      </c>
      <c r="G91" s="449">
        <v>0</v>
      </c>
      <c r="H91" s="449">
        <v>0</v>
      </c>
      <c r="I91" s="449">
        <v>0</v>
      </c>
      <c r="J91" s="449">
        <v>0</v>
      </c>
      <c r="K91" s="449">
        <v>0</v>
      </c>
      <c r="L91" s="447">
        <v>0</v>
      </c>
      <c r="N91" s="244"/>
      <c r="O91" s="260" t="s">
        <v>204</v>
      </c>
      <c r="P91" s="344" t="s">
        <v>803</v>
      </c>
      <c r="Q91" s="344" t="s">
        <v>803</v>
      </c>
      <c r="R91" s="344" t="s">
        <v>803</v>
      </c>
      <c r="S91" s="449">
        <v>0</v>
      </c>
      <c r="T91" s="449">
        <v>0</v>
      </c>
      <c r="U91" s="449">
        <v>0</v>
      </c>
      <c r="V91" s="449">
        <v>0</v>
      </c>
      <c r="W91" s="449">
        <v>0</v>
      </c>
      <c r="X91" s="447">
        <v>0</v>
      </c>
    </row>
    <row r="92" spans="1:24" x14ac:dyDescent="0.25">
      <c r="A92" t="str">
        <f>B88&amp;"-"&amp;C92</f>
        <v>CO2-Pavilion</v>
      </c>
      <c r="B92" s="249"/>
      <c r="C92" s="263" t="s">
        <v>219</v>
      </c>
      <c r="D92" s="345" t="s">
        <v>803</v>
      </c>
      <c r="E92" s="345" t="s">
        <v>803</v>
      </c>
      <c r="F92" s="345" t="s">
        <v>803</v>
      </c>
      <c r="G92" s="449">
        <v>0</v>
      </c>
      <c r="H92" s="449">
        <v>0</v>
      </c>
      <c r="I92" s="449">
        <v>0</v>
      </c>
      <c r="J92" s="449">
        <v>0</v>
      </c>
      <c r="K92" s="449">
        <v>0</v>
      </c>
      <c r="L92" s="447">
        <v>0</v>
      </c>
      <c r="N92" s="249"/>
      <c r="O92" s="263" t="s">
        <v>219</v>
      </c>
      <c r="P92" s="345" t="s">
        <v>803</v>
      </c>
      <c r="Q92" s="345" t="s">
        <v>803</v>
      </c>
      <c r="R92" s="345" t="s">
        <v>803</v>
      </c>
      <c r="S92" s="449">
        <v>-5.0000000000000001E-3</v>
      </c>
      <c r="T92" s="449">
        <v>-5.0000000000000001E-3</v>
      </c>
      <c r="U92" s="449">
        <v>0</v>
      </c>
      <c r="V92" s="449">
        <v>0</v>
      </c>
      <c r="W92" s="449">
        <v>0</v>
      </c>
      <c r="X92" s="447">
        <v>0</v>
      </c>
    </row>
    <row r="93" spans="1:24" x14ac:dyDescent="0.25">
      <c r="A93" t="str">
        <f>B93</f>
        <v>CO3</v>
      </c>
      <c r="B93" s="239" t="s">
        <v>283</v>
      </c>
      <c r="C93" s="301"/>
      <c r="D93" s="341" t="s">
        <v>808</v>
      </c>
      <c r="E93" s="341"/>
      <c r="F93" s="341" t="s">
        <v>250</v>
      </c>
      <c r="G93" s="341" t="s">
        <v>265</v>
      </c>
      <c r="H93" s="342"/>
      <c r="I93" s="342"/>
      <c r="J93" s="342"/>
      <c r="K93" s="342"/>
      <c r="L93" s="343"/>
      <c r="N93" s="239" t="s">
        <v>283</v>
      </c>
      <c r="O93" s="301"/>
      <c r="P93" s="341" t="s">
        <v>808</v>
      </c>
      <c r="Q93" s="341"/>
      <c r="R93" s="341" t="s">
        <v>250</v>
      </c>
      <c r="S93" s="341" t="s">
        <v>265</v>
      </c>
      <c r="T93" s="342"/>
      <c r="U93" s="342"/>
      <c r="V93" s="342"/>
      <c r="W93" s="342"/>
      <c r="X93" s="343"/>
    </row>
    <row r="94" spans="1:24" x14ac:dyDescent="0.25">
      <c r="A94" t="str">
        <f>B93&amp;"-"&amp;C94</f>
        <v>CO3-Table</v>
      </c>
      <c r="B94" s="244"/>
      <c r="C94" s="256" t="s">
        <v>185</v>
      </c>
      <c r="D94" s="449" t="s">
        <v>803</v>
      </c>
      <c r="E94" s="450" t="s">
        <v>803</v>
      </c>
      <c r="F94" s="450" t="s">
        <v>803</v>
      </c>
      <c r="G94" s="450">
        <v>-0.02</v>
      </c>
      <c r="H94" s="450">
        <v>-0.02</v>
      </c>
      <c r="I94" s="449">
        <v>-1.4999999999999999E-2</v>
      </c>
      <c r="J94" s="450">
        <v>-1.4999999999999999E-2</v>
      </c>
      <c r="K94" s="450">
        <v>-0.01</v>
      </c>
      <c r="L94" s="451">
        <v>0</v>
      </c>
      <c r="N94" s="244"/>
      <c r="O94" s="256" t="s">
        <v>185</v>
      </c>
      <c r="P94" s="449" t="s">
        <v>803</v>
      </c>
      <c r="Q94" s="450" t="s">
        <v>803</v>
      </c>
      <c r="R94" s="450" t="s">
        <v>803</v>
      </c>
      <c r="S94" s="450">
        <v>-0.02</v>
      </c>
      <c r="T94" s="450">
        <v>-0.02</v>
      </c>
      <c r="U94" s="449">
        <v>-1.4999999999999999E-2</v>
      </c>
      <c r="V94" s="450">
        <v>0</v>
      </c>
      <c r="W94" s="450">
        <v>0</v>
      </c>
      <c r="X94" s="451">
        <v>0</v>
      </c>
    </row>
    <row r="95" spans="1:24" x14ac:dyDescent="0.25">
      <c r="A95" t="str">
        <f>B93&amp;"-"&amp;C95</f>
        <v>CO3-Crown</v>
      </c>
      <c r="B95" s="244"/>
      <c r="C95" s="260" t="s">
        <v>199</v>
      </c>
      <c r="D95" s="344" t="s">
        <v>803</v>
      </c>
      <c r="E95" s="344" t="s">
        <v>803</v>
      </c>
      <c r="F95" s="344" t="s">
        <v>803</v>
      </c>
      <c r="G95" s="344">
        <v>-0.01</v>
      </c>
      <c r="H95" s="344">
        <v>-0.01</v>
      </c>
      <c r="I95" s="449">
        <v>-5.0000000000000001E-3</v>
      </c>
      <c r="J95" s="344">
        <v>-5.0000000000000001E-3</v>
      </c>
      <c r="K95" s="344">
        <v>0</v>
      </c>
      <c r="L95" s="447">
        <v>0</v>
      </c>
      <c r="N95" s="244"/>
      <c r="O95" s="260" t="s">
        <v>199</v>
      </c>
      <c r="P95" s="344" t="s">
        <v>803</v>
      </c>
      <c r="Q95" s="344" t="s">
        <v>803</v>
      </c>
      <c r="R95" s="344" t="s">
        <v>803</v>
      </c>
      <c r="S95" s="344">
        <v>-1.4999999999999999E-2</v>
      </c>
      <c r="T95" s="344">
        <v>-1.4999999999999999E-2</v>
      </c>
      <c r="U95" s="449">
        <v>-0.01</v>
      </c>
      <c r="V95" s="344">
        <v>0</v>
      </c>
      <c r="W95" s="344">
        <v>0</v>
      </c>
      <c r="X95" s="447">
        <v>0</v>
      </c>
    </row>
    <row r="96" spans="1:24" x14ac:dyDescent="0.25">
      <c r="A96" t="str">
        <f>B93&amp;"-"&amp;C96</f>
        <v>CO3-Girdle</v>
      </c>
      <c r="B96" s="244"/>
      <c r="C96" s="260" t="s">
        <v>204</v>
      </c>
      <c r="D96" s="344" t="s">
        <v>803</v>
      </c>
      <c r="E96" s="344" t="s">
        <v>803</v>
      </c>
      <c r="F96" s="344" t="s">
        <v>803</v>
      </c>
      <c r="G96" s="344">
        <v>0</v>
      </c>
      <c r="H96" s="344">
        <v>0</v>
      </c>
      <c r="I96" s="449">
        <v>0</v>
      </c>
      <c r="J96" s="344">
        <v>0</v>
      </c>
      <c r="K96" s="344">
        <v>0</v>
      </c>
      <c r="L96" s="447">
        <v>0</v>
      </c>
      <c r="N96" s="244"/>
      <c r="O96" s="260" t="s">
        <v>204</v>
      </c>
      <c r="P96" s="344" t="s">
        <v>803</v>
      </c>
      <c r="Q96" s="344" t="s">
        <v>803</v>
      </c>
      <c r="R96" s="344" t="s">
        <v>803</v>
      </c>
      <c r="S96" s="344">
        <v>0</v>
      </c>
      <c r="T96" s="344">
        <v>0</v>
      </c>
      <c r="U96" s="449">
        <v>0</v>
      </c>
      <c r="V96" s="344">
        <v>0</v>
      </c>
      <c r="W96" s="344">
        <v>0</v>
      </c>
      <c r="X96" s="447">
        <v>0</v>
      </c>
    </row>
    <row r="97" spans="1:24" x14ac:dyDescent="0.25">
      <c r="A97" t="str">
        <f>B93&amp;"-"&amp;C97</f>
        <v>CO3-Pavilion</v>
      </c>
      <c r="B97" s="249"/>
      <c r="C97" s="263" t="s">
        <v>219</v>
      </c>
      <c r="D97" s="345" t="s">
        <v>803</v>
      </c>
      <c r="E97" s="345" t="s">
        <v>803</v>
      </c>
      <c r="F97" s="345" t="s">
        <v>803</v>
      </c>
      <c r="G97" s="345" t="s">
        <v>803</v>
      </c>
      <c r="H97" s="345">
        <v>0</v>
      </c>
      <c r="I97" s="449">
        <v>0</v>
      </c>
      <c r="J97" s="345">
        <v>0</v>
      </c>
      <c r="K97" s="345">
        <v>0</v>
      </c>
      <c r="L97" s="448">
        <v>0</v>
      </c>
      <c r="N97" s="249"/>
      <c r="O97" s="263" t="s">
        <v>219</v>
      </c>
      <c r="P97" s="345" t="s">
        <v>803</v>
      </c>
      <c r="Q97" s="345" t="s">
        <v>803</v>
      </c>
      <c r="R97" s="345" t="s">
        <v>803</v>
      </c>
      <c r="S97" s="345">
        <v>-0.01</v>
      </c>
      <c r="T97" s="345">
        <v>-0.01</v>
      </c>
      <c r="U97" s="449">
        <v>0</v>
      </c>
      <c r="V97" s="345">
        <v>0</v>
      </c>
      <c r="W97" s="345">
        <v>0</v>
      </c>
      <c r="X97" s="448">
        <v>0</v>
      </c>
    </row>
    <row r="98" spans="1:24" x14ac:dyDescent="0.25">
      <c r="A98" t="str">
        <f>B98</f>
        <v>CL1</v>
      </c>
      <c r="B98" s="239" t="s">
        <v>286</v>
      </c>
      <c r="C98" s="301"/>
      <c r="D98" s="341" t="s">
        <v>808</v>
      </c>
      <c r="E98" s="341"/>
      <c r="F98" s="341" t="s">
        <v>187</v>
      </c>
      <c r="G98" s="341" t="s">
        <v>242</v>
      </c>
      <c r="H98" s="342"/>
      <c r="I98" s="342"/>
      <c r="J98" s="342"/>
      <c r="K98" s="342"/>
      <c r="L98" s="343"/>
      <c r="N98" s="239" t="s">
        <v>286</v>
      </c>
      <c r="O98" s="301"/>
      <c r="P98" s="341" t="s">
        <v>808</v>
      </c>
      <c r="Q98" s="341"/>
      <c r="R98" s="341" t="s">
        <v>187</v>
      </c>
      <c r="S98" s="341" t="s">
        <v>242</v>
      </c>
      <c r="T98" s="342"/>
      <c r="U98" s="342"/>
      <c r="V98" s="342"/>
      <c r="W98" s="342"/>
      <c r="X98" s="343"/>
    </row>
    <row r="99" spans="1:24" x14ac:dyDescent="0.25">
      <c r="A99" t="str">
        <f>B98&amp;"-"&amp;C99</f>
        <v>CL1-Table</v>
      </c>
      <c r="B99" s="244"/>
      <c r="C99" s="256" t="s">
        <v>185</v>
      </c>
      <c r="D99" s="449">
        <v>0</v>
      </c>
      <c r="E99" s="449">
        <v>0</v>
      </c>
      <c r="F99" s="449">
        <v>0</v>
      </c>
      <c r="G99" s="449">
        <v>-5.0000000000000001E-3</v>
      </c>
      <c r="H99" s="449">
        <v>-5.0000000000000001E-3</v>
      </c>
      <c r="I99" s="450">
        <v>0</v>
      </c>
      <c r="J99" s="449" t="s">
        <v>803</v>
      </c>
      <c r="K99" s="449" t="s">
        <v>803</v>
      </c>
      <c r="L99" s="447" t="s">
        <v>803</v>
      </c>
      <c r="N99" s="244"/>
      <c r="O99" s="256" t="s">
        <v>185</v>
      </c>
      <c r="P99" s="449">
        <v>-0.01</v>
      </c>
      <c r="Q99" s="449">
        <v>-0.01</v>
      </c>
      <c r="R99" s="449">
        <v>-5.0000000000000001E-3</v>
      </c>
      <c r="S99" s="449">
        <v>-5.0000000000000001E-3</v>
      </c>
      <c r="T99" s="449">
        <v>-5.0000000000000001E-3</v>
      </c>
      <c r="U99" s="450">
        <v>0</v>
      </c>
      <c r="V99" s="449">
        <v>0</v>
      </c>
      <c r="W99" s="449">
        <v>0</v>
      </c>
      <c r="X99" s="447">
        <v>0</v>
      </c>
    </row>
    <row r="100" spans="1:24" x14ac:dyDescent="0.25">
      <c r="A100" t="str">
        <f>B98&amp;"-"&amp;C100</f>
        <v>CL1-Crown</v>
      </c>
      <c r="B100" s="244"/>
      <c r="C100" s="260" t="s">
        <v>199</v>
      </c>
      <c r="D100" s="449">
        <v>0</v>
      </c>
      <c r="E100" s="449">
        <v>0</v>
      </c>
      <c r="F100" s="449">
        <v>0</v>
      </c>
      <c r="G100" s="449">
        <v>0</v>
      </c>
      <c r="H100" s="449">
        <v>0</v>
      </c>
      <c r="I100" s="344">
        <v>0</v>
      </c>
      <c r="J100" s="449" t="s">
        <v>803</v>
      </c>
      <c r="K100" s="449" t="s">
        <v>803</v>
      </c>
      <c r="L100" s="447" t="s">
        <v>803</v>
      </c>
      <c r="N100" s="244"/>
      <c r="O100" s="260" t="s">
        <v>199</v>
      </c>
      <c r="P100" s="449">
        <v>0</v>
      </c>
      <c r="Q100" s="449">
        <v>0</v>
      </c>
      <c r="R100" s="449">
        <v>0</v>
      </c>
      <c r="S100" s="449">
        <v>0</v>
      </c>
      <c r="T100" s="449">
        <v>0</v>
      </c>
      <c r="U100" s="344">
        <v>0</v>
      </c>
      <c r="V100" s="449">
        <v>0</v>
      </c>
      <c r="W100" s="449">
        <v>0</v>
      </c>
      <c r="X100" s="447">
        <v>0</v>
      </c>
    </row>
    <row r="101" spans="1:24" x14ac:dyDescent="0.25">
      <c r="A101" t="str">
        <f>B98&amp;"-"&amp;C101</f>
        <v>CL1-Girdle</v>
      </c>
      <c r="B101" s="244"/>
      <c r="C101" s="260" t="s">
        <v>204</v>
      </c>
      <c r="D101" s="449">
        <v>0</v>
      </c>
      <c r="E101" s="449">
        <v>0</v>
      </c>
      <c r="F101" s="449">
        <v>0</v>
      </c>
      <c r="G101" s="449">
        <v>0</v>
      </c>
      <c r="H101" s="449">
        <v>0</v>
      </c>
      <c r="I101" s="344">
        <v>0</v>
      </c>
      <c r="J101" s="449" t="s">
        <v>803</v>
      </c>
      <c r="K101" s="449" t="s">
        <v>803</v>
      </c>
      <c r="L101" s="447" t="s">
        <v>803</v>
      </c>
      <c r="N101" s="244"/>
      <c r="O101" s="260" t="s">
        <v>204</v>
      </c>
      <c r="P101" s="449">
        <v>0</v>
      </c>
      <c r="Q101" s="449">
        <v>0</v>
      </c>
      <c r="R101" s="449">
        <v>0</v>
      </c>
      <c r="S101" s="449">
        <v>0</v>
      </c>
      <c r="T101" s="449">
        <v>0</v>
      </c>
      <c r="U101" s="344">
        <v>0</v>
      </c>
      <c r="V101" s="449">
        <v>0</v>
      </c>
      <c r="W101" s="449">
        <v>0</v>
      </c>
      <c r="X101" s="447">
        <v>0</v>
      </c>
    </row>
    <row r="102" spans="1:24" x14ac:dyDescent="0.25">
      <c r="A102" t="str">
        <f>B98&amp;"-"&amp;C102</f>
        <v>CL1-Pavilion</v>
      </c>
      <c r="B102" s="249"/>
      <c r="C102" s="263" t="s">
        <v>219</v>
      </c>
      <c r="D102" s="449">
        <v>0</v>
      </c>
      <c r="E102" s="449">
        <v>0</v>
      </c>
      <c r="F102" s="449">
        <v>0</v>
      </c>
      <c r="G102" s="449">
        <v>0</v>
      </c>
      <c r="H102" s="449">
        <v>0</v>
      </c>
      <c r="I102" s="345">
        <v>0</v>
      </c>
      <c r="J102" s="449" t="s">
        <v>803</v>
      </c>
      <c r="K102" s="449" t="s">
        <v>803</v>
      </c>
      <c r="L102" s="447" t="s">
        <v>803</v>
      </c>
      <c r="N102" s="249"/>
      <c r="O102" s="263" t="s">
        <v>219</v>
      </c>
      <c r="P102" s="449">
        <v>0</v>
      </c>
      <c r="Q102" s="449">
        <v>0</v>
      </c>
      <c r="R102" s="449">
        <v>0</v>
      </c>
      <c r="S102" s="449">
        <v>0</v>
      </c>
      <c r="T102" s="449">
        <v>0</v>
      </c>
      <c r="U102" s="345">
        <v>0</v>
      </c>
      <c r="V102" s="449">
        <v>0</v>
      </c>
      <c r="W102" s="449">
        <v>0</v>
      </c>
      <c r="X102" s="447">
        <v>0</v>
      </c>
    </row>
    <row r="103" spans="1:24" x14ac:dyDescent="0.25">
      <c r="A103" t="str">
        <f>B103</f>
        <v>CL2</v>
      </c>
      <c r="B103" s="239" t="s">
        <v>288</v>
      </c>
      <c r="C103" s="301"/>
      <c r="D103" s="341" t="s">
        <v>808</v>
      </c>
      <c r="E103" s="341"/>
      <c r="F103" s="341" t="s">
        <v>233</v>
      </c>
      <c r="G103" s="341" t="s">
        <v>258</v>
      </c>
      <c r="H103" s="342"/>
      <c r="I103" s="342"/>
      <c r="J103" s="342"/>
      <c r="K103" s="342"/>
      <c r="L103" s="343"/>
      <c r="N103" s="239" t="s">
        <v>288</v>
      </c>
      <c r="O103" s="301"/>
      <c r="P103" s="341" t="s">
        <v>808</v>
      </c>
      <c r="Q103" s="341"/>
      <c r="R103" s="341" t="s">
        <v>242</v>
      </c>
      <c r="S103" s="341" t="s">
        <v>258</v>
      </c>
      <c r="T103" s="342"/>
      <c r="U103" s="342"/>
      <c r="V103" s="342"/>
      <c r="W103" s="342"/>
      <c r="X103" s="343"/>
    </row>
    <row r="104" spans="1:24" x14ac:dyDescent="0.25">
      <c r="A104" t="str">
        <f>B103&amp;"-"&amp;C104</f>
        <v>CL2-Table</v>
      </c>
      <c r="B104" s="244"/>
      <c r="C104" s="256" t="s">
        <v>185</v>
      </c>
      <c r="D104" s="449">
        <v>0</v>
      </c>
      <c r="E104" s="450">
        <v>0</v>
      </c>
      <c r="F104" s="450">
        <v>0</v>
      </c>
      <c r="G104" s="449">
        <v>-0.01</v>
      </c>
      <c r="H104" s="449">
        <v>-0.01</v>
      </c>
      <c r="I104" s="450">
        <v>0</v>
      </c>
      <c r="J104" s="449">
        <v>0</v>
      </c>
      <c r="K104" s="449">
        <v>0</v>
      </c>
      <c r="L104" s="447">
        <v>0</v>
      </c>
      <c r="N104" s="244"/>
      <c r="O104" s="256" t="s">
        <v>185</v>
      </c>
      <c r="P104" s="449">
        <v>0</v>
      </c>
      <c r="Q104" s="450">
        <v>0</v>
      </c>
      <c r="R104" s="450">
        <v>0</v>
      </c>
      <c r="S104" s="449">
        <v>-0.01</v>
      </c>
      <c r="T104" s="449">
        <v>-0.01</v>
      </c>
      <c r="U104" s="450">
        <v>0</v>
      </c>
      <c r="V104" s="449">
        <v>0</v>
      </c>
      <c r="W104" s="449">
        <v>0</v>
      </c>
      <c r="X104" s="447">
        <v>0</v>
      </c>
    </row>
    <row r="105" spans="1:24" x14ac:dyDescent="0.25">
      <c r="A105" t="str">
        <f>B103&amp;"-"&amp;C105</f>
        <v>CL2-Crown</v>
      </c>
      <c r="B105" s="244"/>
      <c r="C105" s="260" t="s">
        <v>199</v>
      </c>
      <c r="D105" s="344">
        <v>0</v>
      </c>
      <c r="E105" s="344">
        <v>0</v>
      </c>
      <c r="F105" s="344">
        <v>0</v>
      </c>
      <c r="G105" s="449">
        <v>0</v>
      </c>
      <c r="H105" s="449">
        <v>0</v>
      </c>
      <c r="I105" s="344">
        <v>0</v>
      </c>
      <c r="J105" s="449">
        <v>0</v>
      </c>
      <c r="K105" s="449">
        <v>0</v>
      </c>
      <c r="L105" s="447">
        <v>0</v>
      </c>
      <c r="N105" s="244"/>
      <c r="O105" s="260" t="s">
        <v>199</v>
      </c>
      <c r="P105" s="344">
        <v>0</v>
      </c>
      <c r="Q105" s="344">
        <v>0</v>
      </c>
      <c r="R105" s="344">
        <v>0</v>
      </c>
      <c r="S105" s="449">
        <v>0</v>
      </c>
      <c r="T105" s="449">
        <v>0</v>
      </c>
      <c r="U105" s="344">
        <v>0</v>
      </c>
      <c r="V105" s="449">
        <v>0</v>
      </c>
      <c r="W105" s="449">
        <v>0</v>
      </c>
      <c r="X105" s="447">
        <v>0</v>
      </c>
    </row>
    <row r="106" spans="1:24" x14ac:dyDescent="0.25">
      <c r="A106" t="str">
        <f>B103&amp;"-"&amp;C106</f>
        <v>CL2-Girdle</v>
      </c>
      <c r="B106" s="244"/>
      <c r="C106" s="260" t="s">
        <v>204</v>
      </c>
      <c r="D106" s="344">
        <v>0</v>
      </c>
      <c r="E106" s="344">
        <v>0</v>
      </c>
      <c r="F106" s="344">
        <v>0</v>
      </c>
      <c r="G106" s="449">
        <v>0</v>
      </c>
      <c r="H106" s="449">
        <v>0</v>
      </c>
      <c r="I106" s="344">
        <v>0</v>
      </c>
      <c r="J106" s="449">
        <v>0</v>
      </c>
      <c r="K106" s="449">
        <v>0</v>
      </c>
      <c r="L106" s="447">
        <v>0</v>
      </c>
      <c r="N106" s="244"/>
      <c r="O106" s="260" t="s">
        <v>204</v>
      </c>
      <c r="P106" s="344">
        <v>0</v>
      </c>
      <c r="Q106" s="344">
        <v>0</v>
      </c>
      <c r="R106" s="344">
        <v>0</v>
      </c>
      <c r="S106" s="449">
        <v>0</v>
      </c>
      <c r="T106" s="449">
        <v>0</v>
      </c>
      <c r="U106" s="344">
        <v>0</v>
      </c>
      <c r="V106" s="449">
        <v>0</v>
      </c>
      <c r="W106" s="449">
        <v>0</v>
      </c>
      <c r="X106" s="447">
        <v>0</v>
      </c>
    </row>
    <row r="107" spans="1:24" x14ac:dyDescent="0.25">
      <c r="A107" t="str">
        <f>B103&amp;"-"&amp;C107</f>
        <v>CL2-Pavilion</v>
      </c>
      <c r="B107" s="249"/>
      <c r="C107" s="263" t="s">
        <v>219</v>
      </c>
      <c r="D107" s="345">
        <v>0</v>
      </c>
      <c r="E107" s="345">
        <v>0</v>
      </c>
      <c r="F107" s="345">
        <v>0</v>
      </c>
      <c r="G107" s="449">
        <v>0</v>
      </c>
      <c r="H107" s="449">
        <v>0</v>
      </c>
      <c r="I107" s="345">
        <v>0</v>
      </c>
      <c r="J107" s="449">
        <v>0</v>
      </c>
      <c r="K107" s="449">
        <v>0</v>
      </c>
      <c r="L107" s="447">
        <v>0</v>
      </c>
      <c r="N107" s="249"/>
      <c r="O107" s="263" t="s">
        <v>219</v>
      </c>
      <c r="P107" s="345">
        <v>0</v>
      </c>
      <c r="Q107" s="345">
        <v>0</v>
      </c>
      <c r="R107" s="345">
        <v>0</v>
      </c>
      <c r="S107" s="449">
        <v>0</v>
      </c>
      <c r="T107" s="449">
        <v>0</v>
      </c>
      <c r="U107" s="345">
        <v>0</v>
      </c>
      <c r="V107" s="449">
        <v>0</v>
      </c>
      <c r="W107" s="449">
        <v>0</v>
      </c>
      <c r="X107" s="447">
        <v>0</v>
      </c>
    </row>
    <row r="108" spans="1:24" x14ac:dyDescent="0.25">
      <c r="A108" t="str">
        <f>B108</f>
        <v>CL3</v>
      </c>
      <c r="B108" s="239" t="s">
        <v>290</v>
      </c>
      <c r="C108" s="301"/>
      <c r="D108" s="341" t="s">
        <v>808</v>
      </c>
      <c r="E108" s="341"/>
      <c r="F108" s="341" t="s">
        <v>242</v>
      </c>
      <c r="G108" s="341" t="s">
        <v>265</v>
      </c>
      <c r="H108" s="342"/>
      <c r="I108" s="342"/>
      <c r="J108" s="342"/>
      <c r="K108" s="342"/>
      <c r="L108" s="343"/>
      <c r="N108" s="239" t="s">
        <v>290</v>
      </c>
      <c r="O108" s="301"/>
      <c r="P108" s="341" t="s">
        <v>808</v>
      </c>
      <c r="Q108" s="341"/>
      <c r="R108" s="341" t="s">
        <v>250</v>
      </c>
      <c r="S108" s="341" t="s">
        <v>265</v>
      </c>
      <c r="T108" s="342"/>
      <c r="U108" s="342"/>
      <c r="V108" s="342"/>
      <c r="W108" s="342"/>
      <c r="X108" s="343"/>
    </row>
    <row r="109" spans="1:24" x14ac:dyDescent="0.25">
      <c r="A109" t="str">
        <f>B108&amp;"-"&amp;C109</f>
        <v>CL3-Table</v>
      </c>
      <c r="B109" s="244"/>
      <c r="C109" s="256" t="s">
        <v>185</v>
      </c>
      <c r="D109" s="449" t="s">
        <v>803</v>
      </c>
      <c r="E109" s="450" t="s">
        <v>803</v>
      </c>
      <c r="F109" s="450" t="s">
        <v>803</v>
      </c>
      <c r="G109" s="449">
        <v>-1.4999999999999999E-2</v>
      </c>
      <c r="H109" s="449">
        <v>-1.4999999999999999E-2</v>
      </c>
      <c r="I109" s="449">
        <v>-5.0000000000000001E-3</v>
      </c>
      <c r="J109" s="449">
        <v>-0.01</v>
      </c>
      <c r="K109" s="449">
        <v>-0.01</v>
      </c>
      <c r="L109" s="447">
        <v>0</v>
      </c>
      <c r="N109" s="244"/>
      <c r="O109" s="256" t="s">
        <v>185</v>
      </c>
      <c r="P109" s="449" t="s">
        <v>803</v>
      </c>
      <c r="Q109" s="450" t="s">
        <v>803</v>
      </c>
      <c r="R109" s="450" t="s">
        <v>803</v>
      </c>
      <c r="S109" s="449">
        <v>-1.4999999999999999E-2</v>
      </c>
      <c r="T109" s="449">
        <v>-1.4999999999999999E-2</v>
      </c>
      <c r="U109" s="449">
        <v>-5.0000000000000001E-3</v>
      </c>
      <c r="V109" s="449">
        <v>-0.01</v>
      </c>
      <c r="W109" s="449">
        <v>-0.01</v>
      </c>
      <c r="X109" s="447">
        <v>0</v>
      </c>
    </row>
    <row r="110" spans="1:24" x14ac:dyDescent="0.25">
      <c r="A110" t="str">
        <f>B108&amp;"-"&amp;C110</f>
        <v>CL3-Crown</v>
      </c>
      <c r="B110" s="244"/>
      <c r="C110" s="260" t="s">
        <v>199</v>
      </c>
      <c r="D110" s="344" t="s">
        <v>803</v>
      </c>
      <c r="E110" s="344" t="s">
        <v>803</v>
      </c>
      <c r="F110" s="344" t="s">
        <v>803</v>
      </c>
      <c r="G110" s="449">
        <v>0</v>
      </c>
      <c r="H110" s="449">
        <v>0</v>
      </c>
      <c r="I110" s="449">
        <v>0</v>
      </c>
      <c r="J110" s="449">
        <v>0</v>
      </c>
      <c r="K110" s="449">
        <v>0</v>
      </c>
      <c r="L110" s="447">
        <v>0</v>
      </c>
      <c r="N110" s="244"/>
      <c r="O110" s="260" t="s">
        <v>199</v>
      </c>
      <c r="P110" s="344" t="s">
        <v>803</v>
      </c>
      <c r="Q110" s="344" t="s">
        <v>803</v>
      </c>
      <c r="R110" s="344" t="s">
        <v>803</v>
      </c>
      <c r="S110" s="449">
        <v>-5.0000000000000001E-3</v>
      </c>
      <c r="T110" s="449">
        <v>-5.0000000000000001E-3</v>
      </c>
      <c r="U110" s="449">
        <v>0</v>
      </c>
      <c r="V110" s="449">
        <v>0</v>
      </c>
      <c r="W110" s="449">
        <v>0</v>
      </c>
      <c r="X110" s="447">
        <v>0</v>
      </c>
    </row>
    <row r="111" spans="1:24" x14ac:dyDescent="0.25">
      <c r="A111" t="str">
        <f>B108&amp;"-"&amp;C111</f>
        <v>CL3-Girdle</v>
      </c>
      <c r="B111" s="244"/>
      <c r="C111" s="260" t="s">
        <v>204</v>
      </c>
      <c r="D111" s="344" t="s">
        <v>803</v>
      </c>
      <c r="E111" s="344" t="s">
        <v>803</v>
      </c>
      <c r="F111" s="344" t="s">
        <v>803</v>
      </c>
      <c r="G111" s="449">
        <v>0</v>
      </c>
      <c r="H111" s="449">
        <v>0</v>
      </c>
      <c r="I111" s="449">
        <v>0</v>
      </c>
      <c r="J111" s="449">
        <v>0</v>
      </c>
      <c r="K111" s="449">
        <v>0</v>
      </c>
      <c r="L111" s="447">
        <v>0</v>
      </c>
      <c r="N111" s="244"/>
      <c r="O111" s="260" t="s">
        <v>204</v>
      </c>
      <c r="P111" s="344" t="s">
        <v>803</v>
      </c>
      <c r="Q111" s="344" t="s">
        <v>803</v>
      </c>
      <c r="R111" s="344" t="s">
        <v>803</v>
      </c>
      <c r="S111" s="449">
        <v>0</v>
      </c>
      <c r="T111" s="449">
        <v>0</v>
      </c>
      <c r="U111" s="449">
        <v>0</v>
      </c>
      <c r="V111" s="449">
        <v>0</v>
      </c>
      <c r="W111" s="449">
        <v>0</v>
      </c>
      <c r="X111" s="447">
        <v>0</v>
      </c>
    </row>
    <row r="112" spans="1:24" x14ac:dyDescent="0.25">
      <c r="A112" t="str">
        <f>B108&amp;"-"&amp;C112</f>
        <v>CL3-Pavilion</v>
      </c>
      <c r="B112" s="249"/>
      <c r="C112" s="263" t="s">
        <v>219</v>
      </c>
      <c r="D112" s="345" t="s">
        <v>803</v>
      </c>
      <c r="E112" s="345" t="s">
        <v>803</v>
      </c>
      <c r="F112" s="345" t="s">
        <v>803</v>
      </c>
      <c r="G112" s="449">
        <v>0</v>
      </c>
      <c r="H112" s="449">
        <v>0</v>
      </c>
      <c r="I112" s="449">
        <v>0</v>
      </c>
      <c r="J112" s="449">
        <v>0</v>
      </c>
      <c r="K112" s="449">
        <v>0</v>
      </c>
      <c r="L112" s="447">
        <v>0</v>
      </c>
      <c r="N112" s="249"/>
      <c r="O112" s="263" t="s">
        <v>219</v>
      </c>
      <c r="P112" s="345" t="s">
        <v>803</v>
      </c>
      <c r="Q112" s="345" t="s">
        <v>803</v>
      </c>
      <c r="R112" s="345" t="s">
        <v>803</v>
      </c>
      <c r="S112" s="449">
        <v>0</v>
      </c>
      <c r="T112" s="449">
        <v>0</v>
      </c>
      <c r="U112" s="449">
        <v>0</v>
      </c>
      <c r="V112" s="449">
        <v>0</v>
      </c>
      <c r="W112" s="449">
        <v>0</v>
      </c>
      <c r="X112" s="447">
        <v>0</v>
      </c>
    </row>
    <row r="113" spans="2:24" x14ac:dyDescent="0.25">
      <c r="B113" s="271" t="s">
        <v>222</v>
      </c>
      <c r="C113" s="272"/>
      <c r="D113" s="273"/>
      <c r="E113" s="273"/>
      <c r="F113" s="273"/>
      <c r="G113" s="273"/>
      <c r="H113" s="273"/>
      <c r="I113" s="273"/>
      <c r="J113" s="273"/>
      <c r="K113" s="273"/>
      <c r="L113" s="274"/>
      <c r="N113" s="271" t="s">
        <v>222</v>
      </c>
      <c r="O113" s="272"/>
      <c r="P113" s="273"/>
      <c r="Q113" s="273"/>
      <c r="R113" s="273"/>
      <c r="S113" s="273"/>
      <c r="T113" s="273"/>
      <c r="U113" s="273"/>
      <c r="V113" s="273"/>
      <c r="W113" s="273"/>
      <c r="X113" s="274"/>
    </row>
  </sheetData>
  <sheetProtection algorithmName="SHA-512" hashValue="uYxOTAcBS42y70X1sGFMKOjKORVtmLgT2aT2URTmxaXhvZ0VD6Nm1b1giAelJ2IzJs4Bjf7qpzJdaxf3N17DQg==" saltValue="+2yM3ZA18WAUYBThWnqq2g==" spinCount="100000" sheet="1" objects="1" scenarios="1" autoFilter="0"/>
  <mergeCells count="2">
    <mergeCell ref="D1:K1"/>
    <mergeCell ref="P1:W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:AZ164"/>
  <sheetViews>
    <sheetView topLeftCell="V5" workbookViewId="0">
      <selection activeCell="AD32" sqref="AD32"/>
    </sheetView>
  </sheetViews>
  <sheetFormatPr defaultRowHeight="15" x14ac:dyDescent="0.25"/>
  <cols>
    <col min="1" max="1" width="8.28515625" hidden="1" customWidth="1"/>
    <col min="2" max="2" width="8.28515625" customWidth="1"/>
    <col min="3" max="3" width="12.28515625" customWidth="1"/>
    <col min="5" max="13" width="6.5703125" customWidth="1"/>
    <col min="16" max="16" width="6.42578125" customWidth="1"/>
    <col min="17" max="17" width="8.7109375" customWidth="1"/>
    <col min="18" max="25" width="6.42578125" customWidth="1"/>
    <col min="31" max="39" width="6.140625" customWidth="1"/>
    <col min="41" max="41" width="8.28515625" customWidth="1"/>
    <col min="42" max="42" width="12.28515625" customWidth="1"/>
    <col min="44" max="52" width="6.5703125" customWidth="1"/>
  </cols>
  <sheetData>
    <row r="1" spans="1:52" ht="14.45" x14ac:dyDescent="0.3">
      <c r="B1" s="1" t="s">
        <v>920</v>
      </c>
      <c r="C1" s="351" t="s">
        <v>923</v>
      </c>
      <c r="D1" s="467" t="s">
        <v>1467</v>
      </c>
      <c r="O1" s="1" t="s">
        <v>906</v>
      </c>
      <c r="P1" s="351" t="s">
        <v>921</v>
      </c>
      <c r="Q1" s="1"/>
      <c r="R1" s="351"/>
      <c r="AB1" s="1" t="s">
        <v>907</v>
      </c>
      <c r="AO1" s="1" t="s">
        <v>920</v>
      </c>
      <c r="AP1" s="351" t="s">
        <v>923</v>
      </c>
      <c r="AQ1" s="467" t="s">
        <v>1468</v>
      </c>
    </row>
    <row r="2" spans="1:52" ht="14.45" x14ac:dyDescent="0.3">
      <c r="E2" s="854" t="s">
        <v>315</v>
      </c>
      <c r="F2" s="854"/>
      <c r="G2" s="854"/>
      <c r="H2" s="854"/>
      <c r="I2" s="854"/>
      <c r="J2" s="854"/>
      <c r="K2" s="854"/>
      <c r="L2" s="854"/>
      <c r="M2" s="435"/>
      <c r="R2" s="854" t="s">
        <v>315</v>
      </c>
      <c r="S2" s="854"/>
      <c r="T2" s="854"/>
      <c r="U2" s="854"/>
      <c r="V2" s="854"/>
      <c r="W2" s="854"/>
      <c r="X2" s="854"/>
      <c r="Y2" s="854"/>
      <c r="AE2" s="854" t="s">
        <v>315</v>
      </c>
      <c r="AF2" s="854"/>
      <c r="AG2" s="854"/>
      <c r="AH2" s="854"/>
      <c r="AI2" s="854"/>
      <c r="AJ2" s="854"/>
      <c r="AK2" s="854"/>
      <c r="AL2" s="854"/>
      <c r="AR2" s="854" t="s">
        <v>315</v>
      </c>
      <c r="AS2" s="854"/>
      <c r="AT2" s="854"/>
      <c r="AU2" s="854"/>
      <c r="AV2" s="854"/>
      <c r="AW2" s="854"/>
      <c r="AX2" s="854"/>
      <c r="AY2" s="854"/>
      <c r="AZ2" s="435"/>
    </row>
    <row r="3" spans="1:52" ht="14.45" x14ac:dyDescent="0.3">
      <c r="E3" s="238">
        <v>1</v>
      </c>
      <c r="F3" s="238">
        <v>2</v>
      </c>
      <c r="G3" s="238">
        <v>3</v>
      </c>
      <c r="H3" s="238">
        <v>4</v>
      </c>
      <c r="I3" s="238">
        <v>5</v>
      </c>
      <c r="J3" s="238">
        <v>6</v>
      </c>
      <c r="K3" s="238">
        <v>7</v>
      </c>
      <c r="L3" s="238">
        <v>8</v>
      </c>
      <c r="M3" s="238">
        <v>9</v>
      </c>
      <c r="R3" s="238">
        <v>1</v>
      </c>
      <c r="S3" s="238">
        <v>2</v>
      </c>
      <c r="T3" s="238">
        <v>3</v>
      </c>
      <c r="U3" s="238">
        <v>4</v>
      </c>
      <c r="V3" s="238">
        <v>5</v>
      </c>
      <c r="W3" s="238">
        <v>6</v>
      </c>
      <c r="X3" s="238">
        <v>7</v>
      </c>
      <c r="Y3" s="238">
        <v>8</v>
      </c>
      <c r="Z3" s="238">
        <v>9</v>
      </c>
      <c r="AE3" s="238">
        <v>1</v>
      </c>
      <c r="AF3" s="238">
        <v>2</v>
      </c>
      <c r="AG3" s="238">
        <v>3</v>
      </c>
      <c r="AH3" s="238">
        <v>4</v>
      </c>
      <c r="AI3" s="238">
        <v>5</v>
      </c>
      <c r="AJ3" s="238">
        <v>6</v>
      </c>
      <c r="AK3" s="238">
        <v>7</v>
      </c>
      <c r="AL3" s="238">
        <v>8</v>
      </c>
      <c r="AM3" s="238">
        <v>9</v>
      </c>
      <c r="AR3" s="238">
        <v>1</v>
      </c>
      <c r="AS3" s="238">
        <v>2</v>
      </c>
      <c r="AT3" s="238">
        <v>3</v>
      </c>
      <c r="AU3" s="238">
        <v>4</v>
      </c>
      <c r="AV3" s="238">
        <v>5</v>
      </c>
      <c r="AW3" s="238">
        <v>6</v>
      </c>
      <c r="AX3" s="238">
        <v>7</v>
      </c>
      <c r="AY3" s="238">
        <v>8</v>
      </c>
      <c r="AZ3" s="238">
        <v>9</v>
      </c>
    </row>
    <row r="4" spans="1:52" ht="14.45" x14ac:dyDescent="0.3">
      <c r="B4" s="278" t="s">
        <v>1387</v>
      </c>
      <c r="C4" s="782"/>
      <c r="D4" s="280"/>
      <c r="E4" s="261"/>
      <c r="F4" s="261"/>
      <c r="G4" s="261"/>
      <c r="H4" s="261"/>
      <c r="I4" s="261"/>
      <c r="J4" s="261"/>
      <c r="K4" s="261"/>
      <c r="L4" s="261"/>
      <c r="M4" s="262"/>
      <c r="O4" s="278" t="s">
        <v>1387</v>
      </c>
      <c r="P4" s="782"/>
      <c r="Q4" s="280"/>
      <c r="R4" s="261"/>
      <c r="S4" s="261"/>
      <c r="T4" s="261"/>
      <c r="U4" s="261"/>
      <c r="V4" s="261"/>
      <c r="W4" s="261"/>
      <c r="X4" s="261"/>
      <c r="Y4" s="261"/>
      <c r="Z4" s="262"/>
      <c r="AB4" s="278" t="s">
        <v>1387</v>
      </c>
      <c r="AC4" s="782"/>
      <c r="AD4" s="280"/>
      <c r="AE4" s="261"/>
      <c r="AF4" s="261"/>
      <c r="AG4" s="261"/>
      <c r="AH4" s="261"/>
      <c r="AI4" s="261"/>
      <c r="AJ4" s="261"/>
      <c r="AK4" s="261"/>
      <c r="AL4" s="261"/>
      <c r="AM4" s="262"/>
      <c r="AO4" s="278" t="s">
        <v>1387</v>
      </c>
      <c r="AP4" s="782"/>
      <c r="AQ4" s="280"/>
      <c r="AR4" s="261"/>
      <c r="AS4" s="261"/>
      <c r="AT4" s="261"/>
      <c r="AU4" s="261"/>
      <c r="AV4" s="261"/>
      <c r="AW4" s="261"/>
      <c r="AX4" s="261"/>
      <c r="AY4" s="261"/>
      <c r="AZ4" s="262"/>
    </row>
    <row r="5" spans="1:52" ht="14.45" x14ac:dyDescent="0.3">
      <c r="A5" t="s">
        <v>1388</v>
      </c>
      <c r="B5" s="279"/>
      <c r="C5" s="783"/>
      <c r="D5" s="280" t="s">
        <v>185</v>
      </c>
      <c r="E5" s="261">
        <v>-2</v>
      </c>
      <c r="F5" s="261">
        <v>-2</v>
      </c>
      <c r="G5" s="261">
        <v>-1.5</v>
      </c>
      <c r="H5" s="261">
        <v>-2</v>
      </c>
      <c r="I5" s="261">
        <v>-2</v>
      </c>
      <c r="J5" s="261">
        <v>-1.5</v>
      </c>
      <c r="K5" s="261">
        <v>-2</v>
      </c>
      <c r="L5" s="261">
        <v>-2</v>
      </c>
      <c r="M5" s="262">
        <v>-1.5</v>
      </c>
      <c r="O5" s="279"/>
      <c r="P5" s="783"/>
      <c r="Q5" s="280" t="s">
        <v>185</v>
      </c>
      <c r="R5" s="261">
        <v>-3</v>
      </c>
      <c r="S5" s="261">
        <v>-3</v>
      </c>
      <c r="T5" s="261">
        <v>-2.5</v>
      </c>
      <c r="U5" s="261">
        <v>-3</v>
      </c>
      <c r="V5" s="261">
        <v>-3</v>
      </c>
      <c r="W5" s="261">
        <v>-2.5</v>
      </c>
      <c r="X5" s="261">
        <v>-3</v>
      </c>
      <c r="Y5" s="261">
        <v>-3</v>
      </c>
      <c r="Z5" s="262">
        <v>-2.5</v>
      </c>
      <c r="AB5" s="279"/>
      <c r="AC5" s="783"/>
      <c r="AD5" s="280" t="s">
        <v>185</v>
      </c>
      <c r="AE5" s="261">
        <v>0</v>
      </c>
      <c r="AF5" s="261">
        <v>0</v>
      </c>
      <c r="AG5" s="261">
        <v>0</v>
      </c>
      <c r="AH5" s="261">
        <v>0</v>
      </c>
      <c r="AI5" s="261">
        <v>0</v>
      </c>
      <c r="AJ5" s="261">
        <v>0</v>
      </c>
      <c r="AK5" s="261">
        <v>0</v>
      </c>
      <c r="AL5" s="261">
        <v>0</v>
      </c>
      <c r="AM5" s="262">
        <v>0</v>
      </c>
      <c r="AO5" s="279"/>
      <c r="AP5" s="783"/>
      <c r="AQ5" s="280" t="s">
        <v>185</v>
      </c>
      <c r="AR5" s="261">
        <v>-2</v>
      </c>
      <c r="AS5" s="261">
        <v>-2</v>
      </c>
      <c r="AT5" s="261">
        <v>-1.5</v>
      </c>
      <c r="AU5" s="261">
        <v>-2</v>
      </c>
      <c r="AV5" s="261">
        <v>-2</v>
      </c>
      <c r="AW5" s="261">
        <v>-1.5</v>
      </c>
      <c r="AX5" s="261">
        <v>-2</v>
      </c>
      <c r="AY5" s="261">
        <v>-2</v>
      </c>
      <c r="AZ5" s="262">
        <v>-1.5</v>
      </c>
    </row>
    <row r="6" spans="1:52" ht="14.45" x14ac:dyDescent="0.3">
      <c r="A6" t="s">
        <v>1389</v>
      </c>
      <c r="B6" s="279"/>
      <c r="C6" s="783"/>
      <c r="D6" s="280" t="s">
        <v>199</v>
      </c>
      <c r="E6" s="261">
        <v>-1.5</v>
      </c>
      <c r="F6" s="261">
        <v>-1.5</v>
      </c>
      <c r="G6" s="261">
        <v>-1</v>
      </c>
      <c r="H6" s="261">
        <v>-1.5</v>
      </c>
      <c r="I6" s="261">
        <v>-1.5</v>
      </c>
      <c r="J6" s="261">
        <v>-1</v>
      </c>
      <c r="K6" s="261">
        <v>-1</v>
      </c>
      <c r="L6" s="261">
        <v>-1</v>
      </c>
      <c r="M6" s="262">
        <v>-1</v>
      </c>
      <c r="O6" s="279"/>
      <c r="P6" s="783"/>
      <c r="Q6" s="280" t="s">
        <v>199</v>
      </c>
      <c r="R6" s="261">
        <v>-2.5</v>
      </c>
      <c r="S6" s="261">
        <v>-2.5</v>
      </c>
      <c r="T6" s="261">
        <v>-2</v>
      </c>
      <c r="U6" s="261">
        <v>-2.5</v>
      </c>
      <c r="V6" s="261">
        <v>-2.5</v>
      </c>
      <c r="W6" s="261">
        <v>-2</v>
      </c>
      <c r="X6" s="261">
        <v>-2</v>
      </c>
      <c r="Y6" s="261">
        <v>-2</v>
      </c>
      <c r="Z6" s="262">
        <v>-2</v>
      </c>
      <c r="AB6" s="279"/>
      <c r="AC6" s="783"/>
      <c r="AD6" s="280" t="s">
        <v>199</v>
      </c>
      <c r="AE6" s="261">
        <v>0</v>
      </c>
      <c r="AF6" s="261">
        <v>0</v>
      </c>
      <c r="AG6" s="261">
        <v>0</v>
      </c>
      <c r="AH6" s="261">
        <v>0</v>
      </c>
      <c r="AI6" s="261">
        <v>0</v>
      </c>
      <c r="AJ6" s="261">
        <v>0</v>
      </c>
      <c r="AK6" s="261">
        <v>0</v>
      </c>
      <c r="AL6" s="261">
        <v>0</v>
      </c>
      <c r="AM6" s="262">
        <v>0</v>
      </c>
      <c r="AO6" s="279"/>
      <c r="AP6" s="783"/>
      <c r="AQ6" s="280" t="s">
        <v>199</v>
      </c>
      <c r="AR6" s="261">
        <v>-1.5</v>
      </c>
      <c r="AS6" s="261">
        <v>-1.5</v>
      </c>
      <c r="AT6" s="261">
        <v>-1</v>
      </c>
      <c r="AU6" s="261">
        <v>-1.5</v>
      </c>
      <c r="AV6" s="261">
        <v>-1.5</v>
      </c>
      <c r="AW6" s="261">
        <v>-1</v>
      </c>
      <c r="AX6" s="261">
        <v>-1</v>
      </c>
      <c r="AY6" s="261">
        <v>-1</v>
      </c>
      <c r="AZ6" s="262">
        <v>-1</v>
      </c>
    </row>
    <row r="7" spans="1:52" ht="14.45" x14ac:dyDescent="0.3">
      <c r="A7" t="s">
        <v>1390</v>
      </c>
      <c r="B7" s="279"/>
      <c r="C7" s="783"/>
      <c r="D7" s="280" t="s">
        <v>204</v>
      </c>
      <c r="E7" s="261">
        <v>-1</v>
      </c>
      <c r="F7" s="261">
        <v>-1</v>
      </c>
      <c r="G7" s="261">
        <v>-0.5</v>
      </c>
      <c r="H7" s="261">
        <v>-1</v>
      </c>
      <c r="I7" s="261">
        <v>-1</v>
      </c>
      <c r="J7" s="261">
        <v>-0.5</v>
      </c>
      <c r="K7" s="261">
        <v>-1</v>
      </c>
      <c r="L7" s="261">
        <v>-1</v>
      </c>
      <c r="M7" s="262">
        <v>-0.5</v>
      </c>
      <c r="O7" s="279"/>
      <c r="P7" s="783"/>
      <c r="Q7" s="280" t="s">
        <v>204</v>
      </c>
      <c r="R7" s="261">
        <v>-2</v>
      </c>
      <c r="S7" s="261">
        <v>-2</v>
      </c>
      <c r="T7" s="261">
        <v>-1.5</v>
      </c>
      <c r="U7" s="261">
        <v>-2</v>
      </c>
      <c r="V7" s="261">
        <v>-2</v>
      </c>
      <c r="W7" s="261">
        <v>-1.5</v>
      </c>
      <c r="X7" s="261">
        <v>-2</v>
      </c>
      <c r="Y7" s="261">
        <v>-2</v>
      </c>
      <c r="Z7" s="262">
        <v>-1.5</v>
      </c>
      <c r="AB7" s="279"/>
      <c r="AC7" s="783"/>
      <c r="AD7" s="280" t="s">
        <v>204</v>
      </c>
      <c r="AE7" s="261">
        <v>0</v>
      </c>
      <c r="AF7" s="261">
        <v>0</v>
      </c>
      <c r="AG7" s="261">
        <v>0</v>
      </c>
      <c r="AH7" s="261">
        <v>0</v>
      </c>
      <c r="AI7" s="261">
        <v>0</v>
      </c>
      <c r="AJ7" s="261">
        <v>0</v>
      </c>
      <c r="AK7" s="261">
        <v>0</v>
      </c>
      <c r="AL7" s="261">
        <v>0</v>
      </c>
      <c r="AM7" s="262">
        <v>0</v>
      </c>
      <c r="AO7" s="279"/>
      <c r="AP7" s="783"/>
      <c r="AQ7" s="280" t="s">
        <v>204</v>
      </c>
      <c r="AR7" s="261">
        <v>-1</v>
      </c>
      <c r="AS7" s="261">
        <v>-1</v>
      </c>
      <c r="AT7" s="261">
        <v>-0.5</v>
      </c>
      <c r="AU7" s="261">
        <v>-1</v>
      </c>
      <c r="AV7" s="261">
        <v>-1</v>
      </c>
      <c r="AW7" s="261">
        <v>-0.5</v>
      </c>
      <c r="AX7" s="261">
        <v>-1</v>
      </c>
      <c r="AY7" s="261">
        <v>-1</v>
      </c>
      <c r="AZ7" s="262">
        <v>-0.5</v>
      </c>
    </row>
    <row r="8" spans="1:52" ht="14.45" x14ac:dyDescent="0.3">
      <c r="A8" t="s">
        <v>1391</v>
      </c>
      <c r="B8" s="281"/>
      <c r="C8" s="281"/>
      <c r="D8" s="282" t="s">
        <v>219</v>
      </c>
      <c r="E8" s="264">
        <v>-1</v>
      </c>
      <c r="F8" s="264">
        <v>-1</v>
      </c>
      <c r="G8" s="264">
        <v>-0.5</v>
      </c>
      <c r="H8" s="264">
        <v>-1</v>
      </c>
      <c r="I8" s="264">
        <v>-1</v>
      </c>
      <c r="J8" s="264">
        <v>-0.5</v>
      </c>
      <c r="K8" s="264">
        <v>0</v>
      </c>
      <c r="L8" s="264">
        <v>0</v>
      </c>
      <c r="M8" s="265">
        <v>0</v>
      </c>
      <c r="O8" s="281"/>
      <c r="P8" s="281"/>
      <c r="Q8" s="282" t="s">
        <v>219</v>
      </c>
      <c r="R8" s="264">
        <v>-2</v>
      </c>
      <c r="S8" s="264">
        <v>-2</v>
      </c>
      <c r="T8" s="264">
        <v>-1.5</v>
      </c>
      <c r="U8" s="264">
        <v>-2</v>
      </c>
      <c r="V8" s="264">
        <v>-2</v>
      </c>
      <c r="W8" s="264">
        <v>-1.5</v>
      </c>
      <c r="X8" s="264">
        <v>-1</v>
      </c>
      <c r="Y8" s="264">
        <v>-1</v>
      </c>
      <c r="Z8" s="265">
        <v>-1</v>
      </c>
      <c r="AB8" s="281"/>
      <c r="AC8" s="281"/>
      <c r="AD8" s="282" t="s">
        <v>219</v>
      </c>
      <c r="AE8" s="261">
        <v>0</v>
      </c>
      <c r="AF8" s="264">
        <v>0</v>
      </c>
      <c r="AG8" s="264">
        <v>0</v>
      </c>
      <c r="AH8" s="264">
        <v>0</v>
      </c>
      <c r="AI8" s="264">
        <v>0</v>
      </c>
      <c r="AJ8" s="264">
        <v>0</v>
      </c>
      <c r="AK8" s="264">
        <v>0</v>
      </c>
      <c r="AL8" s="264">
        <v>0</v>
      </c>
      <c r="AM8" s="265">
        <v>0</v>
      </c>
      <c r="AO8" s="281"/>
      <c r="AP8" s="281"/>
      <c r="AQ8" s="282" t="s">
        <v>219</v>
      </c>
      <c r="AR8" s="264">
        <v>-1</v>
      </c>
      <c r="AS8" s="264">
        <v>-1</v>
      </c>
      <c r="AT8" s="264">
        <v>-0.5</v>
      </c>
      <c r="AU8" s="264">
        <v>-1</v>
      </c>
      <c r="AV8" s="264">
        <v>-1</v>
      </c>
      <c r="AW8" s="264">
        <v>-0.5</v>
      </c>
      <c r="AX8" s="264">
        <v>0</v>
      </c>
      <c r="AY8" s="264">
        <v>0</v>
      </c>
      <c r="AZ8" s="265">
        <v>0</v>
      </c>
    </row>
    <row r="9" spans="1:52" ht="14.45" x14ac:dyDescent="0.3">
      <c r="B9" s="239" t="s">
        <v>175</v>
      </c>
      <c r="C9" s="275"/>
      <c r="D9" s="276"/>
      <c r="E9" s="283"/>
      <c r="F9" s="283"/>
      <c r="G9" s="283"/>
      <c r="H9" s="283"/>
      <c r="I9" s="283"/>
      <c r="J9" s="283"/>
      <c r="K9" s="283"/>
      <c r="L9" s="283"/>
      <c r="M9" s="284"/>
      <c r="O9" s="239" t="s">
        <v>175</v>
      </c>
      <c r="P9" s="275"/>
      <c r="Q9" s="276"/>
      <c r="R9" s="276"/>
      <c r="S9" s="276"/>
      <c r="T9" s="276"/>
      <c r="U9" s="276"/>
      <c r="V9" s="276"/>
      <c r="W9" s="276"/>
      <c r="X9" s="276"/>
      <c r="Y9" s="276"/>
      <c r="Z9" s="277"/>
      <c r="AB9" s="239" t="s">
        <v>175</v>
      </c>
      <c r="AC9" s="275"/>
      <c r="AD9" s="276"/>
      <c r="AE9" s="276"/>
      <c r="AF9" s="276"/>
      <c r="AG9" s="276"/>
      <c r="AH9" s="276"/>
      <c r="AI9" s="276"/>
      <c r="AJ9" s="276"/>
      <c r="AK9" s="276"/>
      <c r="AL9" s="276"/>
      <c r="AM9" s="277"/>
      <c r="AO9" s="239" t="s">
        <v>175</v>
      </c>
      <c r="AP9" s="275"/>
      <c r="AQ9" s="276"/>
      <c r="AR9" s="283"/>
      <c r="AS9" s="283"/>
      <c r="AT9" s="283"/>
      <c r="AU9" s="283"/>
      <c r="AV9" s="283"/>
      <c r="AW9" s="283"/>
      <c r="AX9" s="283"/>
      <c r="AY9" s="283"/>
      <c r="AZ9" s="284"/>
    </row>
    <row r="10" spans="1:52" ht="14.45" x14ac:dyDescent="0.3">
      <c r="B10" s="244"/>
      <c r="C10" s="278" t="s">
        <v>207</v>
      </c>
      <c r="D10" s="280"/>
      <c r="E10" s="261"/>
      <c r="F10" s="261"/>
      <c r="G10" s="261"/>
      <c r="H10" s="261"/>
      <c r="I10" s="261"/>
      <c r="J10" s="261"/>
      <c r="K10" s="261"/>
      <c r="L10" s="261"/>
      <c r="M10" s="262"/>
      <c r="O10" s="244"/>
      <c r="P10" s="278" t="s">
        <v>207</v>
      </c>
      <c r="Q10" s="280"/>
      <c r="R10" s="261"/>
      <c r="S10" s="261"/>
      <c r="T10" s="261"/>
      <c r="U10" s="261"/>
      <c r="V10" s="261"/>
      <c r="W10" s="261"/>
      <c r="X10" s="261"/>
      <c r="Y10" s="261"/>
      <c r="Z10" s="262"/>
      <c r="AB10" s="244"/>
      <c r="AC10" s="278" t="s">
        <v>207</v>
      </c>
      <c r="AD10" s="280"/>
      <c r="AE10" s="261"/>
      <c r="AF10" s="261"/>
      <c r="AG10" s="261"/>
      <c r="AH10" s="261"/>
      <c r="AI10" s="261"/>
      <c r="AJ10" s="261"/>
      <c r="AK10" s="261"/>
      <c r="AL10" s="261"/>
      <c r="AM10" s="262"/>
      <c r="AO10" s="244"/>
      <c r="AP10" s="278" t="s">
        <v>207</v>
      </c>
      <c r="AQ10" s="280"/>
      <c r="AR10" s="261"/>
      <c r="AS10" s="261"/>
      <c r="AT10" s="261"/>
      <c r="AU10" s="261"/>
      <c r="AV10" s="261"/>
      <c r="AW10" s="261"/>
      <c r="AX10" s="261"/>
      <c r="AY10" s="261"/>
      <c r="AZ10" s="262"/>
    </row>
    <row r="11" spans="1:52" ht="14.45" x14ac:dyDescent="0.3">
      <c r="A11" t="s">
        <v>1199</v>
      </c>
      <c r="B11" s="244"/>
      <c r="C11" s="279"/>
      <c r="D11" s="280" t="s">
        <v>185</v>
      </c>
      <c r="E11" s="261">
        <v>-4</v>
      </c>
      <c r="F11" s="261">
        <v>-4</v>
      </c>
      <c r="G11" s="261">
        <v>-3</v>
      </c>
      <c r="H11" s="261">
        <v>-4</v>
      </c>
      <c r="I11" s="261">
        <v>-4</v>
      </c>
      <c r="J11" s="261">
        <v>-3</v>
      </c>
      <c r="K11" s="261">
        <v>-4</v>
      </c>
      <c r="L11" s="261">
        <v>-4</v>
      </c>
      <c r="M11" s="262">
        <v>-3</v>
      </c>
      <c r="O11" s="244"/>
      <c r="P11" s="279"/>
      <c r="Q11" s="280" t="s">
        <v>185</v>
      </c>
      <c r="R11" s="261">
        <v>-6</v>
      </c>
      <c r="S11" s="261">
        <v>-6</v>
      </c>
      <c r="T11" s="261">
        <v>-5</v>
      </c>
      <c r="U11" s="261">
        <v>-6</v>
      </c>
      <c r="V11" s="261">
        <v>-6</v>
      </c>
      <c r="W11" s="261">
        <v>-5</v>
      </c>
      <c r="X11" s="261">
        <v>-6</v>
      </c>
      <c r="Y11" s="261">
        <v>-6</v>
      </c>
      <c r="Z11" s="262">
        <v>-5</v>
      </c>
      <c r="AB11" s="244"/>
      <c r="AC11" s="279"/>
      <c r="AD11" s="280" t="s">
        <v>185</v>
      </c>
      <c r="AE11" s="261">
        <v>-3</v>
      </c>
      <c r="AF11" s="261">
        <f>AE11</f>
        <v>-3</v>
      </c>
      <c r="AG11" s="261">
        <f>AF11</f>
        <v>-3</v>
      </c>
      <c r="AH11" s="261">
        <v>-3</v>
      </c>
      <c r="AI11" s="261">
        <f t="shared" ref="AI11:AJ14" si="0">AH11</f>
        <v>-3</v>
      </c>
      <c r="AJ11" s="261">
        <f t="shared" si="0"/>
        <v>-3</v>
      </c>
      <c r="AK11" s="261">
        <v>-2</v>
      </c>
      <c r="AL11" s="261">
        <f t="shared" ref="AL11:AM14" si="1">AK11</f>
        <v>-2</v>
      </c>
      <c r="AM11" s="262">
        <f t="shared" si="1"/>
        <v>-2</v>
      </c>
      <c r="AO11" s="244"/>
      <c r="AP11" s="279"/>
      <c r="AQ11" s="280" t="s">
        <v>185</v>
      </c>
      <c r="AR11" s="261">
        <v>-4</v>
      </c>
      <c r="AS11" s="261">
        <v>-4</v>
      </c>
      <c r="AT11" s="261">
        <v>-3</v>
      </c>
      <c r="AU11" s="261">
        <v>-4</v>
      </c>
      <c r="AV11" s="261">
        <v>-4</v>
      </c>
      <c r="AW11" s="261">
        <v>-3</v>
      </c>
      <c r="AX11" s="261">
        <v>-4</v>
      </c>
      <c r="AY11" s="261">
        <v>-4</v>
      </c>
      <c r="AZ11" s="262">
        <v>-3</v>
      </c>
    </row>
    <row r="12" spans="1:52" ht="14.45" x14ac:dyDescent="0.3">
      <c r="A12" t="s">
        <v>1200</v>
      </c>
      <c r="B12" s="244"/>
      <c r="C12" s="279"/>
      <c r="D12" s="280" t="s">
        <v>199</v>
      </c>
      <c r="E12" s="261">
        <v>-3</v>
      </c>
      <c r="F12" s="261">
        <v>-3</v>
      </c>
      <c r="G12" s="261">
        <v>-2</v>
      </c>
      <c r="H12" s="261">
        <v>-3</v>
      </c>
      <c r="I12" s="261">
        <v>-3</v>
      </c>
      <c r="J12" s="261">
        <v>-2</v>
      </c>
      <c r="K12" s="261">
        <v>-2</v>
      </c>
      <c r="L12" s="261">
        <v>-2</v>
      </c>
      <c r="M12" s="262">
        <v>-1</v>
      </c>
      <c r="O12" s="244"/>
      <c r="P12" s="279"/>
      <c r="Q12" s="280" t="s">
        <v>199</v>
      </c>
      <c r="R12" s="261">
        <v>-5</v>
      </c>
      <c r="S12" s="261">
        <v>-5</v>
      </c>
      <c r="T12" s="261">
        <v>-4</v>
      </c>
      <c r="U12" s="261">
        <v>-5</v>
      </c>
      <c r="V12" s="261">
        <v>-5</v>
      </c>
      <c r="W12" s="261">
        <v>-4</v>
      </c>
      <c r="X12" s="261">
        <v>-4</v>
      </c>
      <c r="Y12" s="261">
        <v>-4</v>
      </c>
      <c r="Z12" s="262">
        <v>-3</v>
      </c>
      <c r="AB12" s="244"/>
      <c r="AC12" s="279"/>
      <c r="AD12" s="280" t="s">
        <v>199</v>
      </c>
      <c r="AE12" s="261">
        <v>-3</v>
      </c>
      <c r="AF12" s="261">
        <f t="shared" ref="AF12:AF14" si="2">AE12</f>
        <v>-3</v>
      </c>
      <c r="AG12" s="261">
        <f t="shared" ref="AG12" si="3">AF12</f>
        <v>-3</v>
      </c>
      <c r="AH12" s="261">
        <v>-3</v>
      </c>
      <c r="AI12" s="261">
        <f t="shared" si="0"/>
        <v>-3</v>
      </c>
      <c r="AJ12" s="261">
        <f t="shared" si="0"/>
        <v>-3</v>
      </c>
      <c r="AK12" s="261">
        <v>-2</v>
      </c>
      <c r="AL12" s="261">
        <f t="shared" si="1"/>
        <v>-2</v>
      </c>
      <c r="AM12" s="262">
        <f t="shared" si="1"/>
        <v>-2</v>
      </c>
      <c r="AO12" s="244"/>
      <c r="AP12" s="279"/>
      <c r="AQ12" s="280" t="s">
        <v>199</v>
      </c>
      <c r="AR12" s="261">
        <v>-3</v>
      </c>
      <c r="AS12" s="261">
        <v>-3</v>
      </c>
      <c r="AT12" s="261">
        <v>-2</v>
      </c>
      <c r="AU12" s="261">
        <v>-3</v>
      </c>
      <c r="AV12" s="261">
        <v>-3</v>
      </c>
      <c r="AW12" s="261">
        <v>-2</v>
      </c>
      <c r="AX12" s="261">
        <v>-2</v>
      </c>
      <c r="AY12" s="261">
        <v>-2</v>
      </c>
      <c r="AZ12" s="262">
        <v>-1</v>
      </c>
    </row>
    <row r="13" spans="1:52" ht="14.45" x14ac:dyDescent="0.3">
      <c r="A13" t="s">
        <v>1384</v>
      </c>
      <c r="B13" s="674"/>
      <c r="C13" s="279"/>
      <c r="D13" s="280" t="s">
        <v>204</v>
      </c>
      <c r="E13" s="261">
        <v>-2</v>
      </c>
      <c r="F13" s="261">
        <v>-2</v>
      </c>
      <c r="G13" s="261">
        <v>-1</v>
      </c>
      <c r="H13" s="261">
        <v>-2</v>
      </c>
      <c r="I13" s="261">
        <v>-2</v>
      </c>
      <c r="J13" s="261">
        <v>-1</v>
      </c>
      <c r="K13" s="261">
        <v>-1</v>
      </c>
      <c r="L13" s="261">
        <v>-1</v>
      </c>
      <c r="M13" s="262">
        <v>0</v>
      </c>
      <c r="O13" s="674"/>
      <c r="P13" s="279"/>
      <c r="Q13" s="280" t="s">
        <v>204</v>
      </c>
      <c r="R13" s="261">
        <v>-4</v>
      </c>
      <c r="S13" s="261">
        <v>-4</v>
      </c>
      <c r="T13" s="261">
        <v>-3</v>
      </c>
      <c r="U13" s="261">
        <v>-4</v>
      </c>
      <c r="V13" s="261">
        <v>-4</v>
      </c>
      <c r="W13" s="261">
        <v>-3</v>
      </c>
      <c r="X13" s="261">
        <v>-3</v>
      </c>
      <c r="Y13" s="261">
        <v>-3</v>
      </c>
      <c r="Z13" s="262">
        <v>-2</v>
      </c>
      <c r="AB13" s="674"/>
      <c r="AC13" s="279"/>
      <c r="AD13" s="280" t="s">
        <v>204</v>
      </c>
      <c r="AE13" s="815"/>
      <c r="AF13" s="815"/>
      <c r="AG13" s="815"/>
      <c r="AH13" s="815"/>
      <c r="AI13" s="815"/>
      <c r="AJ13" s="815"/>
      <c r="AK13" s="815"/>
      <c r="AL13" s="815"/>
      <c r="AM13" s="816"/>
      <c r="AO13" s="674"/>
      <c r="AP13" s="279"/>
      <c r="AQ13" s="280" t="s">
        <v>204</v>
      </c>
      <c r="AR13" s="261">
        <v>-2</v>
      </c>
      <c r="AS13" s="261">
        <v>-2</v>
      </c>
      <c r="AT13" s="261">
        <v>-1</v>
      </c>
      <c r="AU13" s="261">
        <v>-2</v>
      </c>
      <c r="AV13" s="261">
        <v>-2</v>
      </c>
      <c r="AW13" s="261">
        <v>-1</v>
      </c>
      <c r="AX13" s="261">
        <v>-1</v>
      </c>
      <c r="AY13" s="261">
        <v>-1</v>
      </c>
      <c r="AZ13" s="262">
        <v>0</v>
      </c>
    </row>
    <row r="14" spans="1:52" ht="14.45" x14ac:dyDescent="0.3">
      <c r="A14" t="s">
        <v>1201</v>
      </c>
      <c r="B14" s="244"/>
      <c r="C14" s="281"/>
      <c r="D14" s="280" t="s">
        <v>219</v>
      </c>
      <c r="E14" s="261">
        <v>-1.5</v>
      </c>
      <c r="F14" s="261">
        <v>-1.5</v>
      </c>
      <c r="G14" s="261">
        <v>-1</v>
      </c>
      <c r="H14" s="261">
        <v>-1.5</v>
      </c>
      <c r="I14" s="261">
        <v>-1.5</v>
      </c>
      <c r="J14" s="261">
        <v>-1</v>
      </c>
      <c r="K14" s="261">
        <v>-0.5</v>
      </c>
      <c r="L14" s="261">
        <v>-0.5</v>
      </c>
      <c r="M14" s="262">
        <v>0</v>
      </c>
      <c r="O14" s="244"/>
      <c r="P14" s="281"/>
      <c r="Q14" s="280" t="s">
        <v>219</v>
      </c>
      <c r="R14" s="261">
        <v>-3.5</v>
      </c>
      <c r="S14" s="261">
        <v>-3.5</v>
      </c>
      <c r="T14" s="261">
        <v>-3</v>
      </c>
      <c r="U14" s="261">
        <v>-3.5</v>
      </c>
      <c r="V14" s="261">
        <v>-3.5</v>
      </c>
      <c r="W14" s="261">
        <v>-3</v>
      </c>
      <c r="X14" s="261">
        <v>-2.5</v>
      </c>
      <c r="Y14" s="261">
        <v>-2.5</v>
      </c>
      <c r="Z14" s="262">
        <v>-2</v>
      </c>
      <c r="AB14" s="244"/>
      <c r="AC14" s="281"/>
      <c r="AD14" s="280" t="s">
        <v>219</v>
      </c>
      <c r="AE14" s="261">
        <v>-2</v>
      </c>
      <c r="AF14" s="261">
        <f t="shared" si="2"/>
        <v>-2</v>
      </c>
      <c r="AG14" s="261">
        <f t="shared" ref="AG14" si="4">AF14</f>
        <v>-2</v>
      </c>
      <c r="AH14" s="261">
        <v>-2</v>
      </c>
      <c r="AI14" s="261">
        <f t="shared" si="0"/>
        <v>-2</v>
      </c>
      <c r="AJ14" s="261">
        <f t="shared" si="0"/>
        <v>-2</v>
      </c>
      <c r="AK14" s="261">
        <v>-2</v>
      </c>
      <c r="AL14" s="261">
        <f t="shared" si="1"/>
        <v>-2</v>
      </c>
      <c r="AM14" s="262">
        <f t="shared" si="1"/>
        <v>-2</v>
      </c>
      <c r="AO14" s="244"/>
      <c r="AP14" s="281"/>
      <c r="AQ14" s="280" t="s">
        <v>219</v>
      </c>
      <c r="AR14" s="261">
        <v>-1.5</v>
      </c>
      <c r="AS14" s="261">
        <v>-1.5</v>
      </c>
      <c r="AT14" s="261">
        <v>-1</v>
      </c>
      <c r="AU14" s="261">
        <v>-1.5</v>
      </c>
      <c r="AV14" s="261">
        <v>-1.5</v>
      </c>
      <c r="AW14" s="261">
        <v>-1</v>
      </c>
      <c r="AX14" s="261">
        <v>-0.5</v>
      </c>
      <c r="AY14" s="261">
        <v>-0.5</v>
      </c>
      <c r="AZ14" s="262">
        <v>0</v>
      </c>
    </row>
    <row r="15" spans="1:52" ht="14.45" x14ac:dyDescent="0.3">
      <c r="B15" s="244"/>
      <c r="C15" s="278" t="s">
        <v>57</v>
      </c>
      <c r="D15" s="280"/>
      <c r="E15" s="261"/>
      <c r="F15" s="261"/>
      <c r="G15" s="261"/>
      <c r="H15" s="261"/>
      <c r="I15" s="261"/>
      <c r="J15" s="261"/>
      <c r="K15" s="261"/>
      <c r="L15" s="261"/>
      <c r="M15" s="262"/>
      <c r="O15" s="244"/>
      <c r="P15" s="278" t="s">
        <v>57</v>
      </c>
      <c r="Q15" s="280"/>
      <c r="R15" s="261"/>
      <c r="S15" s="261"/>
      <c r="T15" s="261"/>
      <c r="U15" s="261"/>
      <c r="V15" s="261"/>
      <c r="W15" s="261"/>
      <c r="X15" s="261"/>
      <c r="Y15" s="261"/>
      <c r="Z15" s="262"/>
      <c r="AB15" s="244"/>
      <c r="AC15" s="278" t="s">
        <v>57</v>
      </c>
      <c r="AD15" s="280"/>
      <c r="AE15" s="261"/>
      <c r="AF15" s="261"/>
      <c r="AG15" s="261"/>
      <c r="AH15" s="261"/>
      <c r="AI15" s="261"/>
      <c r="AJ15" s="261"/>
      <c r="AK15" s="261"/>
      <c r="AL15" s="261"/>
      <c r="AM15" s="262"/>
      <c r="AO15" s="244"/>
      <c r="AP15" s="278" t="s">
        <v>57</v>
      </c>
      <c r="AQ15" s="280"/>
      <c r="AR15" s="261"/>
      <c r="AS15" s="261"/>
      <c r="AT15" s="261"/>
      <c r="AU15" s="261"/>
      <c r="AV15" s="261"/>
      <c r="AW15" s="261"/>
      <c r="AX15" s="261"/>
      <c r="AY15" s="261"/>
      <c r="AZ15" s="262"/>
    </row>
    <row r="16" spans="1:52" ht="14.45" x14ac:dyDescent="0.3">
      <c r="A16" t="s">
        <v>1202</v>
      </c>
      <c r="B16" s="244"/>
      <c r="C16" s="279"/>
      <c r="D16" s="280" t="s">
        <v>185</v>
      </c>
      <c r="E16" s="261">
        <v>-6</v>
      </c>
      <c r="F16" s="261">
        <v>-6</v>
      </c>
      <c r="G16" s="261">
        <v>-5</v>
      </c>
      <c r="H16" s="261">
        <v>-6</v>
      </c>
      <c r="I16" s="261">
        <v>-6</v>
      </c>
      <c r="J16" s="261">
        <v>-5</v>
      </c>
      <c r="K16" s="261">
        <v>-6</v>
      </c>
      <c r="L16" s="261">
        <v>-6</v>
      </c>
      <c r="M16" s="262">
        <v>-5</v>
      </c>
      <c r="O16" s="244"/>
      <c r="P16" s="279"/>
      <c r="Q16" s="280" t="s">
        <v>185</v>
      </c>
      <c r="R16" s="261">
        <v>-8</v>
      </c>
      <c r="S16" s="261">
        <v>-8</v>
      </c>
      <c r="T16" s="261">
        <v>-7</v>
      </c>
      <c r="U16" s="261">
        <v>-8</v>
      </c>
      <c r="V16" s="261">
        <v>-8</v>
      </c>
      <c r="W16" s="261">
        <v>-7</v>
      </c>
      <c r="X16" s="261">
        <v>-8</v>
      </c>
      <c r="Y16" s="261">
        <v>-8</v>
      </c>
      <c r="Z16" s="262">
        <v>-7</v>
      </c>
      <c r="AB16" s="244"/>
      <c r="AC16" s="279"/>
      <c r="AD16" s="280" t="s">
        <v>185</v>
      </c>
      <c r="AE16" s="261">
        <v>-8</v>
      </c>
      <c r="AF16" s="261">
        <f>AE16</f>
        <v>-8</v>
      </c>
      <c r="AG16" s="261">
        <f>AF16</f>
        <v>-8</v>
      </c>
      <c r="AH16" s="261">
        <v>-8</v>
      </c>
      <c r="AI16" s="261">
        <f t="shared" ref="AI16:AJ19" si="5">AH16</f>
        <v>-8</v>
      </c>
      <c r="AJ16" s="261">
        <f t="shared" si="5"/>
        <v>-8</v>
      </c>
      <c r="AK16" s="261">
        <v>-8</v>
      </c>
      <c r="AL16" s="261">
        <f t="shared" ref="AL16:AM19" si="6">AK16</f>
        <v>-8</v>
      </c>
      <c r="AM16" s="262">
        <f t="shared" si="6"/>
        <v>-8</v>
      </c>
      <c r="AO16" s="244"/>
      <c r="AP16" s="279"/>
      <c r="AQ16" s="280" t="s">
        <v>185</v>
      </c>
      <c r="AR16" s="261">
        <v>-6</v>
      </c>
      <c r="AS16" s="261">
        <v>-6</v>
      </c>
      <c r="AT16" s="261">
        <v>-5</v>
      </c>
      <c r="AU16" s="261">
        <v>-6</v>
      </c>
      <c r="AV16" s="261">
        <v>-6</v>
      </c>
      <c r="AW16" s="261">
        <v>-5</v>
      </c>
      <c r="AX16" s="261">
        <v>-6</v>
      </c>
      <c r="AY16" s="261">
        <v>-6</v>
      </c>
      <c r="AZ16" s="262">
        <v>-5</v>
      </c>
    </row>
    <row r="17" spans="1:52" ht="14.45" x14ac:dyDescent="0.3">
      <c r="A17" t="s">
        <v>1203</v>
      </c>
      <c r="B17" s="244"/>
      <c r="C17" s="279"/>
      <c r="D17" s="280" t="s">
        <v>199</v>
      </c>
      <c r="E17" s="261">
        <v>-5</v>
      </c>
      <c r="F17" s="261">
        <v>-5</v>
      </c>
      <c r="G17" s="261">
        <v>-4</v>
      </c>
      <c r="H17" s="261">
        <v>-5</v>
      </c>
      <c r="I17" s="261">
        <v>-5</v>
      </c>
      <c r="J17" s="261">
        <v>-4</v>
      </c>
      <c r="K17" s="261">
        <v>-4</v>
      </c>
      <c r="L17" s="261">
        <v>-4</v>
      </c>
      <c r="M17" s="262">
        <v>-3</v>
      </c>
      <c r="O17" s="244"/>
      <c r="P17" s="279"/>
      <c r="Q17" s="280" t="s">
        <v>199</v>
      </c>
      <c r="R17" s="261">
        <v>-7</v>
      </c>
      <c r="S17" s="261">
        <v>-7</v>
      </c>
      <c r="T17" s="261">
        <v>-6</v>
      </c>
      <c r="U17" s="261">
        <v>-7</v>
      </c>
      <c r="V17" s="261">
        <v>-7</v>
      </c>
      <c r="W17" s="261">
        <v>-6</v>
      </c>
      <c r="X17" s="261">
        <v>-6</v>
      </c>
      <c r="Y17" s="261">
        <v>-6</v>
      </c>
      <c r="Z17" s="262">
        <v>-5</v>
      </c>
      <c r="AB17" s="244"/>
      <c r="AC17" s="279"/>
      <c r="AD17" s="280" t="s">
        <v>199</v>
      </c>
      <c r="AE17" s="261">
        <v>-8</v>
      </c>
      <c r="AF17" s="261">
        <f t="shared" ref="AF17:AF19" si="7">AE17</f>
        <v>-8</v>
      </c>
      <c r="AG17" s="261">
        <f t="shared" ref="AG17" si="8">AF17</f>
        <v>-8</v>
      </c>
      <c r="AH17" s="261">
        <v>-8</v>
      </c>
      <c r="AI17" s="261">
        <f t="shared" si="5"/>
        <v>-8</v>
      </c>
      <c r="AJ17" s="261">
        <f t="shared" si="5"/>
        <v>-8</v>
      </c>
      <c r="AK17" s="261">
        <v>-7</v>
      </c>
      <c r="AL17" s="261">
        <f t="shared" si="6"/>
        <v>-7</v>
      </c>
      <c r="AM17" s="262">
        <f t="shared" si="6"/>
        <v>-7</v>
      </c>
      <c r="AO17" s="244"/>
      <c r="AP17" s="279"/>
      <c r="AQ17" s="280" t="s">
        <v>199</v>
      </c>
      <c r="AR17" s="261">
        <v>-5</v>
      </c>
      <c r="AS17" s="261">
        <v>-5</v>
      </c>
      <c r="AT17" s="261">
        <v>-4</v>
      </c>
      <c r="AU17" s="261">
        <v>-5</v>
      </c>
      <c r="AV17" s="261">
        <v>-5</v>
      </c>
      <c r="AW17" s="261">
        <v>-4</v>
      </c>
      <c r="AX17" s="261">
        <v>-4</v>
      </c>
      <c r="AY17" s="261">
        <v>-4</v>
      </c>
      <c r="AZ17" s="262">
        <v>-3</v>
      </c>
    </row>
    <row r="18" spans="1:52" ht="14.45" x14ac:dyDescent="0.3">
      <c r="A18" t="s">
        <v>1385</v>
      </c>
      <c r="B18" s="674"/>
      <c r="C18" s="279"/>
      <c r="D18" s="280" t="s">
        <v>204</v>
      </c>
      <c r="E18" s="261">
        <v>-4</v>
      </c>
      <c r="F18" s="261">
        <v>-4</v>
      </c>
      <c r="G18" s="261">
        <v>-3</v>
      </c>
      <c r="H18" s="261">
        <v>-4</v>
      </c>
      <c r="I18" s="261">
        <v>-4</v>
      </c>
      <c r="J18" s="261">
        <v>-3</v>
      </c>
      <c r="K18" s="261">
        <v>-3</v>
      </c>
      <c r="L18" s="261">
        <v>-3</v>
      </c>
      <c r="M18" s="262">
        <v>-2</v>
      </c>
      <c r="O18" s="674"/>
      <c r="P18" s="279"/>
      <c r="Q18" s="280" t="s">
        <v>204</v>
      </c>
      <c r="R18" s="261">
        <v>-6</v>
      </c>
      <c r="S18" s="261">
        <v>-6</v>
      </c>
      <c r="T18" s="261">
        <v>-5</v>
      </c>
      <c r="U18" s="261">
        <v>-6</v>
      </c>
      <c r="V18" s="261">
        <v>-6</v>
      </c>
      <c r="W18" s="261">
        <v>-5</v>
      </c>
      <c r="X18" s="261">
        <v>-5</v>
      </c>
      <c r="Y18" s="261">
        <v>-5</v>
      </c>
      <c r="Z18" s="262">
        <v>-4</v>
      </c>
      <c r="AB18" s="674"/>
      <c r="AC18" s="279"/>
      <c r="AD18" s="280" t="s">
        <v>204</v>
      </c>
      <c r="AE18" s="815"/>
      <c r="AF18" s="815"/>
      <c r="AG18" s="815"/>
      <c r="AH18" s="815"/>
      <c r="AI18" s="815"/>
      <c r="AJ18" s="815"/>
      <c r="AK18" s="815"/>
      <c r="AL18" s="815"/>
      <c r="AM18" s="816"/>
      <c r="AO18" s="674"/>
      <c r="AP18" s="279"/>
      <c r="AQ18" s="280" t="s">
        <v>204</v>
      </c>
      <c r="AR18" s="261">
        <v>-4</v>
      </c>
      <c r="AS18" s="261">
        <v>-4</v>
      </c>
      <c r="AT18" s="261">
        <v>-3</v>
      </c>
      <c r="AU18" s="261">
        <v>-4</v>
      </c>
      <c r="AV18" s="261">
        <v>-4</v>
      </c>
      <c r="AW18" s="261">
        <v>-3</v>
      </c>
      <c r="AX18" s="261">
        <v>-3</v>
      </c>
      <c r="AY18" s="261">
        <v>-3</v>
      </c>
      <c r="AZ18" s="262">
        <v>-2</v>
      </c>
    </row>
    <row r="19" spans="1:52" ht="14.45" x14ac:dyDescent="0.3">
      <c r="A19" t="s">
        <v>1204</v>
      </c>
      <c r="B19" s="244"/>
      <c r="C19" s="281"/>
      <c r="D19" s="280" t="s">
        <v>219</v>
      </c>
      <c r="E19" s="261">
        <v>-3.5</v>
      </c>
      <c r="F19" s="261">
        <v>-3.5</v>
      </c>
      <c r="G19" s="261">
        <v>-2.5</v>
      </c>
      <c r="H19" s="261">
        <v>-3.5</v>
      </c>
      <c r="I19" s="261">
        <v>-3.5</v>
      </c>
      <c r="J19" s="261">
        <v>-2.5</v>
      </c>
      <c r="K19" s="261">
        <v>-2.5</v>
      </c>
      <c r="L19" s="261">
        <v>-2.5</v>
      </c>
      <c r="M19" s="262">
        <v>-1.5</v>
      </c>
      <c r="O19" s="244"/>
      <c r="P19" s="281"/>
      <c r="Q19" s="280" t="s">
        <v>219</v>
      </c>
      <c r="R19" s="261">
        <v>-5.5</v>
      </c>
      <c r="S19" s="261">
        <v>-5.5</v>
      </c>
      <c r="T19" s="261">
        <v>-4.5</v>
      </c>
      <c r="U19" s="261">
        <v>-5.5</v>
      </c>
      <c r="V19" s="261">
        <v>-5.5</v>
      </c>
      <c r="W19" s="261">
        <v>-4.5</v>
      </c>
      <c r="X19" s="261">
        <v>-4.5</v>
      </c>
      <c r="Y19" s="261">
        <v>-4.5</v>
      </c>
      <c r="Z19" s="262">
        <v>-3.5</v>
      </c>
      <c r="AB19" s="244"/>
      <c r="AC19" s="281"/>
      <c r="AD19" s="280" t="s">
        <v>219</v>
      </c>
      <c r="AE19" s="261">
        <v>-6</v>
      </c>
      <c r="AF19" s="261">
        <f t="shared" si="7"/>
        <v>-6</v>
      </c>
      <c r="AG19" s="261">
        <f t="shared" ref="AG19" si="9">AF19</f>
        <v>-6</v>
      </c>
      <c r="AH19" s="261">
        <v>-6</v>
      </c>
      <c r="AI19" s="261">
        <f t="shared" si="5"/>
        <v>-6</v>
      </c>
      <c r="AJ19" s="261">
        <f t="shared" si="5"/>
        <v>-6</v>
      </c>
      <c r="AK19" s="261">
        <v>-5</v>
      </c>
      <c r="AL19" s="261">
        <f t="shared" si="6"/>
        <v>-5</v>
      </c>
      <c r="AM19" s="262">
        <f t="shared" si="6"/>
        <v>-5</v>
      </c>
      <c r="AO19" s="244"/>
      <c r="AP19" s="281"/>
      <c r="AQ19" s="280" t="s">
        <v>219</v>
      </c>
      <c r="AR19" s="261">
        <v>-3.5</v>
      </c>
      <c r="AS19" s="261">
        <v>-3.5</v>
      </c>
      <c r="AT19" s="261">
        <v>-2.5</v>
      </c>
      <c r="AU19" s="261">
        <v>-3.5</v>
      </c>
      <c r="AV19" s="261">
        <v>-3.5</v>
      </c>
      <c r="AW19" s="261">
        <v>-2.5</v>
      </c>
      <c r="AX19" s="261">
        <v>-2.5</v>
      </c>
      <c r="AY19" s="261">
        <v>-2.5</v>
      </c>
      <c r="AZ19" s="262">
        <v>-1.5</v>
      </c>
    </row>
    <row r="20" spans="1:52" ht="14.45" x14ac:dyDescent="0.3">
      <c r="B20" s="244"/>
      <c r="C20" s="278" t="s">
        <v>230</v>
      </c>
      <c r="D20" s="280"/>
      <c r="E20" s="261"/>
      <c r="F20" s="261"/>
      <c r="G20" s="261"/>
      <c r="H20" s="261"/>
      <c r="I20" s="261"/>
      <c r="J20" s="261"/>
      <c r="K20" s="261"/>
      <c r="L20" s="261"/>
      <c r="M20" s="262"/>
      <c r="O20" s="244"/>
      <c r="P20" s="278" t="s">
        <v>230</v>
      </c>
      <c r="Q20" s="280"/>
      <c r="R20" s="261"/>
      <c r="S20" s="261"/>
      <c r="T20" s="261"/>
      <c r="U20" s="261"/>
      <c r="V20" s="261"/>
      <c r="W20" s="261"/>
      <c r="X20" s="261"/>
      <c r="Y20" s="261"/>
      <c r="Z20" s="262"/>
      <c r="AB20" s="244"/>
      <c r="AC20" s="278" t="s">
        <v>230</v>
      </c>
      <c r="AD20" s="280"/>
      <c r="AE20" s="261"/>
      <c r="AF20" s="261"/>
      <c r="AG20" s="261"/>
      <c r="AH20" s="261"/>
      <c r="AI20" s="261"/>
      <c r="AJ20" s="261"/>
      <c r="AK20" s="261"/>
      <c r="AL20" s="261"/>
      <c r="AM20" s="262"/>
      <c r="AO20" s="244"/>
      <c r="AP20" s="278" t="s">
        <v>230</v>
      </c>
      <c r="AQ20" s="280"/>
      <c r="AR20" s="261"/>
      <c r="AS20" s="261"/>
      <c r="AT20" s="261"/>
      <c r="AU20" s="261"/>
      <c r="AV20" s="261"/>
      <c r="AW20" s="261"/>
      <c r="AX20" s="261"/>
      <c r="AY20" s="261"/>
      <c r="AZ20" s="262"/>
    </row>
    <row r="21" spans="1:52" ht="14.45" x14ac:dyDescent="0.3">
      <c r="A21" t="s">
        <v>1205</v>
      </c>
      <c r="B21" s="244"/>
      <c r="C21" s="279"/>
      <c r="D21" s="280" t="s">
        <v>185</v>
      </c>
      <c r="E21" s="261">
        <v>-9</v>
      </c>
      <c r="F21" s="261">
        <v>-9</v>
      </c>
      <c r="G21" s="261">
        <v>-8</v>
      </c>
      <c r="H21" s="261">
        <v>-9</v>
      </c>
      <c r="I21" s="261">
        <v>-9</v>
      </c>
      <c r="J21" s="261">
        <v>-8</v>
      </c>
      <c r="K21" s="261">
        <v>-9</v>
      </c>
      <c r="L21" s="261">
        <v>-9</v>
      </c>
      <c r="M21" s="262">
        <v>-8</v>
      </c>
      <c r="O21" s="244"/>
      <c r="P21" s="279"/>
      <c r="Q21" s="280" t="s">
        <v>185</v>
      </c>
      <c r="R21" s="261">
        <v>-11</v>
      </c>
      <c r="S21" s="261">
        <v>-11</v>
      </c>
      <c r="T21" s="261">
        <v>-10</v>
      </c>
      <c r="U21" s="261">
        <v>-11</v>
      </c>
      <c r="V21" s="261">
        <v>-11</v>
      </c>
      <c r="W21" s="261">
        <v>-10</v>
      </c>
      <c r="X21" s="261">
        <v>-11</v>
      </c>
      <c r="Y21" s="261">
        <v>-11</v>
      </c>
      <c r="Z21" s="262">
        <v>-10</v>
      </c>
      <c r="AB21" s="244"/>
      <c r="AC21" s="279"/>
      <c r="AD21" s="280" t="s">
        <v>185</v>
      </c>
      <c r="AE21" s="261">
        <v>-12</v>
      </c>
      <c r="AF21" s="261">
        <f>AE21</f>
        <v>-12</v>
      </c>
      <c r="AG21" s="261">
        <f>AF21</f>
        <v>-12</v>
      </c>
      <c r="AH21" s="261">
        <v>-12</v>
      </c>
      <c r="AI21" s="261">
        <f t="shared" ref="AI21:AJ24" si="10">AH21</f>
        <v>-12</v>
      </c>
      <c r="AJ21" s="261">
        <f t="shared" si="10"/>
        <v>-12</v>
      </c>
      <c r="AK21" s="261">
        <v>-12</v>
      </c>
      <c r="AL21" s="261">
        <f t="shared" ref="AL21:AM24" si="11">AK21</f>
        <v>-12</v>
      </c>
      <c r="AM21" s="262">
        <f t="shared" si="11"/>
        <v>-12</v>
      </c>
      <c r="AO21" s="244"/>
      <c r="AP21" s="279"/>
      <c r="AQ21" s="280" t="s">
        <v>185</v>
      </c>
      <c r="AR21" s="261">
        <v>-9</v>
      </c>
      <c r="AS21" s="261">
        <v>-9</v>
      </c>
      <c r="AT21" s="261">
        <v>-8</v>
      </c>
      <c r="AU21" s="261">
        <v>-9</v>
      </c>
      <c r="AV21" s="261">
        <v>-9</v>
      </c>
      <c r="AW21" s="261">
        <v>-8</v>
      </c>
      <c r="AX21" s="261">
        <v>-9</v>
      </c>
      <c r="AY21" s="261">
        <v>-9</v>
      </c>
      <c r="AZ21" s="262">
        <v>-8</v>
      </c>
    </row>
    <row r="22" spans="1:52" ht="14.45" x14ac:dyDescent="0.3">
      <c r="A22" t="s">
        <v>1206</v>
      </c>
      <c r="B22" s="244"/>
      <c r="C22" s="279"/>
      <c r="D22" s="280" t="s">
        <v>199</v>
      </c>
      <c r="E22" s="261">
        <v>-8</v>
      </c>
      <c r="F22" s="261">
        <v>-8</v>
      </c>
      <c r="G22" s="261">
        <v>-7</v>
      </c>
      <c r="H22" s="261">
        <v>-8</v>
      </c>
      <c r="I22" s="261">
        <v>-8</v>
      </c>
      <c r="J22" s="261">
        <v>-7</v>
      </c>
      <c r="K22" s="261">
        <v>-7</v>
      </c>
      <c r="L22" s="261">
        <v>-7</v>
      </c>
      <c r="M22" s="262">
        <v>-6</v>
      </c>
      <c r="O22" s="244"/>
      <c r="P22" s="279"/>
      <c r="Q22" s="280" t="s">
        <v>199</v>
      </c>
      <c r="R22" s="261">
        <v>-10</v>
      </c>
      <c r="S22" s="261">
        <v>-10</v>
      </c>
      <c r="T22" s="261">
        <v>-9</v>
      </c>
      <c r="U22" s="261">
        <v>-10</v>
      </c>
      <c r="V22" s="261">
        <v>-10</v>
      </c>
      <c r="W22" s="261">
        <v>-9</v>
      </c>
      <c r="X22" s="261">
        <v>-9</v>
      </c>
      <c r="Y22" s="261">
        <v>-9</v>
      </c>
      <c r="Z22" s="262">
        <v>-8</v>
      </c>
      <c r="AB22" s="244"/>
      <c r="AC22" s="279"/>
      <c r="AD22" s="280" t="s">
        <v>199</v>
      </c>
      <c r="AE22" s="261">
        <v>-10</v>
      </c>
      <c r="AF22" s="261">
        <f t="shared" ref="AF22:AF24" si="12">AE22</f>
        <v>-10</v>
      </c>
      <c r="AG22" s="261">
        <f t="shared" ref="AG22" si="13">AF22</f>
        <v>-10</v>
      </c>
      <c r="AH22" s="261">
        <v>-10</v>
      </c>
      <c r="AI22" s="261">
        <f t="shared" si="10"/>
        <v>-10</v>
      </c>
      <c r="AJ22" s="261">
        <f t="shared" si="10"/>
        <v>-10</v>
      </c>
      <c r="AK22" s="261">
        <v>-10</v>
      </c>
      <c r="AL22" s="261">
        <f t="shared" si="11"/>
        <v>-10</v>
      </c>
      <c r="AM22" s="262">
        <f t="shared" si="11"/>
        <v>-10</v>
      </c>
      <c r="AO22" s="244"/>
      <c r="AP22" s="279"/>
      <c r="AQ22" s="280" t="s">
        <v>199</v>
      </c>
      <c r="AR22" s="261">
        <v>-8</v>
      </c>
      <c r="AS22" s="261">
        <v>-8</v>
      </c>
      <c r="AT22" s="261">
        <v>-7</v>
      </c>
      <c r="AU22" s="261">
        <v>-8</v>
      </c>
      <c r="AV22" s="261">
        <v>-8</v>
      </c>
      <c r="AW22" s="261">
        <v>-7</v>
      </c>
      <c r="AX22" s="261">
        <v>-7</v>
      </c>
      <c r="AY22" s="261">
        <v>-7</v>
      </c>
      <c r="AZ22" s="262">
        <v>-6</v>
      </c>
    </row>
    <row r="23" spans="1:52" ht="14.45" x14ac:dyDescent="0.3">
      <c r="A23" t="s">
        <v>1386</v>
      </c>
      <c r="B23" s="674"/>
      <c r="C23" s="279"/>
      <c r="D23" s="278" t="s">
        <v>204</v>
      </c>
      <c r="E23" s="686">
        <v>-7</v>
      </c>
      <c r="F23" s="686">
        <v>-7</v>
      </c>
      <c r="G23" s="686">
        <v>-6</v>
      </c>
      <c r="H23" s="686">
        <v>-7</v>
      </c>
      <c r="I23" s="686">
        <v>-7</v>
      </c>
      <c r="J23" s="686">
        <v>-6</v>
      </c>
      <c r="K23" s="686">
        <v>-6</v>
      </c>
      <c r="L23" s="686">
        <v>-6</v>
      </c>
      <c r="M23" s="687">
        <v>-5</v>
      </c>
      <c r="O23" s="674"/>
      <c r="P23" s="279"/>
      <c r="Q23" s="278" t="s">
        <v>204</v>
      </c>
      <c r="R23" s="686">
        <v>-9</v>
      </c>
      <c r="S23" s="686">
        <v>-9</v>
      </c>
      <c r="T23" s="686">
        <v>-8</v>
      </c>
      <c r="U23" s="686">
        <v>-9</v>
      </c>
      <c r="V23" s="686">
        <v>-9</v>
      </c>
      <c r="W23" s="686">
        <v>-8</v>
      </c>
      <c r="X23" s="686">
        <v>-8</v>
      </c>
      <c r="Y23" s="686">
        <v>-8</v>
      </c>
      <c r="Z23" s="687">
        <v>-7</v>
      </c>
      <c r="AB23" s="674"/>
      <c r="AC23" s="279"/>
      <c r="AD23" s="278" t="s">
        <v>204</v>
      </c>
      <c r="AE23" s="815"/>
      <c r="AF23" s="815"/>
      <c r="AG23" s="815"/>
      <c r="AH23" s="815"/>
      <c r="AI23" s="815"/>
      <c r="AJ23" s="815"/>
      <c r="AK23" s="815"/>
      <c r="AL23" s="815"/>
      <c r="AM23" s="816"/>
      <c r="AO23" s="674"/>
      <c r="AP23" s="279"/>
      <c r="AQ23" s="278" t="s">
        <v>204</v>
      </c>
      <c r="AR23" s="686">
        <v>-7</v>
      </c>
      <c r="AS23" s="686">
        <v>-7</v>
      </c>
      <c r="AT23" s="686">
        <v>-6</v>
      </c>
      <c r="AU23" s="686">
        <v>-7</v>
      </c>
      <c r="AV23" s="686">
        <v>-7</v>
      </c>
      <c r="AW23" s="686">
        <v>-6</v>
      </c>
      <c r="AX23" s="686">
        <v>-6</v>
      </c>
      <c r="AY23" s="686">
        <v>-6</v>
      </c>
      <c r="AZ23" s="687">
        <v>-5</v>
      </c>
    </row>
    <row r="24" spans="1:52" ht="14.45" x14ac:dyDescent="0.3">
      <c r="A24" t="s">
        <v>1207</v>
      </c>
      <c r="B24" s="249"/>
      <c r="C24" s="281"/>
      <c r="D24" s="282" t="s">
        <v>219</v>
      </c>
      <c r="E24" s="264">
        <v>-6</v>
      </c>
      <c r="F24" s="264">
        <v>-6</v>
      </c>
      <c r="G24" s="264">
        <v>-5</v>
      </c>
      <c r="H24" s="264">
        <v>-6</v>
      </c>
      <c r="I24" s="264">
        <v>-6</v>
      </c>
      <c r="J24" s="264">
        <v>-5</v>
      </c>
      <c r="K24" s="264">
        <v>-5</v>
      </c>
      <c r="L24" s="264">
        <v>-5</v>
      </c>
      <c r="M24" s="265">
        <v>-4</v>
      </c>
      <c r="O24" s="249"/>
      <c r="P24" s="281"/>
      <c r="Q24" s="282" t="s">
        <v>219</v>
      </c>
      <c r="R24" s="264">
        <v>-8</v>
      </c>
      <c r="S24" s="264">
        <v>-8</v>
      </c>
      <c r="T24" s="264">
        <v>-7</v>
      </c>
      <c r="U24" s="264">
        <v>-8</v>
      </c>
      <c r="V24" s="264">
        <v>-8</v>
      </c>
      <c r="W24" s="264">
        <v>-7</v>
      </c>
      <c r="X24" s="264">
        <v>-7</v>
      </c>
      <c r="Y24" s="264">
        <v>-7</v>
      </c>
      <c r="Z24" s="265">
        <v>-6</v>
      </c>
      <c r="AB24" s="249"/>
      <c r="AC24" s="281"/>
      <c r="AD24" s="282" t="s">
        <v>219</v>
      </c>
      <c r="AE24" s="264">
        <v>-9</v>
      </c>
      <c r="AF24" s="264">
        <f t="shared" si="12"/>
        <v>-9</v>
      </c>
      <c r="AG24" s="264">
        <f t="shared" ref="AG24" si="14">AF24</f>
        <v>-9</v>
      </c>
      <c r="AH24" s="264">
        <v>-9</v>
      </c>
      <c r="AI24" s="264">
        <f t="shared" si="10"/>
        <v>-9</v>
      </c>
      <c r="AJ24" s="264">
        <f t="shared" si="10"/>
        <v>-9</v>
      </c>
      <c r="AK24" s="264">
        <v>-9</v>
      </c>
      <c r="AL24" s="264">
        <f t="shared" si="11"/>
        <v>-9</v>
      </c>
      <c r="AM24" s="265">
        <f t="shared" si="11"/>
        <v>-9</v>
      </c>
      <c r="AO24" s="249"/>
      <c r="AP24" s="281"/>
      <c r="AQ24" s="282" t="s">
        <v>219</v>
      </c>
      <c r="AR24" s="264">
        <v>-6</v>
      </c>
      <c r="AS24" s="264">
        <v>-6</v>
      </c>
      <c r="AT24" s="264">
        <v>-5</v>
      </c>
      <c r="AU24" s="264">
        <v>-6</v>
      </c>
      <c r="AV24" s="264">
        <v>-6</v>
      </c>
      <c r="AW24" s="264">
        <v>-5</v>
      </c>
      <c r="AX24" s="264">
        <v>-5</v>
      </c>
      <c r="AY24" s="264">
        <v>-5</v>
      </c>
      <c r="AZ24" s="265">
        <v>-4</v>
      </c>
    </row>
    <row r="25" spans="1:52" ht="14.45" x14ac:dyDescent="0.3">
      <c r="B25" s="239" t="s">
        <v>169</v>
      </c>
      <c r="C25" s="275"/>
      <c r="D25" s="276"/>
      <c r="E25" s="283"/>
      <c r="F25" s="283"/>
      <c r="G25" s="283"/>
      <c r="H25" s="283"/>
      <c r="I25" s="283"/>
      <c r="J25" s="283"/>
      <c r="K25" s="283"/>
      <c r="L25" s="283"/>
      <c r="M25" s="284"/>
      <c r="O25" s="239" t="s">
        <v>169</v>
      </c>
      <c r="P25" s="275"/>
      <c r="Q25" s="276"/>
      <c r="R25" s="283"/>
      <c r="S25" s="283"/>
      <c r="T25" s="283"/>
      <c r="U25" s="283"/>
      <c r="V25" s="283"/>
      <c r="W25" s="283"/>
      <c r="X25" s="283"/>
      <c r="Y25" s="283"/>
      <c r="Z25" s="284"/>
      <c r="AB25" s="239" t="s">
        <v>169</v>
      </c>
      <c r="AC25" s="275"/>
      <c r="AD25" s="276"/>
      <c r="AE25" s="283"/>
      <c r="AF25" s="283"/>
      <c r="AG25" s="283"/>
      <c r="AH25" s="283"/>
      <c r="AI25" s="283"/>
      <c r="AJ25" s="283"/>
      <c r="AK25" s="283"/>
      <c r="AL25" s="283"/>
      <c r="AM25" s="284"/>
      <c r="AO25" s="239" t="s">
        <v>169</v>
      </c>
      <c r="AP25" s="275"/>
      <c r="AQ25" s="276"/>
      <c r="AR25" s="283"/>
      <c r="AS25" s="283"/>
      <c r="AT25" s="283"/>
      <c r="AU25" s="283"/>
      <c r="AV25" s="283"/>
      <c r="AW25" s="283"/>
      <c r="AX25" s="283"/>
      <c r="AY25" s="283"/>
      <c r="AZ25" s="284"/>
    </row>
    <row r="26" spans="1:52" ht="14.45" x14ac:dyDescent="0.3">
      <c r="B26" s="244"/>
      <c r="C26" s="278" t="s">
        <v>190</v>
      </c>
      <c r="D26" s="280"/>
      <c r="E26" s="261"/>
      <c r="F26" s="261"/>
      <c r="G26" s="261"/>
      <c r="H26" s="261"/>
      <c r="I26" s="261"/>
      <c r="J26" s="261"/>
      <c r="K26" s="261"/>
      <c r="L26" s="261"/>
      <c r="M26" s="262"/>
      <c r="O26" s="244"/>
      <c r="P26" s="278" t="s">
        <v>190</v>
      </c>
      <c r="Q26" s="280"/>
      <c r="R26" s="261"/>
      <c r="S26" s="261"/>
      <c r="T26" s="261"/>
      <c r="U26" s="261"/>
      <c r="V26" s="261"/>
      <c r="W26" s="261"/>
      <c r="X26" s="261"/>
      <c r="Y26" s="261"/>
      <c r="Z26" s="262"/>
      <c r="AB26" s="244"/>
      <c r="AC26" s="278" t="s">
        <v>190</v>
      </c>
      <c r="AD26" s="280"/>
      <c r="AE26" s="261"/>
      <c r="AF26" s="261"/>
      <c r="AG26" s="261"/>
      <c r="AH26" s="261"/>
      <c r="AI26" s="261"/>
      <c r="AJ26" s="261"/>
      <c r="AK26" s="261"/>
      <c r="AL26" s="261"/>
      <c r="AM26" s="262"/>
      <c r="AO26" s="244"/>
      <c r="AP26" s="278" t="s">
        <v>190</v>
      </c>
      <c r="AQ26" s="280"/>
      <c r="AR26" s="261"/>
      <c r="AS26" s="261"/>
      <c r="AT26" s="261"/>
      <c r="AU26" s="261"/>
      <c r="AV26" s="261"/>
      <c r="AW26" s="261"/>
      <c r="AX26" s="261"/>
      <c r="AY26" s="261"/>
      <c r="AZ26" s="262"/>
    </row>
    <row r="27" spans="1:52" ht="14.45" x14ac:dyDescent="0.3">
      <c r="A27" t="s">
        <v>1180</v>
      </c>
      <c r="B27" s="244"/>
      <c r="C27" s="279"/>
      <c r="D27" s="280" t="s">
        <v>185</v>
      </c>
      <c r="E27" s="261">
        <v>-2</v>
      </c>
      <c r="F27" s="261">
        <v>-2</v>
      </c>
      <c r="G27" s="261">
        <v>-1.5</v>
      </c>
      <c r="H27" s="261">
        <v>-1.5</v>
      </c>
      <c r="I27" s="261">
        <v>-1.5</v>
      </c>
      <c r="J27" s="261">
        <v>-1</v>
      </c>
      <c r="K27" s="261">
        <v>-1</v>
      </c>
      <c r="L27" s="261">
        <v>-1</v>
      </c>
      <c r="M27" s="262">
        <v>-0.5</v>
      </c>
      <c r="O27" s="244"/>
      <c r="P27" s="279"/>
      <c r="Q27" s="280" t="s">
        <v>185</v>
      </c>
      <c r="R27" s="261">
        <v>-4</v>
      </c>
      <c r="S27" s="261">
        <v>-4</v>
      </c>
      <c r="T27" s="261">
        <v>-3.5</v>
      </c>
      <c r="U27" s="261">
        <v>-3.5</v>
      </c>
      <c r="V27" s="261">
        <v>-3.5</v>
      </c>
      <c r="W27" s="261">
        <v>-3</v>
      </c>
      <c r="X27" s="261">
        <v>-3</v>
      </c>
      <c r="Y27" s="261">
        <v>-3</v>
      </c>
      <c r="Z27" s="262">
        <v>-2.5</v>
      </c>
      <c r="AB27" s="244"/>
      <c r="AC27" s="279"/>
      <c r="AD27" s="280" t="s">
        <v>185</v>
      </c>
      <c r="AE27" s="261">
        <v>-3</v>
      </c>
      <c r="AF27" s="261">
        <f>AE27</f>
        <v>-3</v>
      </c>
      <c r="AG27" s="261">
        <f>AF27</f>
        <v>-3</v>
      </c>
      <c r="AH27" s="261">
        <v>-2</v>
      </c>
      <c r="AI27" s="261">
        <f>AH27</f>
        <v>-2</v>
      </c>
      <c r="AJ27" s="261">
        <f>AI27</f>
        <v>-2</v>
      </c>
      <c r="AK27" s="261">
        <v>-1</v>
      </c>
      <c r="AL27" s="261">
        <f>AK27</f>
        <v>-1</v>
      </c>
      <c r="AM27" s="262">
        <f>AL27</f>
        <v>-1</v>
      </c>
      <c r="AO27" s="244"/>
      <c r="AP27" s="279"/>
      <c r="AQ27" s="280" t="s">
        <v>185</v>
      </c>
      <c r="AR27" s="261">
        <v>-2</v>
      </c>
      <c r="AS27" s="261">
        <v>-2</v>
      </c>
      <c r="AT27" s="261">
        <v>-1.5</v>
      </c>
      <c r="AU27" s="261">
        <v>-1.5</v>
      </c>
      <c r="AV27" s="261">
        <v>-1.5</v>
      </c>
      <c r="AW27" s="261">
        <v>-1</v>
      </c>
      <c r="AX27" s="261">
        <v>-1</v>
      </c>
      <c r="AY27" s="261">
        <v>-1</v>
      </c>
      <c r="AZ27" s="262">
        <v>-0.5</v>
      </c>
    </row>
    <row r="28" spans="1:52" ht="14.45" x14ac:dyDescent="0.3">
      <c r="A28" t="s">
        <v>1181</v>
      </c>
      <c r="B28" s="674"/>
      <c r="C28" s="279"/>
      <c r="D28" s="280" t="s">
        <v>199</v>
      </c>
      <c r="E28" s="261">
        <v>-2</v>
      </c>
      <c r="F28" s="261">
        <v>-2</v>
      </c>
      <c r="G28" s="261">
        <v>-1.5</v>
      </c>
      <c r="H28" s="261">
        <v>-1.5</v>
      </c>
      <c r="I28" s="261">
        <v>-1.5</v>
      </c>
      <c r="J28" s="261">
        <v>-1</v>
      </c>
      <c r="K28" s="261">
        <v>-1</v>
      </c>
      <c r="L28" s="261">
        <v>-1</v>
      </c>
      <c r="M28" s="262">
        <v>-0.5</v>
      </c>
      <c r="O28" s="674"/>
      <c r="P28" s="279"/>
      <c r="Q28" s="280" t="s">
        <v>199</v>
      </c>
      <c r="R28" s="261">
        <v>-4</v>
      </c>
      <c r="S28" s="261">
        <v>-4</v>
      </c>
      <c r="T28" s="261">
        <v>-3.5</v>
      </c>
      <c r="U28" s="261">
        <v>-3.5</v>
      </c>
      <c r="V28" s="261">
        <v>-3.5</v>
      </c>
      <c r="W28" s="261">
        <v>-3</v>
      </c>
      <c r="X28" s="261">
        <v>-3</v>
      </c>
      <c r="Y28" s="261">
        <v>-3</v>
      </c>
      <c r="Z28" s="262">
        <v>-2.5</v>
      </c>
      <c r="AB28" s="674"/>
      <c r="AC28" s="279"/>
      <c r="AD28" s="280" t="s">
        <v>199</v>
      </c>
      <c r="AE28" s="261">
        <v>-2</v>
      </c>
      <c r="AF28" s="261">
        <f t="shared" ref="AF28:AG30" si="15">AE28</f>
        <v>-2</v>
      </c>
      <c r="AG28" s="261">
        <f t="shared" si="15"/>
        <v>-2</v>
      </c>
      <c r="AH28" s="261">
        <v>-1</v>
      </c>
      <c r="AI28" s="261">
        <f t="shared" ref="AI28:AJ30" si="16">AH28</f>
        <v>-1</v>
      </c>
      <c r="AJ28" s="261">
        <f t="shared" si="16"/>
        <v>-1</v>
      </c>
      <c r="AK28" s="261">
        <v>0</v>
      </c>
      <c r="AL28" s="261">
        <f t="shared" ref="AL28:AL30" si="17">AK28</f>
        <v>0</v>
      </c>
      <c r="AM28" s="262">
        <f t="shared" ref="AM28" si="18">AL28</f>
        <v>0</v>
      </c>
      <c r="AO28" s="674"/>
      <c r="AP28" s="279"/>
      <c r="AQ28" s="280" t="s">
        <v>199</v>
      </c>
      <c r="AR28" s="261">
        <v>-2</v>
      </c>
      <c r="AS28" s="261">
        <v>-2</v>
      </c>
      <c r="AT28" s="261">
        <v>-1.5</v>
      </c>
      <c r="AU28" s="261">
        <v>-1.5</v>
      </c>
      <c r="AV28" s="261">
        <v>-1.5</v>
      </c>
      <c r="AW28" s="261">
        <v>-1</v>
      </c>
      <c r="AX28" s="261">
        <v>-1</v>
      </c>
      <c r="AY28" s="261">
        <v>-1</v>
      </c>
      <c r="AZ28" s="262">
        <v>-0.5</v>
      </c>
    </row>
    <row r="29" spans="1:52" ht="14.45" x14ac:dyDescent="0.3">
      <c r="A29" t="s">
        <v>1182</v>
      </c>
      <c r="B29" s="244"/>
      <c r="C29" s="279"/>
      <c r="D29" s="280" t="s">
        <v>204</v>
      </c>
      <c r="E29" s="261">
        <v>-1</v>
      </c>
      <c r="F29" s="261">
        <v>-1</v>
      </c>
      <c r="G29" s="261">
        <v>-1</v>
      </c>
      <c r="H29" s="261">
        <v>-1</v>
      </c>
      <c r="I29" s="261">
        <v>-1</v>
      </c>
      <c r="J29" s="261">
        <v>-0.5</v>
      </c>
      <c r="K29" s="261">
        <v>0</v>
      </c>
      <c r="L29" s="261">
        <v>0</v>
      </c>
      <c r="M29" s="262">
        <v>0</v>
      </c>
      <c r="O29" s="244"/>
      <c r="P29" s="279"/>
      <c r="Q29" s="280" t="s">
        <v>204</v>
      </c>
      <c r="R29" s="261">
        <v>-3</v>
      </c>
      <c r="S29" s="261">
        <v>-3</v>
      </c>
      <c r="T29" s="261">
        <v>-3</v>
      </c>
      <c r="U29" s="261">
        <v>-3</v>
      </c>
      <c r="V29" s="261">
        <v>-3</v>
      </c>
      <c r="W29" s="261">
        <v>-2.5</v>
      </c>
      <c r="X29" s="261">
        <v>-2</v>
      </c>
      <c r="Y29" s="261">
        <v>-2</v>
      </c>
      <c r="Z29" s="262">
        <v>-2</v>
      </c>
      <c r="AB29" s="244"/>
      <c r="AC29" s="279"/>
      <c r="AD29" s="280" t="s">
        <v>204</v>
      </c>
      <c r="AE29" s="261">
        <v>-1</v>
      </c>
      <c r="AF29" s="261">
        <f t="shared" si="15"/>
        <v>-1</v>
      </c>
      <c r="AG29" s="261">
        <f t="shared" si="15"/>
        <v>-1</v>
      </c>
      <c r="AH29" s="261">
        <v>0</v>
      </c>
      <c r="AI29" s="261">
        <f t="shared" si="16"/>
        <v>0</v>
      </c>
      <c r="AJ29" s="261">
        <f t="shared" si="16"/>
        <v>0</v>
      </c>
      <c r="AK29" s="261">
        <v>0</v>
      </c>
      <c r="AL29" s="261">
        <f t="shared" si="17"/>
        <v>0</v>
      </c>
      <c r="AM29" s="262">
        <f t="shared" ref="AM29" si="19">AL29</f>
        <v>0</v>
      </c>
      <c r="AO29" s="244"/>
      <c r="AP29" s="279"/>
      <c r="AQ29" s="280" t="s">
        <v>204</v>
      </c>
      <c r="AR29" s="261">
        <v>-1</v>
      </c>
      <c r="AS29" s="261">
        <v>-1</v>
      </c>
      <c r="AT29" s="261">
        <v>-1</v>
      </c>
      <c r="AU29" s="261">
        <v>-1</v>
      </c>
      <c r="AV29" s="261">
        <v>-1</v>
      </c>
      <c r="AW29" s="261">
        <v>-0.5</v>
      </c>
      <c r="AX29" s="261">
        <v>0</v>
      </c>
      <c r="AY29" s="261">
        <v>0</v>
      </c>
      <c r="AZ29" s="262">
        <v>0</v>
      </c>
    </row>
    <row r="30" spans="1:52" ht="14.45" x14ac:dyDescent="0.3">
      <c r="A30" t="s">
        <v>1183</v>
      </c>
      <c r="B30" s="244"/>
      <c r="C30" s="279"/>
      <c r="D30" s="280" t="s">
        <v>219</v>
      </c>
      <c r="E30" s="261">
        <v>-1</v>
      </c>
      <c r="F30" s="261">
        <v>-1</v>
      </c>
      <c r="G30" s="261">
        <v>-1</v>
      </c>
      <c r="H30" s="261">
        <v>-1</v>
      </c>
      <c r="I30" s="261">
        <v>-1</v>
      </c>
      <c r="J30" s="261">
        <v>-0.5</v>
      </c>
      <c r="K30" s="261">
        <v>0</v>
      </c>
      <c r="L30" s="261">
        <v>0</v>
      </c>
      <c r="M30" s="262">
        <v>0</v>
      </c>
      <c r="O30" s="244"/>
      <c r="P30" s="279"/>
      <c r="Q30" s="280" t="s">
        <v>219</v>
      </c>
      <c r="R30" s="261">
        <v>-3</v>
      </c>
      <c r="S30" s="261">
        <v>-3</v>
      </c>
      <c r="T30" s="261">
        <v>-3</v>
      </c>
      <c r="U30" s="261">
        <v>-3</v>
      </c>
      <c r="V30" s="261">
        <v>-3</v>
      </c>
      <c r="W30" s="261">
        <v>-2.5</v>
      </c>
      <c r="X30" s="261">
        <v>-2</v>
      </c>
      <c r="Y30" s="261">
        <v>-2</v>
      </c>
      <c r="Z30" s="262">
        <v>-2</v>
      </c>
      <c r="AB30" s="244"/>
      <c r="AC30" s="279"/>
      <c r="AD30" s="280" t="s">
        <v>219</v>
      </c>
      <c r="AE30" s="261">
        <v>-1</v>
      </c>
      <c r="AF30" s="261">
        <f t="shared" si="15"/>
        <v>-1</v>
      </c>
      <c r="AG30" s="261">
        <f t="shared" si="15"/>
        <v>-1</v>
      </c>
      <c r="AH30" s="261">
        <v>-1</v>
      </c>
      <c r="AI30" s="261">
        <f t="shared" si="16"/>
        <v>-1</v>
      </c>
      <c r="AJ30" s="261">
        <f t="shared" si="16"/>
        <v>-1</v>
      </c>
      <c r="AK30" s="261">
        <v>0</v>
      </c>
      <c r="AL30" s="261">
        <f t="shared" si="17"/>
        <v>0</v>
      </c>
      <c r="AM30" s="262">
        <f t="shared" ref="AM30" si="20">AL30</f>
        <v>0</v>
      </c>
      <c r="AO30" s="244"/>
      <c r="AP30" s="279"/>
      <c r="AQ30" s="280" t="s">
        <v>219</v>
      </c>
      <c r="AR30" s="261">
        <v>-1</v>
      </c>
      <c r="AS30" s="261">
        <v>-1</v>
      </c>
      <c r="AT30" s="261">
        <v>-1</v>
      </c>
      <c r="AU30" s="261">
        <v>-1</v>
      </c>
      <c r="AV30" s="261">
        <v>-1</v>
      </c>
      <c r="AW30" s="261">
        <v>-0.5</v>
      </c>
      <c r="AX30" s="261">
        <v>0</v>
      </c>
      <c r="AY30" s="261">
        <v>0</v>
      </c>
      <c r="AZ30" s="262">
        <v>0</v>
      </c>
    </row>
    <row r="31" spans="1:52" x14ac:dyDescent="0.25">
      <c r="B31" s="244"/>
      <c r="C31" s="278" t="s">
        <v>169</v>
      </c>
      <c r="D31" s="280"/>
      <c r="E31" s="261"/>
      <c r="F31" s="261"/>
      <c r="G31" s="261"/>
      <c r="H31" s="261"/>
      <c r="I31" s="261"/>
      <c r="J31" s="261"/>
      <c r="K31" s="261"/>
      <c r="L31" s="261"/>
      <c r="M31" s="262"/>
      <c r="O31" s="244"/>
      <c r="P31" s="278" t="s">
        <v>169</v>
      </c>
      <c r="Q31" s="280"/>
      <c r="R31" s="261"/>
      <c r="S31" s="261"/>
      <c r="T31" s="261"/>
      <c r="U31" s="261"/>
      <c r="V31" s="261"/>
      <c r="W31" s="261"/>
      <c r="X31" s="261"/>
      <c r="Y31" s="261"/>
      <c r="Z31" s="262"/>
      <c r="AB31" s="244"/>
      <c r="AC31" s="278" t="s">
        <v>169</v>
      </c>
      <c r="AD31" s="280"/>
      <c r="AE31" s="261"/>
      <c r="AF31" s="261"/>
      <c r="AG31" s="261"/>
      <c r="AH31" s="261"/>
      <c r="AI31" s="261"/>
      <c r="AJ31" s="261"/>
      <c r="AK31" s="261"/>
      <c r="AL31" s="261"/>
      <c r="AM31" s="262"/>
      <c r="AO31" s="244"/>
      <c r="AP31" s="278" t="s">
        <v>169</v>
      </c>
      <c r="AQ31" s="280"/>
      <c r="AR31" s="261"/>
      <c r="AS31" s="261"/>
      <c r="AT31" s="261"/>
      <c r="AU31" s="261"/>
      <c r="AV31" s="261"/>
      <c r="AW31" s="261"/>
      <c r="AX31" s="261"/>
      <c r="AY31" s="261"/>
      <c r="AZ31" s="262"/>
    </row>
    <row r="32" spans="1:52" x14ac:dyDescent="0.25">
      <c r="A32" t="s">
        <v>1392</v>
      </c>
      <c r="B32" s="244"/>
      <c r="C32" s="279"/>
      <c r="D32" s="280" t="s">
        <v>191</v>
      </c>
      <c r="E32" s="261">
        <v>-1.5</v>
      </c>
      <c r="F32" s="261">
        <v>-1.5</v>
      </c>
      <c r="G32" s="261">
        <v>-1</v>
      </c>
      <c r="H32" s="261">
        <v>-1</v>
      </c>
      <c r="I32" s="261">
        <v>-1</v>
      </c>
      <c r="J32" s="261">
        <v>0</v>
      </c>
      <c r="K32" s="261">
        <v>-0.5</v>
      </c>
      <c r="L32" s="261">
        <v>-0.5</v>
      </c>
      <c r="M32" s="262">
        <v>0</v>
      </c>
      <c r="N32" s="299"/>
      <c r="O32" s="244"/>
      <c r="P32" s="279"/>
      <c r="Q32" s="280" t="s">
        <v>191</v>
      </c>
      <c r="R32" s="261">
        <v>-3.5</v>
      </c>
      <c r="S32" s="261">
        <v>-3.5</v>
      </c>
      <c r="T32" s="261">
        <v>-3</v>
      </c>
      <c r="U32" s="261">
        <v>-3</v>
      </c>
      <c r="V32" s="261">
        <v>-3</v>
      </c>
      <c r="W32" s="261">
        <v>-2</v>
      </c>
      <c r="X32" s="261">
        <v>-2.5</v>
      </c>
      <c r="Y32" s="261">
        <v>-2.5</v>
      </c>
      <c r="Z32" s="262">
        <v>-2</v>
      </c>
      <c r="AB32" s="244"/>
      <c r="AC32" s="279"/>
      <c r="AD32" s="280" t="s">
        <v>191</v>
      </c>
      <c r="AE32" s="261">
        <v>-1</v>
      </c>
      <c r="AF32" s="261">
        <v>-1</v>
      </c>
      <c r="AG32" s="261">
        <v>-1</v>
      </c>
      <c r="AH32" s="261">
        <v>-1</v>
      </c>
      <c r="AI32" s="261">
        <v>-1</v>
      </c>
      <c r="AJ32" s="261">
        <v>-1</v>
      </c>
      <c r="AK32" s="261">
        <v>0</v>
      </c>
      <c r="AL32" s="261">
        <v>0</v>
      </c>
      <c r="AM32" s="262">
        <v>0</v>
      </c>
      <c r="AO32" s="244"/>
      <c r="AP32" s="279"/>
      <c r="AQ32" s="280" t="s">
        <v>191</v>
      </c>
      <c r="AR32" s="261">
        <v>-2.5</v>
      </c>
      <c r="AS32" s="261">
        <v>-2.5</v>
      </c>
      <c r="AT32" s="261">
        <v>-2</v>
      </c>
      <c r="AU32" s="261">
        <v>-2</v>
      </c>
      <c r="AV32" s="261">
        <v>-2</v>
      </c>
      <c r="AW32" s="261">
        <v>0</v>
      </c>
      <c r="AX32" s="261">
        <v>-0.5</v>
      </c>
      <c r="AY32" s="261">
        <v>-0.5</v>
      </c>
      <c r="AZ32" s="262">
        <v>0</v>
      </c>
    </row>
    <row r="33" spans="1:52" x14ac:dyDescent="0.25">
      <c r="A33" t="s">
        <v>1393</v>
      </c>
      <c r="B33" s="244"/>
      <c r="C33" s="279"/>
      <c r="D33" s="280"/>
      <c r="E33" s="261">
        <v>-2</v>
      </c>
      <c r="F33" s="261">
        <v>-2</v>
      </c>
      <c r="G33" s="261">
        <v>-1.5</v>
      </c>
      <c r="H33" s="261">
        <v>-1.5</v>
      </c>
      <c r="I33" s="261">
        <v>-1.5</v>
      </c>
      <c r="J33" s="261">
        <v>-0.5</v>
      </c>
      <c r="K33" s="261">
        <v>-1</v>
      </c>
      <c r="L33" s="261">
        <v>-1</v>
      </c>
      <c r="M33" s="262">
        <v>-0.5</v>
      </c>
      <c r="O33" s="244"/>
      <c r="P33" s="279"/>
      <c r="Q33" s="280"/>
      <c r="R33" s="261">
        <v>-4</v>
      </c>
      <c r="S33" s="261">
        <v>-4</v>
      </c>
      <c r="T33" s="261">
        <v>-3.5</v>
      </c>
      <c r="U33" s="261">
        <v>-3.5</v>
      </c>
      <c r="V33" s="261">
        <v>-3.5</v>
      </c>
      <c r="W33" s="261">
        <v>-2.5</v>
      </c>
      <c r="X33" s="261">
        <v>-3</v>
      </c>
      <c r="Y33" s="261">
        <v>-3</v>
      </c>
      <c r="Z33" s="262">
        <v>-2.5</v>
      </c>
      <c r="AB33" s="244"/>
      <c r="AC33" s="279"/>
      <c r="AD33" s="280"/>
      <c r="AE33" s="261">
        <v>-2</v>
      </c>
      <c r="AF33" s="261">
        <v>-2</v>
      </c>
      <c r="AG33" s="261">
        <v>-2</v>
      </c>
      <c r="AH33" s="261">
        <v>-1</v>
      </c>
      <c r="AI33" s="261">
        <v>-1</v>
      </c>
      <c r="AJ33" s="261">
        <v>-1</v>
      </c>
      <c r="AK33" s="261">
        <v>-1</v>
      </c>
      <c r="AL33" s="261">
        <v>-1</v>
      </c>
      <c r="AM33" s="262">
        <v>-1</v>
      </c>
      <c r="AO33" s="244"/>
      <c r="AP33" s="279"/>
      <c r="AQ33" s="280"/>
      <c r="AR33" s="261">
        <v>-3</v>
      </c>
      <c r="AS33" s="261">
        <v>-3</v>
      </c>
      <c r="AT33" s="261">
        <v>-2.5</v>
      </c>
      <c r="AU33" s="261">
        <v>-2.5</v>
      </c>
      <c r="AV33" s="261">
        <v>-2.5</v>
      </c>
      <c r="AW33" s="261">
        <v>-0.5</v>
      </c>
      <c r="AX33" s="261">
        <v>-1</v>
      </c>
      <c r="AY33" s="261">
        <v>-1</v>
      </c>
      <c r="AZ33" s="262">
        <v>-0.5</v>
      </c>
    </row>
    <row r="34" spans="1:52" x14ac:dyDescent="0.25">
      <c r="A34" t="s">
        <v>1394</v>
      </c>
      <c r="B34" s="674"/>
      <c r="C34" s="279"/>
      <c r="D34" s="280"/>
      <c r="E34" s="261">
        <v>-4</v>
      </c>
      <c r="F34" s="261">
        <v>-4</v>
      </c>
      <c r="G34" s="261">
        <v>-3.5</v>
      </c>
      <c r="H34" s="261">
        <v>-3.5</v>
      </c>
      <c r="I34" s="261">
        <v>-3.5</v>
      </c>
      <c r="J34" s="261">
        <v>-3</v>
      </c>
      <c r="K34" s="261">
        <v>-3</v>
      </c>
      <c r="L34" s="261">
        <v>-3</v>
      </c>
      <c r="M34" s="262">
        <v>-2.5</v>
      </c>
      <c r="O34" s="674"/>
      <c r="P34" s="279"/>
      <c r="Q34" s="280"/>
      <c r="R34" s="261">
        <v>-6</v>
      </c>
      <c r="S34" s="261">
        <v>-6</v>
      </c>
      <c r="T34" s="261">
        <v>-5.5</v>
      </c>
      <c r="U34" s="261">
        <v>-5.5</v>
      </c>
      <c r="V34" s="261">
        <v>-5.5</v>
      </c>
      <c r="W34" s="261">
        <v>-5</v>
      </c>
      <c r="X34" s="261">
        <v>-5</v>
      </c>
      <c r="Y34" s="261">
        <v>-5</v>
      </c>
      <c r="Z34" s="262">
        <v>-4.5</v>
      </c>
      <c r="AB34" s="674"/>
      <c r="AC34" s="279"/>
      <c r="AD34" s="278"/>
      <c r="AE34" s="261">
        <v>-3</v>
      </c>
      <c r="AF34" s="261">
        <v>-3</v>
      </c>
      <c r="AG34" s="261">
        <v>-3</v>
      </c>
      <c r="AH34" s="261">
        <v>-2</v>
      </c>
      <c r="AI34" s="261">
        <v>-2</v>
      </c>
      <c r="AJ34" s="261">
        <v>-2</v>
      </c>
      <c r="AK34" s="261">
        <v>-1</v>
      </c>
      <c r="AL34" s="261">
        <v>-1</v>
      </c>
      <c r="AM34" s="262">
        <v>-1</v>
      </c>
      <c r="AO34" s="674"/>
      <c r="AP34" s="279"/>
      <c r="AQ34" s="280"/>
      <c r="AR34" s="261">
        <v>-5</v>
      </c>
      <c r="AS34" s="261">
        <v>-5</v>
      </c>
      <c r="AT34" s="261">
        <v>-4.5</v>
      </c>
      <c r="AU34" s="261">
        <v>-4.5</v>
      </c>
      <c r="AV34" s="261">
        <v>-4.5</v>
      </c>
      <c r="AW34" s="261">
        <v>-3</v>
      </c>
      <c r="AX34" s="261">
        <v>-3</v>
      </c>
      <c r="AY34" s="261">
        <v>-3</v>
      </c>
      <c r="AZ34" s="262">
        <v>-2.5</v>
      </c>
    </row>
    <row r="35" spans="1:52" x14ac:dyDescent="0.25">
      <c r="A35" t="s">
        <v>1395</v>
      </c>
      <c r="B35" s="674"/>
      <c r="C35" s="279"/>
      <c r="D35" s="280" t="s">
        <v>219</v>
      </c>
      <c r="E35" s="261">
        <v>-0.5</v>
      </c>
      <c r="F35" s="261">
        <v>-0.5</v>
      </c>
      <c r="G35" s="261">
        <v>-0.5</v>
      </c>
      <c r="H35" s="261">
        <v>-0.5</v>
      </c>
      <c r="I35" s="261">
        <v>-0.5</v>
      </c>
      <c r="J35" s="261">
        <v>0</v>
      </c>
      <c r="K35" s="261">
        <v>0</v>
      </c>
      <c r="L35" s="261">
        <v>0</v>
      </c>
      <c r="M35" s="262">
        <v>0</v>
      </c>
      <c r="O35" s="674"/>
      <c r="P35" s="279"/>
      <c r="Q35" s="280" t="s">
        <v>219</v>
      </c>
      <c r="R35" s="261">
        <v>-2.5</v>
      </c>
      <c r="S35" s="261">
        <v>-2.5</v>
      </c>
      <c r="T35" s="261">
        <v>-2.5</v>
      </c>
      <c r="U35" s="261">
        <v>-2.5</v>
      </c>
      <c r="V35" s="261">
        <v>-2.5</v>
      </c>
      <c r="W35" s="261">
        <v>-2</v>
      </c>
      <c r="X35" s="261">
        <v>-2</v>
      </c>
      <c r="Y35" s="261">
        <v>-2</v>
      </c>
      <c r="Z35" s="262">
        <v>-2</v>
      </c>
      <c r="AB35" s="674"/>
      <c r="AC35" s="279"/>
      <c r="AD35" s="278" t="s">
        <v>219</v>
      </c>
      <c r="AE35" s="261">
        <v>-1</v>
      </c>
      <c r="AF35" s="261">
        <v>-1</v>
      </c>
      <c r="AG35" s="261">
        <v>-1</v>
      </c>
      <c r="AH35" s="261">
        <v>-1</v>
      </c>
      <c r="AI35" s="261">
        <v>-1</v>
      </c>
      <c r="AJ35" s="261">
        <v>-1</v>
      </c>
      <c r="AK35" s="261">
        <v>0</v>
      </c>
      <c r="AL35" s="261">
        <v>0</v>
      </c>
      <c r="AM35" s="262">
        <v>0</v>
      </c>
      <c r="AO35" s="674"/>
      <c r="AP35" s="279"/>
      <c r="AQ35" s="280" t="s">
        <v>219</v>
      </c>
      <c r="AR35" s="261">
        <v>-1.5</v>
      </c>
      <c r="AS35" s="261">
        <v>-1.5</v>
      </c>
      <c r="AT35" s="261">
        <v>-1.5</v>
      </c>
      <c r="AU35" s="261">
        <v>-1.5</v>
      </c>
      <c r="AV35" s="261">
        <v>-1.5</v>
      </c>
      <c r="AW35" s="261">
        <v>0</v>
      </c>
      <c r="AX35" s="261">
        <v>0</v>
      </c>
      <c r="AY35" s="261">
        <v>0</v>
      </c>
      <c r="AZ35" s="262">
        <v>0</v>
      </c>
    </row>
    <row r="36" spans="1:52" x14ac:dyDescent="0.25">
      <c r="A36" t="s">
        <v>1396</v>
      </c>
      <c r="B36" s="674"/>
      <c r="C36" s="279"/>
      <c r="D36" s="280"/>
      <c r="E36" s="261">
        <v>-1</v>
      </c>
      <c r="F36" s="261">
        <v>-1</v>
      </c>
      <c r="G36" s="261">
        <v>-1</v>
      </c>
      <c r="H36" s="261">
        <v>-1</v>
      </c>
      <c r="I36" s="261">
        <v>-1</v>
      </c>
      <c r="J36" s="261">
        <v>-0.5</v>
      </c>
      <c r="K36" s="261">
        <v>-0.5</v>
      </c>
      <c r="L36" s="261">
        <v>-0.5</v>
      </c>
      <c r="M36" s="262">
        <v>-0.5</v>
      </c>
      <c r="O36" s="674"/>
      <c r="P36" s="279"/>
      <c r="Q36" s="280"/>
      <c r="R36" s="261">
        <v>-3</v>
      </c>
      <c r="S36" s="261">
        <v>-3</v>
      </c>
      <c r="T36" s="261">
        <v>-3</v>
      </c>
      <c r="U36" s="261">
        <v>-3</v>
      </c>
      <c r="V36" s="261">
        <v>-3</v>
      </c>
      <c r="W36" s="261">
        <v>-2.5</v>
      </c>
      <c r="X36" s="261">
        <v>-2.5</v>
      </c>
      <c r="Y36" s="261">
        <v>-2.5</v>
      </c>
      <c r="Z36" s="262">
        <v>-2.5</v>
      </c>
      <c r="AB36" s="674"/>
      <c r="AC36" s="279"/>
      <c r="AD36" s="278"/>
      <c r="AE36" s="261">
        <v>-2</v>
      </c>
      <c r="AF36" s="261">
        <v>-2</v>
      </c>
      <c r="AG36" s="261">
        <v>-2</v>
      </c>
      <c r="AH36" s="261">
        <v>-1</v>
      </c>
      <c r="AI36" s="261">
        <v>-1</v>
      </c>
      <c r="AJ36" s="261">
        <v>-1</v>
      </c>
      <c r="AK36" s="261">
        <v>-1</v>
      </c>
      <c r="AL36" s="261">
        <v>-1</v>
      </c>
      <c r="AM36" s="262">
        <v>-1</v>
      </c>
      <c r="AO36" s="674"/>
      <c r="AP36" s="279"/>
      <c r="AQ36" s="280"/>
      <c r="AR36" s="261">
        <v>-2</v>
      </c>
      <c r="AS36" s="261">
        <v>-2</v>
      </c>
      <c r="AT36" s="261">
        <v>-2</v>
      </c>
      <c r="AU36" s="261">
        <v>-2</v>
      </c>
      <c r="AV36" s="261">
        <v>-2</v>
      </c>
      <c r="AW36" s="261">
        <v>-0.5</v>
      </c>
      <c r="AX36" s="261">
        <v>-0.5</v>
      </c>
      <c r="AY36" s="261">
        <v>-0.5</v>
      </c>
      <c r="AZ36" s="262">
        <v>-0.5</v>
      </c>
    </row>
    <row r="37" spans="1:52" x14ac:dyDescent="0.25">
      <c r="A37" t="s">
        <v>1397</v>
      </c>
      <c r="B37" s="244"/>
      <c r="C37" s="279"/>
      <c r="D37" s="280"/>
      <c r="E37" s="261">
        <v>-3</v>
      </c>
      <c r="F37" s="261">
        <v>-3</v>
      </c>
      <c r="G37" s="261">
        <v>-3</v>
      </c>
      <c r="H37" s="261">
        <v>-3</v>
      </c>
      <c r="I37" s="261">
        <v>-3</v>
      </c>
      <c r="J37" s="261">
        <v>-2.5</v>
      </c>
      <c r="K37" s="261">
        <v>-2</v>
      </c>
      <c r="L37" s="261">
        <v>-2</v>
      </c>
      <c r="M37" s="262">
        <v>-2</v>
      </c>
      <c r="O37" s="244"/>
      <c r="P37" s="279"/>
      <c r="Q37" s="280"/>
      <c r="R37" s="261">
        <v>-5</v>
      </c>
      <c r="S37" s="261">
        <v>-5</v>
      </c>
      <c r="T37" s="261">
        <v>-5</v>
      </c>
      <c r="U37" s="261">
        <v>-5</v>
      </c>
      <c r="V37" s="261">
        <v>-5</v>
      </c>
      <c r="W37" s="261">
        <v>-4.5</v>
      </c>
      <c r="X37" s="261">
        <v>-4</v>
      </c>
      <c r="Y37" s="261">
        <v>-4</v>
      </c>
      <c r="Z37" s="262">
        <v>-4</v>
      </c>
      <c r="AB37" s="692"/>
      <c r="AC37" s="705"/>
      <c r="AD37" s="282"/>
      <c r="AE37" s="797">
        <v>-3</v>
      </c>
      <c r="AF37" s="797">
        <v>-3</v>
      </c>
      <c r="AG37" s="797">
        <v>-3</v>
      </c>
      <c r="AH37" s="797">
        <v>-2</v>
      </c>
      <c r="AI37" s="797">
        <v>-2</v>
      </c>
      <c r="AJ37" s="797">
        <v>-2</v>
      </c>
      <c r="AK37" s="797">
        <v>-1</v>
      </c>
      <c r="AL37" s="797">
        <v>-1</v>
      </c>
      <c r="AM37" s="818">
        <v>-1</v>
      </c>
      <c r="AO37" s="244"/>
      <c r="AP37" s="279"/>
      <c r="AQ37" s="280"/>
      <c r="AR37" s="261">
        <v>-4</v>
      </c>
      <c r="AS37" s="261">
        <v>-4</v>
      </c>
      <c r="AT37" s="261">
        <v>-4</v>
      </c>
      <c r="AU37" s="261">
        <v>-4</v>
      </c>
      <c r="AV37" s="261">
        <v>-4</v>
      </c>
      <c r="AW37" s="261">
        <v>-2.5</v>
      </c>
      <c r="AX37" s="261">
        <v>-2</v>
      </c>
      <c r="AY37" s="261">
        <v>-2</v>
      </c>
      <c r="AZ37" s="262">
        <v>-2</v>
      </c>
    </row>
    <row r="38" spans="1:52" x14ac:dyDescent="0.25">
      <c r="B38" s="239" t="s">
        <v>183</v>
      </c>
      <c r="C38" s="275"/>
      <c r="D38" s="276"/>
      <c r="E38" s="283"/>
      <c r="F38" s="283"/>
      <c r="G38" s="283"/>
      <c r="H38" s="283"/>
      <c r="I38" s="283"/>
      <c r="J38" s="283"/>
      <c r="K38" s="283"/>
      <c r="L38" s="283"/>
      <c r="M38" s="284"/>
      <c r="O38" s="239" t="s">
        <v>183</v>
      </c>
      <c r="P38" s="275"/>
      <c r="Q38" s="276"/>
      <c r="R38" s="283"/>
      <c r="S38" s="283"/>
      <c r="T38" s="283"/>
      <c r="U38" s="283"/>
      <c r="V38" s="283"/>
      <c r="W38" s="283"/>
      <c r="X38" s="283"/>
      <c r="Y38" s="283"/>
      <c r="Z38" s="284"/>
      <c r="AO38" s="239" t="s">
        <v>183</v>
      </c>
      <c r="AP38" s="275"/>
      <c r="AQ38" s="276"/>
      <c r="AR38" s="283"/>
      <c r="AS38" s="283"/>
      <c r="AT38" s="283"/>
      <c r="AU38" s="283"/>
      <c r="AV38" s="283"/>
      <c r="AW38" s="283"/>
      <c r="AX38" s="283"/>
      <c r="AY38" s="283"/>
      <c r="AZ38" s="284"/>
    </row>
    <row r="39" spans="1:52" x14ac:dyDescent="0.25">
      <c r="B39" s="244"/>
      <c r="C39" s="278" t="s">
        <v>197</v>
      </c>
      <c r="D39" s="280"/>
      <c r="E39" s="261"/>
      <c r="F39" s="261"/>
      <c r="G39" s="261"/>
      <c r="H39" s="261"/>
      <c r="I39" s="261"/>
      <c r="J39" s="261"/>
      <c r="K39" s="261"/>
      <c r="L39" s="261"/>
      <c r="M39" s="262"/>
      <c r="O39" s="244"/>
      <c r="P39" s="278" t="s">
        <v>197</v>
      </c>
      <c r="Q39" s="280"/>
      <c r="R39" s="261"/>
      <c r="S39" s="261"/>
      <c r="T39" s="261"/>
      <c r="U39" s="261"/>
      <c r="V39" s="261"/>
      <c r="W39" s="261"/>
      <c r="X39" s="261"/>
      <c r="Y39" s="261"/>
      <c r="Z39" s="262"/>
      <c r="AO39" s="244"/>
      <c r="AP39" s="278" t="s">
        <v>197</v>
      </c>
      <c r="AQ39" s="280"/>
      <c r="AR39" s="261"/>
      <c r="AS39" s="261"/>
      <c r="AT39" s="261"/>
      <c r="AU39" s="261"/>
      <c r="AV39" s="261"/>
      <c r="AW39" s="261"/>
      <c r="AX39" s="261"/>
      <c r="AY39" s="261"/>
      <c r="AZ39" s="262"/>
    </row>
    <row r="40" spans="1:52" x14ac:dyDescent="0.25">
      <c r="A40" t="s">
        <v>1239</v>
      </c>
      <c r="B40" s="244"/>
      <c r="C40" s="279"/>
      <c r="D40" s="280" t="s">
        <v>185</v>
      </c>
      <c r="E40" s="261">
        <v>-1</v>
      </c>
      <c r="F40" s="261">
        <v>-1</v>
      </c>
      <c r="G40" s="261">
        <v>-0.5</v>
      </c>
      <c r="H40" s="261">
        <v>0</v>
      </c>
      <c r="I40" s="261">
        <v>0</v>
      </c>
      <c r="J40" s="261">
        <v>0</v>
      </c>
      <c r="K40" s="261">
        <v>0</v>
      </c>
      <c r="L40" s="261">
        <v>0</v>
      </c>
      <c r="M40" s="262">
        <v>0</v>
      </c>
      <c r="O40" s="244"/>
      <c r="P40" s="279"/>
      <c r="Q40" s="280" t="s">
        <v>185</v>
      </c>
      <c r="R40" s="261">
        <v>-2</v>
      </c>
      <c r="S40" s="261">
        <v>-2</v>
      </c>
      <c r="T40" s="261">
        <v>-1.5</v>
      </c>
      <c r="U40" s="261">
        <v>-1</v>
      </c>
      <c r="V40" s="261">
        <v>-1</v>
      </c>
      <c r="W40" s="261">
        <v>-1</v>
      </c>
      <c r="X40" s="261">
        <v>-1</v>
      </c>
      <c r="Y40" s="261">
        <v>-1</v>
      </c>
      <c r="Z40" s="262">
        <v>-1</v>
      </c>
      <c r="AO40" s="244"/>
      <c r="AP40" s="279"/>
      <c r="AQ40" s="280" t="s">
        <v>185</v>
      </c>
      <c r="AR40" s="261">
        <v>-1</v>
      </c>
      <c r="AS40" s="261">
        <v>-1</v>
      </c>
      <c r="AT40" s="261">
        <v>-0.5</v>
      </c>
      <c r="AU40" s="261">
        <v>0</v>
      </c>
      <c r="AV40" s="261">
        <v>0</v>
      </c>
      <c r="AW40" s="261">
        <v>0</v>
      </c>
      <c r="AX40" s="261">
        <v>0</v>
      </c>
      <c r="AY40" s="261">
        <v>0</v>
      </c>
      <c r="AZ40" s="262">
        <v>0</v>
      </c>
    </row>
    <row r="41" spans="1:52" x14ac:dyDescent="0.25">
      <c r="A41" t="s">
        <v>1240</v>
      </c>
      <c r="B41" s="674"/>
      <c r="C41" s="279"/>
      <c r="D41" s="280" t="s">
        <v>199</v>
      </c>
      <c r="E41" s="261">
        <v>-0.5</v>
      </c>
      <c r="F41" s="261">
        <v>-0.5</v>
      </c>
      <c r="G41" s="261">
        <v>-0.5</v>
      </c>
      <c r="H41" s="261">
        <v>0</v>
      </c>
      <c r="I41" s="261">
        <v>0</v>
      </c>
      <c r="J41" s="261">
        <v>0</v>
      </c>
      <c r="K41" s="261">
        <v>0</v>
      </c>
      <c r="L41" s="261">
        <v>0</v>
      </c>
      <c r="M41" s="262">
        <v>0</v>
      </c>
      <c r="O41" s="674"/>
      <c r="P41" s="279"/>
      <c r="Q41" s="280" t="s">
        <v>199</v>
      </c>
      <c r="R41" s="261">
        <v>-1.5</v>
      </c>
      <c r="S41" s="261">
        <v>-1.5</v>
      </c>
      <c r="T41" s="261">
        <v>-1.5</v>
      </c>
      <c r="U41" s="261">
        <v>-1</v>
      </c>
      <c r="V41" s="261">
        <v>-1</v>
      </c>
      <c r="W41" s="261">
        <v>-1</v>
      </c>
      <c r="X41" s="261">
        <v>-1</v>
      </c>
      <c r="Y41" s="261">
        <v>-1</v>
      </c>
      <c r="Z41" s="262">
        <v>-1</v>
      </c>
      <c r="AO41" s="674"/>
      <c r="AP41" s="279"/>
      <c r="AQ41" s="280" t="s">
        <v>199</v>
      </c>
      <c r="AR41" s="261">
        <v>-0.5</v>
      </c>
      <c r="AS41" s="261">
        <v>-0.5</v>
      </c>
      <c r="AT41" s="261">
        <v>-0.5</v>
      </c>
      <c r="AU41" s="261">
        <v>0</v>
      </c>
      <c r="AV41" s="261">
        <v>0</v>
      </c>
      <c r="AW41" s="261">
        <v>0</v>
      </c>
      <c r="AX41" s="261">
        <v>0</v>
      </c>
      <c r="AY41" s="261">
        <v>0</v>
      </c>
      <c r="AZ41" s="262">
        <v>0</v>
      </c>
    </row>
    <row r="42" spans="1:52" x14ac:dyDescent="0.25">
      <c r="A42" t="s">
        <v>1241</v>
      </c>
      <c r="B42" s="244"/>
      <c r="C42" s="279"/>
      <c r="D42" s="280" t="s">
        <v>204</v>
      </c>
      <c r="E42" s="261">
        <v>0</v>
      </c>
      <c r="F42" s="261">
        <v>0</v>
      </c>
      <c r="G42" s="261">
        <v>0</v>
      </c>
      <c r="H42" s="261">
        <v>0</v>
      </c>
      <c r="I42" s="261">
        <v>0</v>
      </c>
      <c r="J42" s="261">
        <v>0</v>
      </c>
      <c r="K42" s="261">
        <v>0</v>
      </c>
      <c r="L42" s="261">
        <v>0</v>
      </c>
      <c r="M42" s="262">
        <v>0</v>
      </c>
      <c r="O42" s="244"/>
      <c r="P42" s="279"/>
      <c r="Q42" s="280" t="s">
        <v>204</v>
      </c>
      <c r="R42" s="261">
        <v>-1</v>
      </c>
      <c r="S42" s="261">
        <v>-1</v>
      </c>
      <c r="T42" s="261">
        <v>-1</v>
      </c>
      <c r="U42" s="261">
        <v>-1</v>
      </c>
      <c r="V42" s="261">
        <v>-1</v>
      </c>
      <c r="W42" s="261">
        <v>-1</v>
      </c>
      <c r="X42" s="261">
        <v>-1</v>
      </c>
      <c r="Y42" s="261">
        <v>-1</v>
      </c>
      <c r="Z42" s="262">
        <v>-1</v>
      </c>
      <c r="AO42" s="244"/>
      <c r="AP42" s="279"/>
      <c r="AQ42" s="280" t="s">
        <v>204</v>
      </c>
      <c r="AR42" s="261">
        <v>0</v>
      </c>
      <c r="AS42" s="261">
        <v>0</v>
      </c>
      <c r="AT42" s="261">
        <v>0</v>
      </c>
      <c r="AU42" s="261">
        <v>0</v>
      </c>
      <c r="AV42" s="261">
        <v>0</v>
      </c>
      <c r="AW42" s="261">
        <v>0</v>
      </c>
      <c r="AX42" s="261">
        <v>0</v>
      </c>
      <c r="AY42" s="261">
        <v>0</v>
      </c>
      <c r="AZ42" s="262">
        <v>0</v>
      </c>
    </row>
    <row r="43" spans="1:52" x14ac:dyDescent="0.25">
      <c r="A43" t="s">
        <v>1242</v>
      </c>
      <c r="B43" s="244"/>
      <c r="C43" s="279"/>
      <c r="D43" s="280" t="s">
        <v>219</v>
      </c>
      <c r="E43" s="261">
        <v>-0.5</v>
      </c>
      <c r="F43" s="261">
        <v>-0.5</v>
      </c>
      <c r="G43" s="261">
        <v>-0.5</v>
      </c>
      <c r="H43" s="261">
        <v>0</v>
      </c>
      <c r="I43" s="261">
        <v>0</v>
      </c>
      <c r="J43" s="261">
        <v>0</v>
      </c>
      <c r="K43" s="261">
        <v>0</v>
      </c>
      <c r="L43" s="261">
        <v>0</v>
      </c>
      <c r="M43" s="262">
        <v>0</v>
      </c>
      <c r="O43" s="244"/>
      <c r="P43" s="279"/>
      <c r="Q43" s="280" t="s">
        <v>219</v>
      </c>
      <c r="R43" s="261">
        <v>-1.5</v>
      </c>
      <c r="S43" s="261">
        <v>-1.5</v>
      </c>
      <c r="T43" s="261">
        <v>-1.5</v>
      </c>
      <c r="U43" s="261">
        <v>-1</v>
      </c>
      <c r="V43" s="261">
        <v>-1</v>
      </c>
      <c r="W43" s="261">
        <v>-1</v>
      </c>
      <c r="X43" s="261">
        <v>-1</v>
      </c>
      <c r="Y43" s="261">
        <v>-1</v>
      </c>
      <c r="Z43" s="262">
        <v>-1</v>
      </c>
      <c r="AO43" s="244"/>
      <c r="AP43" s="279"/>
      <c r="AQ43" s="280" t="s">
        <v>219</v>
      </c>
      <c r="AR43" s="261">
        <v>-0.5</v>
      </c>
      <c r="AS43" s="261">
        <v>-0.5</v>
      </c>
      <c r="AT43" s="261">
        <v>-0.5</v>
      </c>
      <c r="AU43" s="261">
        <v>0</v>
      </c>
      <c r="AV43" s="261">
        <v>0</v>
      </c>
      <c r="AW43" s="261">
        <v>0</v>
      </c>
      <c r="AX43" s="261">
        <v>0</v>
      </c>
      <c r="AY43" s="261">
        <v>0</v>
      </c>
      <c r="AZ43" s="262">
        <v>0</v>
      </c>
    </row>
    <row r="44" spans="1:52" x14ac:dyDescent="0.25">
      <c r="B44" s="244"/>
      <c r="C44" s="278" t="s">
        <v>211</v>
      </c>
      <c r="D44" s="280"/>
      <c r="E44" s="261"/>
      <c r="F44" s="261"/>
      <c r="G44" s="261"/>
      <c r="H44" s="261"/>
      <c r="I44" s="261"/>
      <c r="J44" s="261"/>
      <c r="K44" s="261"/>
      <c r="L44" s="261"/>
      <c r="M44" s="262"/>
      <c r="O44" s="244"/>
      <c r="P44" s="278" t="s">
        <v>211</v>
      </c>
      <c r="Q44" s="280"/>
      <c r="R44" s="261"/>
      <c r="S44" s="261"/>
      <c r="T44" s="261"/>
      <c r="U44" s="261"/>
      <c r="V44" s="261"/>
      <c r="W44" s="261"/>
      <c r="X44" s="261"/>
      <c r="Y44" s="261"/>
      <c r="Z44" s="262"/>
      <c r="AO44" s="244"/>
      <c r="AP44" s="278" t="s">
        <v>211</v>
      </c>
      <c r="AQ44" s="280"/>
      <c r="AR44" s="261"/>
      <c r="AS44" s="261"/>
      <c r="AT44" s="261"/>
      <c r="AU44" s="261"/>
      <c r="AV44" s="261"/>
      <c r="AW44" s="261"/>
      <c r="AX44" s="261"/>
      <c r="AY44" s="261"/>
      <c r="AZ44" s="262"/>
    </row>
    <row r="45" spans="1:52" x14ac:dyDescent="0.25">
      <c r="A45" t="s">
        <v>1243</v>
      </c>
      <c r="B45" s="244"/>
      <c r="C45" s="279"/>
      <c r="D45" s="280" t="s">
        <v>185</v>
      </c>
      <c r="E45" s="261">
        <v>-4</v>
      </c>
      <c r="F45" s="261">
        <v>-4</v>
      </c>
      <c r="G45" s="261">
        <v>-3</v>
      </c>
      <c r="H45" s="261">
        <v>-4</v>
      </c>
      <c r="I45" s="261">
        <v>-4</v>
      </c>
      <c r="J45" s="261">
        <v>-3</v>
      </c>
      <c r="K45" s="261">
        <v>-3</v>
      </c>
      <c r="L45" s="261">
        <v>-3</v>
      </c>
      <c r="M45" s="262">
        <v>-2</v>
      </c>
      <c r="O45" s="244"/>
      <c r="P45" s="279"/>
      <c r="Q45" s="280" t="s">
        <v>185</v>
      </c>
      <c r="R45" s="261">
        <v>-6</v>
      </c>
      <c r="S45" s="261">
        <v>-6</v>
      </c>
      <c r="T45" s="261">
        <v>-5</v>
      </c>
      <c r="U45" s="261">
        <v>-6</v>
      </c>
      <c r="V45" s="261">
        <v>-6</v>
      </c>
      <c r="W45" s="261">
        <v>-5</v>
      </c>
      <c r="X45" s="261">
        <v>-5</v>
      </c>
      <c r="Y45" s="261">
        <v>-5</v>
      </c>
      <c r="Z45" s="262">
        <v>-4</v>
      </c>
      <c r="AO45" s="244"/>
      <c r="AP45" s="279"/>
      <c r="AQ45" s="280" t="s">
        <v>185</v>
      </c>
      <c r="AR45" s="261">
        <v>-4</v>
      </c>
      <c r="AS45" s="261">
        <v>-4</v>
      </c>
      <c r="AT45" s="261">
        <v>-3</v>
      </c>
      <c r="AU45" s="261">
        <v>-4</v>
      </c>
      <c r="AV45" s="261">
        <v>-4</v>
      </c>
      <c r="AW45" s="261">
        <v>-3</v>
      </c>
      <c r="AX45" s="261">
        <v>-3</v>
      </c>
      <c r="AY45" s="261">
        <v>-3</v>
      </c>
      <c r="AZ45" s="262">
        <v>-2</v>
      </c>
    </row>
    <row r="46" spans="1:52" x14ac:dyDescent="0.25">
      <c r="A46" t="s">
        <v>1244</v>
      </c>
      <c r="B46" s="674"/>
      <c r="C46" s="279"/>
      <c r="D46" s="280" t="s">
        <v>199</v>
      </c>
      <c r="E46" s="261">
        <v>-3</v>
      </c>
      <c r="F46" s="261">
        <v>-3</v>
      </c>
      <c r="G46" s="261">
        <v>-2</v>
      </c>
      <c r="H46" s="261">
        <v>-3</v>
      </c>
      <c r="I46" s="261">
        <v>-3</v>
      </c>
      <c r="J46" s="261">
        <v>-2</v>
      </c>
      <c r="K46" s="261">
        <v>-2</v>
      </c>
      <c r="L46" s="261">
        <v>-2</v>
      </c>
      <c r="M46" s="262">
        <v>-1</v>
      </c>
      <c r="O46" s="674"/>
      <c r="P46" s="279"/>
      <c r="Q46" s="280" t="s">
        <v>199</v>
      </c>
      <c r="R46" s="261">
        <v>-5</v>
      </c>
      <c r="S46" s="261">
        <v>-5</v>
      </c>
      <c r="T46" s="261">
        <v>-4</v>
      </c>
      <c r="U46" s="261">
        <v>-5</v>
      </c>
      <c r="V46" s="261">
        <v>-5</v>
      </c>
      <c r="W46" s="261">
        <v>-4</v>
      </c>
      <c r="X46" s="261">
        <v>-4</v>
      </c>
      <c r="Y46" s="261">
        <v>-4</v>
      </c>
      <c r="Z46" s="262">
        <v>-3</v>
      </c>
      <c r="AO46" s="674"/>
      <c r="AP46" s="279"/>
      <c r="AQ46" s="280" t="s">
        <v>199</v>
      </c>
      <c r="AR46" s="261">
        <v>-3</v>
      </c>
      <c r="AS46" s="261">
        <v>-3</v>
      </c>
      <c r="AT46" s="261">
        <v>-2</v>
      </c>
      <c r="AU46" s="261">
        <v>-3</v>
      </c>
      <c r="AV46" s="261">
        <v>-3</v>
      </c>
      <c r="AW46" s="261">
        <v>-2</v>
      </c>
      <c r="AX46" s="261">
        <v>-2</v>
      </c>
      <c r="AY46" s="261">
        <v>-2</v>
      </c>
      <c r="AZ46" s="262">
        <v>-1</v>
      </c>
    </row>
    <row r="47" spans="1:52" x14ac:dyDescent="0.25">
      <c r="A47" t="s">
        <v>1245</v>
      </c>
      <c r="B47" s="244"/>
      <c r="C47" s="279"/>
      <c r="D47" s="280" t="s">
        <v>204</v>
      </c>
      <c r="E47" s="261">
        <v>-2</v>
      </c>
      <c r="F47" s="261">
        <v>-2</v>
      </c>
      <c r="G47" s="261">
        <v>-1</v>
      </c>
      <c r="H47" s="261">
        <v>-2</v>
      </c>
      <c r="I47" s="261">
        <v>-2</v>
      </c>
      <c r="J47" s="261">
        <v>-1</v>
      </c>
      <c r="K47" s="261">
        <v>-1</v>
      </c>
      <c r="L47" s="261">
        <v>-1</v>
      </c>
      <c r="M47" s="262">
        <v>-1</v>
      </c>
      <c r="O47" s="244"/>
      <c r="P47" s="279"/>
      <c r="Q47" s="280" t="s">
        <v>204</v>
      </c>
      <c r="R47" s="261">
        <v>-4</v>
      </c>
      <c r="S47" s="261">
        <v>-4</v>
      </c>
      <c r="T47" s="261">
        <v>-3</v>
      </c>
      <c r="U47" s="261">
        <v>-4</v>
      </c>
      <c r="V47" s="261">
        <v>-4</v>
      </c>
      <c r="W47" s="261">
        <v>-3</v>
      </c>
      <c r="X47" s="261">
        <v>-3</v>
      </c>
      <c r="Y47" s="261">
        <v>-3</v>
      </c>
      <c r="Z47" s="262">
        <v>-3</v>
      </c>
      <c r="AO47" s="244"/>
      <c r="AP47" s="279"/>
      <c r="AQ47" s="280" t="s">
        <v>204</v>
      </c>
      <c r="AR47" s="261">
        <v>-2</v>
      </c>
      <c r="AS47" s="261">
        <v>-2</v>
      </c>
      <c r="AT47" s="261">
        <v>-1</v>
      </c>
      <c r="AU47" s="261">
        <v>-2</v>
      </c>
      <c r="AV47" s="261">
        <v>-2</v>
      </c>
      <c r="AW47" s="261">
        <v>-1</v>
      </c>
      <c r="AX47" s="261">
        <v>-1</v>
      </c>
      <c r="AY47" s="261">
        <v>-1</v>
      </c>
      <c r="AZ47" s="262">
        <v>-1</v>
      </c>
    </row>
    <row r="48" spans="1:52" x14ac:dyDescent="0.25">
      <c r="A48" t="s">
        <v>1272</v>
      </c>
      <c r="B48" s="244"/>
      <c r="C48" s="279"/>
      <c r="D48" s="280" t="s">
        <v>219</v>
      </c>
      <c r="E48" s="261">
        <v>-3</v>
      </c>
      <c r="F48" s="261">
        <v>-3</v>
      </c>
      <c r="G48" s="261">
        <v>-2</v>
      </c>
      <c r="H48" s="261">
        <v>-3</v>
      </c>
      <c r="I48" s="261">
        <v>-3</v>
      </c>
      <c r="J48" s="261">
        <v>-2</v>
      </c>
      <c r="K48" s="261">
        <v>-2</v>
      </c>
      <c r="L48" s="261">
        <v>-2</v>
      </c>
      <c r="M48" s="262">
        <v>-1</v>
      </c>
      <c r="O48" s="244"/>
      <c r="P48" s="279"/>
      <c r="Q48" s="280" t="s">
        <v>219</v>
      </c>
      <c r="R48" s="261">
        <v>-5</v>
      </c>
      <c r="S48" s="261">
        <v>-5</v>
      </c>
      <c r="T48" s="261">
        <v>-4</v>
      </c>
      <c r="U48" s="261">
        <v>-5</v>
      </c>
      <c r="V48" s="261">
        <v>-5</v>
      </c>
      <c r="W48" s="261">
        <v>-4</v>
      </c>
      <c r="X48" s="261">
        <v>-4</v>
      </c>
      <c r="Y48" s="261">
        <v>-4</v>
      </c>
      <c r="Z48" s="262">
        <v>-3</v>
      </c>
      <c r="AO48" s="244"/>
      <c r="AP48" s="279"/>
      <c r="AQ48" s="280" t="s">
        <v>219</v>
      </c>
      <c r="AR48" s="261">
        <v>-3</v>
      </c>
      <c r="AS48" s="261">
        <v>-3</v>
      </c>
      <c r="AT48" s="261">
        <v>-2</v>
      </c>
      <c r="AU48" s="261">
        <v>-3</v>
      </c>
      <c r="AV48" s="261">
        <v>-3</v>
      </c>
      <c r="AW48" s="261">
        <v>-2</v>
      </c>
      <c r="AX48" s="261">
        <v>-2</v>
      </c>
      <c r="AY48" s="261">
        <v>-2</v>
      </c>
      <c r="AZ48" s="262">
        <v>-1</v>
      </c>
    </row>
    <row r="49" spans="1:52" x14ac:dyDescent="0.25">
      <c r="B49" s="244"/>
      <c r="C49" s="278" t="s">
        <v>224</v>
      </c>
      <c r="D49" s="280"/>
      <c r="E49" s="261"/>
      <c r="F49" s="261"/>
      <c r="G49" s="261"/>
      <c r="H49" s="261"/>
      <c r="I49" s="261"/>
      <c r="J49" s="261"/>
      <c r="K49" s="261"/>
      <c r="L49" s="261"/>
      <c r="M49" s="262"/>
      <c r="O49" s="244"/>
      <c r="P49" s="278" t="s">
        <v>224</v>
      </c>
      <c r="Q49" s="280"/>
      <c r="R49" s="261"/>
      <c r="S49" s="261"/>
      <c r="T49" s="261"/>
      <c r="U49" s="261"/>
      <c r="V49" s="261"/>
      <c r="W49" s="261"/>
      <c r="X49" s="261"/>
      <c r="Y49" s="261"/>
      <c r="Z49" s="262"/>
      <c r="AO49" s="244"/>
      <c r="AP49" s="278" t="s">
        <v>224</v>
      </c>
      <c r="AQ49" s="280"/>
      <c r="AR49" s="261"/>
      <c r="AS49" s="261"/>
      <c r="AT49" s="261"/>
      <c r="AU49" s="261"/>
      <c r="AV49" s="261"/>
      <c r="AW49" s="261"/>
      <c r="AX49" s="261"/>
      <c r="AY49" s="261"/>
      <c r="AZ49" s="262"/>
    </row>
    <row r="50" spans="1:52" x14ac:dyDescent="0.25">
      <c r="A50" t="s">
        <v>1246</v>
      </c>
      <c r="B50" s="244"/>
      <c r="C50" s="279"/>
      <c r="D50" s="280" t="s">
        <v>185</v>
      </c>
      <c r="E50" s="261">
        <v>-1</v>
      </c>
      <c r="F50" s="261">
        <v>-1</v>
      </c>
      <c r="G50" s="261">
        <v>-1</v>
      </c>
      <c r="H50" s="261">
        <v>-1</v>
      </c>
      <c r="I50" s="261">
        <v>-1</v>
      </c>
      <c r="J50" s="261">
        <v>-0.5</v>
      </c>
      <c r="K50" s="261">
        <v>-1</v>
      </c>
      <c r="L50" s="261">
        <v>-1</v>
      </c>
      <c r="M50" s="262">
        <v>0</v>
      </c>
      <c r="O50" s="244"/>
      <c r="P50" s="279"/>
      <c r="Q50" s="280" t="s">
        <v>185</v>
      </c>
      <c r="R50" s="261">
        <v>-3</v>
      </c>
      <c r="S50" s="261">
        <v>-3</v>
      </c>
      <c r="T50" s="261">
        <v>-3</v>
      </c>
      <c r="U50" s="261">
        <v>-3</v>
      </c>
      <c r="V50" s="261">
        <v>-3</v>
      </c>
      <c r="W50" s="261">
        <v>-2.5</v>
      </c>
      <c r="X50" s="261">
        <v>-3</v>
      </c>
      <c r="Y50" s="261">
        <v>-3</v>
      </c>
      <c r="Z50" s="262">
        <v>-2</v>
      </c>
      <c r="AO50" s="244"/>
      <c r="AP50" s="279"/>
      <c r="AQ50" s="280" t="s">
        <v>185</v>
      </c>
      <c r="AR50" s="261">
        <v>-2</v>
      </c>
      <c r="AS50" s="261">
        <v>-2</v>
      </c>
      <c r="AT50" s="261">
        <v>-2</v>
      </c>
      <c r="AU50" s="261">
        <v>-2</v>
      </c>
      <c r="AV50" s="261">
        <v>-2</v>
      </c>
      <c r="AW50" s="261">
        <v>-0.5</v>
      </c>
      <c r="AX50" s="261">
        <v>-1</v>
      </c>
      <c r="AY50" s="261">
        <v>-1</v>
      </c>
      <c r="AZ50" s="262">
        <v>0</v>
      </c>
    </row>
    <row r="51" spans="1:52" x14ac:dyDescent="0.25">
      <c r="A51" t="s">
        <v>1247</v>
      </c>
      <c r="B51" s="674"/>
      <c r="C51" s="279"/>
      <c r="D51" s="280" t="s">
        <v>199</v>
      </c>
      <c r="E51" s="261">
        <v>-1</v>
      </c>
      <c r="F51" s="261">
        <v>-1</v>
      </c>
      <c r="G51" s="261">
        <v>-1</v>
      </c>
      <c r="H51" s="261">
        <v>-1</v>
      </c>
      <c r="I51" s="261">
        <v>-1</v>
      </c>
      <c r="J51" s="261">
        <v>0</v>
      </c>
      <c r="K51" s="261">
        <v>-0.5</v>
      </c>
      <c r="L51" s="261">
        <v>-0.5</v>
      </c>
      <c r="M51" s="262">
        <v>0</v>
      </c>
      <c r="O51" s="674"/>
      <c r="P51" s="279"/>
      <c r="Q51" s="280" t="s">
        <v>199</v>
      </c>
      <c r="R51" s="261">
        <v>-3</v>
      </c>
      <c r="S51" s="261">
        <v>-3</v>
      </c>
      <c r="T51" s="261">
        <v>-3</v>
      </c>
      <c r="U51" s="261">
        <v>-3</v>
      </c>
      <c r="V51" s="261">
        <v>-3</v>
      </c>
      <c r="W51" s="261">
        <v>-2</v>
      </c>
      <c r="X51" s="261">
        <v>-2.5</v>
      </c>
      <c r="Y51" s="261">
        <v>-2.5</v>
      </c>
      <c r="Z51" s="262">
        <v>-2</v>
      </c>
      <c r="AO51" s="674"/>
      <c r="AP51" s="279"/>
      <c r="AQ51" s="280" t="s">
        <v>199</v>
      </c>
      <c r="AR51" s="261">
        <v>-2</v>
      </c>
      <c r="AS51" s="261">
        <v>-2</v>
      </c>
      <c r="AT51" s="261">
        <v>-2</v>
      </c>
      <c r="AU51" s="261">
        <v>-2</v>
      </c>
      <c r="AV51" s="261">
        <v>-2</v>
      </c>
      <c r="AW51" s="261">
        <v>0</v>
      </c>
      <c r="AX51" s="261">
        <v>-0.5</v>
      </c>
      <c r="AY51" s="261">
        <v>-0.5</v>
      </c>
      <c r="AZ51" s="262">
        <v>0</v>
      </c>
    </row>
    <row r="52" spans="1:52" x14ac:dyDescent="0.25">
      <c r="A52" t="s">
        <v>1248</v>
      </c>
      <c r="B52" s="244"/>
      <c r="C52" s="279"/>
      <c r="D52" s="280" t="s">
        <v>204</v>
      </c>
      <c r="E52" s="261">
        <v>-0.5</v>
      </c>
      <c r="F52" s="261">
        <v>-0.5</v>
      </c>
      <c r="G52" s="261">
        <v>0</v>
      </c>
      <c r="H52" s="261">
        <v>-0.5</v>
      </c>
      <c r="I52" s="261">
        <v>-0.5</v>
      </c>
      <c r="J52" s="261">
        <v>-0.5</v>
      </c>
      <c r="K52" s="261">
        <v>-0.5</v>
      </c>
      <c r="L52" s="261">
        <v>0</v>
      </c>
      <c r="M52" s="262">
        <v>0</v>
      </c>
      <c r="O52" s="244"/>
      <c r="P52" s="279"/>
      <c r="Q52" s="280" t="s">
        <v>204</v>
      </c>
      <c r="R52" s="261">
        <v>-2.5</v>
      </c>
      <c r="S52" s="261">
        <v>-2.5</v>
      </c>
      <c r="T52" s="261">
        <v>-2</v>
      </c>
      <c r="U52" s="261">
        <v>-2.5</v>
      </c>
      <c r="V52" s="261">
        <v>-2.5</v>
      </c>
      <c r="W52" s="261">
        <v>-2.5</v>
      </c>
      <c r="X52" s="261">
        <v>-2.5</v>
      </c>
      <c r="Y52" s="261">
        <v>-2</v>
      </c>
      <c r="Z52" s="262">
        <v>-2</v>
      </c>
      <c r="AO52" s="244"/>
      <c r="AP52" s="279"/>
      <c r="AQ52" s="280" t="s">
        <v>204</v>
      </c>
      <c r="AR52" s="261">
        <v>-1.5</v>
      </c>
      <c r="AS52" s="261">
        <v>-1.5</v>
      </c>
      <c r="AT52" s="261">
        <v>-1</v>
      </c>
      <c r="AU52" s="261">
        <v>-1.5</v>
      </c>
      <c r="AV52" s="261">
        <v>-1.5</v>
      </c>
      <c r="AW52" s="261">
        <v>-0.5</v>
      </c>
      <c r="AX52" s="261">
        <v>-0.5</v>
      </c>
      <c r="AY52" s="261">
        <v>0</v>
      </c>
      <c r="AZ52" s="262">
        <v>0</v>
      </c>
    </row>
    <row r="53" spans="1:52" x14ac:dyDescent="0.25">
      <c r="A53" t="s">
        <v>1249</v>
      </c>
      <c r="B53" s="244"/>
      <c r="C53" s="279"/>
      <c r="D53" s="280" t="s">
        <v>219</v>
      </c>
      <c r="E53" s="261">
        <v>-1</v>
      </c>
      <c r="F53" s="261">
        <v>-1</v>
      </c>
      <c r="G53" s="261">
        <v>-1</v>
      </c>
      <c r="H53" s="261">
        <v>-1</v>
      </c>
      <c r="I53" s="261">
        <v>-1</v>
      </c>
      <c r="J53" s="261">
        <v>0</v>
      </c>
      <c r="K53" s="261">
        <v>-0.5</v>
      </c>
      <c r="L53" s="261">
        <v>-0.5</v>
      </c>
      <c r="M53" s="262">
        <v>0</v>
      </c>
      <c r="O53" s="244"/>
      <c r="P53" s="279"/>
      <c r="Q53" s="280" t="s">
        <v>219</v>
      </c>
      <c r="R53" s="261">
        <v>-3</v>
      </c>
      <c r="S53" s="261">
        <v>-3</v>
      </c>
      <c r="T53" s="261">
        <v>-3</v>
      </c>
      <c r="U53" s="261">
        <v>-3</v>
      </c>
      <c r="V53" s="261">
        <v>-3</v>
      </c>
      <c r="W53" s="261">
        <v>-2</v>
      </c>
      <c r="X53" s="261">
        <v>-2.5</v>
      </c>
      <c r="Y53" s="261">
        <v>-2.5</v>
      </c>
      <c r="Z53" s="262">
        <v>-2</v>
      </c>
      <c r="AO53" s="244"/>
      <c r="AP53" s="279"/>
      <c r="AQ53" s="280" t="s">
        <v>219</v>
      </c>
      <c r="AR53" s="261">
        <v>-2</v>
      </c>
      <c r="AS53" s="261">
        <v>-2</v>
      </c>
      <c r="AT53" s="261">
        <v>-2</v>
      </c>
      <c r="AU53" s="261">
        <v>-2</v>
      </c>
      <c r="AV53" s="261">
        <v>-2</v>
      </c>
      <c r="AW53" s="261">
        <v>0</v>
      </c>
      <c r="AX53" s="261">
        <v>-0.5</v>
      </c>
      <c r="AY53" s="261">
        <v>-0.5</v>
      </c>
      <c r="AZ53" s="262">
        <v>0</v>
      </c>
    </row>
    <row r="54" spans="1:52" x14ac:dyDescent="0.25">
      <c r="B54" s="271" t="s">
        <v>222</v>
      </c>
      <c r="C54" s="464"/>
      <c r="D54" s="465"/>
      <c r="E54" s="465"/>
      <c r="F54" s="465"/>
      <c r="G54" s="465"/>
      <c r="H54" s="465"/>
      <c r="I54" s="465"/>
      <c r="J54" s="465"/>
      <c r="K54" s="465"/>
      <c r="L54" s="465"/>
      <c r="M54" s="466"/>
      <c r="O54" s="271" t="s">
        <v>222</v>
      </c>
      <c r="P54" s="464"/>
      <c r="Q54" s="465"/>
      <c r="R54" s="465"/>
      <c r="S54" s="465"/>
      <c r="T54" s="465"/>
      <c r="U54" s="465"/>
      <c r="V54" s="465"/>
      <c r="W54" s="465"/>
      <c r="X54" s="465"/>
      <c r="Y54" s="465"/>
      <c r="Z54" s="466"/>
      <c r="AO54" s="271" t="s">
        <v>222</v>
      </c>
      <c r="AP54" s="464"/>
      <c r="AQ54" s="465"/>
      <c r="AR54" s="465"/>
      <c r="AS54" s="465"/>
      <c r="AT54" s="465"/>
      <c r="AU54" s="465"/>
      <c r="AV54" s="465"/>
      <c r="AW54" s="465"/>
      <c r="AX54" s="465"/>
      <c r="AY54" s="465"/>
      <c r="AZ54" s="466"/>
    </row>
    <row r="56" spans="1:52" x14ac:dyDescent="0.25">
      <c r="B56" s="1" t="s">
        <v>920</v>
      </c>
      <c r="C56" s="351" t="s">
        <v>910</v>
      </c>
      <c r="D56" s="467" t="s">
        <v>1467</v>
      </c>
      <c r="O56" s="1" t="s">
        <v>906</v>
      </c>
      <c r="P56" s="351" t="s">
        <v>922</v>
      </c>
      <c r="AO56" s="1" t="s">
        <v>920</v>
      </c>
      <c r="AP56" s="351" t="s">
        <v>910</v>
      </c>
      <c r="AQ56" s="467" t="s">
        <v>1467</v>
      </c>
    </row>
    <row r="57" spans="1:52" x14ac:dyDescent="0.25">
      <c r="E57" s="854" t="s">
        <v>315</v>
      </c>
      <c r="F57" s="854"/>
      <c r="G57" s="854"/>
      <c r="H57" s="854"/>
      <c r="I57" s="854"/>
      <c r="J57" s="854"/>
      <c r="K57" s="854"/>
      <c r="L57" s="854"/>
      <c r="M57" s="435"/>
      <c r="R57" s="854" t="s">
        <v>315</v>
      </c>
      <c r="S57" s="854"/>
      <c r="T57" s="854"/>
      <c r="U57" s="854"/>
      <c r="V57" s="854"/>
      <c r="W57" s="854"/>
      <c r="X57" s="854"/>
      <c r="Y57" s="854"/>
      <c r="AR57" s="854" t="s">
        <v>315</v>
      </c>
      <c r="AS57" s="854"/>
      <c r="AT57" s="854"/>
      <c r="AU57" s="854"/>
      <c r="AV57" s="854"/>
      <c r="AW57" s="854"/>
      <c r="AX57" s="854"/>
      <c r="AY57" s="854"/>
      <c r="AZ57" s="435"/>
    </row>
    <row r="58" spans="1:52" x14ac:dyDescent="0.25">
      <c r="E58" s="238">
        <v>1</v>
      </c>
      <c r="F58" s="238">
        <v>2</v>
      </c>
      <c r="G58" s="238">
        <v>3</v>
      </c>
      <c r="H58" s="238">
        <v>4</v>
      </c>
      <c r="I58" s="238">
        <v>5</v>
      </c>
      <c r="J58" s="238">
        <v>6</v>
      </c>
      <c r="K58" s="238">
        <v>7</v>
      </c>
      <c r="L58" s="238">
        <v>8</v>
      </c>
      <c r="M58" s="238">
        <v>9</v>
      </c>
      <c r="R58" s="238">
        <v>1</v>
      </c>
      <c r="S58" s="238">
        <v>2</v>
      </c>
      <c r="T58" s="238">
        <v>3</v>
      </c>
      <c r="U58" s="238">
        <v>4</v>
      </c>
      <c r="V58" s="238">
        <v>5</v>
      </c>
      <c r="W58" s="238">
        <v>6</v>
      </c>
      <c r="X58" s="238">
        <v>7</v>
      </c>
      <c r="Y58" s="238">
        <v>8</v>
      </c>
      <c r="Z58" s="238">
        <v>9</v>
      </c>
      <c r="AR58" s="238">
        <v>1</v>
      </c>
      <c r="AS58" s="238">
        <v>2</v>
      </c>
      <c r="AT58" s="238">
        <v>3</v>
      </c>
      <c r="AU58" s="238">
        <v>4</v>
      </c>
      <c r="AV58" s="238">
        <v>5</v>
      </c>
      <c r="AW58" s="238">
        <v>6</v>
      </c>
      <c r="AX58" s="238">
        <v>7</v>
      </c>
      <c r="AY58" s="238">
        <v>8</v>
      </c>
      <c r="AZ58" s="238">
        <v>9</v>
      </c>
    </row>
    <row r="59" spans="1:52" x14ac:dyDescent="0.25">
      <c r="B59" s="787" t="s">
        <v>1387</v>
      </c>
      <c r="C59" s="788" t="s">
        <v>207</v>
      </c>
      <c r="D59" s="789"/>
      <c r="E59" s="790"/>
      <c r="F59" s="790"/>
      <c r="G59" s="790"/>
      <c r="H59" s="790"/>
      <c r="I59" s="790"/>
      <c r="J59" s="790"/>
      <c r="K59" s="790"/>
      <c r="L59" s="790"/>
      <c r="M59" s="791"/>
      <c r="O59" s="787" t="s">
        <v>1387</v>
      </c>
      <c r="P59" s="788" t="s">
        <v>207</v>
      </c>
      <c r="Q59" s="789"/>
      <c r="R59" s="790"/>
      <c r="S59" s="790"/>
      <c r="T59" s="790"/>
      <c r="U59" s="790"/>
      <c r="V59" s="790"/>
      <c r="W59" s="790"/>
      <c r="X59" s="790"/>
      <c r="Y59" s="790"/>
      <c r="Z59" s="791"/>
      <c r="AO59" s="787" t="s">
        <v>1387</v>
      </c>
      <c r="AP59" s="788" t="s">
        <v>207</v>
      </c>
      <c r="AQ59" s="789"/>
      <c r="AR59" s="790"/>
      <c r="AS59" s="790"/>
      <c r="AT59" s="790"/>
      <c r="AU59" s="790"/>
      <c r="AV59" s="790"/>
      <c r="AW59" s="790"/>
      <c r="AX59" s="790"/>
      <c r="AY59" s="790"/>
      <c r="AZ59" s="791"/>
    </row>
    <row r="60" spans="1:52" x14ac:dyDescent="0.25">
      <c r="A60" t="s">
        <v>1398</v>
      </c>
      <c r="B60" s="792"/>
      <c r="C60" s="783"/>
      <c r="D60" s="280" t="s">
        <v>185</v>
      </c>
      <c r="E60" s="261">
        <v>-2</v>
      </c>
      <c r="F60" s="261">
        <v>-2</v>
      </c>
      <c r="G60" s="261">
        <v>-1.5</v>
      </c>
      <c r="H60" s="261">
        <v>-2</v>
      </c>
      <c r="I60" s="261">
        <v>-2</v>
      </c>
      <c r="J60" s="261">
        <v>-1.5</v>
      </c>
      <c r="K60" s="261">
        <v>-2</v>
      </c>
      <c r="L60" s="261">
        <v>-2</v>
      </c>
      <c r="M60" s="793">
        <v>-1.5</v>
      </c>
      <c r="O60" s="792"/>
      <c r="P60" s="783"/>
      <c r="Q60" s="280" t="s">
        <v>185</v>
      </c>
      <c r="R60" s="261">
        <v>-3</v>
      </c>
      <c r="S60" s="261">
        <v>-3</v>
      </c>
      <c r="T60" s="261">
        <v>-2.5</v>
      </c>
      <c r="U60" s="261">
        <v>-3</v>
      </c>
      <c r="V60" s="261">
        <v>-3</v>
      </c>
      <c r="W60" s="261">
        <v>-2.5</v>
      </c>
      <c r="X60" s="261">
        <v>-3</v>
      </c>
      <c r="Y60" s="261">
        <v>-3</v>
      </c>
      <c r="Z60" s="793">
        <v>-2.5</v>
      </c>
      <c r="AO60" s="792"/>
      <c r="AP60" s="783"/>
      <c r="AQ60" s="280" t="s">
        <v>185</v>
      </c>
      <c r="AR60" s="261">
        <v>-2</v>
      </c>
      <c r="AS60" s="261">
        <v>-2</v>
      </c>
      <c r="AT60" s="261">
        <v>-1.5</v>
      </c>
      <c r="AU60" s="261">
        <v>-2</v>
      </c>
      <c r="AV60" s="261">
        <v>-2</v>
      </c>
      <c r="AW60" s="261">
        <v>-1.5</v>
      </c>
      <c r="AX60" s="261">
        <v>-2</v>
      </c>
      <c r="AY60" s="261">
        <v>-2</v>
      </c>
      <c r="AZ60" s="793">
        <v>-1.5</v>
      </c>
    </row>
    <row r="61" spans="1:52" x14ac:dyDescent="0.25">
      <c r="A61" t="s">
        <v>1399</v>
      </c>
      <c r="B61" s="792"/>
      <c r="C61" s="783"/>
      <c r="D61" s="280" t="s">
        <v>199</v>
      </c>
      <c r="E61" s="261">
        <v>-1.5</v>
      </c>
      <c r="F61" s="261">
        <v>-1.5</v>
      </c>
      <c r="G61" s="261">
        <v>-1</v>
      </c>
      <c r="H61" s="261">
        <v>-1.5</v>
      </c>
      <c r="I61" s="261">
        <v>-1.5</v>
      </c>
      <c r="J61" s="261">
        <v>-1</v>
      </c>
      <c r="K61" s="261">
        <v>-1.5</v>
      </c>
      <c r="L61" s="261">
        <v>-1.5</v>
      </c>
      <c r="M61" s="793">
        <v>-1</v>
      </c>
      <c r="O61" s="792"/>
      <c r="P61" s="783"/>
      <c r="Q61" s="280" t="s">
        <v>199</v>
      </c>
      <c r="R61" s="261">
        <v>-2.5</v>
      </c>
      <c r="S61" s="261">
        <v>-2.5</v>
      </c>
      <c r="T61" s="261">
        <v>-2</v>
      </c>
      <c r="U61" s="261">
        <v>-2.5</v>
      </c>
      <c r="V61" s="261">
        <v>-2.5</v>
      </c>
      <c r="W61" s="261">
        <v>-2</v>
      </c>
      <c r="X61" s="261">
        <v>-2.5</v>
      </c>
      <c r="Y61" s="261">
        <v>-2.5</v>
      </c>
      <c r="Z61" s="793">
        <v>-2</v>
      </c>
      <c r="AO61" s="792"/>
      <c r="AP61" s="783"/>
      <c r="AQ61" s="280" t="s">
        <v>199</v>
      </c>
      <c r="AR61" s="261">
        <v>-1.5</v>
      </c>
      <c r="AS61" s="261">
        <v>-1.5</v>
      </c>
      <c r="AT61" s="261">
        <v>-1</v>
      </c>
      <c r="AU61" s="261">
        <v>-1.5</v>
      </c>
      <c r="AV61" s="261">
        <v>-1.5</v>
      </c>
      <c r="AW61" s="261">
        <v>-1</v>
      </c>
      <c r="AX61" s="261">
        <v>-1.5</v>
      </c>
      <c r="AY61" s="261">
        <v>-1.5</v>
      </c>
      <c r="AZ61" s="793">
        <v>-1</v>
      </c>
    </row>
    <row r="62" spans="1:52" x14ac:dyDescent="0.25">
      <c r="A62" t="s">
        <v>1400</v>
      </c>
      <c r="B62" s="792"/>
      <c r="C62" s="783"/>
      <c r="D62" s="280" t="s">
        <v>204</v>
      </c>
      <c r="E62" s="261">
        <v>-1</v>
      </c>
      <c r="F62" s="261">
        <v>-1</v>
      </c>
      <c r="G62" s="261">
        <v>-0.5</v>
      </c>
      <c r="H62" s="261">
        <v>-1</v>
      </c>
      <c r="I62" s="261">
        <v>-1</v>
      </c>
      <c r="J62" s="261">
        <v>-0.5</v>
      </c>
      <c r="K62" s="261">
        <v>-1</v>
      </c>
      <c r="L62" s="261">
        <v>-1</v>
      </c>
      <c r="M62" s="793">
        <v>-0.5</v>
      </c>
      <c r="O62" s="792"/>
      <c r="P62" s="783"/>
      <c r="Q62" s="280" t="s">
        <v>204</v>
      </c>
      <c r="R62" s="261">
        <v>-2</v>
      </c>
      <c r="S62" s="261">
        <v>-2</v>
      </c>
      <c r="T62" s="261">
        <v>-1.5</v>
      </c>
      <c r="U62" s="261">
        <v>-2</v>
      </c>
      <c r="V62" s="261">
        <v>-2</v>
      </c>
      <c r="W62" s="261">
        <v>-1.5</v>
      </c>
      <c r="X62" s="261">
        <v>-2</v>
      </c>
      <c r="Y62" s="261">
        <v>-2</v>
      </c>
      <c r="Z62" s="793">
        <v>-1.5</v>
      </c>
      <c r="AO62" s="792"/>
      <c r="AP62" s="783"/>
      <c r="AQ62" s="280" t="s">
        <v>204</v>
      </c>
      <c r="AR62" s="261">
        <v>-1</v>
      </c>
      <c r="AS62" s="261">
        <v>-1</v>
      </c>
      <c r="AT62" s="261">
        <v>-0.5</v>
      </c>
      <c r="AU62" s="261">
        <v>-1</v>
      </c>
      <c r="AV62" s="261">
        <v>-1</v>
      </c>
      <c r="AW62" s="261">
        <v>-0.5</v>
      </c>
      <c r="AX62" s="261">
        <v>-1</v>
      </c>
      <c r="AY62" s="261">
        <v>-1</v>
      </c>
      <c r="AZ62" s="793">
        <v>-0.5</v>
      </c>
    </row>
    <row r="63" spans="1:52" x14ac:dyDescent="0.25">
      <c r="A63" t="s">
        <v>1401</v>
      </c>
      <c r="B63" s="794"/>
      <c r="C63" s="795"/>
      <c r="D63" s="796" t="s">
        <v>219</v>
      </c>
      <c r="E63" s="797">
        <v>-1</v>
      </c>
      <c r="F63" s="797">
        <v>-1</v>
      </c>
      <c r="G63" s="797">
        <v>-0.5</v>
      </c>
      <c r="H63" s="797">
        <v>-1</v>
      </c>
      <c r="I63" s="797">
        <v>-1</v>
      </c>
      <c r="J63" s="797">
        <v>-0.5</v>
      </c>
      <c r="K63" s="797">
        <v>-1</v>
      </c>
      <c r="L63" s="797">
        <v>-1</v>
      </c>
      <c r="M63" s="798">
        <v>-0.5</v>
      </c>
      <c r="O63" s="794"/>
      <c r="P63" s="795"/>
      <c r="Q63" s="796" t="s">
        <v>219</v>
      </c>
      <c r="R63" s="797">
        <v>-2</v>
      </c>
      <c r="S63" s="797">
        <v>-2</v>
      </c>
      <c r="T63" s="797">
        <v>-1.5</v>
      </c>
      <c r="U63" s="797">
        <v>-2</v>
      </c>
      <c r="V63" s="797">
        <v>-2</v>
      </c>
      <c r="W63" s="797">
        <v>-1.5</v>
      </c>
      <c r="X63" s="797">
        <v>-2</v>
      </c>
      <c r="Y63" s="797">
        <v>-2</v>
      </c>
      <c r="Z63" s="798">
        <v>-1.5</v>
      </c>
      <c r="AO63" s="794"/>
      <c r="AP63" s="795"/>
      <c r="AQ63" s="796" t="s">
        <v>219</v>
      </c>
      <c r="AR63" s="797">
        <v>-1</v>
      </c>
      <c r="AS63" s="797">
        <v>-1</v>
      </c>
      <c r="AT63" s="797">
        <v>-0.5</v>
      </c>
      <c r="AU63" s="797">
        <v>-1</v>
      </c>
      <c r="AV63" s="797">
        <v>-1</v>
      </c>
      <c r="AW63" s="797">
        <v>-0.5</v>
      </c>
      <c r="AX63" s="797">
        <v>-1</v>
      </c>
      <c r="AY63" s="797">
        <v>-1</v>
      </c>
      <c r="AZ63" s="798">
        <v>-0.5</v>
      </c>
    </row>
    <row r="64" spans="1:52" x14ac:dyDescent="0.25">
      <c r="B64" s="674" t="s">
        <v>175</v>
      </c>
      <c r="C64" s="784"/>
      <c r="D64" s="785"/>
      <c r="E64" s="785"/>
      <c r="F64" s="785"/>
      <c r="G64" s="785"/>
      <c r="H64" s="785"/>
      <c r="I64" s="785"/>
      <c r="J64" s="785"/>
      <c r="K64" s="785"/>
      <c r="L64" s="785"/>
      <c r="M64" s="786"/>
      <c r="O64" s="239" t="s">
        <v>175</v>
      </c>
      <c r="P64" s="275"/>
      <c r="Q64" s="276"/>
      <c r="R64" s="276"/>
      <c r="S64" s="276"/>
      <c r="T64" s="276"/>
      <c r="U64" s="276"/>
      <c r="V64" s="276"/>
      <c r="W64" s="276"/>
      <c r="X64" s="276"/>
      <c r="Y64" s="276"/>
      <c r="Z64" s="277"/>
      <c r="AO64" s="674" t="s">
        <v>175</v>
      </c>
      <c r="AP64" s="784"/>
      <c r="AQ64" s="785"/>
      <c r="AR64" s="785"/>
      <c r="AS64" s="785"/>
      <c r="AT64" s="785"/>
      <c r="AU64" s="785"/>
      <c r="AV64" s="785"/>
      <c r="AW64" s="785"/>
      <c r="AX64" s="785"/>
      <c r="AY64" s="785"/>
      <c r="AZ64" s="786"/>
    </row>
    <row r="65" spans="1:52" x14ac:dyDescent="0.25">
      <c r="B65" s="244"/>
      <c r="C65" s="278" t="s">
        <v>207</v>
      </c>
      <c r="D65" s="280"/>
      <c r="E65" s="261"/>
      <c r="F65" s="261"/>
      <c r="G65" s="261"/>
      <c r="H65" s="261"/>
      <c r="I65" s="261"/>
      <c r="J65" s="261"/>
      <c r="K65" s="261"/>
      <c r="L65" s="261"/>
      <c r="M65" s="262"/>
      <c r="O65" s="244"/>
      <c r="P65" s="278" t="s">
        <v>207</v>
      </c>
      <c r="Q65" s="280"/>
      <c r="R65" s="261"/>
      <c r="S65" s="261"/>
      <c r="T65" s="261"/>
      <c r="U65" s="261"/>
      <c r="V65" s="261"/>
      <c r="W65" s="261"/>
      <c r="X65" s="261"/>
      <c r="Y65" s="261"/>
      <c r="Z65" s="262"/>
      <c r="AO65" s="244"/>
      <c r="AP65" s="278" t="s">
        <v>207</v>
      </c>
      <c r="AQ65" s="280"/>
      <c r="AR65" s="261"/>
      <c r="AS65" s="261"/>
      <c r="AT65" s="261"/>
      <c r="AU65" s="261"/>
      <c r="AV65" s="261"/>
      <c r="AW65" s="261"/>
      <c r="AX65" s="261"/>
      <c r="AY65" s="261"/>
      <c r="AZ65" s="262"/>
    </row>
    <row r="66" spans="1:52" x14ac:dyDescent="0.25">
      <c r="A66" t="s">
        <v>1208</v>
      </c>
      <c r="B66" s="244"/>
      <c r="C66" s="279"/>
      <c r="D66" s="280" t="s">
        <v>185</v>
      </c>
      <c r="E66" s="261">
        <v>-4</v>
      </c>
      <c r="F66" s="261">
        <v>-4</v>
      </c>
      <c r="G66" s="261">
        <v>-3</v>
      </c>
      <c r="H66" s="261">
        <v>-4</v>
      </c>
      <c r="I66" s="261">
        <v>-4</v>
      </c>
      <c r="J66" s="261">
        <v>-3</v>
      </c>
      <c r="K66" s="261">
        <v>-4</v>
      </c>
      <c r="L66" s="261">
        <v>-4</v>
      </c>
      <c r="M66" s="262">
        <v>-3</v>
      </c>
      <c r="O66" s="244"/>
      <c r="P66" s="279"/>
      <c r="Q66" s="280" t="s">
        <v>185</v>
      </c>
      <c r="R66" s="261">
        <v>-6</v>
      </c>
      <c r="S66" s="261">
        <v>-6</v>
      </c>
      <c r="T66" s="261">
        <v>-5</v>
      </c>
      <c r="U66" s="261">
        <v>-6</v>
      </c>
      <c r="V66" s="261">
        <v>-6</v>
      </c>
      <c r="W66" s="261">
        <v>-5</v>
      </c>
      <c r="X66" s="261">
        <v>-6</v>
      </c>
      <c r="Y66" s="261">
        <v>-6</v>
      </c>
      <c r="Z66" s="262">
        <v>-5</v>
      </c>
      <c r="AO66" s="244"/>
      <c r="AP66" s="279"/>
      <c r="AQ66" s="280" t="s">
        <v>185</v>
      </c>
      <c r="AR66" s="261">
        <v>-4</v>
      </c>
      <c r="AS66" s="261">
        <v>-4</v>
      </c>
      <c r="AT66" s="261">
        <v>-3</v>
      </c>
      <c r="AU66" s="261">
        <v>-4</v>
      </c>
      <c r="AV66" s="261">
        <v>-4</v>
      </c>
      <c r="AW66" s="261">
        <v>-3</v>
      </c>
      <c r="AX66" s="261">
        <v>-4</v>
      </c>
      <c r="AY66" s="261">
        <v>-4</v>
      </c>
      <c r="AZ66" s="262">
        <v>-3</v>
      </c>
    </row>
    <row r="67" spans="1:52" x14ac:dyDescent="0.25">
      <c r="A67" t="s">
        <v>1209</v>
      </c>
      <c r="B67" s="244"/>
      <c r="C67" s="279"/>
      <c r="D67" s="280" t="s">
        <v>199</v>
      </c>
      <c r="E67" s="261">
        <v>-3</v>
      </c>
      <c r="F67" s="261">
        <v>-3</v>
      </c>
      <c r="G67" s="261">
        <v>-2</v>
      </c>
      <c r="H67" s="261">
        <v>-3</v>
      </c>
      <c r="I67" s="261">
        <v>-3</v>
      </c>
      <c r="J67" s="261">
        <v>-2</v>
      </c>
      <c r="K67" s="261">
        <v>-3</v>
      </c>
      <c r="L67" s="261">
        <v>-3</v>
      </c>
      <c r="M67" s="262">
        <v>-2</v>
      </c>
      <c r="O67" s="244"/>
      <c r="P67" s="279"/>
      <c r="Q67" s="280" t="s">
        <v>199</v>
      </c>
      <c r="R67" s="261">
        <v>-5</v>
      </c>
      <c r="S67" s="261">
        <v>-5</v>
      </c>
      <c r="T67" s="261">
        <v>-4</v>
      </c>
      <c r="U67" s="261">
        <v>-5</v>
      </c>
      <c r="V67" s="261">
        <v>-5</v>
      </c>
      <c r="W67" s="261">
        <v>-4</v>
      </c>
      <c r="X67" s="261">
        <v>-5</v>
      </c>
      <c r="Y67" s="261">
        <v>-5</v>
      </c>
      <c r="Z67" s="262">
        <v>-4</v>
      </c>
      <c r="AO67" s="244"/>
      <c r="AP67" s="279"/>
      <c r="AQ67" s="280" t="s">
        <v>199</v>
      </c>
      <c r="AR67" s="261">
        <v>-3</v>
      </c>
      <c r="AS67" s="261">
        <v>-3</v>
      </c>
      <c r="AT67" s="261">
        <v>-2</v>
      </c>
      <c r="AU67" s="261">
        <v>-3</v>
      </c>
      <c r="AV67" s="261">
        <v>-3</v>
      </c>
      <c r="AW67" s="261">
        <v>-2</v>
      </c>
      <c r="AX67" s="261">
        <v>-3</v>
      </c>
      <c r="AY67" s="261">
        <v>-3</v>
      </c>
      <c r="AZ67" s="262">
        <v>-2</v>
      </c>
    </row>
    <row r="68" spans="1:52" x14ac:dyDescent="0.25">
      <c r="A68" t="s">
        <v>1402</v>
      </c>
      <c r="B68" s="674"/>
      <c r="C68" s="279"/>
      <c r="D68" s="280" t="s">
        <v>204</v>
      </c>
      <c r="E68" s="261">
        <v>-2</v>
      </c>
      <c r="F68" s="261">
        <v>-2</v>
      </c>
      <c r="G68" s="261">
        <v>-1</v>
      </c>
      <c r="H68" s="261">
        <v>-2</v>
      </c>
      <c r="I68" s="261">
        <v>-2</v>
      </c>
      <c r="J68" s="261">
        <v>-1</v>
      </c>
      <c r="K68" s="261">
        <v>-2</v>
      </c>
      <c r="L68" s="261">
        <v>-2</v>
      </c>
      <c r="M68" s="262">
        <v>-1</v>
      </c>
      <c r="O68" s="674"/>
      <c r="P68" s="279"/>
      <c r="Q68" s="280" t="s">
        <v>204</v>
      </c>
      <c r="R68" s="261">
        <v>-4</v>
      </c>
      <c r="S68" s="261">
        <v>-4</v>
      </c>
      <c r="T68" s="261">
        <v>-3</v>
      </c>
      <c r="U68" s="261">
        <v>-4</v>
      </c>
      <c r="V68" s="261">
        <v>-4</v>
      </c>
      <c r="W68" s="261">
        <v>-3</v>
      </c>
      <c r="X68" s="261">
        <v>-4</v>
      </c>
      <c r="Y68" s="261">
        <v>-4</v>
      </c>
      <c r="Z68" s="262">
        <v>-3</v>
      </c>
      <c r="AO68" s="674"/>
      <c r="AP68" s="279"/>
      <c r="AQ68" s="280" t="s">
        <v>204</v>
      </c>
      <c r="AR68" s="261">
        <v>-2</v>
      </c>
      <c r="AS68" s="261">
        <v>-2</v>
      </c>
      <c r="AT68" s="261">
        <v>-1</v>
      </c>
      <c r="AU68" s="261">
        <v>-2</v>
      </c>
      <c r="AV68" s="261">
        <v>-2</v>
      </c>
      <c r="AW68" s="261">
        <v>-1</v>
      </c>
      <c r="AX68" s="261">
        <v>-2</v>
      </c>
      <c r="AY68" s="261">
        <v>-2</v>
      </c>
      <c r="AZ68" s="262">
        <v>-1</v>
      </c>
    </row>
    <row r="69" spans="1:52" x14ac:dyDescent="0.25">
      <c r="A69" t="s">
        <v>1210</v>
      </c>
      <c r="B69" s="244"/>
      <c r="C69" s="281"/>
      <c r="D69" s="280" t="s">
        <v>219</v>
      </c>
      <c r="E69" s="261">
        <v>-1.5</v>
      </c>
      <c r="F69" s="261">
        <v>-1.5</v>
      </c>
      <c r="G69" s="261">
        <v>-1</v>
      </c>
      <c r="H69" s="261">
        <v>-1.5</v>
      </c>
      <c r="I69" s="261">
        <v>-1.5</v>
      </c>
      <c r="J69" s="261">
        <v>-1</v>
      </c>
      <c r="K69" s="261">
        <v>-1.5</v>
      </c>
      <c r="L69" s="261">
        <v>-1.5</v>
      </c>
      <c r="M69" s="262">
        <v>-1</v>
      </c>
      <c r="O69" s="244"/>
      <c r="P69" s="281"/>
      <c r="Q69" s="280" t="s">
        <v>219</v>
      </c>
      <c r="R69" s="261">
        <v>-3.5</v>
      </c>
      <c r="S69" s="261">
        <v>-3.5</v>
      </c>
      <c r="T69" s="261">
        <v>-3</v>
      </c>
      <c r="U69" s="261">
        <v>-3.5</v>
      </c>
      <c r="V69" s="261">
        <v>-3.5</v>
      </c>
      <c r="W69" s="261">
        <v>-3</v>
      </c>
      <c r="X69" s="261">
        <v>-3.5</v>
      </c>
      <c r="Y69" s="261">
        <v>-3.5</v>
      </c>
      <c r="Z69" s="262">
        <v>-3</v>
      </c>
      <c r="AO69" s="244"/>
      <c r="AP69" s="281"/>
      <c r="AQ69" s="280" t="s">
        <v>219</v>
      </c>
      <c r="AR69" s="261">
        <v>-1.5</v>
      </c>
      <c r="AS69" s="261">
        <v>-1.5</v>
      </c>
      <c r="AT69" s="261">
        <v>-1</v>
      </c>
      <c r="AU69" s="261">
        <v>-1.5</v>
      </c>
      <c r="AV69" s="261">
        <v>-1.5</v>
      </c>
      <c r="AW69" s="261">
        <v>-1</v>
      </c>
      <c r="AX69" s="261">
        <v>-1.5</v>
      </c>
      <c r="AY69" s="261">
        <v>-1.5</v>
      </c>
      <c r="AZ69" s="262">
        <v>-1</v>
      </c>
    </row>
    <row r="70" spans="1:52" x14ac:dyDescent="0.25">
      <c r="B70" s="244"/>
      <c r="C70" s="278" t="s">
        <v>57</v>
      </c>
      <c r="D70" s="280"/>
      <c r="E70" s="261"/>
      <c r="F70" s="261"/>
      <c r="G70" s="261"/>
      <c r="H70" s="261"/>
      <c r="I70" s="261"/>
      <c r="J70" s="261"/>
      <c r="K70" s="261"/>
      <c r="L70" s="261"/>
      <c r="M70" s="262"/>
      <c r="O70" s="244"/>
      <c r="P70" s="278" t="s">
        <v>57</v>
      </c>
      <c r="Q70" s="280"/>
      <c r="R70" s="261"/>
      <c r="S70" s="261"/>
      <c r="T70" s="261"/>
      <c r="U70" s="261"/>
      <c r="V70" s="261"/>
      <c r="W70" s="261"/>
      <c r="X70" s="261"/>
      <c r="Y70" s="261"/>
      <c r="Z70" s="262"/>
      <c r="AO70" s="244"/>
      <c r="AP70" s="278" t="s">
        <v>57</v>
      </c>
      <c r="AQ70" s="280"/>
      <c r="AR70" s="261"/>
      <c r="AS70" s="261"/>
      <c r="AT70" s="261"/>
      <c r="AU70" s="261"/>
      <c r="AV70" s="261"/>
      <c r="AW70" s="261"/>
      <c r="AX70" s="261"/>
      <c r="AY70" s="261"/>
      <c r="AZ70" s="262"/>
    </row>
    <row r="71" spans="1:52" x14ac:dyDescent="0.25">
      <c r="A71" t="s">
        <v>1211</v>
      </c>
      <c r="B71" s="244"/>
      <c r="C71" s="279"/>
      <c r="D71" s="280" t="s">
        <v>185</v>
      </c>
      <c r="E71" s="261">
        <v>-6</v>
      </c>
      <c r="F71" s="261">
        <v>-6</v>
      </c>
      <c r="G71" s="261">
        <v>-5</v>
      </c>
      <c r="H71" s="261">
        <v>-6</v>
      </c>
      <c r="I71" s="261">
        <v>-6</v>
      </c>
      <c r="J71" s="261">
        <v>-5</v>
      </c>
      <c r="K71" s="261">
        <v>-6</v>
      </c>
      <c r="L71" s="261">
        <v>-6</v>
      </c>
      <c r="M71" s="262">
        <v>-5</v>
      </c>
      <c r="O71" s="244"/>
      <c r="P71" s="279"/>
      <c r="Q71" s="280" t="s">
        <v>185</v>
      </c>
      <c r="R71" s="261">
        <v>-8</v>
      </c>
      <c r="S71" s="261">
        <v>-8</v>
      </c>
      <c r="T71" s="261">
        <v>-7</v>
      </c>
      <c r="U71" s="261">
        <v>-8</v>
      </c>
      <c r="V71" s="261">
        <v>-8</v>
      </c>
      <c r="W71" s="261">
        <v>-7</v>
      </c>
      <c r="X71" s="261">
        <v>-8</v>
      </c>
      <c r="Y71" s="261">
        <v>-8</v>
      </c>
      <c r="Z71" s="262">
        <v>-7</v>
      </c>
      <c r="AO71" s="244"/>
      <c r="AP71" s="279"/>
      <c r="AQ71" s="280" t="s">
        <v>185</v>
      </c>
      <c r="AR71" s="261">
        <v>-6</v>
      </c>
      <c r="AS71" s="261">
        <v>-6</v>
      </c>
      <c r="AT71" s="261">
        <v>-5</v>
      </c>
      <c r="AU71" s="261">
        <v>-6</v>
      </c>
      <c r="AV71" s="261">
        <v>-6</v>
      </c>
      <c r="AW71" s="261">
        <v>-5</v>
      </c>
      <c r="AX71" s="261">
        <v>-6</v>
      </c>
      <c r="AY71" s="261">
        <v>-6</v>
      </c>
      <c r="AZ71" s="262">
        <v>-5</v>
      </c>
    </row>
    <row r="72" spans="1:52" x14ac:dyDescent="0.25">
      <c r="A72" t="s">
        <v>1212</v>
      </c>
      <c r="B72" s="244"/>
      <c r="C72" s="279"/>
      <c r="D72" s="280" t="s">
        <v>199</v>
      </c>
      <c r="E72" s="261">
        <v>-5</v>
      </c>
      <c r="F72" s="261">
        <v>-5</v>
      </c>
      <c r="G72" s="261">
        <v>-4</v>
      </c>
      <c r="H72" s="261">
        <v>-5</v>
      </c>
      <c r="I72" s="261">
        <v>-5</v>
      </c>
      <c r="J72" s="261">
        <v>-4</v>
      </c>
      <c r="K72" s="261">
        <v>-5</v>
      </c>
      <c r="L72" s="261">
        <v>-5</v>
      </c>
      <c r="M72" s="262">
        <v>-4</v>
      </c>
      <c r="O72" s="244"/>
      <c r="P72" s="279"/>
      <c r="Q72" s="280" t="s">
        <v>199</v>
      </c>
      <c r="R72" s="261">
        <v>-7</v>
      </c>
      <c r="S72" s="261">
        <v>-7</v>
      </c>
      <c r="T72" s="261">
        <v>-6</v>
      </c>
      <c r="U72" s="261">
        <v>-7</v>
      </c>
      <c r="V72" s="261">
        <v>-7</v>
      </c>
      <c r="W72" s="261">
        <v>-6</v>
      </c>
      <c r="X72" s="261">
        <v>-7</v>
      </c>
      <c r="Y72" s="261">
        <v>-7</v>
      </c>
      <c r="Z72" s="262">
        <v>-6</v>
      </c>
      <c r="AO72" s="244"/>
      <c r="AP72" s="279"/>
      <c r="AQ72" s="280" t="s">
        <v>199</v>
      </c>
      <c r="AR72" s="261">
        <v>-5</v>
      </c>
      <c r="AS72" s="261">
        <v>-5</v>
      </c>
      <c r="AT72" s="261">
        <v>-4</v>
      </c>
      <c r="AU72" s="261">
        <v>-5</v>
      </c>
      <c r="AV72" s="261">
        <v>-5</v>
      </c>
      <c r="AW72" s="261">
        <v>-4</v>
      </c>
      <c r="AX72" s="261">
        <v>-5</v>
      </c>
      <c r="AY72" s="261">
        <v>-5</v>
      </c>
      <c r="AZ72" s="262">
        <v>-4</v>
      </c>
    </row>
    <row r="73" spans="1:52" x14ac:dyDescent="0.25">
      <c r="A73" t="s">
        <v>1403</v>
      </c>
      <c r="B73" s="674"/>
      <c r="C73" s="279"/>
      <c r="D73" s="280" t="s">
        <v>204</v>
      </c>
      <c r="E73" s="261">
        <v>-4</v>
      </c>
      <c r="F73" s="261">
        <v>-4</v>
      </c>
      <c r="G73" s="261">
        <v>-3</v>
      </c>
      <c r="H73" s="261">
        <v>-4</v>
      </c>
      <c r="I73" s="261">
        <v>-4</v>
      </c>
      <c r="J73" s="261">
        <v>-3</v>
      </c>
      <c r="K73" s="261">
        <v>-4</v>
      </c>
      <c r="L73" s="261">
        <v>-4</v>
      </c>
      <c r="M73" s="262">
        <v>-3</v>
      </c>
      <c r="O73" s="674"/>
      <c r="P73" s="279"/>
      <c r="Q73" s="280" t="s">
        <v>204</v>
      </c>
      <c r="R73" s="261">
        <v>-6</v>
      </c>
      <c r="S73" s="261">
        <v>-6</v>
      </c>
      <c r="T73" s="261">
        <v>-5</v>
      </c>
      <c r="U73" s="261">
        <v>-6</v>
      </c>
      <c r="V73" s="261">
        <v>-6</v>
      </c>
      <c r="W73" s="261">
        <v>-5</v>
      </c>
      <c r="X73" s="261">
        <v>-6</v>
      </c>
      <c r="Y73" s="261">
        <v>-6</v>
      </c>
      <c r="Z73" s="262">
        <v>-5</v>
      </c>
      <c r="AO73" s="674"/>
      <c r="AP73" s="279"/>
      <c r="AQ73" s="280" t="s">
        <v>204</v>
      </c>
      <c r="AR73" s="261">
        <v>-4</v>
      </c>
      <c r="AS73" s="261">
        <v>-4</v>
      </c>
      <c r="AT73" s="261">
        <v>-3</v>
      </c>
      <c r="AU73" s="261">
        <v>-4</v>
      </c>
      <c r="AV73" s="261">
        <v>-4</v>
      </c>
      <c r="AW73" s="261">
        <v>-3</v>
      </c>
      <c r="AX73" s="261">
        <v>-4</v>
      </c>
      <c r="AY73" s="261">
        <v>-4</v>
      </c>
      <c r="AZ73" s="262">
        <v>-3</v>
      </c>
    </row>
    <row r="74" spans="1:52" x14ac:dyDescent="0.25">
      <c r="A74" t="s">
        <v>1213</v>
      </c>
      <c r="B74" s="244"/>
      <c r="C74" s="281"/>
      <c r="D74" s="280" t="s">
        <v>219</v>
      </c>
      <c r="E74" s="261">
        <v>-3.5</v>
      </c>
      <c r="F74" s="261">
        <v>-3.5</v>
      </c>
      <c r="G74" s="261">
        <v>-2.5</v>
      </c>
      <c r="H74" s="261">
        <v>-3.5</v>
      </c>
      <c r="I74" s="261">
        <v>-3.5</v>
      </c>
      <c r="J74" s="261">
        <v>-2.5</v>
      </c>
      <c r="K74" s="261">
        <v>-3.5</v>
      </c>
      <c r="L74" s="261">
        <v>-3.5</v>
      </c>
      <c r="M74" s="262">
        <v>-2.5</v>
      </c>
      <c r="O74" s="244"/>
      <c r="P74" s="281"/>
      <c r="Q74" s="280" t="s">
        <v>219</v>
      </c>
      <c r="R74" s="261">
        <v>-5.5</v>
      </c>
      <c r="S74" s="261">
        <v>-5.5</v>
      </c>
      <c r="T74" s="261">
        <v>-4.5</v>
      </c>
      <c r="U74" s="261">
        <v>-5.5</v>
      </c>
      <c r="V74" s="261">
        <v>-5.5</v>
      </c>
      <c r="W74" s="261">
        <v>-4.5</v>
      </c>
      <c r="X74" s="261">
        <v>-5.5</v>
      </c>
      <c r="Y74" s="261">
        <v>-5.5</v>
      </c>
      <c r="Z74" s="262">
        <v>-4.5</v>
      </c>
      <c r="AO74" s="244"/>
      <c r="AP74" s="281"/>
      <c r="AQ74" s="280" t="s">
        <v>219</v>
      </c>
      <c r="AR74" s="261">
        <v>-3.5</v>
      </c>
      <c r="AS74" s="261">
        <v>-3.5</v>
      </c>
      <c r="AT74" s="261">
        <v>-2.5</v>
      </c>
      <c r="AU74" s="261">
        <v>-3.5</v>
      </c>
      <c r="AV74" s="261">
        <v>-3.5</v>
      </c>
      <c r="AW74" s="261">
        <v>-2.5</v>
      </c>
      <c r="AX74" s="261">
        <v>-3.5</v>
      </c>
      <c r="AY74" s="261">
        <v>-3.5</v>
      </c>
      <c r="AZ74" s="262">
        <v>-2.5</v>
      </c>
    </row>
    <row r="75" spans="1:52" x14ac:dyDescent="0.25">
      <c r="B75" s="244"/>
      <c r="C75" s="278" t="s">
        <v>230</v>
      </c>
      <c r="D75" s="280"/>
      <c r="E75" s="261"/>
      <c r="F75" s="261"/>
      <c r="G75" s="261"/>
      <c r="H75" s="261"/>
      <c r="I75" s="261"/>
      <c r="J75" s="261"/>
      <c r="K75" s="261"/>
      <c r="L75" s="261"/>
      <c r="M75" s="262"/>
      <c r="O75" s="244"/>
      <c r="P75" s="278" t="s">
        <v>230</v>
      </c>
      <c r="Q75" s="280"/>
      <c r="R75" s="261"/>
      <c r="S75" s="261"/>
      <c r="T75" s="261"/>
      <c r="U75" s="261"/>
      <c r="V75" s="261"/>
      <c r="W75" s="261"/>
      <c r="X75" s="261"/>
      <c r="Y75" s="261"/>
      <c r="Z75" s="262"/>
      <c r="AO75" s="244"/>
      <c r="AP75" s="278" t="s">
        <v>230</v>
      </c>
      <c r="AQ75" s="280"/>
      <c r="AR75" s="261"/>
      <c r="AS75" s="261"/>
      <c r="AT75" s="261"/>
      <c r="AU75" s="261"/>
      <c r="AV75" s="261"/>
      <c r="AW75" s="261"/>
      <c r="AX75" s="261"/>
      <c r="AY75" s="261"/>
      <c r="AZ75" s="262"/>
    </row>
    <row r="76" spans="1:52" x14ac:dyDescent="0.25">
      <c r="A76" t="s">
        <v>1214</v>
      </c>
      <c r="B76" s="244"/>
      <c r="C76" s="279"/>
      <c r="D76" s="280" t="s">
        <v>185</v>
      </c>
      <c r="E76" s="261">
        <v>-9</v>
      </c>
      <c r="F76" s="261">
        <v>-9</v>
      </c>
      <c r="G76" s="261">
        <v>-8</v>
      </c>
      <c r="H76" s="261">
        <v>-9</v>
      </c>
      <c r="I76" s="261">
        <v>-9</v>
      </c>
      <c r="J76" s="261">
        <v>-8</v>
      </c>
      <c r="K76" s="261">
        <v>-9</v>
      </c>
      <c r="L76" s="261">
        <v>-9</v>
      </c>
      <c r="M76" s="262">
        <v>-8</v>
      </c>
      <c r="O76" s="244"/>
      <c r="P76" s="279"/>
      <c r="Q76" s="280" t="s">
        <v>185</v>
      </c>
      <c r="R76" s="261">
        <v>-11</v>
      </c>
      <c r="S76" s="261">
        <v>-11</v>
      </c>
      <c r="T76" s="261">
        <v>-10</v>
      </c>
      <c r="U76" s="261">
        <v>-11</v>
      </c>
      <c r="V76" s="261">
        <v>-11</v>
      </c>
      <c r="W76" s="261">
        <v>-10</v>
      </c>
      <c r="X76" s="261">
        <v>-11</v>
      </c>
      <c r="Y76" s="261">
        <v>-11</v>
      </c>
      <c r="Z76" s="262">
        <v>-10</v>
      </c>
      <c r="AO76" s="244"/>
      <c r="AP76" s="279"/>
      <c r="AQ76" s="280" t="s">
        <v>185</v>
      </c>
      <c r="AR76" s="261">
        <v>-9</v>
      </c>
      <c r="AS76" s="261">
        <v>-9</v>
      </c>
      <c r="AT76" s="261">
        <v>-8</v>
      </c>
      <c r="AU76" s="261">
        <v>-9</v>
      </c>
      <c r="AV76" s="261">
        <v>-9</v>
      </c>
      <c r="AW76" s="261">
        <v>-8</v>
      </c>
      <c r="AX76" s="261">
        <v>-9</v>
      </c>
      <c r="AY76" s="261">
        <v>-9</v>
      </c>
      <c r="AZ76" s="262">
        <v>-8</v>
      </c>
    </row>
    <row r="77" spans="1:52" x14ac:dyDescent="0.25">
      <c r="A77" t="s">
        <v>1215</v>
      </c>
      <c r="B77" s="244"/>
      <c r="C77" s="279"/>
      <c r="D77" s="280" t="s">
        <v>199</v>
      </c>
      <c r="E77" s="261">
        <v>-8</v>
      </c>
      <c r="F77" s="261">
        <v>-8</v>
      </c>
      <c r="G77" s="261">
        <v>-7</v>
      </c>
      <c r="H77" s="261">
        <v>-8</v>
      </c>
      <c r="I77" s="261">
        <v>-8</v>
      </c>
      <c r="J77" s="261">
        <v>-7</v>
      </c>
      <c r="K77" s="261">
        <v>-8</v>
      </c>
      <c r="L77" s="261">
        <v>-8</v>
      </c>
      <c r="M77" s="262">
        <v>-7</v>
      </c>
      <c r="O77" s="244"/>
      <c r="P77" s="279"/>
      <c r="Q77" s="280" t="s">
        <v>199</v>
      </c>
      <c r="R77" s="261">
        <v>-10</v>
      </c>
      <c r="S77" s="261">
        <v>-10</v>
      </c>
      <c r="T77" s="261">
        <v>-9</v>
      </c>
      <c r="U77" s="261">
        <v>-10</v>
      </c>
      <c r="V77" s="261">
        <v>-10</v>
      </c>
      <c r="W77" s="261">
        <v>-9</v>
      </c>
      <c r="X77" s="261">
        <v>-10</v>
      </c>
      <c r="Y77" s="261">
        <v>-10</v>
      </c>
      <c r="Z77" s="262">
        <v>-9</v>
      </c>
      <c r="AO77" s="244"/>
      <c r="AP77" s="279"/>
      <c r="AQ77" s="280" t="s">
        <v>199</v>
      </c>
      <c r="AR77" s="261">
        <v>-8</v>
      </c>
      <c r="AS77" s="261">
        <v>-8</v>
      </c>
      <c r="AT77" s="261">
        <v>-7</v>
      </c>
      <c r="AU77" s="261">
        <v>-8</v>
      </c>
      <c r="AV77" s="261">
        <v>-8</v>
      </c>
      <c r="AW77" s="261">
        <v>-7</v>
      </c>
      <c r="AX77" s="261">
        <v>-8</v>
      </c>
      <c r="AY77" s="261">
        <v>-8</v>
      </c>
      <c r="AZ77" s="262">
        <v>-7</v>
      </c>
    </row>
    <row r="78" spans="1:52" x14ac:dyDescent="0.25">
      <c r="A78" t="s">
        <v>1404</v>
      </c>
      <c r="B78" s="674"/>
      <c r="C78" s="279"/>
      <c r="D78" s="278" t="s">
        <v>204</v>
      </c>
      <c r="E78" s="686">
        <v>-7</v>
      </c>
      <c r="F78" s="686">
        <v>-7</v>
      </c>
      <c r="G78" s="686">
        <v>-6</v>
      </c>
      <c r="H78" s="686">
        <v>-7</v>
      </c>
      <c r="I78" s="686">
        <v>-7</v>
      </c>
      <c r="J78" s="686">
        <v>-6</v>
      </c>
      <c r="K78" s="686">
        <v>-7</v>
      </c>
      <c r="L78" s="686">
        <v>-7</v>
      </c>
      <c r="M78" s="687">
        <v>-6</v>
      </c>
      <c r="O78" s="674"/>
      <c r="P78" s="279"/>
      <c r="Q78" s="278" t="s">
        <v>204</v>
      </c>
      <c r="R78" s="686">
        <v>-9</v>
      </c>
      <c r="S78" s="686">
        <v>-9</v>
      </c>
      <c r="T78" s="686">
        <v>-8</v>
      </c>
      <c r="U78" s="686">
        <v>-9</v>
      </c>
      <c r="V78" s="686">
        <v>-9</v>
      </c>
      <c r="W78" s="686">
        <v>-8</v>
      </c>
      <c r="X78" s="686">
        <v>-9</v>
      </c>
      <c r="Y78" s="686">
        <v>-9</v>
      </c>
      <c r="Z78" s="687">
        <v>-8</v>
      </c>
      <c r="AO78" s="674"/>
      <c r="AP78" s="279"/>
      <c r="AQ78" s="278" t="s">
        <v>204</v>
      </c>
      <c r="AR78" s="686">
        <v>-7</v>
      </c>
      <c r="AS78" s="686">
        <v>-7</v>
      </c>
      <c r="AT78" s="686">
        <v>-6</v>
      </c>
      <c r="AU78" s="686">
        <v>-7</v>
      </c>
      <c r="AV78" s="686">
        <v>-7</v>
      </c>
      <c r="AW78" s="686">
        <v>-6</v>
      </c>
      <c r="AX78" s="686">
        <v>-7</v>
      </c>
      <c r="AY78" s="686">
        <v>-7</v>
      </c>
      <c r="AZ78" s="687">
        <v>-6</v>
      </c>
    </row>
    <row r="79" spans="1:52" x14ac:dyDescent="0.25">
      <c r="A79" t="s">
        <v>1216</v>
      </c>
      <c r="B79" s="249"/>
      <c r="C79" s="281"/>
      <c r="D79" s="282" t="s">
        <v>219</v>
      </c>
      <c r="E79" s="264">
        <v>-6</v>
      </c>
      <c r="F79" s="264">
        <v>-6</v>
      </c>
      <c r="G79" s="264">
        <v>-5</v>
      </c>
      <c r="H79" s="264">
        <v>-6</v>
      </c>
      <c r="I79" s="264">
        <v>-6</v>
      </c>
      <c r="J79" s="264">
        <v>-5</v>
      </c>
      <c r="K79" s="264">
        <v>-6</v>
      </c>
      <c r="L79" s="264">
        <v>-6</v>
      </c>
      <c r="M79" s="265">
        <v>-5</v>
      </c>
      <c r="O79" s="249"/>
      <c r="P79" s="281"/>
      <c r="Q79" s="282" t="s">
        <v>219</v>
      </c>
      <c r="R79" s="264">
        <v>-8</v>
      </c>
      <c r="S79" s="264">
        <v>-8</v>
      </c>
      <c r="T79" s="264">
        <v>-7</v>
      </c>
      <c r="U79" s="264">
        <v>-8</v>
      </c>
      <c r="V79" s="264">
        <v>-8</v>
      </c>
      <c r="W79" s="264">
        <v>-7</v>
      </c>
      <c r="X79" s="264">
        <v>-8</v>
      </c>
      <c r="Y79" s="264">
        <v>-8</v>
      </c>
      <c r="Z79" s="265">
        <v>-7</v>
      </c>
      <c r="AO79" s="249"/>
      <c r="AP79" s="281"/>
      <c r="AQ79" s="282" t="s">
        <v>219</v>
      </c>
      <c r="AR79" s="264">
        <v>-6</v>
      </c>
      <c r="AS79" s="264">
        <v>-6</v>
      </c>
      <c r="AT79" s="264">
        <v>-5</v>
      </c>
      <c r="AU79" s="264">
        <v>-6</v>
      </c>
      <c r="AV79" s="264">
        <v>-6</v>
      </c>
      <c r="AW79" s="264">
        <v>-5</v>
      </c>
      <c r="AX79" s="264">
        <v>-6</v>
      </c>
      <c r="AY79" s="264">
        <v>-6</v>
      </c>
      <c r="AZ79" s="265">
        <v>-5</v>
      </c>
    </row>
    <row r="80" spans="1:52" x14ac:dyDescent="0.25">
      <c r="B80" s="239" t="s">
        <v>169</v>
      </c>
      <c r="C80" s="275"/>
      <c r="D80" s="276"/>
      <c r="E80" s="283"/>
      <c r="F80" s="283"/>
      <c r="G80" s="283"/>
      <c r="H80" s="283"/>
      <c r="I80" s="283"/>
      <c r="J80" s="283"/>
      <c r="K80" s="283"/>
      <c r="L80" s="283"/>
      <c r="M80" s="284"/>
      <c r="O80" s="239" t="s">
        <v>169</v>
      </c>
      <c r="P80" s="275"/>
      <c r="Q80" s="276"/>
      <c r="R80" s="283"/>
      <c r="S80" s="283"/>
      <c r="T80" s="283"/>
      <c r="U80" s="283"/>
      <c r="V80" s="283"/>
      <c r="W80" s="283"/>
      <c r="X80" s="283"/>
      <c r="Y80" s="283"/>
      <c r="Z80" s="284"/>
      <c r="AO80" s="239" t="s">
        <v>169</v>
      </c>
      <c r="AP80" s="275"/>
      <c r="AQ80" s="276"/>
      <c r="AR80" s="283"/>
      <c r="AS80" s="283"/>
      <c r="AT80" s="283"/>
      <c r="AU80" s="283"/>
      <c r="AV80" s="283"/>
      <c r="AW80" s="283"/>
      <c r="AX80" s="283"/>
      <c r="AY80" s="283"/>
      <c r="AZ80" s="284"/>
    </row>
    <row r="81" spans="1:52" x14ac:dyDescent="0.25">
      <c r="B81" s="244"/>
      <c r="C81" s="278" t="s">
        <v>190</v>
      </c>
      <c r="D81" s="280"/>
      <c r="E81" s="261"/>
      <c r="F81" s="261"/>
      <c r="G81" s="261"/>
      <c r="H81" s="261"/>
      <c r="I81" s="261"/>
      <c r="J81" s="261"/>
      <c r="K81" s="261"/>
      <c r="L81" s="261"/>
      <c r="M81" s="262"/>
      <c r="O81" s="244"/>
      <c r="P81" s="278" t="s">
        <v>190</v>
      </c>
      <c r="Q81" s="280"/>
      <c r="R81" s="261"/>
      <c r="S81" s="261"/>
      <c r="T81" s="261"/>
      <c r="U81" s="261"/>
      <c r="V81" s="261"/>
      <c r="W81" s="261"/>
      <c r="X81" s="261"/>
      <c r="Y81" s="261"/>
      <c r="Z81" s="262"/>
      <c r="AO81" s="244"/>
      <c r="AP81" s="278" t="s">
        <v>190</v>
      </c>
      <c r="AQ81" s="280"/>
      <c r="AR81" s="261"/>
      <c r="AS81" s="261"/>
      <c r="AT81" s="261"/>
      <c r="AU81" s="261"/>
      <c r="AV81" s="261"/>
      <c r="AW81" s="261"/>
      <c r="AX81" s="261"/>
      <c r="AY81" s="261"/>
      <c r="AZ81" s="262"/>
    </row>
    <row r="82" spans="1:52" x14ac:dyDescent="0.25">
      <c r="A82" t="s">
        <v>1184</v>
      </c>
      <c r="B82" s="244"/>
      <c r="C82" s="279"/>
      <c r="D82" s="280" t="s">
        <v>185</v>
      </c>
      <c r="E82" s="261">
        <v>-2</v>
      </c>
      <c r="F82" s="261">
        <v>-2</v>
      </c>
      <c r="G82" s="261">
        <v>-1.5</v>
      </c>
      <c r="H82" s="261">
        <v>-1.5</v>
      </c>
      <c r="I82" s="261">
        <v>-1.5</v>
      </c>
      <c r="J82" s="261">
        <v>-1</v>
      </c>
      <c r="K82" s="261">
        <v>-1</v>
      </c>
      <c r="L82" s="261">
        <v>-1</v>
      </c>
      <c r="M82" s="262">
        <v>-0.5</v>
      </c>
      <c r="O82" s="244"/>
      <c r="P82" s="279"/>
      <c r="Q82" s="280" t="s">
        <v>185</v>
      </c>
      <c r="R82" s="261">
        <v>-4</v>
      </c>
      <c r="S82" s="261">
        <v>-4</v>
      </c>
      <c r="T82" s="261">
        <v>-3.5</v>
      </c>
      <c r="U82" s="261">
        <v>-3.5</v>
      </c>
      <c r="V82" s="261">
        <v>-3.5</v>
      </c>
      <c r="W82" s="261">
        <v>-3</v>
      </c>
      <c r="X82" s="261">
        <v>-3</v>
      </c>
      <c r="Y82" s="261">
        <v>-3</v>
      </c>
      <c r="Z82" s="262">
        <v>-2.5</v>
      </c>
      <c r="AO82" s="244"/>
      <c r="AP82" s="279"/>
      <c r="AQ82" s="280" t="s">
        <v>185</v>
      </c>
      <c r="AR82" s="261">
        <v>-2</v>
      </c>
      <c r="AS82" s="261">
        <v>-2</v>
      </c>
      <c r="AT82" s="261">
        <v>-1.5</v>
      </c>
      <c r="AU82" s="261">
        <v>-1.5</v>
      </c>
      <c r="AV82" s="261">
        <v>-1.5</v>
      </c>
      <c r="AW82" s="261">
        <v>-1</v>
      </c>
      <c r="AX82" s="261">
        <v>-1</v>
      </c>
      <c r="AY82" s="261">
        <v>-1</v>
      </c>
      <c r="AZ82" s="262">
        <v>-0.5</v>
      </c>
    </row>
    <row r="83" spans="1:52" x14ac:dyDescent="0.25">
      <c r="A83" t="s">
        <v>1185</v>
      </c>
      <c r="B83" s="674"/>
      <c r="C83" s="279"/>
      <c r="D83" s="280" t="s">
        <v>199</v>
      </c>
      <c r="E83" s="261">
        <v>-1</v>
      </c>
      <c r="F83" s="261">
        <v>-1</v>
      </c>
      <c r="G83" s="261">
        <v>-1</v>
      </c>
      <c r="H83" s="261">
        <v>-1</v>
      </c>
      <c r="I83" s="261">
        <v>-1</v>
      </c>
      <c r="J83" s="261">
        <v>-0.5</v>
      </c>
      <c r="K83" s="261">
        <v>0</v>
      </c>
      <c r="L83" s="261">
        <v>0</v>
      </c>
      <c r="M83" s="262">
        <v>0</v>
      </c>
      <c r="O83" s="674"/>
      <c r="P83" s="279"/>
      <c r="Q83" s="280" t="s">
        <v>199</v>
      </c>
      <c r="R83" s="261">
        <v>-3</v>
      </c>
      <c r="S83" s="261">
        <v>-3</v>
      </c>
      <c r="T83" s="261">
        <v>-3</v>
      </c>
      <c r="U83" s="261">
        <v>-3</v>
      </c>
      <c r="V83" s="261">
        <v>-3</v>
      </c>
      <c r="W83" s="261">
        <v>-2.5</v>
      </c>
      <c r="X83" s="261">
        <v>-2</v>
      </c>
      <c r="Y83" s="261">
        <v>-2</v>
      </c>
      <c r="Z83" s="262">
        <v>-2</v>
      </c>
      <c r="AO83" s="674"/>
      <c r="AP83" s="279"/>
      <c r="AQ83" s="280" t="s">
        <v>199</v>
      </c>
      <c r="AR83" s="261">
        <v>-1</v>
      </c>
      <c r="AS83" s="261">
        <v>-1</v>
      </c>
      <c r="AT83" s="261">
        <v>-1</v>
      </c>
      <c r="AU83" s="261">
        <v>-1</v>
      </c>
      <c r="AV83" s="261">
        <v>-1</v>
      </c>
      <c r="AW83" s="261">
        <v>-0.5</v>
      </c>
      <c r="AX83" s="261">
        <v>0</v>
      </c>
      <c r="AY83" s="261">
        <v>0</v>
      </c>
      <c r="AZ83" s="262">
        <v>0</v>
      </c>
    </row>
    <row r="84" spans="1:52" x14ac:dyDescent="0.25">
      <c r="A84" t="s">
        <v>1186</v>
      </c>
      <c r="B84" s="244"/>
      <c r="C84" s="279"/>
      <c r="D84" s="280" t="s">
        <v>204</v>
      </c>
      <c r="E84" s="261">
        <v>-1</v>
      </c>
      <c r="F84" s="261">
        <v>-1</v>
      </c>
      <c r="G84" s="261">
        <v>-1</v>
      </c>
      <c r="H84" s="261">
        <v>-1</v>
      </c>
      <c r="I84" s="261">
        <v>-1</v>
      </c>
      <c r="J84" s="261">
        <v>-0.5</v>
      </c>
      <c r="K84" s="261">
        <v>0</v>
      </c>
      <c r="L84" s="261">
        <v>0</v>
      </c>
      <c r="M84" s="262">
        <v>0</v>
      </c>
      <c r="O84" s="244"/>
      <c r="P84" s="279"/>
      <c r="Q84" s="280" t="s">
        <v>204</v>
      </c>
      <c r="R84" s="261">
        <v>-3</v>
      </c>
      <c r="S84" s="261">
        <v>-3</v>
      </c>
      <c r="T84" s="261">
        <v>-3</v>
      </c>
      <c r="U84" s="261">
        <v>-3</v>
      </c>
      <c r="V84" s="261">
        <v>-3</v>
      </c>
      <c r="W84" s="261">
        <v>-2.5</v>
      </c>
      <c r="X84" s="261">
        <v>-2</v>
      </c>
      <c r="Y84" s="261">
        <v>-2</v>
      </c>
      <c r="Z84" s="262">
        <v>-2</v>
      </c>
      <c r="AO84" s="244"/>
      <c r="AP84" s="279"/>
      <c r="AQ84" s="280" t="s">
        <v>204</v>
      </c>
      <c r="AR84" s="261">
        <v>-1</v>
      </c>
      <c r="AS84" s="261">
        <v>-1</v>
      </c>
      <c r="AT84" s="261">
        <v>-1</v>
      </c>
      <c r="AU84" s="261">
        <v>-1</v>
      </c>
      <c r="AV84" s="261">
        <v>-1</v>
      </c>
      <c r="AW84" s="261">
        <v>-0.5</v>
      </c>
      <c r="AX84" s="261">
        <v>0</v>
      </c>
      <c r="AY84" s="261">
        <v>0</v>
      </c>
      <c r="AZ84" s="262">
        <v>0</v>
      </c>
    </row>
    <row r="85" spans="1:52" x14ac:dyDescent="0.25">
      <c r="A85" t="s">
        <v>1187</v>
      </c>
      <c r="B85" s="244"/>
      <c r="C85" s="279"/>
      <c r="D85" s="280" t="s">
        <v>219</v>
      </c>
      <c r="E85" s="261">
        <v>-1</v>
      </c>
      <c r="F85" s="261">
        <v>-1</v>
      </c>
      <c r="G85" s="261">
        <v>-1</v>
      </c>
      <c r="H85" s="261">
        <v>-1</v>
      </c>
      <c r="I85" s="261">
        <v>-1</v>
      </c>
      <c r="J85" s="261">
        <v>-0.5</v>
      </c>
      <c r="K85" s="261">
        <v>0</v>
      </c>
      <c r="L85" s="261">
        <v>0</v>
      </c>
      <c r="M85" s="262">
        <v>0</v>
      </c>
      <c r="O85" s="244"/>
      <c r="P85" s="279"/>
      <c r="Q85" s="280" t="s">
        <v>219</v>
      </c>
      <c r="R85" s="261">
        <v>-3</v>
      </c>
      <c r="S85" s="261">
        <v>-3</v>
      </c>
      <c r="T85" s="261">
        <v>-3</v>
      </c>
      <c r="U85" s="261">
        <v>-3</v>
      </c>
      <c r="V85" s="261">
        <v>-3</v>
      </c>
      <c r="W85" s="261">
        <v>-2.5</v>
      </c>
      <c r="X85" s="261">
        <v>-2</v>
      </c>
      <c r="Y85" s="261">
        <v>-2</v>
      </c>
      <c r="Z85" s="262">
        <v>-2</v>
      </c>
      <c r="AO85" s="244"/>
      <c r="AP85" s="279"/>
      <c r="AQ85" s="280" t="s">
        <v>219</v>
      </c>
      <c r="AR85" s="261">
        <v>-1</v>
      </c>
      <c r="AS85" s="261">
        <v>-1</v>
      </c>
      <c r="AT85" s="261">
        <v>-1</v>
      </c>
      <c r="AU85" s="261">
        <v>-1</v>
      </c>
      <c r="AV85" s="261">
        <v>-1</v>
      </c>
      <c r="AW85" s="261">
        <v>-0.5</v>
      </c>
      <c r="AX85" s="261">
        <v>0</v>
      </c>
      <c r="AY85" s="261">
        <v>0</v>
      </c>
      <c r="AZ85" s="262">
        <v>0</v>
      </c>
    </row>
    <row r="86" spans="1:52" x14ac:dyDescent="0.25">
      <c r="B86" s="244"/>
      <c r="C86" s="278" t="s">
        <v>169</v>
      </c>
      <c r="D86" s="280"/>
      <c r="E86" s="261"/>
      <c r="F86" s="261"/>
      <c r="G86" s="261"/>
      <c r="H86" s="261"/>
      <c r="I86" s="261"/>
      <c r="J86" s="261"/>
      <c r="K86" s="261"/>
      <c r="L86" s="261"/>
      <c r="M86" s="262"/>
      <c r="O86" s="244"/>
      <c r="P86" s="278" t="s">
        <v>169</v>
      </c>
      <c r="Q86" s="280"/>
      <c r="R86" s="261"/>
      <c r="S86" s="261"/>
      <c r="T86" s="261"/>
      <c r="U86" s="261"/>
      <c r="V86" s="261"/>
      <c r="W86" s="261"/>
      <c r="X86" s="261"/>
      <c r="Y86" s="261"/>
      <c r="Z86" s="262"/>
      <c r="AO86" s="244"/>
      <c r="AP86" s="278" t="s">
        <v>169</v>
      </c>
      <c r="AQ86" s="280"/>
      <c r="AR86" s="261"/>
      <c r="AS86" s="261"/>
      <c r="AT86" s="261"/>
      <c r="AU86" s="261"/>
      <c r="AV86" s="261"/>
      <c r="AW86" s="261"/>
      <c r="AX86" s="261"/>
      <c r="AY86" s="261"/>
      <c r="AZ86" s="262"/>
    </row>
    <row r="87" spans="1:52" x14ac:dyDescent="0.25">
      <c r="A87" t="s">
        <v>1405</v>
      </c>
      <c r="B87" s="244"/>
      <c r="C87" s="279"/>
      <c r="D87" s="280" t="s">
        <v>191</v>
      </c>
      <c r="E87" s="261">
        <v>-1.5</v>
      </c>
      <c r="F87" s="261">
        <v>-1.5</v>
      </c>
      <c r="G87" s="261">
        <v>-1</v>
      </c>
      <c r="H87" s="261">
        <v>-1</v>
      </c>
      <c r="I87" s="261">
        <v>-1</v>
      </c>
      <c r="J87" s="261">
        <v>0</v>
      </c>
      <c r="K87" s="261">
        <v>-0.5</v>
      </c>
      <c r="L87" s="261">
        <v>-0.5</v>
      </c>
      <c r="M87" s="262">
        <v>0</v>
      </c>
      <c r="O87" s="244"/>
      <c r="P87" s="279"/>
      <c r="Q87" s="280" t="s">
        <v>191</v>
      </c>
      <c r="R87" s="261">
        <v>-3.5</v>
      </c>
      <c r="S87" s="261">
        <v>-3.5</v>
      </c>
      <c r="T87" s="261">
        <v>-3</v>
      </c>
      <c r="U87" s="261">
        <v>-3</v>
      </c>
      <c r="V87" s="261">
        <v>-3</v>
      </c>
      <c r="W87" s="261">
        <v>-2</v>
      </c>
      <c r="X87" s="261">
        <v>-2.5</v>
      </c>
      <c r="Y87" s="261">
        <v>-2.5</v>
      </c>
      <c r="Z87" s="262">
        <v>-2</v>
      </c>
      <c r="AO87" s="244"/>
      <c r="AP87" s="279"/>
      <c r="AQ87" s="280" t="s">
        <v>191</v>
      </c>
      <c r="AR87" s="261">
        <v>-2.5</v>
      </c>
      <c r="AS87" s="261">
        <v>-2.5</v>
      </c>
      <c r="AT87" s="261">
        <v>-2</v>
      </c>
      <c r="AU87" s="261">
        <v>-2</v>
      </c>
      <c r="AV87" s="261">
        <v>-2</v>
      </c>
      <c r="AW87" s="261">
        <v>0</v>
      </c>
      <c r="AX87" s="261">
        <v>-0.5</v>
      </c>
      <c r="AY87" s="261">
        <v>-0.5</v>
      </c>
      <c r="AZ87" s="262">
        <v>0</v>
      </c>
    </row>
    <row r="88" spans="1:52" x14ac:dyDescent="0.25">
      <c r="A88" t="s">
        <v>1406</v>
      </c>
      <c r="B88" s="244"/>
      <c r="C88" s="279"/>
      <c r="D88" s="280"/>
      <c r="E88" s="261">
        <v>-2</v>
      </c>
      <c r="F88" s="261">
        <v>-2</v>
      </c>
      <c r="G88" s="261">
        <v>-1.5</v>
      </c>
      <c r="H88" s="261">
        <v>-1.5</v>
      </c>
      <c r="I88" s="261">
        <v>-1.5</v>
      </c>
      <c r="J88" s="261">
        <v>-0.5</v>
      </c>
      <c r="K88" s="261">
        <v>-1</v>
      </c>
      <c r="L88" s="261">
        <v>-1</v>
      </c>
      <c r="M88" s="262">
        <v>-0.5</v>
      </c>
      <c r="O88" s="244"/>
      <c r="P88" s="279"/>
      <c r="Q88" s="280"/>
      <c r="R88" s="261">
        <v>-4</v>
      </c>
      <c r="S88" s="261">
        <v>-4</v>
      </c>
      <c r="T88" s="261">
        <v>-3.5</v>
      </c>
      <c r="U88" s="261">
        <v>-3.5</v>
      </c>
      <c r="V88" s="261">
        <v>-3.5</v>
      </c>
      <c r="W88" s="261">
        <v>-2.5</v>
      </c>
      <c r="X88" s="261">
        <v>-3</v>
      </c>
      <c r="Y88" s="261">
        <v>-3</v>
      </c>
      <c r="Z88" s="262">
        <v>-2.5</v>
      </c>
      <c r="AO88" s="244"/>
      <c r="AP88" s="279"/>
      <c r="AQ88" s="280"/>
      <c r="AR88" s="261">
        <v>-3</v>
      </c>
      <c r="AS88" s="261">
        <v>-3</v>
      </c>
      <c r="AT88" s="261">
        <v>-2.5</v>
      </c>
      <c r="AU88" s="261">
        <v>-2.5</v>
      </c>
      <c r="AV88" s="261">
        <v>-2.5</v>
      </c>
      <c r="AW88" s="261">
        <v>-0.5</v>
      </c>
      <c r="AX88" s="261">
        <v>-1</v>
      </c>
      <c r="AY88" s="261">
        <v>-1</v>
      </c>
      <c r="AZ88" s="262">
        <v>-0.5</v>
      </c>
    </row>
    <row r="89" spans="1:52" x14ac:dyDescent="0.25">
      <c r="A89" t="s">
        <v>1407</v>
      </c>
      <c r="B89" s="674"/>
      <c r="C89" s="279"/>
      <c r="D89" s="280"/>
      <c r="E89" s="261">
        <v>-4</v>
      </c>
      <c r="F89" s="261">
        <v>-4</v>
      </c>
      <c r="G89" s="261">
        <v>-3.5</v>
      </c>
      <c r="H89" s="261">
        <v>-3.5</v>
      </c>
      <c r="I89" s="261">
        <v>-3.5</v>
      </c>
      <c r="J89" s="261">
        <v>-3</v>
      </c>
      <c r="K89" s="261">
        <v>-3</v>
      </c>
      <c r="L89" s="261">
        <v>-3</v>
      </c>
      <c r="M89" s="262">
        <v>-2.5</v>
      </c>
      <c r="O89" s="674"/>
      <c r="P89" s="279"/>
      <c r="Q89" s="280"/>
      <c r="R89" s="261">
        <v>-6</v>
      </c>
      <c r="S89" s="261">
        <v>-6</v>
      </c>
      <c r="T89" s="261">
        <v>-5.5</v>
      </c>
      <c r="U89" s="261">
        <v>-5.5</v>
      </c>
      <c r="V89" s="261">
        <v>-5.5</v>
      </c>
      <c r="W89" s="261">
        <v>-5</v>
      </c>
      <c r="X89" s="261">
        <v>-5</v>
      </c>
      <c r="Y89" s="261">
        <v>-5</v>
      </c>
      <c r="Z89" s="262">
        <v>-4.5</v>
      </c>
      <c r="AO89" s="674"/>
      <c r="AP89" s="279"/>
      <c r="AQ89" s="280"/>
      <c r="AR89" s="261">
        <v>-5</v>
      </c>
      <c r="AS89" s="261">
        <v>-5</v>
      </c>
      <c r="AT89" s="261">
        <v>-4.5</v>
      </c>
      <c r="AU89" s="261">
        <v>-4.5</v>
      </c>
      <c r="AV89" s="261">
        <v>-4.5</v>
      </c>
      <c r="AW89" s="261">
        <v>-3</v>
      </c>
      <c r="AX89" s="261">
        <v>-3</v>
      </c>
      <c r="AY89" s="261">
        <v>-3</v>
      </c>
      <c r="AZ89" s="262">
        <v>-2.5</v>
      </c>
    </row>
    <row r="90" spans="1:52" x14ac:dyDescent="0.25">
      <c r="A90" t="s">
        <v>1408</v>
      </c>
      <c r="B90" s="674"/>
      <c r="C90" s="279"/>
      <c r="D90" s="280" t="s">
        <v>219</v>
      </c>
      <c r="E90" s="261">
        <v>-0.5</v>
      </c>
      <c r="F90" s="261">
        <v>-0.5</v>
      </c>
      <c r="G90" s="261">
        <v>-0.5</v>
      </c>
      <c r="H90" s="261">
        <v>-0.5</v>
      </c>
      <c r="I90" s="261">
        <v>-0.5</v>
      </c>
      <c r="J90" s="261">
        <v>0</v>
      </c>
      <c r="K90" s="261">
        <v>0</v>
      </c>
      <c r="L90" s="261">
        <v>0</v>
      </c>
      <c r="M90" s="262">
        <v>0</v>
      </c>
      <c r="O90" s="674"/>
      <c r="P90" s="279"/>
      <c r="Q90" s="280" t="s">
        <v>219</v>
      </c>
      <c r="R90" s="261">
        <v>-2.5</v>
      </c>
      <c r="S90" s="261">
        <v>-2.5</v>
      </c>
      <c r="T90" s="261">
        <v>-2.5</v>
      </c>
      <c r="U90" s="261">
        <v>-2.5</v>
      </c>
      <c r="V90" s="261">
        <v>-2.5</v>
      </c>
      <c r="W90" s="261">
        <v>-2</v>
      </c>
      <c r="X90" s="261">
        <v>-2</v>
      </c>
      <c r="Y90" s="261">
        <v>-2</v>
      </c>
      <c r="Z90" s="262">
        <v>-2</v>
      </c>
      <c r="AO90" s="674"/>
      <c r="AP90" s="279"/>
      <c r="AQ90" s="280" t="s">
        <v>219</v>
      </c>
      <c r="AR90" s="261">
        <v>-1.5</v>
      </c>
      <c r="AS90" s="261">
        <v>-1.5</v>
      </c>
      <c r="AT90" s="261">
        <v>-1.5</v>
      </c>
      <c r="AU90" s="261">
        <v>-1.5</v>
      </c>
      <c r="AV90" s="261">
        <v>-1.5</v>
      </c>
      <c r="AW90" s="261">
        <v>0</v>
      </c>
      <c r="AX90" s="261">
        <v>0</v>
      </c>
      <c r="AY90" s="261">
        <v>0</v>
      </c>
      <c r="AZ90" s="262">
        <v>0</v>
      </c>
    </row>
    <row r="91" spans="1:52" x14ac:dyDescent="0.25">
      <c r="A91" t="s">
        <v>1409</v>
      </c>
      <c r="B91" s="674"/>
      <c r="C91" s="279"/>
      <c r="D91" s="280"/>
      <c r="E91" s="261">
        <v>-1</v>
      </c>
      <c r="F91" s="261">
        <v>-1</v>
      </c>
      <c r="G91" s="261">
        <v>-1</v>
      </c>
      <c r="H91" s="261">
        <v>-1</v>
      </c>
      <c r="I91" s="261">
        <v>-1</v>
      </c>
      <c r="J91" s="261">
        <v>-0.5</v>
      </c>
      <c r="K91" s="261">
        <v>-0.5</v>
      </c>
      <c r="L91" s="261">
        <v>-0.5</v>
      </c>
      <c r="M91" s="262">
        <v>-0.5</v>
      </c>
      <c r="O91" s="674"/>
      <c r="P91" s="279"/>
      <c r="Q91" s="280"/>
      <c r="R91" s="261">
        <v>-3</v>
      </c>
      <c r="S91" s="261">
        <v>-3</v>
      </c>
      <c r="T91" s="261">
        <v>-3</v>
      </c>
      <c r="U91" s="261">
        <v>-3</v>
      </c>
      <c r="V91" s="261">
        <v>-3</v>
      </c>
      <c r="W91" s="261">
        <v>-2.5</v>
      </c>
      <c r="X91" s="261">
        <v>-2.5</v>
      </c>
      <c r="Y91" s="261">
        <v>-2.5</v>
      </c>
      <c r="Z91" s="262">
        <v>-2.5</v>
      </c>
      <c r="AO91" s="674"/>
      <c r="AP91" s="279"/>
      <c r="AQ91" s="280"/>
      <c r="AR91" s="261">
        <v>-2</v>
      </c>
      <c r="AS91" s="261">
        <v>-2</v>
      </c>
      <c r="AT91" s="261">
        <v>-2</v>
      </c>
      <c r="AU91" s="261">
        <v>-2</v>
      </c>
      <c r="AV91" s="261">
        <v>-2</v>
      </c>
      <c r="AW91" s="261">
        <v>-0.5</v>
      </c>
      <c r="AX91" s="261">
        <v>-0.5</v>
      </c>
      <c r="AY91" s="261">
        <v>-0.5</v>
      </c>
      <c r="AZ91" s="262">
        <v>-0.5</v>
      </c>
    </row>
    <row r="92" spans="1:52" x14ac:dyDescent="0.25">
      <c r="A92" t="s">
        <v>1410</v>
      </c>
      <c r="B92" s="674"/>
      <c r="C92" s="279"/>
      <c r="D92" s="280"/>
      <c r="E92" s="261">
        <v>-3</v>
      </c>
      <c r="F92" s="261">
        <v>-3</v>
      </c>
      <c r="G92" s="261">
        <v>-3</v>
      </c>
      <c r="H92" s="261">
        <v>-3</v>
      </c>
      <c r="I92" s="261">
        <v>-3</v>
      </c>
      <c r="J92" s="261">
        <v>-2.5</v>
      </c>
      <c r="K92" s="261">
        <v>-2</v>
      </c>
      <c r="L92" s="261">
        <v>-2</v>
      </c>
      <c r="M92" s="262">
        <v>-2</v>
      </c>
      <c r="O92" s="674"/>
      <c r="P92" s="279"/>
      <c r="Q92" s="280"/>
      <c r="R92" s="261">
        <v>-5</v>
      </c>
      <c r="S92" s="261">
        <v>-5</v>
      </c>
      <c r="T92" s="261">
        <v>-5</v>
      </c>
      <c r="U92" s="261">
        <v>-5</v>
      </c>
      <c r="V92" s="261">
        <v>-5</v>
      </c>
      <c r="W92" s="261">
        <v>-4.5</v>
      </c>
      <c r="X92" s="261">
        <v>-4</v>
      </c>
      <c r="Y92" s="261">
        <v>-4</v>
      </c>
      <c r="Z92" s="262">
        <v>-4</v>
      </c>
      <c r="AO92" s="674"/>
      <c r="AP92" s="279"/>
      <c r="AQ92" s="280"/>
      <c r="AR92" s="261">
        <v>-4</v>
      </c>
      <c r="AS92" s="261">
        <v>-4</v>
      </c>
      <c r="AT92" s="261">
        <v>-4</v>
      </c>
      <c r="AU92" s="261">
        <v>-4</v>
      </c>
      <c r="AV92" s="261">
        <v>-4</v>
      </c>
      <c r="AW92" s="261">
        <v>-2.5</v>
      </c>
      <c r="AX92" s="261">
        <v>-2</v>
      </c>
      <c r="AY92" s="261">
        <v>-2</v>
      </c>
      <c r="AZ92" s="262">
        <v>-2</v>
      </c>
    </row>
    <row r="93" spans="1:52" x14ac:dyDescent="0.25">
      <c r="B93" s="239" t="s">
        <v>183</v>
      </c>
      <c r="C93" s="275"/>
      <c r="D93" s="276"/>
      <c r="E93" s="283"/>
      <c r="F93" s="283"/>
      <c r="G93" s="283"/>
      <c r="H93" s="283"/>
      <c r="I93" s="283"/>
      <c r="J93" s="283"/>
      <c r="K93" s="283"/>
      <c r="L93" s="283"/>
      <c r="M93" s="284"/>
      <c r="O93" s="239" t="s">
        <v>183</v>
      </c>
      <c r="P93" s="275"/>
      <c r="Q93" s="276"/>
      <c r="R93" s="283"/>
      <c r="S93" s="283"/>
      <c r="T93" s="283"/>
      <c r="U93" s="283"/>
      <c r="V93" s="283"/>
      <c r="W93" s="283"/>
      <c r="X93" s="283"/>
      <c r="Y93" s="283"/>
      <c r="Z93" s="284"/>
      <c r="AO93" s="239" t="s">
        <v>183</v>
      </c>
      <c r="AP93" s="275"/>
      <c r="AQ93" s="276"/>
      <c r="AR93" s="283"/>
      <c r="AS93" s="283"/>
      <c r="AT93" s="283"/>
      <c r="AU93" s="283"/>
      <c r="AV93" s="283"/>
      <c r="AW93" s="283"/>
      <c r="AX93" s="283"/>
      <c r="AY93" s="283"/>
      <c r="AZ93" s="284"/>
    </row>
    <row r="94" spans="1:52" x14ac:dyDescent="0.25">
      <c r="B94" s="244"/>
      <c r="C94" s="278" t="s">
        <v>197</v>
      </c>
      <c r="D94" s="280"/>
      <c r="E94" s="261"/>
      <c r="F94" s="261"/>
      <c r="G94" s="261"/>
      <c r="H94" s="261"/>
      <c r="I94" s="261"/>
      <c r="J94" s="261"/>
      <c r="K94" s="261"/>
      <c r="L94" s="261"/>
      <c r="M94" s="262"/>
      <c r="O94" s="244"/>
      <c r="P94" s="278" t="s">
        <v>197</v>
      </c>
      <c r="Q94" s="280"/>
      <c r="R94" s="261"/>
      <c r="S94" s="261"/>
      <c r="T94" s="261"/>
      <c r="U94" s="261"/>
      <c r="V94" s="261"/>
      <c r="W94" s="261"/>
      <c r="X94" s="261"/>
      <c r="Y94" s="261"/>
      <c r="Z94" s="262"/>
      <c r="AO94" s="244"/>
      <c r="AP94" s="278" t="s">
        <v>197</v>
      </c>
      <c r="AQ94" s="280"/>
      <c r="AR94" s="261"/>
      <c r="AS94" s="261"/>
      <c r="AT94" s="261"/>
      <c r="AU94" s="261"/>
      <c r="AV94" s="261"/>
      <c r="AW94" s="261"/>
      <c r="AX94" s="261"/>
      <c r="AY94" s="261"/>
      <c r="AZ94" s="262"/>
    </row>
    <row r="95" spans="1:52" x14ac:dyDescent="0.25">
      <c r="A95" t="s">
        <v>1250</v>
      </c>
      <c r="B95" s="244"/>
      <c r="C95" s="279"/>
      <c r="D95" s="280" t="s">
        <v>185</v>
      </c>
      <c r="E95" s="261">
        <v>-1</v>
      </c>
      <c r="F95" s="261">
        <v>-1</v>
      </c>
      <c r="G95" s="261">
        <v>0</v>
      </c>
      <c r="H95" s="261">
        <v>0</v>
      </c>
      <c r="I95" s="261">
        <v>0</v>
      </c>
      <c r="J95" s="261">
        <v>0</v>
      </c>
      <c r="K95" s="261">
        <v>0</v>
      </c>
      <c r="L95" s="261">
        <v>0</v>
      </c>
      <c r="M95" s="262">
        <v>0</v>
      </c>
      <c r="O95" s="244"/>
      <c r="P95" s="279"/>
      <c r="Q95" s="280" t="s">
        <v>185</v>
      </c>
      <c r="R95" s="261">
        <v>-3</v>
      </c>
      <c r="S95" s="261">
        <v>-3</v>
      </c>
      <c r="T95" s="261">
        <v>-2</v>
      </c>
      <c r="U95" s="261">
        <v>-2</v>
      </c>
      <c r="V95" s="261">
        <v>-2</v>
      </c>
      <c r="W95" s="261">
        <v>-2</v>
      </c>
      <c r="X95" s="261">
        <v>-2</v>
      </c>
      <c r="Y95" s="261">
        <v>-2</v>
      </c>
      <c r="Z95" s="262">
        <v>-2</v>
      </c>
      <c r="AO95" s="244"/>
      <c r="AP95" s="279"/>
      <c r="AQ95" s="280" t="s">
        <v>185</v>
      </c>
      <c r="AR95" s="261">
        <v>-1</v>
      </c>
      <c r="AS95" s="261">
        <v>-1</v>
      </c>
      <c r="AT95" s="261">
        <v>0</v>
      </c>
      <c r="AU95" s="261">
        <v>0</v>
      </c>
      <c r="AV95" s="261">
        <v>0</v>
      </c>
      <c r="AW95" s="261">
        <v>0</v>
      </c>
      <c r="AX95" s="261">
        <v>0</v>
      </c>
      <c r="AY95" s="261">
        <v>0</v>
      </c>
      <c r="AZ95" s="262">
        <v>0</v>
      </c>
    </row>
    <row r="96" spans="1:52" x14ac:dyDescent="0.25">
      <c r="A96" t="s">
        <v>1251</v>
      </c>
      <c r="B96" s="674"/>
      <c r="C96" s="279"/>
      <c r="D96" s="280" t="s">
        <v>199</v>
      </c>
      <c r="E96" s="261">
        <v>0</v>
      </c>
      <c r="F96" s="261">
        <v>0</v>
      </c>
      <c r="G96" s="261">
        <v>0</v>
      </c>
      <c r="H96" s="261">
        <v>0</v>
      </c>
      <c r="I96" s="261">
        <v>0</v>
      </c>
      <c r="J96" s="261">
        <v>0</v>
      </c>
      <c r="K96" s="261">
        <v>0</v>
      </c>
      <c r="L96" s="261">
        <v>0</v>
      </c>
      <c r="M96" s="262">
        <v>0</v>
      </c>
      <c r="O96" s="674"/>
      <c r="P96" s="279"/>
      <c r="Q96" s="280" t="s">
        <v>199</v>
      </c>
      <c r="R96" s="261">
        <v>-2</v>
      </c>
      <c r="S96" s="261">
        <v>-2</v>
      </c>
      <c r="T96" s="261">
        <v>-2</v>
      </c>
      <c r="U96" s="261">
        <v>-2</v>
      </c>
      <c r="V96" s="261">
        <v>-2</v>
      </c>
      <c r="W96" s="261">
        <v>-2</v>
      </c>
      <c r="X96" s="261">
        <v>-2</v>
      </c>
      <c r="Y96" s="261">
        <v>-2</v>
      </c>
      <c r="Z96" s="262">
        <v>-2</v>
      </c>
      <c r="AO96" s="674"/>
      <c r="AP96" s="279"/>
      <c r="AQ96" s="280" t="s">
        <v>199</v>
      </c>
      <c r="AR96" s="261">
        <v>0</v>
      </c>
      <c r="AS96" s="261">
        <v>0</v>
      </c>
      <c r="AT96" s="261">
        <v>0</v>
      </c>
      <c r="AU96" s="261">
        <v>0</v>
      </c>
      <c r="AV96" s="261">
        <v>0</v>
      </c>
      <c r="AW96" s="261">
        <v>0</v>
      </c>
      <c r="AX96" s="261">
        <v>0</v>
      </c>
      <c r="AY96" s="261">
        <v>0</v>
      </c>
      <c r="AZ96" s="262">
        <v>0</v>
      </c>
    </row>
    <row r="97" spans="1:52" x14ac:dyDescent="0.25">
      <c r="A97" t="s">
        <v>1252</v>
      </c>
      <c r="B97" s="244"/>
      <c r="C97" s="279"/>
      <c r="D97" s="280" t="s">
        <v>204</v>
      </c>
      <c r="E97" s="261">
        <v>0</v>
      </c>
      <c r="F97" s="261">
        <v>0</v>
      </c>
      <c r="G97" s="261">
        <v>0</v>
      </c>
      <c r="H97" s="261">
        <v>0</v>
      </c>
      <c r="I97" s="261">
        <v>0</v>
      </c>
      <c r="J97" s="261">
        <v>0</v>
      </c>
      <c r="K97" s="261">
        <v>0</v>
      </c>
      <c r="L97" s="261">
        <v>0</v>
      </c>
      <c r="M97" s="262">
        <v>0</v>
      </c>
      <c r="O97" s="244"/>
      <c r="P97" s="279"/>
      <c r="Q97" s="280" t="s">
        <v>204</v>
      </c>
      <c r="R97" s="261">
        <v>-2</v>
      </c>
      <c r="S97" s="261">
        <v>-2</v>
      </c>
      <c r="T97" s="261">
        <v>-2</v>
      </c>
      <c r="U97" s="261">
        <v>-2</v>
      </c>
      <c r="V97" s="261">
        <v>-2</v>
      </c>
      <c r="W97" s="261">
        <v>-2</v>
      </c>
      <c r="X97" s="261">
        <v>-2</v>
      </c>
      <c r="Y97" s="261">
        <v>-2</v>
      </c>
      <c r="Z97" s="262">
        <v>-2</v>
      </c>
      <c r="AO97" s="244"/>
      <c r="AP97" s="279"/>
      <c r="AQ97" s="280" t="s">
        <v>204</v>
      </c>
      <c r="AR97" s="261">
        <v>0</v>
      </c>
      <c r="AS97" s="261">
        <v>0</v>
      </c>
      <c r="AT97" s="261">
        <v>0</v>
      </c>
      <c r="AU97" s="261">
        <v>0</v>
      </c>
      <c r="AV97" s="261">
        <v>0</v>
      </c>
      <c r="AW97" s="261">
        <v>0</v>
      </c>
      <c r="AX97" s="261">
        <v>0</v>
      </c>
      <c r="AY97" s="261">
        <v>0</v>
      </c>
      <c r="AZ97" s="262">
        <v>0</v>
      </c>
    </row>
    <row r="98" spans="1:52" x14ac:dyDescent="0.25">
      <c r="A98" t="s">
        <v>1253</v>
      </c>
      <c r="B98" s="244"/>
      <c r="C98" s="279"/>
      <c r="D98" s="280" t="s">
        <v>219</v>
      </c>
      <c r="E98" s="261">
        <v>0</v>
      </c>
      <c r="F98" s="261">
        <v>0</v>
      </c>
      <c r="G98" s="261">
        <v>0</v>
      </c>
      <c r="H98" s="261">
        <v>0</v>
      </c>
      <c r="I98" s="261">
        <v>0</v>
      </c>
      <c r="J98" s="261">
        <v>0</v>
      </c>
      <c r="K98" s="261">
        <v>0</v>
      </c>
      <c r="L98" s="261">
        <v>0</v>
      </c>
      <c r="M98" s="262">
        <v>0</v>
      </c>
      <c r="O98" s="244"/>
      <c r="P98" s="279"/>
      <c r="Q98" s="280" t="s">
        <v>219</v>
      </c>
      <c r="R98" s="261">
        <v>-2</v>
      </c>
      <c r="S98" s="261">
        <v>-2</v>
      </c>
      <c r="T98" s="261">
        <v>-2</v>
      </c>
      <c r="U98" s="261">
        <v>-2</v>
      </c>
      <c r="V98" s="261">
        <v>-2</v>
      </c>
      <c r="W98" s="261">
        <v>-2</v>
      </c>
      <c r="X98" s="261">
        <v>-2</v>
      </c>
      <c r="Y98" s="261">
        <v>-2</v>
      </c>
      <c r="Z98" s="262">
        <v>-2</v>
      </c>
      <c r="AO98" s="244"/>
      <c r="AP98" s="279"/>
      <c r="AQ98" s="280" t="s">
        <v>219</v>
      </c>
      <c r="AR98" s="261">
        <v>0</v>
      </c>
      <c r="AS98" s="261">
        <v>0</v>
      </c>
      <c r="AT98" s="261">
        <v>0</v>
      </c>
      <c r="AU98" s="261">
        <v>0</v>
      </c>
      <c r="AV98" s="261">
        <v>0</v>
      </c>
      <c r="AW98" s="261">
        <v>0</v>
      </c>
      <c r="AX98" s="261">
        <v>0</v>
      </c>
      <c r="AY98" s="261">
        <v>0</v>
      </c>
      <c r="AZ98" s="262">
        <v>0</v>
      </c>
    </row>
    <row r="99" spans="1:52" x14ac:dyDescent="0.25">
      <c r="B99" s="244"/>
      <c r="C99" s="278" t="s">
        <v>211</v>
      </c>
      <c r="D99" s="280"/>
      <c r="E99" s="261"/>
      <c r="F99" s="261"/>
      <c r="G99" s="261"/>
      <c r="H99" s="261"/>
      <c r="I99" s="261"/>
      <c r="J99" s="261"/>
      <c r="K99" s="261"/>
      <c r="L99" s="261"/>
      <c r="M99" s="262"/>
      <c r="O99" s="244"/>
      <c r="P99" s="278" t="s">
        <v>211</v>
      </c>
      <c r="Q99" s="280"/>
      <c r="R99" s="261"/>
      <c r="S99" s="261"/>
      <c r="T99" s="261"/>
      <c r="U99" s="261"/>
      <c r="V99" s="261"/>
      <c r="W99" s="261"/>
      <c r="X99" s="261"/>
      <c r="Y99" s="261"/>
      <c r="Z99" s="262"/>
      <c r="AO99" s="244"/>
      <c r="AP99" s="278" t="s">
        <v>211</v>
      </c>
      <c r="AQ99" s="280"/>
      <c r="AR99" s="261"/>
      <c r="AS99" s="261"/>
      <c r="AT99" s="261"/>
      <c r="AU99" s="261"/>
      <c r="AV99" s="261"/>
      <c r="AW99" s="261"/>
      <c r="AX99" s="261"/>
      <c r="AY99" s="261"/>
      <c r="AZ99" s="262"/>
    </row>
    <row r="100" spans="1:52" x14ac:dyDescent="0.25">
      <c r="A100" t="s">
        <v>1254</v>
      </c>
      <c r="B100" s="244"/>
      <c r="C100" s="279"/>
      <c r="D100" s="280" t="s">
        <v>185</v>
      </c>
      <c r="E100" s="261">
        <v>-4</v>
      </c>
      <c r="F100" s="261">
        <v>-4</v>
      </c>
      <c r="G100" s="261">
        <v>-3</v>
      </c>
      <c r="H100" s="261">
        <v>-4</v>
      </c>
      <c r="I100" s="261">
        <v>-4</v>
      </c>
      <c r="J100" s="261">
        <v>-3</v>
      </c>
      <c r="K100" s="261">
        <v>-3</v>
      </c>
      <c r="L100" s="261">
        <v>-3</v>
      </c>
      <c r="M100" s="262">
        <v>-2</v>
      </c>
      <c r="O100" s="244"/>
      <c r="P100" s="279"/>
      <c r="Q100" s="280" t="s">
        <v>185</v>
      </c>
      <c r="R100" s="261">
        <v>-6</v>
      </c>
      <c r="S100" s="261">
        <v>-6</v>
      </c>
      <c r="T100" s="261">
        <v>-5</v>
      </c>
      <c r="U100" s="261">
        <v>-6</v>
      </c>
      <c r="V100" s="261">
        <v>-6</v>
      </c>
      <c r="W100" s="261">
        <v>-5</v>
      </c>
      <c r="X100" s="261">
        <v>-5</v>
      </c>
      <c r="Y100" s="261">
        <v>-5</v>
      </c>
      <c r="Z100" s="262">
        <v>-4</v>
      </c>
      <c r="AO100" s="244"/>
      <c r="AP100" s="279"/>
      <c r="AQ100" s="280" t="s">
        <v>185</v>
      </c>
      <c r="AR100" s="261">
        <v>-4</v>
      </c>
      <c r="AS100" s="261">
        <v>-4</v>
      </c>
      <c r="AT100" s="261">
        <v>-3</v>
      </c>
      <c r="AU100" s="261">
        <v>-4</v>
      </c>
      <c r="AV100" s="261">
        <v>-4</v>
      </c>
      <c r="AW100" s="261">
        <v>-3</v>
      </c>
      <c r="AX100" s="261">
        <v>-3</v>
      </c>
      <c r="AY100" s="261">
        <v>-3</v>
      </c>
      <c r="AZ100" s="262">
        <v>-2</v>
      </c>
    </row>
    <row r="101" spans="1:52" x14ac:dyDescent="0.25">
      <c r="A101" t="s">
        <v>1255</v>
      </c>
      <c r="B101" s="674"/>
      <c r="C101" s="279"/>
      <c r="D101" s="280" t="s">
        <v>199</v>
      </c>
      <c r="E101" s="261">
        <v>-3</v>
      </c>
      <c r="F101" s="261">
        <v>-3</v>
      </c>
      <c r="G101" s="261">
        <v>-2</v>
      </c>
      <c r="H101" s="261">
        <v>-3</v>
      </c>
      <c r="I101" s="261">
        <v>-3</v>
      </c>
      <c r="J101" s="261">
        <v>-2</v>
      </c>
      <c r="K101" s="261">
        <v>-2</v>
      </c>
      <c r="L101" s="261">
        <v>-2</v>
      </c>
      <c r="M101" s="262">
        <v>-1</v>
      </c>
      <c r="O101" s="674"/>
      <c r="P101" s="279"/>
      <c r="Q101" s="280" t="s">
        <v>199</v>
      </c>
      <c r="R101" s="261">
        <v>-5</v>
      </c>
      <c r="S101" s="261">
        <v>-5</v>
      </c>
      <c r="T101" s="261">
        <v>-4</v>
      </c>
      <c r="U101" s="261">
        <v>-5</v>
      </c>
      <c r="V101" s="261">
        <v>-5</v>
      </c>
      <c r="W101" s="261">
        <v>-4</v>
      </c>
      <c r="X101" s="261">
        <v>-4</v>
      </c>
      <c r="Y101" s="261">
        <v>-4</v>
      </c>
      <c r="Z101" s="262">
        <v>-3</v>
      </c>
      <c r="AO101" s="674"/>
      <c r="AP101" s="279"/>
      <c r="AQ101" s="280" t="s">
        <v>199</v>
      </c>
      <c r="AR101" s="261">
        <v>-3</v>
      </c>
      <c r="AS101" s="261">
        <v>-3</v>
      </c>
      <c r="AT101" s="261">
        <v>-2</v>
      </c>
      <c r="AU101" s="261">
        <v>-3</v>
      </c>
      <c r="AV101" s="261">
        <v>-3</v>
      </c>
      <c r="AW101" s="261">
        <v>-2</v>
      </c>
      <c r="AX101" s="261">
        <v>-2</v>
      </c>
      <c r="AY101" s="261">
        <v>-2</v>
      </c>
      <c r="AZ101" s="262">
        <v>-1</v>
      </c>
    </row>
    <row r="102" spans="1:52" x14ac:dyDescent="0.25">
      <c r="A102" t="s">
        <v>1256</v>
      </c>
      <c r="B102" s="244"/>
      <c r="C102" s="279"/>
      <c r="D102" s="280" t="s">
        <v>204</v>
      </c>
      <c r="E102" s="261">
        <v>-2</v>
      </c>
      <c r="F102" s="261">
        <v>-2</v>
      </c>
      <c r="G102" s="261">
        <v>-1</v>
      </c>
      <c r="H102" s="261">
        <v>-2</v>
      </c>
      <c r="I102" s="261">
        <v>-2</v>
      </c>
      <c r="J102" s="261">
        <v>-1</v>
      </c>
      <c r="K102" s="261">
        <v>-1</v>
      </c>
      <c r="L102" s="261">
        <v>-1</v>
      </c>
      <c r="M102" s="262">
        <v>-1</v>
      </c>
      <c r="O102" s="244"/>
      <c r="P102" s="279"/>
      <c r="Q102" s="280" t="s">
        <v>204</v>
      </c>
      <c r="R102" s="261">
        <v>-4</v>
      </c>
      <c r="S102" s="261">
        <v>-4</v>
      </c>
      <c r="T102" s="261">
        <v>-3</v>
      </c>
      <c r="U102" s="261">
        <v>-4</v>
      </c>
      <c r="V102" s="261">
        <v>-4</v>
      </c>
      <c r="W102" s="261">
        <v>-3</v>
      </c>
      <c r="X102" s="261">
        <v>-3</v>
      </c>
      <c r="Y102" s="261">
        <v>-3</v>
      </c>
      <c r="Z102" s="262">
        <v>-3</v>
      </c>
      <c r="AO102" s="244"/>
      <c r="AP102" s="279"/>
      <c r="AQ102" s="280" t="s">
        <v>204</v>
      </c>
      <c r="AR102" s="261">
        <v>-2</v>
      </c>
      <c r="AS102" s="261">
        <v>-2</v>
      </c>
      <c r="AT102" s="261">
        <v>-1</v>
      </c>
      <c r="AU102" s="261">
        <v>-2</v>
      </c>
      <c r="AV102" s="261">
        <v>-2</v>
      </c>
      <c r="AW102" s="261">
        <v>-1</v>
      </c>
      <c r="AX102" s="261">
        <v>-1</v>
      </c>
      <c r="AY102" s="261">
        <v>-1</v>
      </c>
      <c r="AZ102" s="262">
        <v>-1</v>
      </c>
    </row>
    <row r="103" spans="1:52" x14ac:dyDescent="0.25">
      <c r="A103" t="s">
        <v>1273</v>
      </c>
      <c r="B103" s="244"/>
      <c r="C103" s="279"/>
      <c r="D103" s="280" t="s">
        <v>219</v>
      </c>
      <c r="E103" s="261">
        <v>-3</v>
      </c>
      <c r="F103" s="261">
        <v>-3</v>
      </c>
      <c r="G103" s="261">
        <v>-2</v>
      </c>
      <c r="H103" s="261">
        <v>-3</v>
      </c>
      <c r="I103" s="261">
        <v>-3</v>
      </c>
      <c r="J103" s="261">
        <v>-2</v>
      </c>
      <c r="K103" s="261">
        <v>-2</v>
      </c>
      <c r="L103" s="261">
        <v>-2</v>
      </c>
      <c r="M103" s="262">
        <v>-1</v>
      </c>
      <c r="O103" s="244"/>
      <c r="P103" s="279"/>
      <c r="Q103" s="280" t="s">
        <v>219</v>
      </c>
      <c r="R103" s="261">
        <v>-5</v>
      </c>
      <c r="S103" s="261">
        <v>-5</v>
      </c>
      <c r="T103" s="261">
        <v>-4</v>
      </c>
      <c r="U103" s="261">
        <v>-5</v>
      </c>
      <c r="V103" s="261">
        <v>-5</v>
      </c>
      <c r="W103" s="261">
        <v>-4</v>
      </c>
      <c r="X103" s="261">
        <v>-4</v>
      </c>
      <c r="Y103" s="261">
        <v>-4</v>
      </c>
      <c r="Z103" s="262">
        <v>-3</v>
      </c>
      <c r="AO103" s="244"/>
      <c r="AP103" s="279"/>
      <c r="AQ103" s="280" t="s">
        <v>219</v>
      </c>
      <c r="AR103" s="261">
        <v>-3</v>
      </c>
      <c r="AS103" s="261">
        <v>-3</v>
      </c>
      <c r="AT103" s="261">
        <v>-2</v>
      </c>
      <c r="AU103" s="261">
        <v>-3</v>
      </c>
      <c r="AV103" s="261">
        <v>-3</v>
      </c>
      <c r="AW103" s="261">
        <v>-2</v>
      </c>
      <c r="AX103" s="261">
        <v>-2</v>
      </c>
      <c r="AY103" s="261">
        <v>-2</v>
      </c>
      <c r="AZ103" s="262">
        <v>-1</v>
      </c>
    </row>
    <row r="104" spans="1:52" x14ac:dyDescent="0.25">
      <c r="B104" s="244"/>
      <c r="C104" s="278" t="s">
        <v>224</v>
      </c>
      <c r="D104" s="280"/>
      <c r="E104" s="261"/>
      <c r="F104" s="261"/>
      <c r="G104" s="261"/>
      <c r="H104" s="261"/>
      <c r="I104" s="261"/>
      <c r="J104" s="261"/>
      <c r="K104" s="261"/>
      <c r="L104" s="261"/>
      <c r="M104" s="262"/>
      <c r="O104" s="244"/>
      <c r="P104" s="278" t="s">
        <v>224</v>
      </c>
      <c r="Q104" s="280"/>
      <c r="R104" s="261"/>
      <c r="S104" s="261"/>
      <c r="T104" s="261"/>
      <c r="U104" s="261"/>
      <c r="V104" s="261"/>
      <c r="W104" s="261"/>
      <c r="X104" s="261"/>
      <c r="Y104" s="261"/>
      <c r="Z104" s="262"/>
      <c r="AO104" s="244"/>
      <c r="AP104" s="278" t="s">
        <v>224</v>
      </c>
      <c r="AQ104" s="280"/>
      <c r="AR104" s="261"/>
      <c r="AS104" s="261"/>
      <c r="AT104" s="261"/>
      <c r="AU104" s="261"/>
      <c r="AV104" s="261"/>
      <c r="AW104" s="261"/>
      <c r="AX104" s="261"/>
      <c r="AY104" s="261"/>
      <c r="AZ104" s="262"/>
    </row>
    <row r="105" spans="1:52" x14ac:dyDescent="0.25">
      <c r="A105" t="s">
        <v>1257</v>
      </c>
      <c r="B105" s="244"/>
      <c r="C105" s="279"/>
      <c r="D105" s="280" t="s">
        <v>185</v>
      </c>
      <c r="E105" s="261">
        <v>-1</v>
      </c>
      <c r="F105" s="261">
        <v>-1</v>
      </c>
      <c r="G105" s="261">
        <v>-1</v>
      </c>
      <c r="H105" s="261">
        <v>-1</v>
      </c>
      <c r="I105" s="261">
        <v>-1</v>
      </c>
      <c r="J105" s="261">
        <v>-0.5</v>
      </c>
      <c r="K105" s="261">
        <v>-1</v>
      </c>
      <c r="L105" s="261">
        <v>-1</v>
      </c>
      <c r="M105" s="262">
        <v>0</v>
      </c>
      <c r="O105" s="244"/>
      <c r="P105" s="279"/>
      <c r="Q105" s="280" t="s">
        <v>185</v>
      </c>
      <c r="R105" s="261">
        <v>-3</v>
      </c>
      <c r="S105" s="261">
        <v>-3</v>
      </c>
      <c r="T105" s="261">
        <v>-3</v>
      </c>
      <c r="U105" s="261">
        <v>-3</v>
      </c>
      <c r="V105" s="261">
        <v>-3</v>
      </c>
      <c r="W105" s="261">
        <v>-2.5</v>
      </c>
      <c r="X105" s="261">
        <v>-3</v>
      </c>
      <c r="Y105" s="261">
        <v>-3</v>
      </c>
      <c r="Z105" s="262">
        <v>-2</v>
      </c>
      <c r="AO105" s="244"/>
      <c r="AP105" s="279"/>
      <c r="AQ105" s="280" t="s">
        <v>185</v>
      </c>
      <c r="AR105" s="261">
        <v>-2</v>
      </c>
      <c r="AS105" s="261">
        <v>-2</v>
      </c>
      <c r="AT105" s="261">
        <v>-2</v>
      </c>
      <c r="AU105" s="261">
        <v>-2</v>
      </c>
      <c r="AV105" s="261">
        <v>-2</v>
      </c>
      <c r="AW105" s="261">
        <v>-0.5</v>
      </c>
      <c r="AX105" s="261">
        <v>-1</v>
      </c>
      <c r="AY105" s="261">
        <v>-1</v>
      </c>
      <c r="AZ105" s="262">
        <v>0</v>
      </c>
    </row>
    <row r="106" spans="1:52" x14ac:dyDescent="0.25">
      <c r="A106" t="s">
        <v>1258</v>
      </c>
      <c r="B106" s="674"/>
      <c r="C106" s="279"/>
      <c r="D106" s="280" t="s">
        <v>199</v>
      </c>
      <c r="E106" s="261">
        <v>-1</v>
      </c>
      <c r="F106" s="261">
        <v>-1</v>
      </c>
      <c r="G106" s="261">
        <v>-1</v>
      </c>
      <c r="H106" s="261">
        <v>-1</v>
      </c>
      <c r="I106" s="261">
        <v>-1</v>
      </c>
      <c r="J106" s="261">
        <v>0</v>
      </c>
      <c r="K106" s="261">
        <v>-0.5</v>
      </c>
      <c r="L106" s="261">
        <v>-0.5</v>
      </c>
      <c r="M106" s="262">
        <v>0</v>
      </c>
      <c r="O106" s="674"/>
      <c r="P106" s="279"/>
      <c r="Q106" s="280" t="s">
        <v>199</v>
      </c>
      <c r="R106" s="261">
        <v>-3</v>
      </c>
      <c r="S106" s="261">
        <v>-3</v>
      </c>
      <c r="T106" s="261">
        <v>-3</v>
      </c>
      <c r="U106" s="261">
        <v>-3</v>
      </c>
      <c r="V106" s="261">
        <v>-3</v>
      </c>
      <c r="W106" s="261">
        <v>-2</v>
      </c>
      <c r="X106" s="261">
        <v>-2.5</v>
      </c>
      <c r="Y106" s="261">
        <v>-2.5</v>
      </c>
      <c r="Z106" s="262">
        <v>-2</v>
      </c>
      <c r="AO106" s="674"/>
      <c r="AP106" s="279"/>
      <c r="AQ106" s="280" t="s">
        <v>199</v>
      </c>
      <c r="AR106" s="261">
        <v>-2</v>
      </c>
      <c r="AS106" s="261">
        <v>-2</v>
      </c>
      <c r="AT106" s="261">
        <v>-2</v>
      </c>
      <c r="AU106" s="261">
        <v>-2</v>
      </c>
      <c r="AV106" s="261">
        <v>-2</v>
      </c>
      <c r="AW106" s="261">
        <v>0</v>
      </c>
      <c r="AX106" s="261">
        <v>-0.5</v>
      </c>
      <c r="AY106" s="261">
        <v>-0.5</v>
      </c>
      <c r="AZ106" s="262">
        <v>0</v>
      </c>
    </row>
    <row r="107" spans="1:52" x14ac:dyDescent="0.25">
      <c r="A107" t="s">
        <v>1259</v>
      </c>
      <c r="B107" s="244"/>
      <c r="C107" s="279"/>
      <c r="D107" s="280" t="s">
        <v>204</v>
      </c>
      <c r="E107" s="261">
        <v>-0.5</v>
      </c>
      <c r="F107" s="261">
        <v>-0.5</v>
      </c>
      <c r="G107" s="261">
        <v>0</v>
      </c>
      <c r="H107" s="261">
        <v>-0.5</v>
      </c>
      <c r="I107" s="261">
        <v>-0.5</v>
      </c>
      <c r="J107" s="261">
        <v>-0.5</v>
      </c>
      <c r="K107" s="261">
        <v>-0.5</v>
      </c>
      <c r="L107" s="261">
        <v>0</v>
      </c>
      <c r="M107" s="262">
        <v>0</v>
      </c>
      <c r="O107" s="244"/>
      <c r="P107" s="279"/>
      <c r="Q107" s="280" t="s">
        <v>204</v>
      </c>
      <c r="R107" s="261">
        <v>-2.5</v>
      </c>
      <c r="S107" s="261">
        <v>-2.5</v>
      </c>
      <c r="T107" s="261">
        <v>-2</v>
      </c>
      <c r="U107" s="261">
        <v>-2.5</v>
      </c>
      <c r="V107" s="261">
        <v>-2.5</v>
      </c>
      <c r="W107" s="261">
        <v>-2.5</v>
      </c>
      <c r="X107" s="261">
        <v>-2.5</v>
      </c>
      <c r="Y107" s="261">
        <v>-2</v>
      </c>
      <c r="Z107" s="262">
        <v>-2</v>
      </c>
      <c r="AO107" s="244"/>
      <c r="AP107" s="279"/>
      <c r="AQ107" s="280" t="s">
        <v>204</v>
      </c>
      <c r="AR107" s="261">
        <v>-1.5</v>
      </c>
      <c r="AS107" s="261">
        <v>-1.5</v>
      </c>
      <c r="AT107" s="261">
        <v>-1</v>
      </c>
      <c r="AU107" s="261">
        <v>-1.5</v>
      </c>
      <c r="AV107" s="261">
        <v>-1.5</v>
      </c>
      <c r="AW107" s="261">
        <v>-0.5</v>
      </c>
      <c r="AX107" s="261">
        <v>-0.5</v>
      </c>
      <c r="AY107" s="261">
        <v>0</v>
      </c>
      <c r="AZ107" s="262">
        <v>0</v>
      </c>
    </row>
    <row r="108" spans="1:52" x14ac:dyDescent="0.25">
      <c r="A108" t="s">
        <v>1260</v>
      </c>
      <c r="B108" s="244"/>
      <c r="C108" s="279"/>
      <c r="D108" s="280" t="s">
        <v>219</v>
      </c>
      <c r="E108" s="261">
        <v>-0.5</v>
      </c>
      <c r="F108" s="261">
        <v>-0.5</v>
      </c>
      <c r="G108" s="261">
        <v>0</v>
      </c>
      <c r="H108" s="261">
        <v>-0.5</v>
      </c>
      <c r="I108" s="261">
        <v>-0.5</v>
      </c>
      <c r="J108" s="261">
        <v>-0.5</v>
      </c>
      <c r="K108" s="261">
        <v>-0.5</v>
      </c>
      <c r="L108" s="261">
        <v>0</v>
      </c>
      <c r="M108" s="262">
        <v>0</v>
      </c>
      <c r="O108" s="244"/>
      <c r="P108" s="279"/>
      <c r="Q108" s="280" t="s">
        <v>219</v>
      </c>
      <c r="R108" s="261">
        <v>-2.5</v>
      </c>
      <c r="S108" s="261">
        <v>-2.5</v>
      </c>
      <c r="T108" s="261">
        <v>-2</v>
      </c>
      <c r="U108" s="261">
        <v>-2.5</v>
      </c>
      <c r="V108" s="261">
        <v>-2.5</v>
      </c>
      <c r="W108" s="261">
        <v>-2.5</v>
      </c>
      <c r="X108" s="261">
        <v>-2.5</v>
      </c>
      <c r="Y108" s="261">
        <v>-2</v>
      </c>
      <c r="Z108" s="262">
        <v>-2</v>
      </c>
      <c r="AO108" s="244"/>
      <c r="AP108" s="279"/>
      <c r="AQ108" s="280" t="s">
        <v>219</v>
      </c>
      <c r="AR108" s="261">
        <v>-1.5</v>
      </c>
      <c r="AS108" s="261">
        <v>-1.5</v>
      </c>
      <c r="AT108" s="261">
        <v>-1</v>
      </c>
      <c r="AU108" s="261">
        <v>-1.5</v>
      </c>
      <c r="AV108" s="261">
        <v>-1.5</v>
      </c>
      <c r="AW108" s="261">
        <v>-0.5</v>
      </c>
      <c r="AX108" s="261">
        <v>-0.5</v>
      </c>
      <c r="AY108" s="261">
        <v>0</v>
      </c>
      <c r="AZ108" s="262">
        <v>0</v>
      </c>
    </row>
    <row r="109" spans="1:52" x14ac:dyDescent="0.25">
      <c r="B109" s="271" t="s">
        <v>222</v>
      </c>
      <c r="C109" s="464"/>
      <c r="D109" s="465"/>
      <c r="E109" s="465"/>
      <c r="F109" s="465"/>
      <c r="G109" s="465"/>
      <c r="H109" s="465"/>
      <c r="I109" s="465"/>
      <c r="J109" s="465"/>
      <c r="K109" s="465"/>
      <c r="L109" s="465"/>
      <c r="M109" s="466"/>
      <c r="O109" s="271" t="s">
        <v>222</v>
      </c>
      <c r="P109" s="464"/>
      <c r="Q109" s="465"/>
      <c r="R109" s="465"/>
      <c r="S109" s="465"/>
      <c r="T109" s="465"/>
      <c r="U109" s="465"/>
      <c r="V109" s="465"/>
      <c r="W109" s="465"/>
      <c r="X109" s="465"/>
      <c r="Y109" s="465"/>
      <c r="Z109" s="466"/>
      <c r="AO109" s="271" t="s">
        <v>222</v>
      </c>
      <c r="AP109" s="464"/>
      <c r="AQ109" s="465"/>
      <c r="AR109" s="465"/>
      <c r="AS109" s="465"/>
      <c r="AT109" s="465"/>
      <c r="AU109" s="465"/>
      <c r="AV109" s="465"/>
      <c r="AW109" s="465"/>
      <c r="AX109" s="465"/>
      <c r="AY109" s="465"/>
      <c r="AZ109" s="466"/>
    </row>
    <row r="110" spans="1:52" x14ac:dyDescent="0.25">
      <c r="E110" s="1"/>
      <c r="F110" s="351"/>
      <c r="AR110" s="1"/>
      <c r="AS110" s="351"/>
    </row>
    <row r="111" spans="1:52" x14ac:dyDescent="0.25">
      <c r="B111" s="1" t="s">
        <v>920</v>
      </c>
      <c r="C111" s="351" t="s">
        <v>911</v>
      </c>
      <c r="D111" s="467" t="s">
        <v>1467</v>
      </c>
      <c r="O111" s="1"/>
      <c r="P111" s="351"/>
      <c r="AO111" s="1" t="s">
        <v>920</v>
      </c>
      <c r="AP111" s="351" t="s">
        <v>911</v>
      </c>
      <c r="AQ111" s="467" t="s">
        <v>1467</v>
      </c>
    </row>
    <row r="112" spans="1:52" x14ac:dyDescent="0.25">
      <c r="E112" s="854" t="s">
        <v>315</v>
      </c>
      <c r="F112" s="854"/>
      <c r="G112" s="854"/>
      <c r="H112" s="854"/>
      <c r="I112" s="854"/>
      <c r="J112" s="854"/>
      <c r="K112" s="854"/>
      <c r="L112" s="854"/>
      <c r="M112" s="435"/>
      <c r="AR112" s="854" t="s">
        <v>315</v>
      </c>
      <c r="AS112" s="854"/>
      <c r="AT112" s="854"/>
      <c r="AU112" s="854"/>
      <c r="AV112" s="854"/>
      <c r="AW112" s="854"/>
      <c r="AX112" s="854"/>
      <c r="AY112" s="854"/>
      <c r="AZ112" s="435"/>
    </row>
    <row r="113" spans="1:52" x14ac:dyDescent="0.25">
      <c r="E113" s="238">
        <v>1</v>
      </c>
      <c r="F113" s="238">
        <v>2</v>
      </c>
      <c r="G113" s="238">
        <v>3</v>
      </c>
      <c r="H113" s="238">
        <v>4</v>
      </c>
      <c r="I113" s="238">
        <v>5</v>
      </c>
      <c r="J113" s="238">
        <v>6</v>
      </c>
      <c r="K113" s="238">
        <v>7</v>
      </c>
      <c r="L113" s="238">
        <v>8</v>
      </c>
      <c r="M113" s="238">
        <v>9</v>
      </c>
      <c r="AR113" s="238">
        <v>1</v>
      </c>
      <c r="AS113" s="238">
        <v>2</v>
      </c>
      <c r="AT113" s="238">
        <v>3</v>
      </c>
      <c r="AU113" s="238">
        <v>4</v>
      </c>
      <c r="AV113" s="238">
        <v>5</v>
      </c>
      <c r="AW113" s="238">
        <v>6</v>
      </c>
      <c r="AX113" s="238">
        <v>7</v>
      </c>
      <c r="AY113" s="238">
        <v>8</v>
      </c>
      <c r="AZ113" s="238">
        <v>9</v>
      </c>
    </row>
    <row r="114" spans="1:52" x14ac:dyDescent="0.25">
      <c r="B114" s="787" t="s">
        <v>1387</v>
      </c>
      <c r="C114" s="788" t="s">
        <v>207</v>
      </c>
      <c r="D114" s="789"/>
      <c r="E114" s="790"/>
      <c r="F114" s="790"/>
      <c r="G114" s="790"/>
      <c r="H114" s="790"/>
      <c r="I114" s="790"/>
      <c r="J114" s="790"/>
      <c r="K114" s="790"/>
      <c r="L114" s="790"/>
      <c r="M114" s="791"/>
      <c r="AO114" s="787" t="s">
        <v>1387</v>
      </c>
      <c r="AP114" s="788" t="s">
        <v>207</v>
      </c>
      <c r="AQ114" s="789"/>
      <c r="AR114" s="790"/>
      <c r="AS114" s="790"/>
      <c r="AT114" s="790"/>
      <c r="AU114" s="790"/>
      <c r="AV114" s="790"/>
      <c r="AW114" s="790"/>
      <c r="AX114" s="790"/>
      <c r="AY114" s="790"/>
      <c r="AZ114" s="791"/>
    </row>
    <row r="115" spans="1:52" x14ac:dyDescent="0.25">
      <c r="A115" t="s">
        <v>1412</v>
      </c>
      <c r="B115" s="792"/>
      <c r="C115" s="783"/>
      <c r="D115" s="280" t="s">
        <v>185</v>
      </c>
      <c r="E115" s="261">
        <v>-1</v>
      </c>
      <c r="F115" s="261">
        <v>-1</v>
      </c>
      <c r="G115" s="261">
        <v>-0.5</v>
      </c>
      <c r="H115" s="261">
        <v>-1</v>
      </c>
      <c r="I115" s="261">
        <v>-1</v>
      </c>
      <c r="J115" s="261">
        <v>-0.5</v>
      </c>
      <c r="K115" s="261">
        <v>-0.5</v>
      </c>
      <c r="L115" s="261">
        <v>-0.5</v>
      </c>
      <c r="M115" s="793">
        <v>-0.5</v>
      </c>
      <c r="AO115" s="792"/>
      <c r="AP115" s="783"/>
      <c r="AQ115" s="280" t="s">
        <v>185</v>
      </c>
      <c r="AR115" s="261">
        <v>-1</v>
      </c>
      <c r="AS115" s="261">
        <v>-1</v>
      </c>
      <c r="AT115" s="261">
        <v>-0.5</v>
      </c>
      <c r="AU115" s="261">
        <v>-1</v>
      </c>
      <c r="AV115" s="261">
        <v>-1</v>
      </c>
      <c r="AW115" s="261">
        <v>-0.5</v>
      </c>
      <c r="AX115" s="261">
        <v>-0.5</v>
      </c>
      <c r="AY115" s="261">
        <v>-0.5</v>
      </c>
      <c r="AZ115" s="793">
        <v>-0.5</v>
      </c>
    </row>
    <row r="116" spans="1:52" x14ac:dyDescent="0.25">
      <c r="A116" t="s">
        <v>1413</v>
      </c>
      <c r="B116" s="792"/>
      <c r="C116" s="783"/>
      <c r="D116" s="280" t="s">
        <v>199</v>
      </c>
      <c r="E116" s="261">
        <v>-0.5</v>
      </c>
      <c r="F116" s="261">
        <v>-0.5</v>
      </c>
      <c r="G116" s="261">
        <v>0</v>
      </c>
      <c r="H116" s="261">
        <v>-0.5</v>
      </c>
      <c r="I116" s="261">
        <v>-0.5</v>
      </c>
      <c r="J116" s="261">
        <v>0</v>
      </c>
      <c r="K116" s="261">
        <v>0</v>
      </c>
      <c r="L116" s="261">
        <v>0</v>
      </c>
      <c r="M116" s="793">
        <v>0</v>
      </c>
      <c r="AO116" s="792"/>
      <c r="AP116" s="783"/>
      <c r="AQ116" s="280" t="s">
        <v>199</v>
      </c>
      <c r="AR116" s="261">
        <v>-0.5</v>
      </c>
      <c r="AS116" s="261">
        <v>-0.5</v>
      </c>
      <c r="AT116" s="261">
        <v>0</v>
      </c>
      <c r="AU116" s="261">
        <v>-0.5</v>
      </c>
      <c r="AV116" s="261">
        <v>-0.5</v>
      </c>
      <c r="AW116" s="261">
        <v>0</v>
      </c>
      <c r="AX116" s="261">
        <v>0</v>
      </c>
      <c r="AY116" s="261">
        <v>0</v>
      </c>
      <c r="AZ116" s="793">
        <v>0</v>
      </c>
    </row>
    <row r="117" spans="1:52" x14ac:dyDescent="0.25">
      <c r="A117" t="s">
        <v>1414</v>
      </c>
      <c r="B117" s="792"/>
      <c r="C117" s="783"/>
      <c r="D117" s="280" t="s">
        <v>204</v>
      </c>
      <c r="E117" s="261">
        <v>-0.5</v>
      </c>
      <c r="F117" s="261">
        <v>-0.5</v>
      </c>
      <c r="G117" s="261">
        <v>0</v>
      </c>
      <c r="H117" s="261">
        <v>0</v>
      </c>
      <c r="I117" s="261">
        <v>0</v>
      </c>
      <c r="J117" s="261">
        <v>0</v>
      </c>
      <c r="K117" s="261">
        <v>0</v>
      </c>
      <c r="L117" s="261">
        <v>0</v>
      </c>
      <c r="M117" s="793">
        <v>0</v>
      </c>
      <c r="AO117" s="792"/>
      <c r="AP117" s="783"/>
      <c r="AQ117" s="280" t="s">
        <v>204</v>
      </c>
      <c r="AR117" s="261">
        <v>-0.5</v>
      </c>
      <c r="AS117" s="261">
        <v>-0.5</v>
      </c>
      <c r="AT117" s="261">
        <v>0</v>
      </c>
      <c r="AU117" s="261">
        <v>0</v>
      </c>
      <c r="AV117" s="261">
        <v>0</v>
      </c>
      <c r="AW117" s="261">
        <v>0</v>
      </c>
      <c r="AX117" s="261">
        <v>0</v>
      </c>
      <c r="AY117" s="261">
        <v>0</v>
      </c>
      <c r="AZ117" s="793">
        <v>0</v>
      </c>
    </row>
    <row r="118" spans="1:52" x14ac:dyDescent="0.25">
      <c r="A118" t="s">
        <v>1415</v>
      </c>
      <c r="B118" s="794"/>
      <c r="C118" s="795"/>
      <c r="D118" s="796" t="s">
        <v>219</v>
      </c>
      <c r="E118" s="797">
        <v>0</v>
      </c>
      <c r="F118" s="797">
        <v>0</v>
      </c>
      <c r="G118" s="797">
        <v>0</v>
      </c>
      <c r="H118" s="797">
        <v>0</v>
      </c>
      <c r="I118" s="797">
        <v>0</v>
      </c>
      <c r="J118" s="797">
        <v>0</v>
      </c>
      <c r="K118" s="797">
        <v>0</v>
      </c>
      <c r="L118" s="797">
        <v>0</v>
      </c>
      <c r="M118" s="798">
        <v>0</v>
      </c>
      <c r="AO118" s="794"/>
      <c r="AP118" s="795"/>
      <c r="AQ118" s="796" t="s">
        <v>219</v>
      </c>
      <c r="AR118" s="797">
        <v>0</v>
      </c>
      <c r="AS118" s="797">
        <v>0</v>
      </c>
      <c r="AT118" s="797">
        <v>0</v>
      </c>
      <c r="AU118" s="797">
        <v>0</v>
      </c>
      <c r="AV118" s="797">
        <v>0</v>
      </c>
      <c r="AW118" s="797">
        <v>0</v>
      </c>
      <c r="AX118" s="797">
        <v>0</v>
      </c>
      <c r="AY118" s="797">
        <v>0</v>
      </c>
      <c r="AZ118" s="798">
        <v>0</v>
      </c>
    </row>
    <row r="119" spans="1:52" x14ac:dyDescent="0.25">
      <c r="B119" s="239" t="s">
        <v>175</v>
      </c>
      <c r="C119" s="275"/>
      <c r="D119" s="276"/>
      <c r="E119" s="276"/>
      <c r="F119" s="276"/>
      <c r="G119" s="276"/>
      <c r="H119" s="276"/>
      <c r="I119" s="276"/>
      <c r="J119" s="276"/>
      <c r="K119" s="276"/>
      <c r="L119" s="276"/>
      <c r="M119" s="277"/>
      <c r="AO119" s="239" t="s">
        <v>175</v>
      </c>
      <c r="AP119" s="275"/>
      <c r="AQ119" s="276"/>
      <c r="AR119" s="276"/>
      <c r="AS119" s="276"/>
      <c r="AT119" s="276"/>
      <c r="AU119" s="276"/>
      <c r="AV119" s="276"/>
      <c r="AW119" s="276"/>
      <c r="AX119" s="276"/>
      <c r="AY119" s="276"/>
      <c r="AZ119" s="277"/>
    </row>
    <row r="120" spans="1:52" x14ac:dyDescent="0.25">
      <c r="B120" s="244"/>
      <c r="C120" s="278" t="s">
        <v>207</v>
      </c>
      <c r="D120" s="280"/>
      <c r="E120" s="261"/>
      <c r="F120" s="261"/>
      <c r="G120" s="261"/>
      <c r="H120" s="261"/>
      <c r="I120" s="261"/>
      <c r="J120" s="261"/>
      <c r="K120" s="261"/>
      <c r="L120" s="261"/>
      <c r="M120" s="262"/>
      <c r="AO120" s="244"/>
      <c r="AP120" s="278" t="s">
        <v>207</v>
      </c>
      <c r="AQ120" s="280"/>
      <c r="AR120" s="261"/>
      <c r="AS120" s="261"/>
      <c r="AT120" s="261"/>
      <c r="AU120" s="261"/>
      <c r="AV120" s="261"/>
      <c r="AW120" s="261"/>
      <c r="AX120" s="261"/>
      <c r="AY120" s="261"/>
      <c r="AZ120" s="262"/>
    </row>
    <row r="121" spans="1:52" x14ac:dyDescent="0.25">
      <c r="A121" t="s">
        <v>1217</v>
      </c>
      <c r="B121" s="244"/>
      <c r="C121" s="279"/>
      <c r="D121" s="280" t="s">
        <v>185</v>
      </c>
      <c r="E121" s="261">
        <v>-3</v>
      </c>
      <c r="F121" s="261">
        <v>-3</v>
      </c>
      <c r="G121" s="261">
        <v>-2</v>
      </c>
      <c r="H121" s="261">
        <v>-3</v>
      </c>
      <c r="I121" s="261">
        <v>-3</v>
      </c>
      <c r="J121" s="261">
        <v>-2</v>
      </c>
      <c r="K121" s="261">
        <v>-3</v>
      </c>
      <c r="L121" s="261">
        <v>-3</v>
      </c>
      <c r="M121" s="262">
        <v>-2</v>
      </c>
      <c r="AO121" s="244"/>
      <c r="AP121" s="279"/>
      <c r="AQ121" s="280" t="s">
        <v>185</v>
      </c>
      <c r="AR121" s="261">
        <v>-3</v>
      </c>
      <c r="AS121" s="261">
        <v>-3</v>
      </c>
      <c r="AT121" s="261">
        <v>-2</v>
      </c>
      <c r="AU121" s="261">
        <v>-3</v>
      </c>
      <c r="AV121" s="261">
        <v>-3</v>
      </c>
      <c r="AW121" s="261">
        <v>-2</v>
      </c>
      <c r="AX121" s="261">
        <v>-3</v>
      </c>
      <c r="AY121" s="261">
        <v>-3</v>
      </c>
      <c r="AZ121" s="262">
        <v>-2</v>
      </c>
    </row>
    <row r="122" spans="1:52" x14ac:dyDescent="0.25">
      <c r="A122" t="s">
        <v>1218</v>
      </c>
      <c r="B122" s="244"/>
      <c r="C122" s="279"/>
      <c r="D122" s="280" t="s">
        <v>199</v>
      </c>
      <c r="E122" s="261">
        <v>-2</v>
      </c>
      <c r="F122" s="261">
        <v>-2</v>
      </c>
      <c r="G122" s="261">
        <v>-1</v>
      </c>
      <c r="H122" s="261">
        <v>-2</v>
      </c>
      <c r="I122" s="261">
        <v>-2</v>
      </c>
      <c r="J122" s="261">
        <v>-1</v>
      </c>
      <c r="K122" s="261">
        <v>-2</v>
      </c>
      <c r="L122" s="261">
        <v>-2</v>
      </c>
      <c r="M122" s="262">
        <v>-1</v>
      </c>
      <c r="AO122" s="244"/>
      <c r="AP122" s="279"/>
      <c r="AQ122" s="280" t="s">
        <v>199</v>
      </c>
      <c r="AR122" s="261">
        <v>-2</v>
      </c>
      <c r="AS122" s="261">
        <v>-2</v>
      </c>
      <c r="AT122" s="261">
        <v>-1</v>
      </c>
      <c r="AU122" s="261">
        <v>-2</v>
      </c>
      <c r="AV122" s="261">
        <v>-2</v>
      </c>
      <c r="AW122" s="261">
        <v>-1</v>
      </c>
      <c r="AX122" s="261">
        <v>-2</v>
      </c>
      <c r="AY122" s="261">
        <v>-2</v>
      </c>
      <c r="AZ122" s="262">
        <v>-1</v>
      </c>
    </row>
    <row r="123" spans="1:52" x14ac:dyDescent="0.25">
      <c r="A123" t="s">
        <v>1411</v>
      </c>
      <c r="B123" s="674"/>
      <c r="C123" s="279"/>
      <c r="D123" s="280" t="s">
        <v>204</v>
      </c>
      <c r="E123" s="261">
        <v>-1.5</v>
      </c>
      <c r="F123" s="261">
        <v>-1.5</v>
      </c>
      <c r="G123" s="261">
        <v>-1</v>
      </c>
      <c r="H123" s="261">
        <v>-1</v>
      </c>
      <c r="I123" s="261">
        <v>-1</v>
      </c>
      <c r="J123" s="261">
        <v>-0.5</v>
      </c>
      <c r="K123" s="261">
        <v>-1</v>
      </c>
      <c r="L123" s="261">
        <v>-1</v>
      </c>
      <c r="M123" s="262">
        <v>-0.5</v>
      </c>
      <c r="AO123" s="674"/>
      <c r="AP123" s="279"/>
      <c r="AQ123" s="280" t="s">
        <v>204</v>
      </c>
      <c r="AR123" s="261">
        <v>-1.5</v>
      </c>
      <c r="AS123" s="261">
        <v>-1.5</v>
      </c>
      <c r="AT123" s="261">
        <v>-1</v>
      </c>
      <c r="AU123" s="261">
        <v>-1</v>
      </c>
      <c r="AV123" s="261">
        <v>-1</v>
      </c>
      <c r="AW123" s="261">
        <v>-0.5</v>
      </c>
      <c r="AX123" s="261">
        <v>-1</v>
      </c>
      <c r="AY123" s="261">
        <v>-1</v>
      </c>
      <c r="AZ123" s="262">
        <v>-0.5</v>
      </c>
    </row>
    <row r="124" spans="1:52" x14ac:dyDescent="0.25">
      <c r="A124" t="s">
        <v>1219</v>
      </c>
      <c r="B124" s="244"/>
      <c r="C124" s="281"/>
      <c r="D124" s="280" t="s">
        <v>219</v>
      </c>
      <c r="E124" s="261">
        <v>-1</v>
      </c>
      <c r="F124" s="261">
        <v>-1</v>
      </c>
      <c r="G124" s="261">
        <v>-0.5</v>
      </c>
      <c r="H124" s="261">
        <v>-1</v>
      </c>
      <c r="I124" s="261">
        <v>-1</v>
      </c>
      <c r="J124" s="261">
        <v>-0.5</v>
      </c>
      <c r="K124" s="261">
        <v>-1</v>
      </c>
      <c r="L124" s="261">
        <v>-1</v>
      </c>
      <c r="M124" s="262">
        <v>-0.5</v>
      </c>
      <c r="AO124" s="244"/>
      <c r="AP124" s="281"/>
      <c r="AQ124" s="280" t="s">
        <v>219</v>
      </c>
      <c r="AR124" s="261">
        <v>-1</v>
      </c>
      <c r="AS124" s="261">
        <v>-1</v>
      </c>
      <c r="AT124" s="261">
        <v>-0.5</v>
      </c>
      <c r="AU124" s="261">
        <v>-1</v>
      </c>
      <c r="AV124" s="261">
        <v>-1</v>
      </c>
      <c r="AW124" s="261">
        <v>-0.5</v>
      </c>
      <c r="AX124" s="261">
        <v>-1</v>
      </c>
      <c r="AY124" s="261">
        <v>-1</v>
      </c>
      <c r="AZ124" s="262">
        <v>-0.5</v>
      </c>
    </row>
    <row r="125" spans="1:52" x14ac:dyDescent="0.25">
      <c r="B125" s="244"/>
      <c r="C125" s="278" t="s">
        <v>57</v>
      </c>
      <c r="D125" s="280"/>
      <c r="E125" s="261"/>
      <c r="F125" s="261"/>
      <c r="G125" s="261"/>
      <c r="H125" s="261"/>
      <c r="I125" s="261"/>
      <c r="J125" s="261"/>
      <c r="K125" s="261"/>
      <c r="L125" s="261"/>
      <c r="M125" s="262"/>
      <c r="AO125" s="244"/>
      <c r="AP125" s="278" t="s">
        <v>57</v>
      </c>
      <c r="AQ125" s="280"/>
      <c r="AR125" s="261"/>
      <c r="AS125" s="261"/>
      <c r="AT125" s="261"/>
      <c r="AU125" s="261"/>
      <c r="AV125" s="261"/>
      <c r="AW125" s="261"/>
      <c r="AX125" s="261"/>
      <c r="AY125" s="261"/>
      <c r="AZ125" s="262"/>
    </row>
    <row r="126" spans="1:52" x14ac:dyDescent="0.25">
      <c r="A126" t="s">
        <v>1220</v>
      </c>
      <c r="B126" s="244"/>
      <c r="C126" s="279"/>
      <c r="D126" s="280" t="s">
        <v>185</v>
      </c>
      <c r="E126" s="261">
        <v>-5</v>
      </c>
      <c r="F126" s="261">
        <v>-5</v>
      </c>
      <c r="G126" s="261">
        <v>-4</v>
      </c>
      <c r="H126" s="261">
        <v>-5</v>
      </c>
      <c r="I126" s="261">
        <v>-5</v>
      </c>
      <c r="J126" s="261">
        <v>-4</v>
      </c>
      <c r="K126" s="261">
        <v>-3.5</v>
      </c>
      <c r="L126" s="261">
        <v>-3.5</v>
      </c>
      <c r="M126" s="262">
        <v>-2.5</v>
      </c>
      <c r="AO126" s="244"/>
      <c r="AP126" s="279"/>
      <c r="AQ126" s="280" t="s">
        <v>185</v>
      </c>
      <c r="AR126" s="261">
        <v>-5</v>
      </c>
      <c r="AS126" s="261">
        <v>-5</v>
      </c>
      <c r="AT126" s="261">
        <v>-4</v>
      </c>
      <c r="AU126" s="261">
        <v>-5</v>
      </c>
      <c r="AV126" s="261">
        <v>-5</v>
      </c>
      <c r="AW126" s="261">
        <v>-4</v>
      </c>
      <c r="AX126" s="261">
        <v>-3.5</v>
      </c>
      <c r="AY126" s="261">
        <v>-3.5</v>
      </c>
      <c r="AZ126" s="262">
        <v>-2.5</v>
      </c>
    </row>
    <row r="127" spans="1:52" x14ac:dyDescent="0.25">
      <c r="A127" t="s">
        <v>1221</v>
      </c>
      <c r="B127" s="244"/>
      <c r="C127" s="279"/>
      <c r="D127" s="280" t="s">
        <v>199</v>
      </c>
      <c r="E127" s="261">
        <v>-4</v>
      </c>
      <c r="F127" s="261">
        <v>-4</v>
      </c>
      <c r="G127" s="261">
        <v>-3.5</v>
      </c>
      <c r="H127" s="261">
        <v>-4</v>
      </c>
      <c r="I127" s="261">
        <v>-4</v>
      </c>
      <c r="J127" s="261">
        <v>-3.5</v>
      </c>
      <c r="K127" s="261">
        <v>-2.5</v>
      </c>
      <c r="L127" s="261">
        <v>-2.5</v>
      </c>
      <c r="M127" s="262">
        <v>-2</v>
      </c>
      <c r="AO127" s="244"/>
      <c r="AP127" s="279"/>
      <c r="AQ127" s="280" t="s">
        <v>199</v>
      </c>
      <c r="AR127" s="261">
        <v>-4</v>
      </c>
      <c r="AS127" s="261">
        <v>-4</v>
      </c>
      <c r="AT127" s="261">
        <v>-3.5</v>
      </c>
      <c r="AU127" s="261">
        <v>-4</v>
      </c>
      <c r="AV127" s="261">
        <v>-4</v>
      </c>
      <c r="AW127" s="261">
        <v>-3.5</v>
      </c>
      <c r="AX127" s="261">
        <v>-2.5</v>
      </c>
      <c r="AY127" s="261">
        <v>-2.5</v>
      </c>
      <c r="AZ127" s="262">
        <v>-2</v>
      </c>
    </row>
    <row r="128" spans="1:52" x14ac:dyDescent="0.25">
      <c r="A128" t="s">
        <v>1416</v>
      </c>
      <c r="B128" s="674"/>
      <c r="C128" s="279"/>
      <c r="D128" s="280" t="s">
        <v>204</v>
      </c>
      <c r="E128" s="261">
        <v>-3</v>
      </c>
      <c r="F128" s="261">
        <v>-3</v>
      </c>
      <c r="G128" s="261">
        <v>-2.5</v>
      </c>
      <c r="H128" s="261">
        <v>-3</v>
      </c>
      <c r="I128" s="261">
        <v>-3</v>
      </c>
      <c r="J128" s="261">
        <v>-2.5</v>
      </c>
      <c r="K128" s="261">
        <v>-2</v>
      </c>
      <c r="L128" s="261">
        <v>-2</v>
      </c>
      <c r="M128" s="262">
        <v>-1.5</v>
      </c>
      <c r="AO128" s="674"/>
      <c r="AP128" s="279"/>
      <c r="AQ128" s="280" t="s">
        <v>204</v>
      </c>
      <c r="AR128" s="261">
        <v>-3</v>
      </c>
      <c r="AS128" s="261">
        <v>-3</v>
      </c>
      <c r="AT128" s="261">
        <v>-2.5</v>
      </c>
      <c r="AU128" s="261">
        <v>-3</v>
      </c>
      <c r="AV128" s="261">
        <v>-3</v>
      </c>
      <c r="AW128" s="261">
        <v>-2.5</v>
      </c>
      <c r="AX128" s="261">
        <v>-2</v>
      </c>
      <c r="AY128" s="261">
        <v>-2</v>
      </c>
      <c r="AZ128" s="262">
        <v>-1.5</v>
      </c>
    </row>
    <row r="129" spans="1:52" x14ac:dyDescent="0.25">
      <c r="A129" t="s">
        <v>1222</v>
      </c>
      <c r="B129" s="244"/>
      <c r="C129" s="281"/>
      <c r="D129" s="280" t="s">
        <v>219</v>
      </c>
      <c r="E129" s="261">
        <v>-2.5</v>
      </c>
      <c r="F129" s="261">
        <v>-2.5</v>
      </c>
      <c r="G129" s="261">
        <v>-2</v>
      </c>
      <c r="H129" s="261">
        <v>-2.5</v>
      </c>
      <c r="I129" s="261">
        <v>-2.5</v>
      </c>
      <c r="J129" s="261">
        <v>-2</v>
      </c>
      <c r="K129" s="261">
        <v>-1.5</v>
      </c>
      <c r="L129" s="261">
        <v>-1.5</v>
      </c>
      <c r="M129" s="262">
        <v>-1</v>
      </c>
      <c r="AO129" s="244"/>
      <c r="AP129" s="281"/>
      <c r="AQ129" s="280" t="s">
        <v>219</v>
      </c>
      <c r="AR129" s="261">
        <v>-2.5</v>
      </c>
      <c r="AS129" s="261">
        <v>-2.5</v>
      </c>
      <c r="AT129" s="261">
        <v>-2</v>
      </c>
      <c r="AU129" s="261">
        <v>-2.5</v>
      </c>
      <c r="AV129" s="261">
        <v>-2.5</v>
      </c>
      <c r="AW129" s="261">
        <v>-2</v>
      </c>
      <c r="AX129" s="261">
        <v>-1.5</v>
      </c>
      <c r="AY129" s="261">
        <v>-1.5</v>
      </c>
      <c r="AZ129" s="262">
        <v>-1</v>
      </c>
    </row>
    <row r="130" spans="1:52" x14ac:dyDescent="0.25">
      <c r="B130" s="244"/>
      <c r="C130" s="278" t="s">
        <v>230</v>
      </c>
      <c r="D130" s="280"/>
      <c r="E130" s="261"/>
      <c r="F130" s="261"/>
      <c r="G130" s="261"/>
      <c r="H130" s="261"/>
      <c r="I130" s="261"/>
      <c r="J130" s="261"/>
      <c r="K130" s="261"/>
      <c r="L130" s="261"/>
      <c r="M130" s="262"/>
      <c r="AO130" s="244"/>
      <c r="AP130" s="278" t="s">
        <v>230</v>
      </c>
      <c r="AQ130" s="280"/>
      <c r="AR130" s="261"/>
      <c r="AS130" s="261"/>
      <c r="AT130" s="261"/>
      <c r="AU130" s="261"/>
      <c r="AV130" s="261"/>
      <c r="AW130" s="261"/>
      <c r="AX130" s="261"/>
      <c r="AY130" s="261"/>
      <c r="AZ130" s="262"/>
    </row>
    <row r="131" spans="1:52" x14ac:dyDescent="0.25">
      <c r="A131" t="s">
        <v>1223</v>
      </c>
      <c r="B131" s="244"/>
      <c r="C131" s="279"/>
      <c r="D131" s="280" t="s">
        <v>185</v>
      </c>
      <c r="E131" s="261">
        <v>-8</v>
      </c>
      <c r="F131" s="261">
        <v>-8</v>
      </c>
      <c r="G131" s="261">
        <v>-7</v>
      </c>
      <c r="H131" s="261">
        <v>-8</v>
      </c>
      <c r="I131" s="261">
        <v>-8</v>
      </c>
      <c r="J131" s="261">
        <v>-7</v>
      </c>
      <c r="K131" s="261">
        <v>-7</v>
      </c>
      <c r="L131" s="261">
        <v>-7</v>
      </c>
      <c r="M131" s="262">
        <v>-6</v>
      </c>
      <c r="AO131" s="244"/>
      <c r="AP131" s="279"/>
      <c r="AQ131" s="280" t="s">
        <v>185</v>
      </c>
      <c r="AR131" s="261">
        <v>-8</v>
      </c>
      <c r="AS131" s="261">
        <v>-8</v>
      </c>
      <c r="AT131" s="261">
        <v>-7</v>
      </c>
      <c r="AU131" s="261">
        <v>-8</v>
      </c>
      <c r="AV131" s="261">
        <v>-8</v>
      </c>
      <c r="AW131" s="261">
        <v>-7</v>
      </c>
      <c r="AX131" s="261">
        <v>-7</v>
      </c>
      <c r="AY131" s="261">
        <v>-7</v>
      </c>
      <c r="AZ131" s="262">
        <v>-6</v>
      </c>
    </row>
    <row r="132" spans="1:52" x14ac:dyDescent="0.25">
      <c r="A132" t="s">
        <v>1224</v>
      </c>
      <c r="B132" s="244"/>
      <c r="C132" s="279"/>
      <c r="D132" s="280" t="s">
        <v>199</v>
      </c>
      <c r="E132" s="261">
        <v>-7</v>
      </c>
      <c r="F132" s="261">
        <v>-7</v>
      </c>
      <c r="G132" s="261">
        <v>-6</v>
      </c>
      <c r="H132" s="261">
        <v>-7</v>
      </c>
      <c r="I132" s="261">
        <v>-7</v>
      </c>
      <c r="J132" s="261">
        <v>-6</v>
      </c>
      <c r="K132" s="261">
        <v>-6</v>
      </c>
      <c r="L132" s="261">
        <v>-6</v>
      </c>
      <c r="M132" s="262">
        <v>-5</v>
      </c>
      <c r="AO132" s="244"/>
      <c r="AP132" s="279"/>
      <c r="AQ132" s="280" t="s">
        <v>199</v>
      </c>
      <c r="AR132" s="261">
        <v>-7</v>
      </c>
      <c r="AS132" s="261">
        <v>-7</v>
      </c>
      <c r="AT132" s="261">
        <v>-6</v>
      </c>
      <c r="AU132" s="261">
        <v>-7</v>
      </c>
      <c r="AV132" s="261">
        <v>-7</v>
      </c>
      <c r="AW132" s="261">
        <v>-6</v>
      </c>
      <c r="AX132" s="261">
        <v>-6</v>
      </c>
      <c r="AY132" s="261">
        <v>-6</v>
      </c>
      <c r="AZ132" s="262">
        <v>-5</v>
      </c>
    </row>
    <row r="133" spans="1:52" x14ac:dyDescent="0.25">
      <c r="A133" t="s">
        <v>1417</v>
      </c>
      <c r="B133" s="674"/>
      <c r="C133" s="279"/>
      <c r="D133" s="278" t="s">
        <v>204</v>
      </c>
      <c r="E133" s="686">
        <v>-6</v>
      </c>
      <c r="F133" s="686">
        <v>-6</v>
      </c>
      <c r="G133" s="686">
        <v>-5</v>
      </c>
      <c r="H133" s="686">
        <v>-6</v>
      </c>
      <c r="I133" s="686">
        <v>-6</v>
      </c>
      <c r="J133" s="686">
        <v>-5</v>
      </c>
      <c r="K133" s="686">
        <v>-5</v>
      </c>
      <c r="L133" s="686">
        <v>-5</v>
      </c>
      <c r="M133" s="687">
        <v>-4</v>
      </c>
      <c r="AO133" s="674"/>
      <c r="AP133" s="279"/>
      <c r="AQ133" s="278" t="s">
        <v>204</v>
      </c>
      <c r="AR133" s="686">
        <v>-6</v>
      </c>
      <c r="AS133" s="686">
        <v>-6</v>
      </c>
      <c r="AT133" s="686">
        <v>-5</v>
      </c>
      <c r="AU133" s="686">
        <v>-6</v>
      </c>
      <c r="AV133" s="686">
        <v>-6</v>
      </c>
      <c r="AW133" s="686">
        <v>-5</v>
      </c>
      <c r="AX133" s="686">
        <v>-5</v>
      </c>
      <c r="AY133" s="686">
        <v>-5</v>
      </c>
      <c r="AZ133" s="687">
        <v>-4</v>
      </c>
    </row>
    <row r="134" spans="1:52" x14ac:dyDescent="0.25">
      <c r="A134" t="s">
        <v>1225</v>
      </c>
      <c r="B134" s="249"/>
      <c r="C134" s="281"/>
      <c r="D134" s="282" t="s">
        <v>219</v>
      </c>
      <c r="E134" s="264">
        <v>-5</v>
      </c>
      <c r="F134" s="264">
        <v>-5</v>
      </c>
      <c r="G134" s="264">
        <v>-4</v>
      </c>
      <c r="H134" s="264">
        <v>-5</v>
      </c>
      <c r="I134" s="264">
        <v>-5</v>
      </c>
      <c r="J134" s="264">
        <v>-4</v>
      </c>
      <c r="K134" s="264">
        <v>-4</v>
      </c>
      <c r="L134" s="264">
        <v>-4</v>
      </c>
      <c r="M134" s="265">
        <v>-3</v>
      </c>
      <c r="AO134" s="249"/>
      <c r="AP134" s="281"/>
      <c r="AQ134" s="282" t="s">
        <v>219</v>
      </c>
      <c r="AR134" s="264">
        <v>-5</v>
      </c>
      <c r="AS134" s="264">
        <v>-5</v>
      </c>
      <c r="AT134" s="264">
        <v>-4</v>
      </c>
      <c r="AU134" s="264">
        <v>-5</v>
      </c>
      <c r="AV134" s="264">
        <v>-5</v>
      </c>
      <c r="AW134" s="264">
        <v>-4</v>
      </c>
      <c r="AX134" s="264">
        <v>-4</v>
      </c>
      <c r="AY134" s="264">
        <v>-4</v>
      </c>
      <c r="AZ134" s="265">
        <v>-3</v>
      </c>
    </row>
    <row r="135" spans="1:52" x14ac:dyDescent="0.25">
      <c r="B135" s="239" t="s">
        <v>169</v>
      </c>
      <c r="C135" s="275"/>
      <c r="D135" s="276"/>
      <c r="E135" s="283"/>
      <c r="F135" s="283"/>
      <c r="G135" s="283"/>
      <c r="H135" s="283"/>
      <c r="I135" s="283"/>
      <c r="J135" s="283"/>
      <c r="K135" s="283"/>
      <c r="L135" s="283"/>
      <c r="M135" s="284"/>
      <c r="AO135" s="239" t="s">
        <v>169</v>
      </c>
      <c r="AP135" s="275"/>
      <c r="AQ135" s="276"/>
      <c r="AR135" s="283"/>
      <c r="AS135" s="283"/>
      <c r="AT135" s="283"/>
      <c r="AU135" s="283"/>
      <c r="AV135" s="283"/>
      <c r="AW135" s="283"/>
      <c r="AX135" s="283"/>
      <c r="AY135" s="283"/>
      <c r="AZ135" s="284"/>
    </row>
    <row r="136" spans="1:52" x14ac:dyDescent="0.25">
      <c r="B136" s="244"/>
      <c r="C136" s="278" t="s">
        <v>190</v>
      </c>
      <c r="D136" s="280"/>
      <c r="E136" s="261"/>
      <c r="F136" s="261"/>
      <c r="G136" s="261"/>
      <c r="H136" s="261"/>
      <c r="I136" s="261"/>
      <c r="J136" s="261"/>
      <c r="K136" s="261"/>
      <c r="L136" s="261"/>
      <c r="M136" s="262"/>
      <c r="AO136" s="244"/>
      <c r="AP136" s="278" t="s">
        <v>190</v>
      </c>
      <c r="AQ136" s="280"/>
      <c r="AR136" s="261"/>
      <c r="AS136" s="261"/>
      <c r="AT136" s="261"/>
      <c r="AU136" s="261"/>
      <c r="AV136" s="261"/>
      <c r="AW136" s="261"/>
      <c r="AX136" s="261"/>
      <c r="AY136" s="261"/>
      <c r="AZ136" s="262"/>
    </row>
    <row r="137" spans="1:52" x14ac:dyDescent="0.25">
      <c r="A137" t="s">
        <v>1188</v>
      </c>
      <c r="B137" s="244"/>
      <c r="C137" s="279"/>
      <c r="D137" s="280" t="s">
        <v>185</v>
      </c>
      <c r="E137" s="261">
        <v>0</v>
      </c>
      <c r="F137" s="261">
        <v>0</v>
      </c>
      <c r="G137" s="261">
        <v>0</v>
      </c>
      <c r="H137" s="261">
        <v>0</v>
      </c>
      <c r="I137" s="261">
        <v>0</v>
      </c>
      <c r="J137" s="261">
        <v>0</v>
      </c>
      <c r="K137" s="261">
        <v>0</v>
      </c>
      <c r="L137" s="261">
        <v>0</v>
      </c>
      <c r="M137" s="262">
        <v>0</v>
      </c>
      <c r="AO137" s="244"/>
      <c r="AP137" s="279"/>
      <c r="AQ137" s="280" t="s">
        <v>185</v>
      </c>
      <c r="AR137" s="261">
        <v>0</v>
      </c>
      <c r="AS137" s="261">
        <v>0</v>
      </c>
      <c r="AT137" s="261">
        <v>0</v>
      </c>
      <c r="AU137" s="261">
        <v>0</v>
      </c>
      <c r="AV137" s="261">
        <v>0</v>
      </c>
      <c r="AW137" s="261">
        <v>0</v>
      </c>
      <c r="AX137" s="261">
        <v>0</v>
      </c>
      <c r="AY137" s="261">
        <v>0</v>
      </c>
      <c r="AZ137" s="262">
        <v>0</v>
      </c>
    </row>
    <row r="138" spans="1:52" x14ac:dyDescent="0.25">
      <c r="A138" t="s">
        <v>1189</v>
      </c>
      <c r="B138" s="674"/>
      <c r="C138" s="279"/>
      <c r="D138" s="280" t="s">
        <v>199</v>
      </c>
      <c r="E138" s="261">
        <v>0</v>
      </c>
      <c r="F138" s="261">
        <v>0</v>
      </c>
      <c r="G138" s="261">
        <v>0</v>
      </c>
      <c r="H138" s="261">
        <v>0</v>
      </c>
      <c r="I138" s="261">
        <v>0</v>
      </c>
      <c r="J138" s="261">
        <v>0</v>
      </c>
      <c r="K138" s="261">
        <v>0</v>
      </c>
      <c r="L138" s="261">
        <v>0</v>
      </c>
      <c r="M138" s="262">
        <v>0</v>
      </c>
      <c r="AO138" s="674"/>
      <c r="AP138" s="279"/>
      <c r="AQ138" s="280" t="s">
        <v>199</v>
      </c>
      <c r="AR138" s="261">
        <v>0</v>
      </c>
      <c r="AS138" s="261">
        <v>0</v>
      </c>
      <c r="AT138" s="261">
        <v>0</v>
      </c>
      <c r="AU138" s="261">
        <v>0</v>
      </c>
      <c r="AV138" s="261">
        <v>0</v>
      </c>
      <c r="AW138" s="261">
        <v>0</v>
      </c>
      <c r="AX138" s="261">
        <v>0</v>
      </c>
      <c r="AY138" s="261">
        <v>0</v>
      </c>
      <c r="AZ138" s="262">
        <v>0</v>
      </c>
    </row>
    <row r="139" spans="1:52" x14ac:dyDescent="0.25">
      <c r="A139" t="s">
        <v>1190</v>
      </c>
      <c r="B139" s="244"/>
      <c r="C139" s="279"/>
      <c r="D139" s="280" t="s">
        <v>204</v>
      </c>
      <c r="E139" s="261">
        <v>0</v>
      </c>
      <c r="F139" s="261">
        <v>0</v>
      </c>
      <c r="G139" s="261">
        <v>0</v>
      </c>
      <c r="H139" s="261">
        <v>0</v>
      </c>
      <c r="I139" s="261">
        <v>0</v>
      </c>
      <c r="J139" s="261">
        <v>0</v>
      </c>
      <c r="K139" s="261">
        <v>0</v>
      </c>
      <c r="L139" s="261">
        <v>0</v>
      </c>
      <c r="M139" s="262">
        <v>0</v>
      </c>
      <c r="AO139" s="244"/>
      <c r="AP139" s="279"/>
      <c r="AQ139" s="280" t="s">
        <v>204</v>
      </c>
      <c r="AR139" s="261">
        <v>0</v>
      </c>
      <c r="AS139" s="261">
        <v>0</v>
      </c>
      <c r="AT139" s="261">
        <v>0</v>
      </c>
      <c r="AU139" s="261">
        <v>0</v>
      </c>
      <c r="AV139" s="261">
        <v>0</v>
      </c>
      <c r="AW139" s="261">
        <v>0</v>
      </c>
      <c r="AX139" s="261">
        <v>0</v>
      </c>
      <c r="AY139" s="261">
        <v>0</v>
      </c>
      <c r="AZ139" s="262">
        <v>0</v>
      </c>
    </row>
    <row r="140" spans="1:52" x14ac:dyDescent="0.25">
      <c r="A140" t="s">
        <v>1191</v>
      </c>
      <c r="B140" s="244"/>
      <c r="C140" s="279"/>
      <c r="D140" s="280" t="s">
        <v>219</v>
      </c>
      <c r="E140" s="261">
        <v>0</v>
      </c>
      <c r="F140" s="261">
        <v>0</v>
      </c>
      <c r="G140" s="261">
        <v>0</v>
      </c>
      <c r="H140" s="261">
        <v>0</v>
      </c>
      <c r="I140" s="261">
        <v>0</v>
      </c>
      <c r="J140" s="261">
        <v>0</v>
      </c>
      <c r="K140" s="261">
        <v>0</v>
      </c>
      <c r="L140" s="261">
        <v>0</v>
      </c>
      <c r="M140" s="262">
        <v>0</v>
      </c>
      <c r="AO140" s="244"/>
      <c r="AP140" s="279"/>
      <c r="AQ140" s="280" t="s">
        <v>219</v>
      </c>
      <c r="AR140" s="261">
        <v>0</v>
      </c>
      <c r="AS140" s="261">
        <v>0</v>
      </c>
      <c r="AT140" s="261">
        <v>0</v>
      </c>
      <c r="AU140" s="261">
        <v>0</v>
      </c>
      <c r="AV140" s="261">
        <v>0</v>
      </c>
      <c r="AW140" s="261">
        <v>0</v>
      </c>
      <c r="AX140" s="261">
        <v>0</v>
      </c>
      <c r="AY140" s="261">
        <v>0</v>
      </c>
      <c r="AZ140" s="262">
        <v>0</v>
      </c>
    </row>
    <row r="141" spans="1:52" x14ac:dyDescent="0.25">
      <c r="B141" s="244"/>
      <c r="C141" s="278" t="s">
        <v>169</v>
      </c>
      <c r="D141" s="280"/>
      <c r="E141" s="261"/>
      <c r="F141" s="261"/>
      <c r="G141" s="261"/>
      <c r="H141" s="261"/>
      <c r="I141" s="261"/>
      <c r="J141" s="261"/>
      <c r="K141" s="261"/>
      <c r="L141" s="261"/>
      <c r="M141" s="262"/>
      <c r="AO141" s="244"/>
      <c r="AP141" s="278" t="s">
        <v>169</v>
      </c>
      <c r="AQ141" s="280"/>
      <c r="AR141" s="261"/>
      <c r="AS141" s="261"/>
      <c r="AT141" s="261"/>
      <c r="AU141" s="261"/>
      <c r="AV141" s="261"/>
      <c r="AW141" s="261"/>
      <c r="AX141" s="261"/>
      <c r="AY141" s="261"/>
      <c r="AZ141" s="262"/>
    </row>
    <row r="142" spans="1:52" x14ac:dyDescent="0.25">
      <c r="A142" t="s">
        <v>1418</v>
      </c>
      <c r="B142" s="244"/>
      <c r="C142" s="279"/>
      <c r="D142" s="280" t="s">
        <v>191</v>
      </c>
      <c r="E142" s="261">
        <v>-0.5</v>
      </c>
      <c r="F142" s="261">
        <v>-0.5</v>
      </c>
      <c r="G142" s="261">
        <v>-0.5</v>
      </c>
      <c r="H142" s="261">
        <v>-0.5</v>
      </c>
      <c r="I142" s="261">
        <v>-0.5</v>
      </c>
      <c r="J142" s="261">
        <v>0</v>
      </c>
      <c r="K142" s="261">
        <v>0</v>
      </c>
      <c r="L142" s="261">
        <v>0</v>
      </c>
      <c r="M142" s="262">
        <v>0</v>
      </c>
      <c r="AO142" s="244"/>
      <c r="AP142" s="279"/>
      <c r="AQ142" s="280" t="s">
        <v>191</v>
      </c>
      <c r="AR142" s="261">
        <v>-1.5</v>
      </c>
      <c r="AS142" s="261">
        <v>-1.5</v>
      </c>
      <c r="AT142" s="261">
        <v>-1.5</v>
      </c>
      <c r="AU142" s="261">
        <v>-1.5</v>
      </c>
      <c r="AV142" s="261">
        <v>-1.5</v>
      </c>
      <c r="AW142" s="261">
        <v>0</v>
      </c>
      <c r="AX142" s="261">
        <v>0</v>
      </c>
      <c r="AY142" s="261">
        <v>0</v>
      </c>
      <c r="AZ142" s="262">
        <v>0</v>
      </c>
    </row>
    <row r="143" spans="1:52" x14ac:dyDescent="0.25">
      <c r="A143" t="s">
        <v>1419</v>
      </c>
      <c r="B143" s="244"/>
      <c r="C143" s="279"/>
      <c r="D143" s="280"/>
      <c r="E143" s="261">
        <v>-1</v>
      </c>
      <c r="F143" s="261">
        <v>-1</v>
      </c>
      <c r="G143" s="261">
        <v>-1</v>
      </c>
      <c r="H143" s="261">
        <v>-1</v>
      </c>
      <c r="I143" s="261">
        <v>-1</v>
      </c>
      <c r="J143" s="261">
        <v>-1</v>
      </c>
      <c r="K143" s="261">
        <v>-1</v>
      </c>
      <c r="L143" s="261">
        <v>-1</v>
      </c>
      <c r="M143" s="262">
        <v>-0.5</v>
      </c>
      <c r="AO143" s="244"/>
      <c r="AP143" s="279"/>
      <c r="AQ143" s="280"/>
      <c r="AR143" s="261">
        <v>-2</v>
      </c>
      <c r="AS143" s="261">
        <v>-2</v>
      </c>
      <c r="AT143" s="261">
        <v>-2</v>
      </c>
      <c r="AU143" s="261">
        <v>-2</v>
      </c>
      <c r="AV143" s="261">
        <v>-2</v>
      </c>
      <c r="AW143" s="261">
        <v>-1</v>
      </c>
      <c r="AX143" s="261">
        <v>-1</v>
      </c>
      <c r="AY143" s="261">
        <v>-1</v>
      </c>
      <c r="AZ143" s="262">
        <v>-0.5</v>
      </c>
    </row>
    <row r="144" spans="1:52" x14ac:dyDescent="0.25">
      <c r="A144" t="s">
        <v>1420</v>
      </c>
      <c r="B144" s="674"/>
      <c r="C144" s="279"/>
      <c r="D144" s="280"/>
      <c r="E144" s="261">
        <v>-1.5</v>
      </c>
      <c r="F144" s="261">
        <v>-1.5</v>
      </c>
      <c r="G144" s="261">
        <v>-1.5</v>
      </c>
      <c r="H144" s="261">
        <v>-1.5</v>
      </c>
      <c r="I144" s="261">
        <v>-1.5</v>
      </c>
      <c r="J144" s="261">
        <v>-1.5</v>
      </c>
      <c r="K144" s="261">
        <v>-1.5</v>
      </c>
      <c r="L144" s="261">
        <v>-1.5</v>
      </c>
      <c r="M144" s="262">
        <v>-1</v>
      </c>
      <c r="AO144" s="674"/>
      <c r="AP144" s="279"/>
      <c r="AQ144" s="280"/>
      <c r="AR144" s="261">
        <v>-2.5</v>
      </c>
      <c r="AS144" s="261">
        <v>-2.5</v>
      </c>
      <c r="AT144" s="261">
        <v>-2.5</v>
      </c>
      <c r="AU144" s="261">
        <v>-2.5</v>
      </c>
      <c r="AV144" s="261">
        <v>-2.5</v>
      </c>
      <c r="AW144" s="261">
        <v>-1.5</v>
      </c>
      <c r="AX144" s="261">
        <v>-1.5</v>
      </c>
      <c r="AY144" s="261">
        <v>-1.5</v>
      </c>
      <c r="AZ144" s="262">
        <v>-1</v>
      </c>
    </row>
    <row r="145" spans="1:52" x14ac:dyDescent="0.25">
      <c r="A145" t="s">
        <v>1421</v>
      </c>
      <c r="B145" s="674"/>
      <c r="C145" s="279"/>
      <c r="D145" s="280" t="s">
        <v>219</v>
      </c>
      <c r="E145" s="261">
        <v>-0.5</v>
      </c>
      <c r="F145" s="261">
        <v>-0.5</v>
      </c>
      <c r="G145" s="261">
        <v>-0.5</v>
      </c>
      <c r="H145" s="261">
        <v>-0.5</v>
      </c>
      <c r="I145" s="261">
        <v>-0.5</v>
      </c>
      <c r="J145" s="261">
        <v>0</v>
      </c>
      <c r="K145" s="261">
        <v>0</v>
      </c>
      <c r="L145" s="261">
        <v>0</v>
      </c>
      <c r="M145" s="262">
        <v>0</v>
      </c>
      <c r="AO145" s="674"/>
      <c r="AP145" s="279"/>
      <c r="AQ145" s="280" t="s">
        <v>219</v>
      </c>
      <c r="AR145" s="261">
        <v>-1.5</v>
      </c>
      <c r="AS145" s="261">
        <v>-1.5</v>
      </c>
      <c r="AT145" s="261">
        <v>-1.5</v>
      </c>
      <c r="AU145" s="261">
        <v>-1.5</v>
      </c>
      <c r="AV145" s="261">
        <v>-1.5</v>
      </c>
      <c r="AW145" s="261">
        <v>0</v>
      </c>
      <c r="AX145" s="261">
        <v>0</v>
      </c>
      <c r="AY145" s="261">
        <v>0</v>
      </c>
      <c r="AZ145" s="262">
        <v>0</v>
      </c>
    </row>
    <row r="146" spans="1:52" x14ac:dyDescent="0.25">
      <c r="A146" t="s">
        <v>1422</v>
      </c>
      <c r="B146" s="674"/>
      <c r="C146" s="279"/>
      <c r="D146" s="280"/>
      <c r="E146" s="261">
        <v>-1</v>
      </c>
      <c r="F146" s="261">
        <v>-1</v>
      </c>
      <c r="G146" s="261">
        <v>-0.5</v>
      </c>
      <c r="H146" s="261">
        <v>-0.5</v>
      </c>
      <c r="I146" s="261">
        <v>-0.5</v>
      </c>
      <c r="J146" s="261">
        <v>-0.5</v>
      </c>
      <c r="K146" s="261">
        <v>-0.5</v>
      </c>
      <c r="L146" s="261">
        <v>-0.5</v>
      </c>
      <c r="M146" s="262">
        <v>-0.5</v>
      </c>
      <c r="AO146" s="674"/>
      <c r="AP146" s="279"/>
      <c r="AQ146" s="280"/>
      <c r="AR146" s="261">
        <v>-2</v>
      </c>
      <c r="AS146" s="261">
        <v>-2</v>
      </c>
      <c r="AT146" s="261">
        <v>-1.5</v>
      </c>
      <c r="AU146" s="261">
        <v>-1.5</v>
      </c>
      <c r="AV146" s="261">
        <v>-1.5</v>
      </c>
      <c r="AW146" s="261">
        <v>-0.5</v>
      </c>
      <c r="AX146" s="261">
        <v>-0.5</v>
      </c>
      <c r="AY146" s="261">
        <v>-0.5</v>
      </c>
      <c r="AZ146" s="262">
        <v>-0.5</v>
      </c>
    </row>
    <row r="147" spans="1:52" x14ac:dyDescent="0.25">
      <c r="A147" t="s">
        <v>1423</v>
      </c>
      <c r="B147" s="674"/>
      <c r="C147" s="279"/>
      <c r="D147" s="280"/>
      <c r="E147" s="261">
        <v>-1.5</v>
      </c>
      <c r="F147" s="261">
        <v>-1.5</v>
      </c>
      <c r="G147" s="261">
        <v>-1</v>
      </c>
      <c r="H147" s="261">
        <v>-1</v>
      </c>
      <c r="I147" s="261">
        <v>-1</v>
      </c>
      <c r="J147" s="261">
        <v>-1</v>
      </c>
      <c r="K147" s="261">
        <v>-1</v>
      </c>
      <c r="L147" s="261">
        <v>-1</v>
      </c>
      <c r="M147" s="262">
        <v>-1</v>
      </c>
      <c r="AO147" s="674"/>
      <c r="AP147" s="279"/>
      <c r="AQ147" s="280"/>
      <c r="AR147" s="261">
        <v>-2.5</v>
      </c>
      <c r="AS147" s="261">
        <v>-2.5</v>
      </c>
      <c r="AT147" s="261">
        <v>-2</v>
      </c>
      <c r="AU147" s="261">
        <v>-2</v>
      </c>
      <c r="AV147" s="261">
        <v>-2</v>
      </c>
      <c r="AW147" s="261">
        <v>-1</v>
      </c>
      <c r="AX147" s="261">
        <v>-1</v>
      </c>
      <c r="AY147" s="261">
        <v>-1</v>
      </c>
      <c r="AZ147" s="262">
        <v>-1</v>
      </c>
    </row>
    <row r="148" spans="1:52" x14ac:dyDescent="0.25">
      <c r="B148" s="239" t="s">
        <v>183</v>
      </c>
      <c r="C148" s="275"/>
      <c r="D148" s="276"/>
      <c r="E148" s="283"/>
      <c r="F148" s="283"/>
      <c r="G148" s="283"/>
      <c r="H148" s="283"/>
      <c r="I148" s="283"/>
      <c r="J148" s="283"/>
      <c r="K148" s="283"/>
      <c r="L148" s="283"/>
      <c r="M148" s="284"/>
      <c r="AO148" s="239" t="s">
        <v>183</v>
      </c>
      <c r="AP148" s="275"/>
      <c r="AQ148" s="276"/>
      <c r="AR148" s="283"/>
      <c r="AS148" s="283"/>
      <c r="AT148" s="283"/>
      <c r="AU148" s="283"/>
      <c r="AV148" s="283"/>
      <c r="AW148" s="283"/>
      <c r="AX148" s="283"/>
      <c r="AY148" s="283"/>
      <c r="AZ148" s="284"/>
    </row>
    <row r="149" spans="1:52" x14ac:dyDescent="0.25">
      <c r="B149" s="244"/>
      <c r="C149" s="278" t="s">
        <v>197</v>
      </c>
      <c r="D149" s="280"/>
      <c r="E149" s="261"/>
      <c r="F149" s="261"/>
      <c r="G149" s="261"/>
      <c r="H149" s="261"/>
      <c r="I149" s="261"/>
      <c r="J149" s="261"/>
      <c r="K149" s="261"/>
      <c r="L149" s="261"/>
      <c r="M149" s="262"/>
      <c r="AO149" s="244"/>
      <c r="AP149" s="278" t="s">
        <v>197</v>
      </c>
      <c r="AQ149" s="280"/>
      <c r="AR149" s="261"/>
      <c r="AS149" s="261"/>
      <c r="AT149" s="261"/>
      <c r="AU149" s="261"/>
      <c r="AV149" s="261"/>
      <c r="AW149" s="261"/>
      <c r="AX149" s="261"/>
      <c r="AY149" s="261"/>
      <c r="AZ149" s="262"/>
    </row>
    <row r="150" spans="1:52" x14ac:dyDescent="0.25">
      <c r="A150" t="s">
        <v>1261</v>
      </c>
      <c r="B150" s="244"/>
      <c r="C150" s="279"/>
      <c r="D150" s="280" t="s">
        <v>185</v>
      </c>
      <c r="E150" s="261">
        <v>-1</v>
      </c>
      <c r="F150" s="261">
        <v>-1</v>
      </c>
      <c r="G150" s="261">
        <v>0</v>
      </c>
      <c r="H150" s="261">
        <v>0</v>
      </c>
      <c r="I150" s="261">
        <v>0</v>
      </c>
      <c r="J150" s="261">
        <v>0</v>
      </c>
      <c r="K150" s="261">
        <v>0</v>
      </c>
      <c r="L150" s="261">
        <v>0</v>
      </c>
      <c r="M150" s="262">
        <v>0</v>
      </c>
      <c r="AO150" s="244"/>
      <c r="AP150" s="279"/>
      <c r="AQ150" s="280" t="s">
        <v>185</v>
      </c>
      <c r="AR150" s="261">
        <v>-1</v>
      </c>
      <c r="AS150" s="261">
        <v>-1</v>
      </c>
      <c r="AT150" s="261">
        <v>0</v>
      </c>
      <c r="AU150" s="261">
        <v>0</v>
      </c>
      <c r="AV150" s="261">
        <v>0</v>
      </c>
      <c r="AW150" s="261">
        <v>0</v>
      </c>
      <c r="AX150" s="261">
        <v>0</v>
      </c>
      <c r="AY150" s="261">
        <v>0</v>
      </c>
      <c r="AZ150" s="262">
        <v>0</v>
      </c>
    </row>
    <row r="151" spans="1:52" x14ac:dyDescent="0.25">
      <c r="A151" t="s">
        <v>1262</v>
      </c>
      <c r="B151" s="674"/>
      <c r="C151" s="279"/>
      <c r="D151" s="280" t="s">
        <v>199</v>
      </c>
      <c r="E151" s="261">
        <v>0</v>
      </c>
      <c r="F151" s="261">
        <v>0</v>
      </c>
      <c r="G151" s="261">
        <v>0</v>
      </c>
      <c r="H151" s="261">
        <v>0</v>
      </c>
      <c r="I151" s="261">
        <v>0</v>
      </c>
      <c r="J151" s="261">
        <v>0</v>
      </c>
      <c r="K151" s="261">
        <v>0</v>
      </c>
      <c r="L151" s="261">
        <v>0</v>
      </c>
      <c r="M151" s="262">
        <v>0</v>
      </c>
      <c r="AO151" s="674"/>
      <c r="AP151" s="279"/>
      <c r="AQ151" s="280" t="s">
        <v>199</v>
      </c>
      <c r="AR151" s="261">
        <v>0</v>
      </c>
      <c r="AS151" s="261">
        <v>0</v>
      </c>
      <c r="AT151" s="261">
        <v>0</v>
      </c>
      <c r="AU151" s="261">
        <v>0</v>
      </c>
      <c r="AV151" s="261">
        <v>0</v>
      </c>
      <c r="AW151" s="261">
        <v>0</v>
      </c>
      <c r="AX151" s="261">
        <v>0</v>
      </c>
      <c r="AY151" s="261">
        <v>0</v>
      </c>
      <c r="AZ151" s="262">
        <v>0</v>
      </c>
    </row>
    <row r="152" spans="1:52" x14ac:dyDescent="0.25">
      <c r="A152" t="s">
        <v>1263</v>
      </c>
      <c r="B152" s="244"/>
      <c r="C152" s="279"/>
      <c r="D152" s="280" t="s">
        <v>204</v>
      </c>
      <c r="E152" s="261">
        <v>0</v>
      </c>
      <c r="F152" s="261">
        <v>0</v>
      </c>
      <c r="G152" s="261">
        <v>0</v>
      </c>
      <c r="H152" s="261">
        <v>0</v>
      </c>
      <c r="I152" s="261">
        <v>0</v>
      </c>
      <c r="J152" s="261">
        <v>0</v>
      </c>
      <c r="K152" s="261">
        <v>0</v>
      </c>
      <c r="L152" s="261">
        <v>0</v>
      </c>
      <c r="M152" s="262">
        <v>0</v>
      </c>
      <c r="AO152" s="244"/>
      <c r="AP152" s="279"/>
      <c r="AQ152" s="280" t="s">
        <v>204</v>
      </c>
      <c r="AR152" s="261">
        <v>0</v>
      </c>
      <c r="AS152" s="261">
        <v>0</v>
      </c>
      <c r="AT152" s="261">
        <v>0</v>
      </c>
      <c r="AU152" s="261">
        <v>0</v>
      </c>
      <c r="AV152" s="261">
        <v>0</v>
      </c>
      <c r="AW152" s="261">
        <v>0</v>
      </c>
      <c r="AX152" s="261">
        <v>0</v>
      </c>
      <c r="AY152" s="261">
        <v>0</v>
      </c>
      <c r="AZ152" s="262">
        <v>0</v>
      </c>
    </row>
    <row r="153" spans="1:52" x14ac:dyDescent="0.25">
      <c r="A153" t="s">
        <v>1264</v>
      </c>
      <c r="B153" s="244"/>
      <c r="C153" s="279"/>
      <c r="D153" s="280" t="s">
        <v>219</v>
      </c>
      <c r="E153" s="261">
        <v>0</v>
      </c>
      <c r="F153" s="261">
        <v>0</v>
      </c>
      <c r="G153" s="261">
        <v>0</v>
      </c>
      <c r="H153" s="261">
        <v>0</v>
      </c>
      <c r="I153" s="261">
        <v>0</v>
      </c>
      <c r="J153" s="261">
        <v>0</v>
      </c>
      <c r="K153" s="261">
        <v>0</v>
      </c>
      <c r="L153" s="261">
        <v>0</v>
      </c>
      <c r="M153" s="262">
        <v>0</v>
      </c>
      <c r="AO153" s="244"/>
      <c r="AP153" s="279"/>
      <c r="AQ153" s="280" t="s">
        <v>219</v>
      </c>
      <c r="AR153" s="261">
        <v>0</v>
      </c>
      <c r="AS153" s="261">
        <v>0</v>
      </c>
      <c r="AT153" s="261">
        <v>0</v>
      </c>
      <c r="AU153" s="261">
        <v>0</v>
      </c>
      <c r="AV153" s="261">
        <v>0</v>
      </c>
      <c r="AW153" s="261">
        <v>0</v>
      </c>
      <c r="AX153" s="261">
        <v>0</v>
      </c>
      <c r="AY153" s="261">
        <v>0</v>
      </c>
      <c r="AZ153" s="262">
        <v>0</v>
      </c>
    </row>
    <row r="154" spans="1:52" x14ac:dyDescent="0.25">
      <c r="B154" s="244"/>
      <c r="C154" s="278" t="s">
        <v>211</v>
      </c>
      <c r="D154" s="280"/>
      <c r="E154" s="261"/>
      <c r="F154" s="261"/>
      <c r="G154" s="261"/>
      <c r="H154" s="261"/>
      <c r="I154" s="261"/>
      <c r="J154" s="261"/>
      <c r="K154" s="261"/>
      <c r="L154" s="261"/>
      <c r="M154" s="262"/>
      <c r="AO154" s="244"/>
      <c r="AP154" s="278" t="s">
        <v>211</v>
      </c>
      <c r="AQ154" s="280"/>
      <c r="AR154" s="261"/>
      <c r="AS154" s="261"/>
      <c r="AT154" s="261"/>
      <c r="AU154" s="261"/>
      <c r="AV154" s="261"/>
      <c r="AW154" s="261"/>
      <c r="AX154" s="261"/>
      <c r="AY154" s="261"/>
      <c r="AZ154" s="262"/>
    </row>
    <row r="155" spans="1:52" x14ac:dyDescent="0.25">
      <c r="A155" t="s">
        <v>1265</v>
      </c>
      <c r="B155" s="244"/>
      <c r="C155" s="279"/>
      <c r="D155" s="280" t="s">
        <v>185</v>
      </c>
      <c r="E155" s="261">
        <v>-3.5</v>
      </c>
      <c r="F155" s="261">
        <v>-3.5</v>
      </c>
      <c r="G155" s="261">
        <v>-2.5</v>
      </c>
      <c r="H155" s="261">
        <v>-3.5</v>
      </c>
      <c r="I155" s="261">
        <v>-3.5</v>
      </c>
      <c r="J155" s="261">
        <v>-2.5</v>
      </c>
      <c r="K155" s="261">
        <v>-2.5</v>
      </c>
      <c r="L155" s="261">
        <v>-2.5</v>
      </c>
      <c r="M155" s="262">
        <v>-1.5</v>
      </c>
      <c r="AO155" s="244"/>
      <c r="AP155" s="279"/>
      <c r="AQ155" s="280" t="s">
        <v>185</v>
      </c>
      <c r="AR155" s="261">
        <v>-3.5</v>
      </c>
      <c r="AS155" s="261">
        <v>-3.5</v>
      </c>
      <c r="AT155" s="261">
        <v>-2.5</v>
      </c>
      <c r="AU155" s="261">
        <v>-3.5</v>
      </c>
      <c r="AV155" s="261">
        <v>-3.5</v>
      </c>
      <c r="AW155" s="261">
        <v>-2.5</v>
      </c>
      <c r="AX155" s="261">
        <v>-2.5</v>
      </c>
      <c r="AY155" s="261">
        <v>-2.5</v>
      </c>
      <c r="AZ155" s="262">
        <v>-1.5</v>
      </c>
    </row>
    <row r="156" spans="1:52" x14ac:dyDescent="0.25">
      <c r="A156" t="s">
        <v>1266</v>
      </c>
      <c r="B156" s="674"/>
      <c r="C156" s="279"/>
      <c r="D156" s="280" t="s">
        <v>199</v>
      </c>
      <c r="E156" s="261">
        <v>-1.5</v>
      </c>
      <c r="F156" s="261">
        <v>-1.5</v>
      </c>
      <c r="G156" s="261">
        <v>-0.5</v>
      </c>
      <c r="H156" s="261">
        <v>-1.5</v>
      </c>
      <c r="I156" s="261">
        <v>-1.5</v>
      </c>
      <c r="J156" s="261">
        <v>-0.5</v>
      </c>
      <c r="K156" s="261">
        <v>-0.5</v>
      </c>
      <c r="L156" s="261">
        <v>-0.5</v>
      </c>
      <c r="M156" s="262">
        <v>-0.5</v>
      </c>
      <c r="AO156" s="674"/>
      <c r="AP156" s="279"/>
      <c r="AQ156" s="280" t="s">
        <v>199</v>
      </c>
      <c r="AR156" s="261">
        <v>-1.5</v>
      </c>
      <c r="AS156" s="261">
        <v>-1.5</v>
      </c>
      <c r="AT156" s="261">
        <v>-0.5</v>
      </c>
      <c r="AU156" s="261">
        <v>-1.5</v>
      </c>
      <c r="AV156" s="261">
        <v>-1.5</v>
      </c>
      <c r="AW156" s="261">
        <v>-0.5</v>
      </c>
      <c r="AX156" s="261">
        <v>-0.5</v>
      </c>
      <c r="AY156" s="261">
        <v>-0.5</v>
      </c>
      <c r="AZ156" s="262">
        <v>-0.5</v>
      </c>
    </row>
    <row r="157" spans="1:52" x14ac:dyDescent="0.25">
      <c r="A157" t="s">
        <v>1267</v>
      </c>
      <c r="B157" s="244"/>
      <c r="C157" s="279"/>
      <c r="D157" s="280" t="s">
        <v>204</v>
      </c>
      <c r="E157" s="261">
        <v>-2.5</v>
      </c>
      <c r="F157" s="261">
        <v>-2.5</v>
      </c>
      <c r="G157" s="261">
        <v>-1.5</v>
      </c>
      <c r="H157" s="261">
        <v>-2.5</v>
      </c>
      <c r="I157" s="261">
        <v>-2.5</v>
      </c>
      <c r="J157" s="261">
        <v>-1.5</v>
      </c>
      <c r="K157" s="261">
        <v>-1.5</v>
      </c>
      <c r="L157" s="261">
        <v>-1.5</v>
      </c>
      <c r="M157" s="262">
        <v>-0.5</v>
      </c>
      <c r="AO157" s="244"/>
      <c r="AP157" s="279"/>
      <c r="AQ157" s="280" t="s">
        <v>204</v>
      </c>
      <c r="AR157" s="261">
        <v>-2.5</v>
      </c>
      <c r="AS157" s="261">
        <v>-2.5</v>
      </c>
      <c r="AT157" s="261">
        <v>-1.5</v>
      </c>
      <c r="AU157" s="261">
        <v>-2.5</v>
      </c>
      <c r="AV157" s="261">
        <v>-2.5</v>
      </c>
      <c r="AW157" s="261">
        <v>-1.5</v>
      </c>
      <c r="AX157" s="261">
        <v>-1.5</v>
      </c>
      <c r="AY157" s="261">
        <v>-1.5</v>
      </c>
      <c r="AZ157" s="262">
        <v>-0.5</v>
      </c>
    </row>
    <row r="158" spans="1:52" x14ac:dyDescent="0.25">
      <c r="A158" t="s">
        <v>1274</v>
      </c>
      <c r="B158" s="244"/>
      <c r="C158" s="279"/>
      <c r="D158" s="280" t="s">
        <v>219</v>
      </c>
      <c r="E158" s="261">
        <v>-1.5</v>
      </c>
      <c r="F158" s="261">
        <v>-1.5</v>
      </c>
      <c r="G158" s="261">
        <v>-0.5</v>
      </c>
      <c r="H158" s="261">
        <v>-1.5</v>
      </c>
      <c r="I158" s="261">
        <v>-1.5</v>
      </c>
      <c r="J158" s="261">
        <v>-0.5</v>
      </c>
      <c r="K158" s="261">
        <v>-0.5</v>
      </c>
      <c r="L158" s="261">
        <v>-0.5</v>
      </c>
      <c r="M158" s="262">
        <v>-0.5</v>
      </c>
      <c r="AO158" s="244"/>
      <c r="AP158" s="279"/>
      <c r="AQ158" s="280" t="s">
        <v>219</v>
      </c>
      <c r="AR158" s="261">
        <v>-1.5</v>
      </c>
      <c r="AS158" s="261">
        <v>-1.5</v>
      </c>
      <c r="AT158" s="261">
        <v>-0.5</v>
      </c>
      <c r="AU158" s="261">
        <v>-1.5</v>
      </c>
      <c r="AV158" s="261">
        <v>-1.5</v>
      </c>
      <c r="AW158" s="261">
        <v>-0.5</v>
      </c>
      <c r="AX158" s="261">
        <v>-0.5</v>
      </c>
      <c r="AY158" s="261">
        <v>-0.5</v>
      </c>
      <c r="AZ158" s="262">
        <v>-0.5</v>
      </c>
    </row>
    <row r="159" spans="1:52" x14ac:dyDescent="0.25">
      <c r="B159" s="244"/>
      <c r="C159" s="278" t="s">
        <v>224</v>
      </c>
      <c r="D159" s="280"/>
      <c r="E159" s="261"/>
      <c r="F159" s="261"/>
      <c r="G159" s="261"/>
      <c r="H159" s="261"/>
      <c r="I159" s="261"/>
      <c r="J159" s="261"/>
      <c r="K159" s="261"/>
      <c r="L159" s="261"/>
      <c r="M159" s="262"/>
      <c r="AO159" s="244"/>
      <c r="AP159" s="278" t="s">
        <v>224</v>
      </c>
      <c r="AQ159" s="280"/>
      <c r="AR159" s="261"/>
      <c r="AS159" s="261"/>
      <c r="AT159" s="261"/>
      <c r="AU159" s="261"/>
      <c r="AV159" s="261"/>
      <c r="AW159" s="261"/>
      <c r="AX159" s="261"/>
      <c r="AY159" s="261"/>
      <c r="AZ159" s="262"/>
    </row>
    <row r="160" spans="1:52" x14ac:dyDescent="0.25">
      <c r="A160" t="s">
        <v>1268</v>
      </c>
      <c r="B160" s="244"/>
      <c r="C160" s="279"/>
      <c r="D160" s="280" t="s">
        <v>185</v>
      </c>
      <c r="E160" s="261">
        <v>-1</v>
      </c>
      <c r="F160" s="261">
        <v>-1</v>
      </c>
      <c r="G160" s="261">
        <v>-1</v>
      </c>
      <c r="H160" s="261">
        <v>-1</v>
      </c>
      <c r="I160" s="261">
        <v>-1</v>
      </c>
      <c r="J160" s="261">
        <v>0</v>
      </c>
      <c r="K160" s="261">
        <v>-1</v>
      </c>
      <c r="L160" s="261">
        <v>-1</v>
      </c>
      <c r="M160" s="262">
        <v>0</v>
      </c>
      <c r="AO160" s="244"/>
      <c r="AP160" s="279"/>
      <c r="AQ160" s="280" t="s">
        <v>185</v>
      </c>
      <c r="AR160" s="261">
        <v>-2</v>
      </c>
      <c r="AS160" s="261">
        <v>-2</v>
      </c>
      <c r="AT160" s="261">
        <v>-2</v>
      </c>
      <c r="AU160" s="261">
        <v>-2</v>
      </c>
      <c r="AV160" s="261">
        <v>-2</v>
      </c>
      <c r="AW160" s="261">
        <v>0</v>
      </c>
      <c r="AX160" s="261">
        <v>-1</v>
      </c>
      <c r="AY160" s="261">
        <v>-1</v>
      </c>
      <c r="AZ160" s="262">
        <v>0</v>
      </c>
    </row>
    <row r="161" spans="1:52" x14ac:dyDescent="0.25">
      <c r="A161" t="s">
        <v>1269</v>
      </c>
      <c r="B161" s="674"/>
      <c r="C161" s="279"/>
      <c r="D161" s="280" t="s">
        <v>199</v>
      </c>
      <c r="E161" s="261">
        <v>-0.5</v>
      </c>
      <c r="F161" s="261">
        <v>-0.5</v>
      </c>
      <c r="G161" s="261">
        <v>0</v>
      </c>
      <c r="H161" s="261">
        <v>-0.5</v>
      </c>
      <c r="I161" s="261">
        <v>-0.5</v>
      </c>
      <c r="J161" s="261">
        <v>0</v>
      </c>
      <c r="K161" s="261">
        <v>-1</v>
      </c>
      <c r="L161" s="261">
        <v>-1</v>
      </c>
      <c r="M161" s="262">
        <v>0</v>
      </c>
      <c r="AO161" s="674"/>
      <c r="AP161" s="279"/>
      <c r="AQ161" s="280" t="s">
        <v>199</v>
      </c>
      <c r="AR161" s="261">
        <v>-1.5</v>
      </c>
      <c r="AS161" s="261">
        <v>-1.5</v>
      </c>
      <c r="AT161" s="261">
        <v>-1</v>
      </c>
      <c r="AU161" s="261">
        <v>-1.5</v>
      </c>
      <c r="AV161" s="261">
        <v>-1.5</v>
      </c>
      <c r="AW161" s="261">
        <v>0</v>
      </c>
      <c r="AX161" s="261">
        <v>-1</v>
      </c>
      <c r="AY161" s="261">
        <v>-1</v>
      </c>
      <c r="AZ161" s="262">
        <v>0</v>
      </c>
    </row>
    <row r="162" spans="1:52" x14ac:dyDescent="0.25">
      <c r="A162" t="s">
        <v>1270</v>
      </c>
      <c r="B162" s="244"/>
      <c r="C162" s="279"/>
      <c r="D162" s="280" t="s">
        <v>204</v>
      </c>
      <c r="E162" s="261">
        <v>-0.5</v>
      </c>
      <c r="F162" s="261">
        <v>-0.5</v>
      </c>
      <c r="G162" s="261">
        <v>0</v>
      </c>
      <c r="H162" s="261">
        <v>-0.5</v>
      </c>
      <c r="I162" s="261">
        <v>-0.5</v>
      </c>
      <c r="J162" s="261">
        <v>0</v>
      </c>
      <c r="K162" s="261">
        <v>-0.5</v>
      </c>
      <c r="L162" s="261">
        <v>-0.5</v>
      </c>
      <c r="M162" s="262">
        <v>0</v>
      </c>
      <c r="AO162" s="244"/>
      <c r="AP162" s="279"/>
      <c r="AQ162" s="280" t="s">
        <v>204</v>
      </c>
      <c r="AR162" s="261">
        <v>-1.5</v>
      </c>
      <c r="AS162" s="261">
        <v>-1.5</v>
      </c>
      <c r="AT162" s="261">
        <v>-1</v>
      </c>
      <c r="AU162" s="261">
        <v>-1.5</v>
      </c>
      <c r="AV162" s="261">
        <v>-1.5</v>
      </c>
      <c r="AW162" s="261">
        <v>0</v>
      </c>
      <c r="AX162" s="261">
        <v>-0.5</v>
      </c>
      <c r="AY162" s="261">
        <v>-0.5</v>
      </c>
      <c r="AZ162" s="262">
        <v>0</v>
      </c>
    </row>
    <row r="163" spans="1:52" x14ac:dyDescent="0.25">
      <c r="A163" t="s">
        <v>1271</v>
      </c>
      <c r="B163" s="244"/>
      <c r="C163" s="279"/>
      <c r="D163" s="280" t="s">
        <v>219</v>
      </c>
      <c r="E163" s="261">
        <v>-0.5</v>
      </c>
      <c r="F163" s="261">
        <v>-0.5</v>
      </c>
      <c r="G163" s="261">
        <v>0</v>
      </c>
      <c r="H163" s="261">
        <v>-0.5</v>
      </c>
      <c r="I163" s="261">
        <v>-0.5</v>
      </c>
      <c r="J163" s="261">
        <v>0</v>
      </c>
      <c r="K163" s="261">
        <v>-0.5</v>
      </c>
      <c r="L163" s="261">
        <v>-0.5</v>
      </c>
      <c r="M163" s="262">
        <v>0</v>
      </c>
      <c r="AO163" s="244"/>
      <c r="AP163" s="279"/>
      <c r="AQ163" s="280" t="s">
        <v>219</v>
      </c>
      <c r="AR163" s="261">
        <v>-1.5</v>
      </c>
      <c r="AS163" s="261">
        <v>-1.5</v>
      </c>
      <c r="AT163" s="261">
        <v>-1</v>
      </c>
      <c r="AU163" s="261">
        <v>-1.5</v>
      </c>
      <c r="AV163" s="261">
        <v>-1.5</v>
      </c>
      <c r="AW163" s="261">
        <v>0</v>
      </c>
      <c r="AX163" s="261">
        <v>-0.5</v>
      </c>
      <c r="AY163" s="261">
        <v>-0.5</v>
      </c>
      <c r="AZ163" s="262">
        <v>0</v>
      </c>
    </row>
    <row r="164" spans="1:52" x14ac:dyDescent="0.25">
      <c r="B164" s="271" t="s">
        <v>222</v>
      </c>
      <c r="C164" s="464"/>
      <c r="D164" s="465"/>
      <c r="E164" s="465"/>
      <c r="F164" s="465"/>
      <c r="G164" s="465"/>
      <c r="H164" s="465"/>
      <c r="I164" s="465"/>
      <c r="J164" s="465"/>
      <c r="K164" s="465"/>
      <c r="L164" s="465"/>
      <c r="M164" s="466"/>
      <c r="AO164" s="271" t="s">
        <v>222</v>
      </c>
      <c r="AP164" s="464"/>
      <c r="AQ164" s="465"/>
      <c r="AR164" s="465"/>
      <c r="AS164" s="465"/>
      <c r="AT164" s="465"/>
      <c r="AU164" s="465"/>
      <c r="AV164" s="465"/>
      <c r="AW164" s="465"/>
      <c r="AX164" s="465"/>
      <c r="AY164" s="465"/>
      <c r="AZ164" s="466"/>
    </row>
  </sheetData>
  <sheetProtection algorithmName="SHA-512" hashValue="V/R/FeHUjM0aznrPI8F2O2+U4qI17Z9FW3FYZD5CJ+38kOYQqfDxCa58PDxmqdgkKCXLTQccl+kwfN2+jWkOAw==" saltValue="dLB+lMY9Gxsh+en19g+NFw==" spinCount="100000" sheet="1" objects="1" scenarios="1" autoFilter="0"/>
  <mergeCells count="9">
    <mergeCell ref="AR2:AY2"/>
    <mergeCell ref="AR57:AY57"/>
    <mergeCell ref="AR112:AY112"/>
    <mergeCell ref="AE2:AL2"/>
    <mergeCell ref="E2:L2"/>
    <mergeCell ref="E57:L57"/>
    <mergeCell ref="E112:L112"/>
    <mergeCell ref="R2:Y2"/>
    <mergeCell ref="R57:Y57"/>
  </mergeCells>
  <phoneticPr fontId="48" type="noConversion"/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:AJ31"/>
  <sheetViews>
    <sheetView topLeftCell="B2" workbookViewId="0">
      <selection activeCell="E27" sqref="E27"/>
    </sheetView>
  </sheetViews>
  <sheetFormatPr defaultRowHeight="15" x14ac:dyDescent="0.25"/>
  <cols>
    <col min="1" max="1" width="21.28515625" hidden="1" customWidth="1"/>
    <col min="2" max="2" width="15" customWidth="1"/>
    <col min="3" max="3" width="10.42578125" customWidth="1"/>
    <col min="14" max="14" width="14.28515625" customWidth="1"/>
    <col min="26" max="26" width="11.5703125" bestFit="1" customWidth="1"/>
  </cols>
  <sheetData>
    <row r="1" spans="1:36" ht="14.45" hidden="1" x14ac:dyDescent="0.3"/>
    <row r="2" spans="1:36" ht="14.45" x14ac:dyDescent="0.3">
      <c r="B2" s="1" t="s">
        <v>1469</v>
      </c>
      <c r="D2" s="854" t="s">
        <v>315</v>
      </c>
      <c r="E2" s="854"/>
      <c r="F2" s="854"/>
      <c r="G2" s="854"/>
      <c r="H2" s="854"/>
      <c r="I2" s="854"/>
      <c r="J2" s="854"/>
      <c r="K2" s="854"/>
      <c r="L2" s="435"/>
      <c r="N2" s="1" t="s">
        <v>71</v>
      </c>
      <c r="P2" s="854" t="s">
        <v>315</v>
      </c>
      <c r="Q2" s="854"/>
      <c r="R2" s="854"/>
      <c r="S2" s="854"/>
      <c r="T2" s="854"/>
      <c r="U2" s="854"/>
      <c r="V2" s="854"/>
      <c r="W2" s="854"/>
      <c r="Z2" s="1" t="s">
        <v>1462</v>
      </c>
      <c r="AB2" s="854" t="s">
        <v>315</v>
      </c>
      <c r="AC2" s="854"/>
      <c r="AD2" s="854"/>
      <c r="AE2" s="854"/>
      <c r="AF2" s="854"/>
      <c r="AG2" s="854"/>
      <c r="AH2" s="854"/>
      <c r="AI2" s="854"/>
      <c r="AJ2" s="435"/>
    </row>
    <row r="3" spans="1:36" ht="14.45" x14ac:dyDescent="0.3"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  <c r="AB3" s="238">
        <v>1</v>
      </c>
      <c r="AC3" s="238">
        <v>2</v>
      </c>
      <c r="AD3" s="238">
        <v>3</v>
      </c>
      <c r="AE3" s="238">
        <v>4</v>
      </c>
      <c r="AF3" s="238">
        <v>5</v>
      </c>
      <c r="AG3" s="238">
        <v>6</v>
      </c>
      <c r="AH3" s="238">
        <v>7</v>
      </c>
      <c r="AI3" s="238">
        <v>8</v>
      </c>
      <c r="AJ3" s="238">
        <v>9</v>
      </c>
    </row>
    <row r="4" spans="1:36" ht="14.45" x14ac:dyDescent="0.3">
      <c r="A4" t="str">
        <f>C4&amp;" "&amp;B4</f>
        <v>0.5 Color Upgrade</v>
      </c>
      <c r="B4" s="239" t="s">
        <v>809</v>
      </c>
      <c r="C4" s="285" t="s">
        <v>810</v>
      </c>
      <c r="D4" s="286">
        <v>0</v>
      </c>
      <c r="E4" s="286">
        <v>0</v>
      </c>
      <c r="F4" s="286">
        <v>0.01</v>
      </c>
      <c r="G4" s="286">
        <v>0</v>
      </c>
      <c r="H4" s="286">
        <v>0</v>
      </c>
      <c r="I4" s="286">
        <v>5.0000000000000001E-3</v>
      </c>
      <c r="J4" s="286">
        <v>0</v>
      </c>
      <c r="K4" s="286">
        <v>0</v>
      </c>
      <c r="L4" s="287">
        <v>0</v>
      </c>
      <c r="M4" s="354"/>
      <c r="N4" s="239" t="s">
        <v>809</v>
      </c>
      <c r="O4" s="285" t="s">
        <v>810</v>
      </c>
      <c r="P4" s="286">
        <v>0</v>
      </c>
      <c r="Q4" s="286">
        <v>0</v>
      </c>
      <c r="R4" s="286">
        <v>0.01</v>
      </c>
      <c r="S4" s="286">
        <v>0</v>
      </c>
      <c r="T4" s="286">
        <v>0</v>
      </c>
      <c r="U4" s="286">
        <v>5.0000000000000001E-3</v>
      </c>
      <c r="V4" s="286">
        <v>0</v>
      </c>
      <c r="W4" s="286">
        <v>0</v>
      </c>
      <c r="X4" s="287">
        <v>0</v>
      </c>
      <c r="Y4" s="354"/>
      <c r="Z4" s="239" t="s">
        <v>809</v>
      </c>
      <c r="AA4" s="285" t="s">
        <v>810</v>
      </c>
      <c r="AB4" s="286">
        <f>D4+0.01</f>
        <v>0.01</v>
      </c>
      <c r="AC4" s="286">
        <f t="shared" ref="AC4:AJ4" si="0">E4+0.01</f>
        <v>0.01</v>
      </c>
      <c r="AD4" s="286">
        <f t="shared" si="0"/>
        <v>0.02</v>
      </c>
      <c r="AE4" s="286">
        <f t="shared" si="0"/>
        <v>0.01</v>
      </c>
      <c r="AF4" s="286">
        <f t="shared" si="0"/>
        <v>0.01</v>
      </c>
      <c r="AG4" s="286">
        <f t="shared" si="0"/>
        <v>1.4999999999999999E-2</v>
      </c>
      <c r="AH4" s="286">
        <f t="shared" si="0"/>
        <v>0.01</v>
      </c>
      <c r="AI4" s="286">
        <f t="shared" si="0"/>
        <v>0.01</v>
      </c>
      <c r="AJ4" s="287">
        <f t="shared" si="0"/>
        <v>0.01</v>
      </c>
    </row>
    <row r="5" spans="1:36" ht="14.45" x14ac:dyDescent="0.3">
      <c r="A5" t="str">
        <f>C5&amp;" "&amp;B4</f>
        <v>1 Color Upgrade</v>
      </c>
      <c r="B5" s="244"/>
      <c r="C5" s="288" t="s">
        <v>811</v>
      </c>
      <c r="D5" s="289">
        <v>5.0000000000000001E-3</v>
      </c>
      <c r="E5" s="290">
        <v>5.0000000000000001E-3</v>
      </c>
      <c r="F5" s="290">
        <v>1.4999999999999999E-2</v>
      </c>
      <c r="G5" s="290">
        <v>5.0000000000000001E-3</v>
      </c>
      <c r="H5" s="290">
        <v>5.0000000000000001E-3</v>
      </c>
      <c r="I5" s="290">
        <v>0.01</v>
      </c>
      <c r="J5" s="290">
        <v>0</v>
      </c>
      <c r="K5" s="290">
        <v>0</v>
      </c>
      <c r="L5" s="453">
        <v>5.0000000000000001E-3</v>
      </c>
      <c r="N5" s="244"/>
      <c r="O5" s="288" t="s">
        <v>811</v>
      </c>
      <c r="P5" s="289">
        <v>5.0000000000000001E-3</v>
      </c>
      <c r="Q5" s="290">
        <v>0.01</v>
      </c>
      <c r="R5" s="290">
        <v>1.4999999999999999E-2</v>
      </c>
      <c r="S5" s="290">
        <v>5.0000000000000001E-3</v>
      </c>
      <c r="T5" s="290">
        <v>5.0000000000000001E-3</v>
      </c>
      <c r="U5" s="290">
        <v>0.01</v>
      </c>
      <c r="V5" s="290">
        <v>0</v>
      </c>
      <c r="W5" s="290">
        <v>0</v>
      </c>
      <c r="X5" s="453">
        <v>5.0000000000000001E-3</v>
      </c>
      <c r="Z5" s="244"/>
      <c r="AA5" s="288" t="s">
        <v>811</v>
      </c>
      <c r="AB5" s="289">
        <f t="shared" ref="AB5:AB13" si="1">D5+0.01</f>
        <v>1.4999999999999999E-2</v>
      </c>
      <c r="AC5" s="290">
        <f t="shared" ref="AC5:AC13" si="2">E5+0.01</f>
        <v>1.4999999999999999E-2</v>
      </c>
      <c r="AD5" s="290">
        <f t="shared" ref="AD5:AD13" si="3">F5+0.01</f>
        <v>2.5000000000000001E-2</v>
      </c>
      <c r="AE5" s="290">
        <f t="shared" ref="AE5:AE13" si="4">G5+0.01</f>
        <v>1.4999999999999999E-2</v>
      </c>
      <c r="AF5" s="290">
        <f t="shared" ref="AF5:AF13" si="5">H5+0.01</f>
        <v>1.4999999999999999E-2</v>
      </c>
      <c r="AG5" s="290">
        <f t="shared" ref="AG5:AG13" si="6">I5+0.01</f>
        <v>0.02</v>
      </c>
      <c r="AH5" s="290">
        <f t="shared" ref="AH5:AH13" si="7">J5+0.01</f>
        <v>0.01</v>
      </c>
      <c r="AI5" s="290">
        <f t="shared" ref="AI5:AI13" si="8">K5+0.01</f>
        <v>0.01</v>
      </c>
      <c r="AJ5" s="453">
        <f t="shared" ref="AJ5:AJ13" si="9">L5+0.01</f>
        <v>1.4999999999999999E-2</v>
      </c>
    </row>
    <row r="6" spans="1:36" ht="14.45" x14ac:dyDescent="0.3">
      <c r="A6" t="str">
        <f>C6&amp;" "&amp;B4</f>
        <v>1.5 Color Upgrade</v>
      </c>
      <c r="B6" s="244"/>
      <c r="C6" s="288" t="s">
        <v>812</v>
      </c>
      <c r="D6" s="289">
        <v>0.01</v>
      </c>
      <c r="E6" s="290">
        <v>0.01</v>
      </c>
      <c r="F6" s="290">
        <v>2.5000000000000001E-2</v>
      </c>
      <c r="G6" s="290">
        <v>0.01</v>
      </c>
      <c r="H6" s="290">
        <v>0.01</v>
      </c>
      <c r="I6" s="290">
        <v>1.4999999999999999E-2</v>
      </c>
      <c r="J6" s="290">
        <v>5.0000000000000001E-3</v>
      </c>
      <c r="K6" s="290">
        <v>5.0000000000000001E-3</v>
      </c>
      <c r="L6" s="453">
        <v>0.01</v>
      </c>
      <c r="N6" s="244"/>
      <c r="O6" s="288" t="s">
        <v>812</v>
      </c>
      <c r="P6" s="289">
        <v>0.01</v>
      </c>
      <c r="Q6" s="290">
        <v>1.4999999999999999E-2</v>
      </c>
      <c r="R6" s="290">
        <v>0.02</v>
      </c>
      <c r="S6" s="290">
        <v>0.01</v>
      </c>
      <c r="T6" s="290">
        <v>0.01</v>
      </c>
      <c r="U6" s="290">
        <v>1.4999999999999999E-2</v>
      </c>
      <c r="V6" s="290">
        <v>5.0000000000000001E-3</v>
      </c>
      <c r="W6" s="290">
        <v>5.0000000000000001E-3</v>
      </c>
      <c r="X6" s="453">
        <v>0.01</v>
      </c>
      <c r="Z6" s="244"/>
      <c r="AA6" s="288" t="s">
        <v>812</v>
      </c>
      <c r="AB6" s="289">
        <f t="shared" si="1"/>
        <v>0.02</v>
      </c>
      <c r="AC6" s="290">
        <f t="shared" si="2"/>
        <v>0.02</v>
      </c>
      <c r="AD6" s="290">
        <f t="shared" si="3"/>
        <v>3.5000000000000003E-2</v>
      </c>
      <c r="AE6" s="290">
        <f t="shared" si="4"/>
        <v>0.02</v>
      </c>
      <c r="AF6" s="290">
        <f t="shared" si="5"/>
        <v>0.02</v>
      </c>
      <c r="AG6" s="290">
        <f t="shared" si="6"/>
        <v>2.5000000000000001E-2</v>
      </c>
      <c r="AH6" s="290">
        <f t="shared" si="7"/>
        <v>1.4999999999999999E-2</v>
      </c>
      <c r="AI6" s="290">
        <f t="shared" si="8"/>
        <v>1.4999999999999999E-2</v>
      </c>
      <c r="AJ6" s="453">
        <f t="shared" si="9"/>
        <v>0.02</v>
      </c>
    </row>
    <row r="7" spans="1:36" ht="14.45" x14ac:dyDescent="0.3">
      <c r="A7" t="str">
        <f>C7&amp;" "&amp;B4</f>
        <v>2 Color Upgrade</v>
      </c>
      <c r="B7" s="244"/>
      <c r="C7" s="288" t="s">
        <v>813</v>
      </c>
      <c r="D7" s="289">
        <v>1.4999999999999999E-2</v>
      </c>
      <c r="E7" s="290">
        <v>1.4999999999999999E-2</v>
      </c>
      <c r="F7" s="290">
        <v>0.03</v>
      </c>
      <c r="G7" s="290">
        <v>1.4999999999999999E-2</v>
      </c>
      <c r="H7" s="290">
        <v>1.4999999999999999E-2</v>
      </c>
      <c r="I7" s="290">
        <v>0.02</v>
      </c>
      <c r="J7" s="290">
        <v>0.01</v>
      </c>
      <c r="K7" s="290">
        <v>0.01</v>
      </c>
      <c r="L7" s="453">
        <v>1.4999999999999999E-2</v>
      </c>
      <c r="N7" s="244"/>
      <c r="O7" s="288" t="s">
        <v>813</v>
      </c>
      <c r="P7" s="289">
        <v>1.4999999999999999E-2</v>
      </c>
      <c r="Q7" s="290">
        <v>0.02</v>
      </c>
      <c r="R7" s="290">
        <v>2.5000000000000001E-2</v>
      </c>
      <c r="S7" s="290">
        <v>1.4999999999999999E-2</v>
      </c>
      <c r="T7" s="290">
        <v>1.4999999999999999E-2</v>
      </c>
      <c r="U7" s="290">
        <v>0.02</v>
      </c>
      <c r="V7" s="290">
        <v>0.01</v>
      </c>
      <c r="W7" s="290">
        <v>0.01</v>
      </c>
      <c r="X7" s="453">
        <v>1.4999999999999999E-2</v>
      </c>
      <c r="Z7" s="244"/>
      <c r="AA7" s="288" t="s">
        <v>813</v>
      </c>
      <c r="AB7" s="289">
        <f t="shared" si="1"/>
        <v>2.5000000000000001E-2</v>
      </c>
      <c r="AC7" s="290">
        <f t="shared" si="2"/>
        <v>2.5000000000000001E-2</v>
      </c>
      <c r="AD7" s="290">
        <f t="shared" si="3"/>
        <v>0.04</v>
      </c>
      <c r="AE7" s="290">
        <f t="shared" si="4"/>
        <v>2.5000000000000001E-2</v>
      </c>
      <c r="AF7" s="290">
        <f t="shared" si="5"/>
        <v>2.5000000000000001E-2</v>
      </c>
      <c r="AG7" s="290">
        <f t="shared" si="6"/>
        <v>0.03</v>
      </c>
      <c r="AH7" s="290">
        <f t="shared" si="7"/>
        <v>0.02</v>
      </c>
      <c r="AI7" s="290">
        <f t="shared" si="8"/>
        <v>0.02</v>
      </c>
      <c r="AJ7" s="453">
        <f t="shared" si="9"/>
        <v>2.5000000000000001E-2</v>
      </c>
    </row>
    <row r="8" spans="1:36" ht="14.45" x14ac:dyDescent="0.3">
      <c r="A8" t="str">
        <f>C8&amp;" "&amp;B4</f>
        <v>2.5 Color Upgrade</v>
      </c>
      <c r="B8" s="244"/>
      <c r="C8" s="288" t="s">
        <v>814</v>
      </c>
      <c r="D8" s="289">
        <v>0.02</v>
      </c>
      <c r="E8" s="290">
        <v>0.02</v>
      </c>
      <c r="F8" s="290">
        <v>3.5000000000000003E-2</v>
      </c>
      <c r="G8" s="290">
        <v>0.02</v>
      </c>
      <c r="H8" s="290">
        <v>0.02</v>
      </c>
      <c r="I8" s="290">
        <v>0.03</v>
      </c>
      <c r="J8" s="290">
        <v>1.4999999999999999E-2</v>
      </c>
      <c r="K8" s="290">
        <v>1.4999999999999999E-2</v>
      </c>
      <c r="L8" s="453">
        <v>2.5000000000000001E-2</v>
      </c>
      <c r="N8" s="244"/>
      <c r="O8" s="288" t="s">
        <v>814</v>
      </c>
      <c r="P8" s="289">
        <v>2.5000000000000001E-2</v>
      </c>
      <c r="Q8" s="290">
        <v>0.03</v>
      </c>
      <c r="R8" s="290">
        <v>3.5000000000000003E-2</v>
      </c>
      <c r="S8" s="290">
        <v>2.5000000000000001E-2</v>
      </c>
      <c r="T8" s="290">
        <v>2.5000000000000001E-2</v>
      </c>
      <c r="U8" s="290">
        <v>0.03</v>
      </c>
      <c r="V8" s="290">
        <v>0.02</v>
      </c>
      <c r="W8" s="290">
        <v>0.02</v>
      </c>
      <c r="X8" s="453">
        <v>2.5000000000000001E-2</v>
      </c>
      <c r="Z8" s="244"/>
      <c r="AA8" s="288" t="s">
        <v>814</v>
      </c>
      <c r="AB8" s="289">
        <f t="shared" si="1"/>
        <v>0.03</v>
      </c>
      <c r="AC8" s="290">
        <f t="shared" si="2"/>
        <v>0.03</v>
      </c>
      <c r="AD8" s="290">
        <f t="shared" si="3"/>
        <v>4.5000000000000005E-2</v>
      </c>
      <c r="AE8" s="290">
        <f t="shared" si="4"/>
        <v>0.03</v>
      </c>
      <c r="AF8" s="290">
        <f t="shared" si="5"/>
        <v>0.03</v>
      </c>
      <c r="AG8" s="290">
        <f t="shared" si="6"/>
        <v>0.04</v>
      </c>
      <c r="AH8" s="290">
        <f t="shared" si="7"/>
        <v>2.5000000000000001E-2</v>
      </c>
      <c r="AI8" s="290">
        <f t="shared" si="8"/>
        <v>2.5000000000000001E-2</v>
      </c>
      <c r="AJ8" s="453">
        <f t="shared" si="9"/>
        <v>3.5000000000000003E-2</v>
      </c>
    </row>
    <row r="9" spans="1:36" ht="14.45" x14ac:dyDescent="0.3">
      <c r="A9" t="str">
        <f>C9&amp;" "&amp;B4</f>
        <v>0.5 Clarity Upgrade</v>
      </c>
      <c r="B9" s="244"/>
      <c r="C9" s="288" t="s">
        <v>815</v>
      </c>
      <c r="D9" s="289">
        <v>0</v>
      </c>
      <c r="E9" s="290">
        <v>0</v>
      </c>
      <c r="F9" s="290">
        <v>0</v>
      </c>
      <c r="G9" s="290">
        <v>5.0000000000000001E-3</v>
      </c>
      <c r="H9" s="290">
        <v>5.0000000000000001E-3</v>
      </c>
      <c r="I9" s="290">
        <v>5.0000000000000001E-3</v>
      </c>
      <c r="J9" s="290">
        <v>0.01</v>
      </c>
      <c r="K9" s="290">
        <v>0.01</v>
      </c>
      <c r="L9" s="453">
        <v>0.01</v>
      </c>
      <c r="N9" s="244"/>
      <c r="O9" s="288" t="s">
        <v>815</v>
      </c>
      <c r="P9" s="289">
        <v>0</v>
      </c>
      <c r="Q9" s="290">
        <v>0</v>
      </c>
      <c r="R9" s="290">
        <v>0</v>
      </c>
      <c r="S9" s="290">
        <v>5.0000000000000001E-3</v>
      </c>
      <c r="T9" s="290">
        <v>5.0000000000000001E-3</v>
      </c>
      <c r="U9" s="290">
        <v>0</v>
      </c>
      <c r="V9" s="290">
        <v>0.01</v>
      </c>
      <c r="W9" s="290">
        <v>0.01</v>
      </c>
      <c r="X9" s="453">
        <v>5.0000000000000001E-3</v>
      </c>
      <c r="Z9" s="244"/>
      <c r="AA9" s="288" t="s">
        <v>815</v>
      </c>
      <c r="AB9" s="289">
        <f t="shared" si="1"/>
        <v>0.01</v>
      </c>
      <c r="AC9" s="290">
        <f t="shared" si="2"/>
        <v>0.01</v>
      </c>
      <c r="AD9" s="290">
        <f t="shared" si="3"/>
        <v>0.01</v>
      </c>
      <c r="AE9" s="290">
        <f t="shared" si="4"/>
        <v>1.4999999999999999E-2</v>
      </c>
      <c r="AF9" s="290">
        <f t="shared" si="5"/>
        <v>1.4999999999999999E-2</v>
      </c>
      <c r="AG9" s="290">
        <f t="shared" si="6"/>
        <v>1.4999999999999999E-2</v>
      </c>
      <c r="AH9" s="290">
        <f t="shared" si="7"/>
        <v>0.02</v>
      </c>
      <c r="AI9" s="290">
        <f t="shared" si="8"/>
        <v>0.02</v>
      </c>
      <c r="AJ9" s="453">
        <f t="shared" si="9"/>
        <v>0.02</v>
      </c>
    </row>
    <row r="10" spans="1:36" ht="14.45" x14ac:dyDescent="0.3">
      <c r="A10" t="str">
        <f>C10&amp;" "&amp;B4</f>
        <v>1 Clarity Upgrade</v>
      </c>
      <c r="B10" s="244"/>
      <c r="C10" s="288" t="s">
        <v>816</v>
      </c>
      <c r="D10" s="289">
        <v>5.0000000000000001E-3</v>
      </c>
      <c r="E10" s="290">
        <v>5.0000000000000001E-3</v>
      </c>
      <c r="F10" s="290">
        <v>5.0000000000000001E-3</v>
      </c>
      <c r="G10" s="290">
        <v>0.01</v>
      </c>
      <c r="H10" s="290">
        <v>0.01</v>
      </c>
      <c r="I10" s="290">
        <v>0.01</v>
      </c>
      <c r="J10" s="290">
        <v>1.4999999999999999E-2</v>
      </c>
      <c r="K10" s="290">
        <v>1.4999999999999999E-2</v>
      </c>
      <c r="L10" s="453">
        <v>1.4999999999999999E-2</v>
      </c>
      <c r="N10" s="244"/>
      <c r="O10" s="288" t="s">
        <v>816</v>
      </c>
      <c r="P10" s="289">
        <v>5.0000000000000001E-3</v>
      </c>
      <c r="Q10" s="290">
        <v>5.0000000000000001E-3</v>
      </c>
      <c r="R10" s="290">
        <v>5.0000000000000001E-3</v>
      </c>
      <c r="S10" s="290">
        <v>0.01</v>
      </c>
      <c r="T10" s="290">
        <v>0.01</v>
      </c>
      <c r="U10" s="290">
        <v>5.0000000000000001E-3</v>
      </c>
      <c r="V10" s="290">
        <v>1.4999999999999999E-2</v>
      </c>
      <c r="W10" s="290">
        <v>1.4999999999999999E-2</v>
      </c>
      <c r="X10" s="453">
        <v>0.01</v>
      </c>
      <c r="Z10" s="244"/>
      <c r="AA10" s="288" t="s">
        <v>816</v>
      </c>
      <c r="AB10" s="289">
        <f t="shared" si="1"/>
        <v>1.4999999999999999E-2</v>
      </c>
      <c r="AC10" s="290">
        <f t="shared" si="2"/>
        <v>1.4999999999999999E-2</v>
      </c>
      <c r="AD10" s="290">
        <f t="shared" si="3"/>
        <v>1.4999999999999999E-2</v>
      </c>
      <c r="AE10" s="290">
        <f t="shared" si="4"/>
        <v>0.02</v>
      </c>
      <c r="AF10" s="290">
        <f t="shared" si="5"/>
        <v>0.02</v>
      </c>
      <c r="AG10" s="290">
        <f t="shared" si="6"/>
        <v>0.02</v>
      </c>
      <c r="AH10" s="290">
        <f t="shared" si="7"/>
        <v>2.5000000000000001E-2</v>
      </c>
      <c r="AI10" s="290">
        <f t="shared" si="8"/>
        <v>2.5000000000000001E-2</v>
      </c>
      <c r="AJ10" s="453">
        <f t="shared" si="9"/>
        <v>2.5000000000000001E-2</v>
      </c>
    </row>
    <row r="11" spans="1:36" ht="14.45" x14ac:dyDescent="0.3">
      <c r="A11" t="str">
        <f>C11&amp;" "&amp;B4</f>
        <v>1.5 Clarity Upgrade</v>
      </c>
      <c r="B11" s="244"/>
      <c r="C11" s="288" t="s">
        <v>817</v>
      </c>
      <c r="D11" s="289">
        <v>0.01</v>
      </c>
      <c r="E11" s="290">
        <v>0.01</v>
      </c>
      <c r="F11" s="290">
        <v>0.01</v>
      </c>
      <c r="G11" s="290">
        <v>1.4999999999999999E-2</v>
      </c>
      <c r="H11" s="290">
        <v>1.4999999999999999E-2</v>
      </c>
      <c r="I11" s="290">
        <v>1.4999999999999999E-2</v>
      </c>
      <c r="J11" s="290">
        <v>0.02</v>
      </c>
      <c r="K11" s="290">
        <v>0.02</v>
      </c>
      <c r="L11" s="453">
        <v>0.02</v>
      </c>
      <c r="N11" s="244"/>
      <c r="O11" s="288" t="s">
        <v>817</v>
      </c>
      <c r="P11" s="289">
        <v>0.01</v>
      </c>
      <c r="Q11" s="290">
        <v>0.01</v>
      </c>
      <c r="R11" s="290">
        <v>0.01</v>
      </c>
      <c r="S11" s="290">
        <v>1.4999999999999999E-2</v>
      </c>
      <c r="T11" s="290">
        <v>1.4999999999999999E-2</v>
      </c>
      <c r="U11" s="290">
        <v>0.01</v>
      </c>
      <c r="V11" s="290">
        <v>0.02</v>
      </c>
      <c r="W11" s="290">
        <v>0.02</v>
      </c>
      <c r="X11" s="453">
        <v>1.4999999999999999E-2</v>
      </c>
      <c r="Z11" s="244"/>
      <c r="AA11" s="288" t="s">
        <v>817</v>
      </c>
      <c r="AB11" s="289">
        <f t="shared" si="1"/>
        <v>0.02</v>
      </c>
      <c r="AC11" s="290">
        <f t="shared" si="2"/>
        <v>0.02</v>
      </c>
      <c r="AD11" s="290">
        <f t="shared" si="3"/>
        <v>0.02</v>
      </c>
      <c r="AE11" s="290">
        <f t="shared" si="4"/>
        <v>2.5000000000000001E-2</v>
      </c>
      <c r="AF11" s="290">
        <f t="shared" si="5"/>
        <v>2.5000000000000001E-2</v>
      </c>
      <c r="AG11" s="290">
        <f t="shared" si="6"/>
        <v>2.5000000000000001E-2</v>
      </c>
      <c r="AH11" s="290">
        <f t="shared" si="7"/>
        <v>0.03</v>
      </c>
      <c r="AI11" s="290">
        <f t="shared" si="8"/>
        <v>0.03</v>
      </c>
      <c r="AJ11" s="453">
        <f t="shared" si="9"/>
        <v>0.03</v>
      </c>
    </row>
    <row r="12" spans="1:36" ht="14.45" x14ac:dyDescent="0.3">
      <c r="A12" t="str">
        <f>C12&amp;" "&amp;B4</f>
        <v>2 Clarity Upgrade</v>
      </c>
      <c r="B12" s="244"/>
      <c r="C12" s="288" t="s">
        <v>818</v>
      </c>
      <c r="D12" s="289">
        <v>1.4999999999999999E-2</v>
      </c>
      <c r="E12" s="290">
        <v>1.4999999999999999E-2</v>
      </c>
      <c r="F12" s="290">
        <v>1.4999999999999999E-2</v>
      </c>
      <c r="G12" s="290">
        <v>0.02</v>
      </c>
      <c r="H12" s="290">
        <v>0.02</v>
      </c>
      <c r="I12" s="290">
        <v>0.02</v>
      </c>
      <c r="J12" s="290">
        <v>2.5000000000000001E-2</v>
      </c>
      <c r="K12" s="290">
        <v>2.5000000000000001E-2</v>
      </c>
      <c r="L12" s="453">
        <v>2.5000000000000001E-2</v>
      </c>
      <c r="N12" s="244"/>
      <c r="O12" s="288" t="s">
        <v>818</v>
      </c>
      <c r="P12" s="289">
        <v>1.4999999999999999E-2</v>
      </c>
      <c r="Q12" s="290">
        <v>1.4999999999999999E-2</v>
      </c>
      <c r="R12" s="290">
        <v>1.4999999999999999E-2</v>
      </c>
      <c r="S12" s="290">
        <v>0.02</v>
      </c>
      <c r="T12" s="290">
        <v>0.02</v>
      </c>
      <c r="U12" s="290">
        <v>1.4999999999999999E-2</v>
      </c>
      <c r="V12" s="290">
        <v>2.5000000000000001E-2</v>
      </c>
      <c r="W12" s="290">
        <v>2.5000000000000001E-2</v>
      </c>
      <c r="X12" s="453">
        <v>0.02</v>
      </c>
      <c r="Z12" s="244"/>
      <c r="AA12" s="288" t="s">
        <v>818</v>
      </c>
      <c r="AB12" s="289">
        <f t="shared" si="1"/>
        <v>2.5000000000000001E-2</v>
      </c>
      <c r="AC12" s="290">
        <f t="shared" si="2"/>
        <v>2.5000000000000001E-2</v>
      </c>
      <c r="AD12" s="290">
        <f t="shared" si="3"/>
        <v>2.5000000000000001E-2</v>
      </c>
      <c r="AE12" s="290">
        <f t="shared" si="4"/>
        <v>0.03</v>
      </c>
      <c r="AF12" s="290">
        <f t="shared" si="5"/>
        <v>0.03</v>
      </c>
      <c r="AG12" s="290">
        <f t="shared" si="6"/>
        <v>0.03</v>
      </c>
      <c r="AH12" s="290">
        <f t="shared" si="7"/>
        <v>3.5000000000000003E-2</v>
      </c>
      <c r="AI12" s="290">
        <f t="shared" si="8"/>
        <v>3.5000000000000003E-2</v>
      </c>
      <c r="AJ12" s="453">
        <f t="shared" si="9"/>
        <v>3.5000000000000003E-2</v>
      </c>
    </row>
    <row r="13" spans="1:36" ht="14.45" x14ac:dyDescent="0.3">
      <c r="A13" t="str">
        <f>C13&amp;" "&amp;B4</f>
        <v>2.5 Clarity Upgrade</v>
      </c>
      <c r="B13" s="244"/>
      <c r="C13" s="288" t="s">
        <v>819</v>
      </c>
      <c r="D13" s="291">
        <v>0.02</v>
      </c>
      <c r="E13" s="292">
        <v>0.02</v>
      </c>
      <c r="F13" s="292">
        <v>0.02</v>
      </c>
      <c r="G13" s="292">
        <v>0.03</v>
      </c>
      <c r="H13" s="292">
        <v>0.03</v>
      </c>
      <c r="I13" s="292">
        <v>0.03</v>
      </c>
      <c r="J13" s="292">
        <v>0.03</v>
      </c>
      <c r="K13" s="292">
        <v>0.03</v>
      </c>
      <c r="L13" s="454">
        <v>0.03</v>
      </c>
      <c r="N13" s="244"/>
      <c r="O13" s="288" t="s">
        <v>819</v>
      </c>
      <c r="P13" s="291">
        <v>0.02</v>
      </c>
      <c r="Q13" s="292">
        <v>0.02</v>
      </c>
      <c r="R13" s="292">
        <v>0.02</v>
      </c>
      <c r="S13" s="292">
        <v>0.03</v>
      </c>
      <c r="T13" s="292">
        <v>0.03</v>
      </c>
      <c r="U13" s="292">
        <v>0.02</v>
      </c>
      <c r="V13" s="292">
        <v>0.03</v>
      </c>
      <c r="W13" s="292">
        <v>0.03</v>
      </c>
      <c r="X13" s="454">
        <v>2.5000000000000001E-2</v>
      </c>
      <c r="Z13" s="244"/>
      <c r="AA13" s="288" t="s">
        <v>819</v>
      </c>
      <c r="AB13" s="291">
        <f t="shared" si="1"/>
        <v>0.03</v>
      </c>
      <c r="AC13" s="292">
        <f t="shared" si="2"/>
        <v>0.03</v>
      </c>
      <c r="AD13" s="292">
        <f t="shared" si="3"/>
        <v>0.03</v>
      </c>
      <c r="AE13" s="292">
        <f t="shared" si="4"/>
        <v>0.04</v>
      </c>
      <c r="AF13" s="292">
        <f t="shared" si="5"/>
        <v>0.04</v>
      </c>
      <c r="AG13" s="292">
        <f t="shared" si="6"/>
        <v>0.04</v>
      </c>
      <c r="AH13" s="292">
        <f t="shared" si="7"/>
        <v>0.04</v>
      </c>
      <c r="AI13" s="292">
        <f t="shared" si="8"/>
        <v>0.04</v>
      </c>
      <c r="AJ13" s="454">
        <f t="shared" si="9"/>
        <v>0.04</v>
      </c>
    </row>
    <row r="14" spans="1:36" ht="14.45" x14ac:dyDescent="0.3">
      <c r="A14" t="str">
        <f>C14&amp;" "&amp;B14</f>
        <v>0.5 Color Downgrade</v>
      </c>
      <c r="B14" s="239" t="s">
        <v>820</v>
      </c>
      <c r="C14" s="285" t="s">
        <v>810</v>
      </c>
      <c r="D14" s="501">
        <v>0</v>
      </c>
      <c r="E14" s="501">
        <v>0</v>
      </c>
      <c r="F14" s="501">
        <v>-0.01</v>
      </c>
      <c r="G14" s="501">
        <v>0</v>
      </c>
      <c r="H14" s="501">
        <v>0</v>
      </c>
      <c r="I14" s="501">
        <v>-5.0000000000000001E-3</v>
      </c>
      <c r="J14" s="501">
        <v>0</v>
      </c>
      <c r="K14" s="501">
        <v>0</v>
      </c>
      <c r="L14" s="502">
        <v>0</v>
      </c>
      <c r="N14" s="239" t="s">
        <v>820</v>
      </c>
      <c r="O14" s="285" t="s">
        <v>810</v>
      </c>
      <c r="P14" s="501">
        <v>0</v>
      </c>
      <c r="Q14" s="501">
        <v>0</v>
      </c>
      <c r="R14" s="501">
        <v>0</v>
      </c>
      <c r="S14" s="501">
        <v>0</v>
      </c>
      <c r="T14" s="501">
        <v>0</v>
      </c>
      <c r="U14" s="501">
        <v>0</v>
      </c>
      <c r="V14" s="501">
        <v>0</v>
      </c>
      <c r="W14" s="501">
        <v>0</v>
      </c>
      <c r="X14" s="502">
        <v>0</v>
      </c>
      <c r="Z14" s="239" t="s">
        <v>820</v>
      </c>
      <c r="AA14" s="285" t="s">
        <v>810</v>
      </c>
      <c r="AB14" s="501">
        <v>0</v>
      </c>
      <c r="AC14" s="501">
        <v>0</v>
      </c>
      <c r="AD14" s="501">
        <v>0</v>
      </c>
      <c r="AE14" s="501">
        <v>0</v>
      </c>
      <c r="AF14" s="501">
        <v>0</v>
      </c>
      <c r="AG14" s="501">
        <v>0</v>
      </c>
      <c r="AH14" s="501">
        <v>0</v>
      </c>
      <c r="AI14" s="501">
        <v>0</v>
      </c>
      <c r="AJ14" s="502">
        <v>0</v>
      </c>
    </row>
    <row r="15" spans="1:36" ht="14.45" x14ac:dyDescent="0.3">
      <c r="A15" t="str">
        <f>C15&amp;" "&amp;B14</f>
        <v>1 Color Downgrade</v>
      </c>
      <c r="B15" s="244"/>
      <c r="C15" s="288" t="s">
        <v>811</v>
      </c>
      <c r="D15" s="289">
        <v>-5.0000000000000001E-3</v>
      </c>
      <c r="E15" s="290">
        <v>-5.0000000000000001E-3</v>
      </c>
      <c r="F15" s="290">
        <v>-1.4999999999999999E-2</v>
      </c>
      <c r="G15" s="290">
        <v>-5.0000000000000001E-3</v>
      </c>
      <c r="H15" s="290">
        <v>-5.0000000000000001E-3</v>
      </c>
      <c r="I15" s="290">
        <v>-0.01</v>
      </c>
      <c r="J15" s="290">
        <v>0</v>
      </c>
      <c r="K15" s="290">
        <v>0</v>
      </c>
      <c r="L15" s="453">
        <v>-5.0000000000000001E-3</v>
      </c>
      <c r="N15" s="244"/>
      <c r="O15" s="288" t="s">
        <v>811</v>
      </c>
      <c r="P15" s="289">
        <v>-5.0000000000000001E-3</v>
      </c>
      <c r="Q15" s="290">
        <v>-0.01</v>
      </c>
      <c r="R15" s="290">
        <v>-1.4999999999999999E-2</v>
      </c>
      <c r="S15" s="290">
        <v>-5.0000000000000001E-3</v>
      </c>
      <c r="T15" s="290">
        <v>-5.0000000000000001E-3</v>
      </c>
      <c r="U15" s="290">
        <v>-0.01</v>
      </c>
      <c r="V15" s="290">
        <v>0</v>
      </c>
      <c r="W15" s="290">
        <v>0</v>
      </c>
      <c r="X15" s="453">
        <v>-5.0000000000000001E-3</v>
      </c>
      <c r="Z15" s="244"/>
      <c r="AA15" s="288" t="s">
        <v>811</v>
      </c>
      <c r="AB15" s="289">
        <v>-5.0000000000000001E-3</v>
      </c>
      <c r="AC15" s="290">
        <v>-0.01</v>
      </c>
      <c r="AD15" s="290">
        <v>-1.4999999999999999E-2</v>
      </c>
      <c r="AE15" s="290">
        <v>-5.0000000000000001E-3</v>
      </c>
      <c r="AF15" s="290">
        <v>-5.0000000000000001E-3</v>
      </c>
      <c r="AG15" s="290">
        <v>-0.01</v>
      </c>
      <c r="AH15" s="290">
        <v>0</v>
      </c>
      <c r="AI15" s="290">
        <v>0</v>
      </c>
      <c r="AJ15" s="453">
        <v>-5.0000000000000001E-3</v>
      </c>
    </row>
    <row r="16" spans="1:36" ht="14.45" x14ac:dyDescent="0.3">
      <c r="A16" t="str">
        <f>C16&amp;" "&amp;B14</f>
        <v>1.5 Color Downgrade</v>
      </c>
      <c r="B16" s="244"/>
      <c r="C16" s="288" t="s">
        <v>812</v>
      </c>
      <c r="D16" s="289">
        <v>-0.01</v>
      </c>
      <c r="E16" s="290">
        <v>-0.01</v>
      </c>
      <c r="F16" s="290">
        <v>-2.5000000000000001E-2</v>
      </c>
      <c r="G16" s="290">
        <v>-0.01</v>
      </c>
      <c r="H16" s="290">
        <v>-0.01</v>
      </c>
      <c r="I16" s="290">
        <v>-1.4999999999999999E-2</v>
      </c>
      <c r="J16" s="290">
        <v>-5.0000000000000001E-3</v>
      </c>
      <c r="K16" s="290">
        <v>-5.0000000000000001E-3</v>
      </c>
      <c r="L16" s="453">
        <v>-0.01</v>
      </c>
      <c r="N16" s="244"/>
      <c r="O16" s="288" t="s">
        <v>812</v>
      </c>
      <c r="P16" s="289">
        <v>-0.01</v>
      </c>
      <c r="Q16" s="290">
        <v>-1.4999999999999999E-2</v>
      </c>
      <c r="R16" s="290">
        <v>-2.5000000000000001E-2</v>
      </c>
      <c r="S16" s="290">
        <v>-0.01</v>
      </c>
      <c r="T16" s="290">
        <v>-0.01</v>
      </c>
      <c r="U16" s="290">
        <v>-0.02</v>
      </c>
      <c r="V16" s="290">
        <v>-5.0000000000000001E-3</v>
      </c>
      <c r="W16" s="290">
        <v>-5.0000000000000001E-3</v>
      </c>
      <c r="X16" s="453">
        <v>-0.01</v>
      </c>
      <c r="Z16" s="244"/>
      <c r="AA16" s="288" t="s">
        <v>812</v>
      </c>
      <c r="AB16" s="289">
        <v>-0.01</v>
      </c>
      <c r="AC16" s="290">
        <v>-1.4999999999999999E-2</v>
      </c>
      <c r="AD16" s="290">
        <v>-2.5000000000000001E-2</v>
      </c>
      <c r="AE16" s="290">
        <v>-0.01</v>
      </c>
      <c r="AF16" s="290">
        <v>-0.01</v>
      </c>
      <c r="AG16" s="290">
        <v>-0.02</v>
      </c>
      <c r="AH16" s="290">
        <v>-5.0000000000000001E-3</v>
      </c>
      <c r="AI16" s="290">
        <v>-5.0000000000000001E-3</v>
      </c>
      <c r="AJ16" s="453">
        <v>-0.01</v>
      </c>
    </row>
    <row r="17" spans="1:36" ht="14.45" x14ac:dyDescent="0.3">
      <c r="A17" t="str">
        <f>C17&amp;" "&amp;B14</f>
        <v>2 Color Downgrade</v>
      </c>
      <c r="B17" s="244"/>
      <c r="C17" s="288" t="s">
        <v>813</v>
      </c>
      <c r="D17" s="289">
        <v>-1.4999999999999999E-2</v>
      </c>
      <c r="E17" s="290">
        <v>-1.4999999999999999E-2</v>
      </c>
      <c r="F17" s="290">
        <v>-0.03</v>
      </c>
      <c r="G17" s="290">
        <v>-1.4999999999999999E-2</v>
      </c>
      <c r="H17" s="290">
        <v>-1.4999999999999999E-2</v>
      </c>
      <c r="I17" s="290">
        <v>-0.02</v>
      </c>
      <c r="J17" s="290">
        <v>-0.01</v>
      </c>
      <c r="K17" s="290">
        <v>-0.01</v>
      </c>
      <c r="L17" s="453">
        <v>-1.4999999999999999E-2</v>
      </c>
      <c r="N17" s="244"/>
      <c r="O17" s="288" t="s">
        <v>813</v>
      </c>
      <c r="P17" s="289">
        <v>-1.4999999999999999E-2</v>
      </c>
      <c r="Q17" s="290">
        <v>-0.02</v>
      </c>
      <c r="R17" s="290">
        <v>-0.03</v>
      </c>
      <c r="S17" s="290">
        <v>-1.4999999999999999E-2</v>
      </c>
      <c r="T17" s="290">
        <v>-1.4999999999999999E-2</v>
      </c>
      <c r="U17" s="290">
        <v>-2.5000000000000001E-2</v>
      </c>
      <c r="V17" s="290">
        <v>-0.01</v>
      </c>
      <c r="W17" s="290">
        <v>-0.01</v>
      </c>
      <c r="X17" s="453">
        <v>-1.4999999999999999E-2</v>
      </c>
      <c r="Z17" s="244"/>
      <c r="AA17" s="288" t="s">
        <v>813</v>
      </c>
      <c r="AB17" s="289">
        <v>-1.4999999999999999E-2</v>
      </c>
      <c r="AC17" s="290">
        <v>-0.02</v>
      </c>
      <c r="AD17" s="290">
        <v>-0.03</v>
      </c>
      <c r="AE17" s="290">
        <v>-1.4999999999999999E-2</v>
      </c>
      <c r="AF17" s="290">
        <v>-1.4999999999999999E-2</v>
      </c>
      <c r="AG17" s="290">
        <v>-2.5000000000000001E-2</v>
      </c>
      <c r="AH17" s="290">
        <v>-0.01</v>
      </c>
      <c r="AI17" s="290">
        <v>-0.01</v>
      </c>
      <c r="AJ17" s="453">
        <v>-1.4999999999999999E-2</v>
      </c>
    </row>
    <row r="18" spans="1:36" ht="14.45" x14ac:dyDescent="0.3">
      <c r="A18" t="str">
        <f>C18&amp;" "&amp;B14</f>
        <v>2.5 Color Downgrade</v>
      </c>
      <c r="B18" s="244"/>
      <c r="C18" s="288" t="s">
        <v>814</v>
      </c>
      <c r="D18" s="289">
        <v>-0.02</v>
      </c>
      <c r="E18" s="290">
        <v>-0.02</v>
      </c>
      <c r="F18" s="290">
        <v>-3.5000000000000003E-2</v>
      </c>
      <c r="G18" s="290">
        <v>-0.02</v>
      </c>
      <c r="H18" s="290">
        <v>-0.02</v>
      </c>
      <c r="I18" s="290">
        <v>-0.03</v>
      </c>
      <c r="J18" s="290">
        <v>-1.4999999999999999E-2</v>
      </c>
      <c r="K18" s="290">
        <v>-1.4999999999999999E-2</v>
      </c>
      <c r="L18" s="453">
        <v>-2.5000000000000001E-2</v>
      </c>
      <c r="N18" s="244"/>
      <c r="O18" s="288" t="s">
        <v>814</v>
      </c>
      <c r="P18" s="289">
        <v>-2.5000000000000001E-2</v>
      </c>
      <c r="Q18" s="290">
        <v>-0.03</v>
      </c>
      <c r="R18" s="290">
        <v>-0.03</v>
      </c>
      <c r="S18" s="290">
        <v>-2.5000000000000001E-2</v>
      </c>
      <c r="T18" s="290">
        <v>-2.5000000000000001E-2</v>
      </c>
      <c r="U18" s="290">
        <v>-2.5000000000000001E-2</v>
      </c>
      <c r="V18" s="290">
        <v>-0.02</v>
      </c>
      <c r="W18" s="290">
        <v>-0.02</v>
      </c>
      <c r="X18" s="453">
        <v>-2.5000000000000001E-2</v>
      </c>
      <c r="Z18" s="244"/>
      <c r="AA18" s="288" t="s">
        <v>814</v>
      </c>
      <c r="AB18" s="289">
        <v>-2.5000000000000001E-2</v>
      </c>
      <c r="AC18" s="290">
        <v>-0.03</v>
      </c>
      <c r="AD18" s="290">
        <v>-0.03</v>
      </c>
      <c r="AE18" s="290">
        <v>-2.5000000000000001E-2</v>
      </c>
      <c r="AF18" s="290">
        <v>-2.5000000000000001E-2</v>
      </c>
      <c r="AG18" s="290">
        <v>-2.5000000000000001E-2</v>
      </c>
      <c r="AH18" s="290">
        <v>-0.02</v>
      </c>
      <c r="AI18" s="290">
        <v>-0.02</v>
      </c>
      <c r="AJ18" s="453">
        <v>-2.5000000000000001E-2</v>
      </c>
    </row>
    <row r="19" spans="1:36" ht="14.45" x14ac:dyDescent="0.3">
      <c r="A19" t="str">
        <f>C19&amp;" "&amp;B14</f>
        <v>0.5 Clarity Downgrade</v>
      </c>
      <c r="B19" s="244"/>
      <c r="C19" s="288" t="s">
        <v>815</v>
      </c>
      <c r="D19" s="501">
        <v>0</v>
      </c>
      <c r="E19" s="501">
        <v>0</v>
      </c>
      <c r="F19" s="501">
        <v>0</v>
      </c>
      <c r="G19" s="501">
        <v>-5.0000000000000001E-3</v>
      </c>
      <c r="H19" s="501">
        <v>-5.0000000000000001E-3</v>
      </c>
      <c r="I19" s="501">
        <v>-5.0000000000000001E-3</v>
      </c>
      <c r="J19" s="501">
        <v>-0.01</v>
      </c>
      <c r="K19" s="501">
        <v>-0.01</v>
      </c>
      <c r="L19" s="502">
        <v>-0.01</v>
      </c>
      <c r="N19" s="244"/>
      <c r="O19" s="288" t="s">
        <v>815</v>
      </c>
      <c r="P19" s="501">
        <v>0</v>
      </c>
      <c r="Q19" s="501">
        <v>0</v>
      </c>
      <c r="R19" s="501">
        <v>0</v>
      </c>
      <c r="S19" s="501">
        <v>0</v>
      </c>
      <c r="T19" s="501">
        <v>0</v>
      </c>
      <c r="U19" s="501">
        <v>0</v>
      </c>
      <c r="V19" s="501">
        <v>0</v>
      </c>
      <c r="W19" s="501">
        <v>0</v>
      </c>
      <c r="X19" s="502">
        <v>0</v>
      </c>
      <c r="Z19" s="244"/>
      <c r="AA19" s="288" t="s">
        <v>815</v>
      </c>
      <c r="AB19" s="501">
        <v>0</v>
      </c>
      <c r="AC19" s="501">
        <v>0</v>
      </c>
      <c r="AD19" s="501">
        <v>0</v>
      </c>
      <c r="AE19" s="501">
        <v>0</v>
      </c>
      <c r="AF19" s="501">
        <v>0</v>
      </c>
      <c r="AG19" s="501">
        <v>0</v>
      </c>
      <c r="AH19" s="501">
        <v>0</v>
      </c>
      <c r="AI19" s="501">
        <v>0</v>
      </c>
      <c r="AJ19" s="502">
        <v>0</v>
      </c>
    </row>
    <row r="20" spans="1:36" ht="14.45" x14ac:dyDescent="0.3">
      <c r="A20" t="str">
        <f>C20&amp;" "&amp;B14</f>
        <v>1 Clarity Downgrade</v>
      </c>
      <c r="B20" s="244"/>
      <c r="C20" s="288" t="s">
        <v>816</v>
      </c>
      <c r="D20" s="289">
        <v>-5.0000000000000001E-3</v>
      </c>
      <c r="E20" s="290">
        <v>-5.0000000000000001E-3</v>
      </c>
      <c r="F20" s="290">
        <v>-5.0000000000000001E-3</v>
      </c>
      <c r="G20" s="290">
        <v>-0.01</v>
      </c>
      <c r="H20" s="290">
        <v>-0.01</v>
      </c>
      <c r="I20" s="290">
        <v>-0.01</v>
      </c>
      <c r="J20" s="290">
        <v>-1.4999999999999999E-2</v>
      </c>
      <c r="K20" s="290">
        <v>-1.4999999999999999E-2</v>
      </c>
      <c r="L20" s="453">
        <v>-1.4999999999999999E-2</v>
      </c>
      <c r="N20" s="244"/>
      <c r="O20" s="288" t="s">
        <v>816</v>
      </c>
      <c r="P20" s="289">
        <v>-5.0000000000000001E-3</v>
      </c>
      <c r="Q20" s="290">
        <v>-5.0000000000000001E-3</v>
      </c>
      <c r="R20" s="290">
        <v>-5.0000000000000001E-3</v>
      </c>
      <c r="S20" s="290">
        <v>-0.01</v>
      </c>
      <c r="T20" s="290">
        <v>-0.01</v>
      </c>
      <c r="U20" s="290">
        <v>-5.0000000000000001E-3</v>
      </c>
      <c r="V20" s="290">
        <v>-1.4999999999999999E-2</v>
      </c>
      <c r="W20" s="290">
        <v>-1.4999999999999999E-2</v>
      </c>
      <c r="X20" s="453">
        <v>-0.01</v>
      </c>
      <c r="Z20" s="244"/>
      <c r="AA20" s="288" t="s">
        <v>816</v>
      </c>
      <c r="AB20" s="289">
        <v>-5.0000000000000001E-3</v>
      </c>
      <c r="AC20" s="290">
        <v>-5.0000000000000001E-3</v>
      </c>
      <c r="AD20" s="290">
        <v>-5.0000000000000001E-3</v>
      </c>
      <c r="AE20" s="290">
        <v>-0.01</v>
      </c>
      <c r="AF20" s="290">
        <v>-0.01</v>
      </c>
      <c r="AG20" s="290">
        <v>-5.0000000000000001E-3</v>
      </c>
      <c r="AH20" s="290">
        <v>-1.4999999999999999E-2</v>
      </c>
      <c r="AI20" s="290">
        <v>-1.4999999999999999E-2</v>
      </c>
      <c r="AJ20" s="453">
        <v>-0.01</v>
      </c>
    </row>
    <row r="21" spans="1:36" ht="14.45" x14ac:dyDescent="0.3">
      <c r="A21" t="str">
        <f>C21&amp;" "&amp;B14</f>
        <v>1.5 Clarity Downgrade</v>
      </c>
      <c r="B21" s="244"/>
      <c r="C21" s="288" t="s">
        <v>817</v>
      </c>
      <c r="D21" s="289">
        <v>-0.01</v>
      </c>
      <c r="E21" s="290">
        <v>-0.01</v>
      </c>
      <c r="F21" s="290">
        <v>-0.01</v>
      </c>
      <c r="G21" s="290">
        <v>-1.4999999999999999E-2</v>
      </c>
      <c r="H21" s="290">
        <v>-1.4999999999999999E-2</v>
      </c>
      <c r="I21" s="290">
        <v>-1.4999999999999999E-2</v>
      </c>
      <c r="J21" s="290">
        <v>-0.02</v>
      </c>
      <c r="K21" s="290">
        <v>-0.02</v>
      </c>
      <c r="L21" s="453">
        <v>-0.02</v>
      </c>
      <c r="N21" s="244"/>
      <c r="O21" s="288" t="s">
        <v>817</v>
      </c>
      <c r="P21" s="289">
        <v>-0.01</v>
      </c>
      <c r="Q21" s="290">
        <v>-0.01</v>
      </c>
      <c r="R21" s="290">
        <v>-0.01</v>
      </c>
      <c r="S21" s="290">
        <v>-1.4999999999999999E-2</v>
      </c>
      <c r="T21" s="290">
        <v>-1.4999999999999999E-2</v>
      </c>
      <c r="U21" s="290">
        <v>-0.01</v>
      </c>
      <c r="V21" s="290">
        <v>-0.02</v>
      </c>
      <c r="W21" s="290">
        <v>-0.02</v>
      </c>
      <c r="X21" s="453">
        <v>-1.4999999999999999E-2</v>
      </c>
      <c r="Z21" s="244"/>
      <c r="AA21" s="288" t="s">
        <v>817</v>
      </c>
      <c r="AB21" s="289">
        <v>-0.01</v>
      </c>
      <c r="AC21" s="290">
        <v>-0.01</v>
      </c>
      <c r="AD21" s="290">
        <v>-0.01</v>
      </c>
      <c r="AE21" s="290">
        <v>-1.4999999999999999E-2</v>
      </c>
      <c r="AF21" s="290">
        <v>-1.4999999999999999E-2</v>
      </c>
      <c r="AG21" s="290">
        <v>-0.01</v>
      </c>
      <c r="AH21" s="290">
        <v>-0.02</v>
      </c>
      <c r="AI21" s="290">
        <v>-0.02</v>
      </c>
      <c r="AJ21" s="453">
        <v>-1.4999999999999999E-2</v>
      </c>
    </row>
    <row r="22" spans="1:36" ht="14.45" x14ac:dyDescent="0.3">
      <c r="A22" t="str">
        <f>C22&amp;" "&amp;B14</f>
        <v>2 Clarity Downgrade</v>
      </c>
      <c r="B22" s="244"/>
      <c r="C22" s="288" t="s">
        <v>818</v>
      </c>
      <c r="D22" s="289">
        <v>-1.4999999999999999E-2</v>
      </c>
      <c r="E22" s="290">
        <v>-1.4999999999999999E-2</v>
      </c>
      <c r="F22" s="290">
        <v>-1.4999999999999999E-2</v>
      </c>
      <c r="G22" s="290">
        <v>-0.02</v>
      </c>
      <c r="H22" s="290">
        <v>-0.02</v>
      </c>
      <c r="I22" s="290">
        <v>-0.02</v>
      </c>
      <c r="J22" s="290">
        <v>-2.5000000000000001E-2</v>
      </c>
      <c r="K22" s="290">
        <v>-2.5000000000000001E-2</v>
      </c>
      <c r="L22" s="453">
        <v>-2.5000000000000001E-2</v>
      </c>
      <c r="N22" s="244"/>
      <c r="O22" s="288" t="s">
        <v>818</v>
      </c>
      <c r="P22" s="289">
        <v>-1.4999999999999999E-2</v>
      </c>
      <c r="Q22" s="290">
        <v>-1.4999999999999999E-2</v>
      </c>
      <c r="R22" s="290">
        <v>-1.4999999999999999E-2</v>
      </c>
      <c r="S22" s="290">
        <v>-0.02</v>
      </c>
      <c r="T22" s="290">
        <v>-0.02</v>
      </c>
      <c r="U22" s="290">
        <v>-1.4999999999999999E-2</v>
      </c>
      <c r="V22" s="290">
        <v>-2.5000000000000001E-2</v>
      </c>
      <c r="W22" s="290">
        <v>-2.5000000000000001E-2</v>
      </c>
      <c r="X22" s="453">
        <v>-0.02</v>
      </c>
      <c r="Z22" s="244"/>
      <c r="AA22" s="288" t="s">
        <v>818</v>
      </c>
      <c r="AB22" s="289">
        <v>-1.4999999999999999E-2</v>
      </c>
      <c r="AC22" s="290">
        <v>-1.4999999999999999E-2</v>
      </c>
      <c r="AD22" s="290">
        <v>-1.4999999999999999E-2</v>
      </c>
      <c r="AE22" s="290">
        <v>-0.02</v>
      </c>
      <c r="AF22" s="290">
        <v>-0.02</v>
      </c>
      <c r="AG22" s="290">
        <v>-1.4999999999999999E-2</v>
      </c>
      <c r="AH22" s="290">
        <v>-2.5000000000000001E-2</v>
      </c>
      <c r="AI22" s="290">
        <v>-2.5000000000000001E-2</v>
      </c>
      <c r="AJ22" s="453">
        <v>-0.02</v>
      </c>
    </row>
    <row r="23" spans="1:36" ht="14.45" x14ac:dyDescent="0.3">
      <c r="A23" t="str">
        <f>C23&amp;" "&amp;B14</f>
        <v>2.5 Clarity Downgrade</v>
      </c>
      <c r="B23" s="249"/>
      <c r="C23" s="293" t="s">
        <v>819</v>
      </c>
      <c r="D23" s="291">
        <v>-0.02</v>
      </c>
      <c r="E23" s="292">
        <v>-0.02</v>
      </c>
      <c r="F23" s="292">
        <v>-0.02</v>
      </c>
      <c r="G23" s="292">
        <v>-0.03</v>
      </c>
      <c r="H23" s="292">
        <v>-0.03</v>
      </c>
      <c r="I23" s="292">
        <v>-0.03</v>
      </c>
      <c r="J23" s="292">
        <v>-0.03</v>
      </c>
      <c r="K23" s="292">
        <v>-0.03</v>
      </c>
      <c r="L23" s="454">
        <v>-0.03</v>
      </c>
      <c r="N23" s="249"/>
      <c r="O23" s="293" t="s">
        <v>819</v>
      </c>
      <c r="P23" s="291">
        <v>-0.02</v>
      </c>
      <c r="Q23" s="292">
        <v>-0.02</v>
      </c>
      <c r="R23" s="292">
        <v>-0.02</v>
      </c>
      <c r="S23" s="292">
        <v>-0.03</v>
      </c>
      <c r="T23" s="292">
        <v>-0.03</v>
      </c>
      <c r="U23" s="292">
        <v>-0.02</v>
      </c>
      <c r="V23" s="292">
        <v>-0.03</v>
      </c>
      <c r="W23" s="292">
        <v>-0.03</v>
      </c>
      <c r="X23" s="454">
        <v>-2.5000000000000001E-2</v>
      </c>
      <c r="Z23" s="249"/>
      <c r="AA23" s="293" t="s">
        <v>819</v>
      </c>
      <c r="AB23" s="291">
        <v>-0.02</v>
      </c>
      <c r="AC23" s="292">
        <v>-0.02</v>
      </c>
      <c r="AD23" s="292">
        <v>-0.02</v>
      </c>
      <c r="AE23" s="292">
        <v>-0.03</v>
      </c>
      <c r="AF23" s="292">
        <v>-0.03</v>
      </c>
      <c r="AG23" s="292">
        <v>-0.02</v>
      </c>
      <c r="AH23" s="292">
        <v>-0.03</v>
      </c>
      <c r="AI23" s="292">
        <v>-0.03</v>
      </c>
      <c r="AJ23" s="454">
        <v>-2.5000000000000001E-2</v>
      </c>
    </row>
    <row r="25" spans="1:36" ht="14.45" x14ac:dyDescent="0.3">
      <c r="C25" s="28"/>
    </row>
    <row r="27" spans="1:36" ht="14.45" x14ac:dyDescent="0.3">
      <c r="C27" s="294"/>
      <c r="D27" s="295"/>
      <c r="E27" s="295"/>
      <c r="F27" s="1"/>
    </row>
    <row r="28" spans="1:36" ht="14.45" x14ac:dyDescent="0.3">
      <c r="C28" s="296"/>
      <c r="D28" s="295"/>
      <c r="E28" s="296"/>
    </row>
    <row r="29" spans="1:36" x14ac:dyDescent="0.25">
      <c r="C29" s="903"/>
      <c r="D29" s="903"/>
      <c r="E29" s="296"/>
    </row>
    <row r="30" spans="1:36" x14ac:dyDescent="0.25">
      <c r="C30" s="297"/>
    </row>
    <row r="31" spans="1:36" x14ac:dyDescent="0.25">
      <c r="C31" s="298"/>
      <c r="H31" s="299"/>
    </row>
  </sheetData>
  <sheetProtection algorithmName="SHA-512" hashValue="QJycNG6f2CJ0VEI0otVqvlJGbmy/fhCdO25VGZQoIphhSw2Z4gXT6P+hmb+oAgxPkpIpc/acmNwvMGO4oiQ/dw==" saltValue="zOGlKDmP9jw9wQlafHL9/A==" spinCount="100000" sheet="1" objects="1" scenarios="1" autoFilter="0"/>
  <mergeCells count="4">
    <mergeCell ref="D2:K2"/>
    <mergeCell ref="C29:D29"/>
    <mergeCell ref="P2:W2"/>
    <mergeCell ref="AB2:AI2"/>
  </mergeCells>
  <pageMargins left="0.7" right="0.7" top="0.75" bottom="0.75" header="0.3" footer="0.3"/>
  <pageSetup paperSize="9"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:L17"/>
  <sheetViews>
    <sheetView topLeftCell="B2" workbookViewId="0">
      <selection activeCell="H9" sqref="H9"/>
    </sheetView>
  </sheetViews>
  <sheetFormatPr defaultRowHeight="15" x14ac:dyDescent="0.25"/>
  <cols>
    <col min="1" max="1" width="14.28515625" hidden="1" customWidth="1"/>
    <col min="2" max="2" width="9.7109375" customWidth="1"/>
  </cols>
  <sheetData>
    <row r="1" spans="1:12" ht="14.45" hidden="1" x14ac:dyDescent="0.3"/>
    <row r="2" spans="1:12" ht="14.45" x14ac:dyDescent="0.3">
      <c r="D2" s="854" t="s">
        <v>315</v>
      </c>
      <c r="E2" s="854"/>
      <c r="F2" s="854"/>
      <c r="G2" s="854"/>
      <c r="H2" s="854"/>
      <c r="I2" s="854"/>
      <c r="J2" s="854"/>
      <c r="K2" s="854"/>
    </row>
    <row r="3" spans="1:12" ht="14.45" x14ac:dyDescent="0.3">
      <c r="A3" s="300"/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</row>
    <row r="4" spans="1:12" ht="14.45" x14ac:dyDescent="0.3">
      <c r="B4" s="239" t="s">
        <v>821</v>
      </c>
      <c r="C4" s="301"/>
      <c r="D4" s="276"/>
      <c r="E4" s="276"/>
      <c r="F4" s="276"/>
      <c r="G4" s="276"/>
      <c r="H4" s="276"/>
      <c r="I4" s="276"/>
      <c r="J4" s="276"/>
      <c r="K4" s="276"/>
      <c r="L4" s="277"/>
    </row>
    <row r="5" spans="1:12" ht="14.45" x14ac:dyDescent="0.3">
      <c r="A5" t="s">
        <v>1226</v>
      </c>
      <c r="B5" s="244"/>
      <c r="C5" s="256" t="s">
        <v>222</v>
      </c>
      <c r="D5" s="261">
        <v>0</v>
      </c>
      <c r="E5" s="261">
        <v>0</v>
      </c>
      <c r="F5" s="261">
        <v>0</v>
      </c>
      <c r="G5" s="261">
        <v>0</v>
      </c>
      <c r="H5" s="261">
        <v>0</v>
      </c>
      <c r="I5" s="261">
        <v>0</v>
      </c>
      <c r="J5" s="261">
        <v>0</v>
      </c>
      <c r="K5" s="261">
        <v>0</v>
      </c>
      <c r="L5" s="262">
        <v>0</v>
      </c>
    </row>
    <row r="6" spans="1:12" ht="14.45" x14ac:dyDescent="0.3">
      <c r="A6" t="str">
        <f>B4&amp;"-"&amp;C6</f>
        <v>Internal-IGR1</v>
      </c>
      <c r="B6" s="244"/>
      <c r="C6" s="260" t="s">
        <v>1477</v>
      </c>
      <c r="D6" s="261">
        <v>0</v>
      </c>
      <c r="E6" s="261">
        <v>0</v>
      </c>
      <c r="F6" s="261">
        <v>0</v>
      </c>
      <c r="G6" s="261">
        <v>0</v>
      </c>
      <c r="H6" s="261">
        <v>0</v>
      </c>
      <c r="I6" s="261">
        <v>0</v>
      </c>
      <c r="J6" s="261">
        <v>0</v>
      </c>
      <c r="K6" s="261">
        <v>0</v>
      </c>
      <c r="L6" s="262">
        <v>0</v>
      </c>
    </row>
    <row r="7" spans="1:12" ht="14.45" x14ac:dyDescent="0.3">
      <c r="A7" t="str">
        <f>B4&amp;"-"&amp;C7</f>
        <v>Internal-IGR2</v>
      </c>
      <c r="B7" s="244"/>
      <c r="C7" s="260" t="s">
        <v>1478</v>
      </c>
      <c r="D7" s="261">
        <v>-1.5</v>
      </c>
      <c r="E7" s="261">
        <v>-1.5</v>
      </c>
      <c r="F7" s="261">
        <v>-1</v>
      </c>
      <c r="G7" s="261">
        <v>-1</v>
      </c>
      <c r="H7" s="261">
        <v>-1</v>
      </c>
      <c r="I7" s="261">
        <v>-0.5</v>
      </c>
      <c r="J7" s="261">
        <v>-0.5</v>
      </c>
      <c r="K7" s="261">
        <v>0</v>
      </c>
      <c r="L7" s="262">
        <v>0</v>
      </c>
    </row>
    <row r="8" spans="1:12" ht="14.45" x14ac:dyDescent="0.3">
      <c r="A8" t="str">
        <f>B4&amp;"-"&amp;C8</f>
        <v>Internal-IGR3</v>
      </c>
      <c r="B8" s="249"/>
      <c r="C8" s="263" t="s">
        <v>1479</v>
      </c>
      <c r="D8" s="264">
        <v>-3</v>
      </c>
      <c r="E8" s="264">
        <v>-3</v>
      </c>
      <c r="F8" s="264">
        <v>-2</v>
      </c>
      <c r="G8" s="264">
        <v>-2</v>
      </c>
      <c r="H8" s="264">
        <v>-2</v>
      </c>
      <c r="I8" s="264">
        <v>-1</v>
      </c>
      <c r="J8" s="264">
        <v>-1</v>
      </c>
      <c r="K8" s="264">
        <v>0</v>
      </c>
      <c r="L8" s="265">
        <v>0</v>
      </c>
    </row>
    <row r="9" spans="1:12" ht="14.45" x14ac:dyDescent="0.3">
      <c r="B9" s="239" t="s">
        <v>822</v>
      </c>
      <c r="C9" s="301"/>
      <c r="D9" s="283"/>
      <c r="E9" s="283"/>
      <c r="F9" s="283"/>
      <c r="G9" s="283"/>
      <c r="H9" s="283"/>
      <c r="I9" s="283"/>
      <c r="J9" s="283"/>
      <c r="K9" s="283"/>
      <c r="L9" s="284"/>
    </row>
    <row r="10" spans="1:12" ht="14.45" x14ac:dyDescent="0.3">
      <c r="A10" t="str">
        <f>B9&amp;"-NN"</f>
        <v>Surface-NN</v>
      </c>
      <c r="B10" s="244"/>
      <c r="C10" s="256" t="s">
        <v>222</v>
      </c>
      <c r="D10" s="261">
        <v>0</v>
      </c>
      <c r="E10" s="261">
        <v>0</v>
      </c>
      <c r="F10" s="261">
        <v>0</v>
      </c>
      <c r="G10" s="261">
        <v>0</v>
      </c>
      <c r="H10" s="261">
        <v>0</v>
      </c>
      <c r="I10" s="261">
        <v>0</v>
      </c>
      <c r="J10" s="261">
        <v>0</v>
      </c>
      <c r="K10" s="261">
        <v>0</v>
      </c>
      <c r="L10" s="262">
        <v>0</v>
      </c>
    </row>
    <row r="11" spans="1:12" ht="14.45" x14ac:dyDescent="0.3">
      <c r="A11" t="str">
        <f>B9&amp;"-"&amp;C11</f>
        <v>Surface-SGR1</v>
      </c>
      <c r="B11" s="244"/>
      <c r="C11" s="260" t="s">
        <v>195</v>
      </c>
      <c r="D11" s="261">
        <v>0</v>
      </c>
      <c r="E11" s="261">
        <v>0</v>
      </c>
      <c r="F11" s="261">
        <v>0</v>
      </c>
      <c r="G11" s="261">
        <v>0</v>
      </c>
      <c r="H11" s="261">
        <v>0</v>
      </c>
      <c r="I11" s="261">
        <v>0</v>
      </c>
      <c r="J11" s="261">
        <v>0</v>
      </c>
      <c r="K11" s="261">
        <v>0</v>
      </c>
      <c r="L11" s="262">
        <v>0</v>
      </c>
    </row>
    <row r="12" spans="1:12" ht="14.45" x14ac:dyDescent="0.3">
      <c r="A12" t="str">
        <f>B9&amp;"-"&amp;C12</f>
        <v>Surface-SGR2</v>
      </c>
      <c r="B12" s="674"/>
      <c r="C12" s="685" t="s">
        <v>209</v>
      </c>
      <c r="D12" s="686">
        <v>-1.5</v>
      </c>
      <c r="E12" s="686">
        <v>-1.5</v>
      </c>
      <c r="F12" s="686">
        <v>-1</v>
      </c>
      <c r="G12" s="686">
        <v>-1</v>
      </c>
      <c r="H12" s="686">
        <v>-1</v>
      </c>
      <c r="I12" s="686">
        <v>-0.5</v>
      </c>
      <c r="J12" s="686">
        <v>-0.5</v>
      </c>
      <c r="K12" s="686">
        <v>0</v>
      </c>
      <c r="L12" s="687">
        <v>0</v>
      </c>
    </row>
    <row r="13" spans="1:12" ht="14.45" x14ac:dyDescent="0.3">
      <c r="A13" t="str">
        <f>B9&amp;"-"&amp;C13</f>
        <v>Surface-SGR3</v>
      </c>
      <c r="B13" s="249"/>
      <c r="C13" s="263" t="s">
        <v>1157</v>
      </c>
      <c r="D13" s="264">
        <v>-3</v>
      </c>
      <c r="E13" s="264">
        <v>-3</v>
      </c>
      <c r="F13" s="264">
        <v>-2</v>
      </c>
      <c r="G13" s="264">
        <v>-2</v>
      </c>
      <c r="H13" s="264">
        <v>-2</v>
      </c>
      <c r="I13" s="264">
        <v>-1</v>
      </c>
      <c r="J13" s="264">
        <v>-1</v>
      </c>
      <c r="K13" s="264">
        <v>0</v>
      </c>
      <c r="L13" s="265">
        <v>0</v>
      </c>
    </row>
    <row r="15" spans="1:12" ht="14.45" x14ac:dyDescent="0.3">
      <c r="C15" t="s">
        <v>973</v>
      </c>
      <c r="D15" t="s">
        <v>974</v>
      </c>
    </row>
    <row r="16" spans="1:12" ht="14.45" x14ac:dyDescent="0.3">
      <c r="C16" t="s">
        <v>973</v>
      </c>
      <c r="D16" t="s">
        <v>979</v>
      </c>
    </row>
    <row r="17" spans="4:4" ht="14.45" x14ac:dyDescent="0.3">
      <c r="D17" s="1"/>
    </row>
  </sheetData>
  <sheetProtection algorithmName="SHA-512" hashValue="JlGf9M9/hvfaZzB8Zu5mFSQxbgis1GGiofQit0A94ztylxp7Ue0K1RFRJPb1bUT32aXXD5/nYEDK0Rz9ZGEbIg==" saltValue="MmNGDl0KYNC0ERwnfVM2gA==" spinCount="100000" sheet="1" objects="1" scenarios="1" autoFilter="0"/>
  <mergeCells count="1">
    <mergeCell ref="D2:K2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:X13"/>
  <sheetViews>
    <sheetView topLeftCell="B2" workbookViewId="0">
      <selection activeCell="D25" sqref="D25"/>
    </sheetView>
  </sheetViews>
  <sheetFormatPr defaultRowHeight="15" x14ac:dyDescent="0.25"/>
  <cols>
    <col min="1" max="1" width="18.5703125" hidden="1" customWidth="1"/>
    <col min="2" max="2" width="12.7109375" customWidth="1"/>
    <col min="3" max="3" width="9.28515625" style="476" customWidth="1"/>
    <col min="14" max="14" width="11.28515625" bestFit="1" customWidth="1"/>
    <col min="15" max="15" width="8.85546875" style="476"/>
  </cols>
  <sheetData>
    <row r="1" spans="1:24" ht="14.45" hidden="1" x14ac:dyDescent="0.3"/>
    <row r="2" spans="1:24" ht="14.45" x14ac:dyDescent="0.3">
      <c r="B2" t="s">
        <v>25</v>
      </c>
      <c r="D2" s="854" t="s">
        <v>315</v>
      </c>
      <c r="E2" s="854"/>
      <c r="F2" s="854"/>
      <c r="G2" s="854"/>
      <c r="H2" s="854"/>
      <c r="I2" s="854"/>
      <c r="J2" s="854"/>
      <c r="K2" s="854"/>
      <c r="L2" s="435"/>
      <c r="N2" t="s">
        <v>71</v>
      </c>
      <c r="P2" s="854" t="s">
        <v>315</v>
      </c>
      <c r="Q2" s="854"/>
      <c r="R2" s="854"/>
      <c r="S2" s="854"/>
      <c r="T2" s="854"/>
      <c r="U2" s="854"/>
      <c r="V2" s="854"/>
      <c r="W2" s="854"/>
    </row>
    <row r="3" spans="1:24" ht="14.45" x14ac:dyDescent="0.3">
      <c r="D3" s="238">
        <v>1</v>
      </c>
      <c r="E3" s="238">
        <v>2</v>
      </c>
      <c r="F3" s="238">
        <v>3</v>
      </c>
      <c r="G3" s="238">
        <v>4</v>
      </c>
      <c r="H3" s="238">
        <v>5</v>
      </c>
      <c r="I3" s="238">
        <v>6</v>
      </c>
      <c r="J3" s="238">
        <v>7</v>
      </c>
      <c r="K3" s="238">
        <v>8</v>
      </c>
      <c r="L3" s="238">
        <v>9</v>
      </c>
      <c r="P3" s="238">
        <v>1</v>
      </c>
      <c r="Q3" s="238">
        <v>2</v>
      </c>
      <c r="R3" s="238">
        <v>3</v>
      </c>
      <c r="S3" s="238">
        <v>4</v>
      </c>
      <c r="T3" s="238">
        <v>5</v>
      </c>
      <c r="U3" s="238">
        <v>6</v>
      </c>
      <c r="V3" s="238">
        <v>7</v>
      </c>
      <c r="W3" s="238">
        <v>8</v>
      </c>
      <c r="X3" s="238">
        <v>9</v>
      </c>
    </row>
    <row r="4" spans="1:24" ht="14.45" x14ac:dyDescent="0.3">
      <c r="A4" t="str">
        <f>B4&amp;"-"&amp;C4</f>
        <v>H&amp;A-Y</v>
      </c>
      <c r="B4" s="239" t="s">
        <v>179</v>
      </c>
      <c r="C4" s="691" t="s">
        <v>860</v>
      </c>
      <c r="D4" s="302">
        <v>1</v>
      </c>
      <c r="E4" s="302">
        <v>1</v>
      </c>
      <c r="F4" s="302">
        <v>0.5</v>
      </c>
      <c r="G4" s="302">
        <v>1</v>
      </c>
      <c r="H4" s="302">
        <v>1</v>
      </c>
      <c r="I4" s="302">
        <v>0.5</v>
      </c>
      <c r="J4" s="302">
        <v>1</v>
      </c>
      <c r="K4" s="302">
        <v>1</v>
      </c>
      <c r="L4" s="303">
        <v>0</v>
      </c>
      <c r="N4" s="239" t="s">
        <v>179</v>
      </c>
      <c r="O4" s="691" t="s">
        <v>860</v>
      </c>
      <c r="P4" s="302">
        <v>0</v>
      </c>
      <c r="Q4" s="302">
        <v>0</v>
      </c>
      <c r="R4" s="302">
        <v>0</v>
      </c>
      <c r="S4" s="302">
        <v>0</v>
      </c>
      <c r="T4" s="302">
        <v>0</v>
      </c>
      <c r="U4" s="302">
        <v>0</v>
      </c>
      <c r="V4" s="302">
        <v>0</v>
      </c>
      <c r="W4" s="302">
        <v>0</v>
      </c>
      <c r="X4" s="303">
        <v>0</v>
      </c>
    </row>
    <row r="5" spans="1:24" ht="14.45" x14ac:dyDescent="0.3">
      <c r="A5" t="str">
        <f>B4&amp;"-"&amp;C5</f>
        <v>H&amp;A-N</v>
      </c>
      <c r="B5" s="249"/>
      <c r="C5" s="688" t="s">
        <v>748</v>
      </c>
      <c r="D5" s="304">
        <v>0</v>
      </c>
      <c r="E5" s="304">
        <v>0</v>
      </c>
      <c r="F5" s="304">
        <v>0</v>
      </c>
      <c r="G5" s="304">
        <v>0</v>
      </c>
      <c r="H5" s="304">
        <v>0</v>
      </c>
      <c r="I5" s="304">
        <v>0</v>
      </c>
      <c r="J5" s="304">
        <v>0</v>
      </c>
      <c r="K5" s="304">
        <v>0</v>
      </c>
      <c r="L5" s="305">
        <v>0</v>
      </c>
      <c r="M5" s="299"/>
      <c r="N5" s="249"/>
      <c r="O5" s="688" t="s">
        <v>748</v>
      </c>
      <c r="P5" s="304">
        <v>0</v>
      </c>
      <c r="Q5" s="304">
        <v>0</v>
      </c>
      <c r="R5" s="304">
        <v>0</v>
      </c>
      <c r="S5" s="304">
        <v>0</v>
      </c>
      <c r="T5" s="304">
        <v>0</v>
      </c>
      <c r="U5" s="304">
        <v>0</v>
      </c>
      <c r="V5" s="304">
        <v>0</v>
      </c>
      <c r="W5" s="304">
        <v>0</v>
      </c>
      <c r="X5" s="305">
        <v>0</v>
      </c>
    </row>
    <row r="6" spans="1:24" ht="14.45" x14ac:dyDescent="0.3">
      <c r="A6" t="str">
        <f>B6&amp;"-"&amp;C6</f>
        <v>Eye Clean-Y</v>
      </c>
      <c r="B6" s="239" t="s">
        <v>174</v>
      </c>
      <c r="C6" s="689" t="s">
        <v>860</v>
      </c>
      <c r="D6" s="306">
        <v>0</v>
      </c>
      <c r="E6" s="306">
        <v>0</v>
      </c>
      <c r="F6" s="306">
        <v>0</v>
      </c>
      <c r="G6" s="306">
        <v>0</v>
      </c>
      <c r="H6" s="306">
        <v>0</v>
      </c>
      <c r="I6" s="306">
        <v>0</v>
      </c>
      <c r="J6" s="306">
        <v>1.5</v>
      </c>
      <c r="K6" s="306">
        <v>1.5</v>
      </c>
      <c r="L6" s="307">
        <v>1</v>
      </c>
      <c r="N6" s="239" t="s">
        <v>174</v>
      </c>
      <c r="O6" s="689" t="s">
        <v>860</v>
      </c>
      <c r="P6" s="306">
        <v>0</v>
      </c>
      <c r="Q6" s="306">
        <v>0</v>
      </c>
      <c r="R6" s="306">
        <v>0</v>
      </c>
      <c r="S6" s="306">
        <v>0</v>
      </c>
      <c r="T6" s="306">
        <v>0.5</v>
      </c>
      <c r="U6" s="306">
        <v>0.5</v>
      </c>
      <c r="V6" s="306">
        <v>1.5</v>
      </c>
      <c r="W6" s="306">
        <v>1.5</v>
      </c>
      <c r="X6" s="307">
        <v>0.5</v>
      </c>
    </row>
    <row r="7" spans="1:24" ht="14.45" x14ac:dyDescent="0.3">
      <c r="A7" t="str">
        <f>B6&amp;"-"&amp;C7</f>
        <v>Eye Clean-N</v>
      </c>
      <c r="B7" s="249"/>
      <c r="C7" s="690" t="s">
        <v>748</v>
      </c>
      <c r="D7" s="308">
        <v>0</v>
      </c>
      <c r="E7" s="308">
        <v>0</v>
      </c>
      <c r="F7" s="308">
        <v>0</v>
      </c>
      <c r="G7" s="308">
        <v>0</v>
      </c>
      <c r="H7" s="308">
        <v>0</v>
      </c>
      <c r="I7" s="308">
        <v>0</v>
      </c>
      <c r="J7" s="308">
        <v>0</v>
      </c>
      <c r="K7" s="308">
        <v>0</v>
      </c>
      <c r="L7" s="309">
        <v>0</v>
      </c>
      <c r="N7" s="249"/>
      <c r="O7" s="690" t="s">
        <v>748</v>
      </c>
      <c r="P7" s="308">
        <v>0</v>
      </c>
      <c r="Q7" s="308">
        <v>0</v>
      </c>
      <c r="R7" s="308">
        <v>0</v>
      </c>
      <c r="S7" s="308">
        <v>0</v>
      </c>
      <c r="T7" s="308">
        <v>0</v>
      </c>
      <c r="U7" s="308">
        <v>0</v>
      </c>
      <c r="V7" s="308">
        <v>0</v>
      </c>
      <c r="W7" s="308">
        <v>0</v>
      </c>
      <c r="X7" s="309">
        <v>0</v>
      </c>
    </row>
    <row r="8" spans="1:24" ht="14.45" x14ac:dyDescent="0.3">
      <c r="A8" t="str">
        <f>B8&amp;"-"&amp;C8</f>
        <v>Table Clean-Y</v>
      </c>
      <c r="B8" s="239" t="s">
        <v>180</v>
      </c>
      <c r="C8" s="689" t="s">
        <v>860</v>
      </c>
      <c r="D8" s="306">
        <v>0</v>
      </c>
      <c r="E8" s="306">
        <v>0</v>
      </c>
      <c r="F8" s="306">
        <v>0</v>
      </c>
      <c r="G8" s="306">
        <v>0.5</v>
      </c>
      <c r="H8" s="306">
        <v>0.5</v>
      </c>
      <c r="I8" s="306">
        <v>0.5</v>
      </c>
      <c r="J8" s="306">
        <v>2</v>
      </c>
      <c r="K8" s="306">
        <v>2</v>
      </c>
      <c r="L8" s="307">
        <v>1</v>
      </c>
      <c r="N8" s="239" t="s">
        <v>180</v>
      </c>
      <c r="O8" s="689" t="s">
        <v>860</v>
      </c>
      <c r="P8" s="306">
        <v>0</v>
      </c>
      <c r="Q8" s="306">
        <v>0</v>
      </c>
      <c r="R8" s="306">
        <v>0</v>
      </c>
      <c r="S8" s="306">
        <v>1</v>
      </c>
      <c r="T8" s="306">
        <v>1</v>
      </c>
      <c r="U8" s="306">
        <v>0</v>
      </c>
      <c r="V8" s="306">
        <v>2</v>
      </c>
      <c r="W8" s="306">
        <v>2</v>
      </c>
      <c r="X8" s="307">
        <v>1</v>
      </c>
    </row>
    <row r="9" spans="1:24" ht="14.45" x14ac:dyDescent="0.3">
      <c r="A9" t="str">
        <f>B8&amp;"-"&amp;C9</f>
        <v>Table Clean-N</v>
      </c>
      <c r="B9" s="249"/>
      <c r="C9" s="690" t="s">
        <v>748</v>
      </c>
      <c r="D9" s="308">
        <v>0</v>
      </c>
      <c r="E9" s="308">
        <v>0</v>
      </c>
      <c r="F9" s="308">
        <v>0</v>
      </c>
      <c r="G9" s="308">
        <v>0</v>
      </c>
      <c r="H9" s="308">
        <v>0</v>
      </c>
      <c r="I9" s="308">
        <v>0</v>
      </c>
      <c r="J9" s="308">
        <v>0</v>
      </c>
      <c r="K9" s="308">
        <v>0</v>
      </c>
      <c r="L9" s="309">
        <v>0</v>
      </c>
      <c r="N9" s="249"/>
      <c r="O9" s="690" t="s">
        <v>748</v>
      </c>
      <c r="P9" s="308">
        <v>0</v>
      </c>
      <c r="Q9" s="308">
        <v>0</v>
      </c>
      <c r="R9" s="308">
        <v>0</v>
      </c>
      <c r="S9" s="308">
        <v>0</v>
      </c>
      <c r="T9" s="308">
        <v>0</v>
      </c>
      <c r="U9" s="308">
        <v>0</v>
      </c>
      <c r="V9" s="308">
        <v>0</v>
      </c>
      <c r="W9" s="308">
        <v>0</v>
      </c>
      <c r="X9" s="309">
        <v>0</v>
      </c>
    </row>
    <row r="11" spans="1:24" ht="14.45" x14ac:dyDescent="0.3">
      <c r="B11" s="1" t="s">
        <v>1480</v>
      </c>
    </row>
    <row r="12" spans="1:24" ht="14.45" x14ac:dyDescent="0.3">
      <c r="B12" t="s">
        <v>1481</v>
      </c>
    </row>
    <row r="13" spans="1:24" ht="14.45" x14ac:dyDescent="0.3">
      <c r="B13" t="s">
        <v>1482</v>
      </c>
    </row>
  </sheetData>
  <sheetProtection algorithmName="SHA-512" hashValue="eeFdzymPY+mDOj4PhADmnwi/BUx5WfoU9oJV6QRGz5Evgl+pJwDEi9ykYinQ+2hm3DH9Ynf6nD8rSJrwLFpZuQ==" saltValue="Fy+eDWzGKX717bKU/J0hNA==" spinCount="100000" sheet="1" objects="1" scenarios="1" autoFilter="0"/>
  <mergeCells count="2">
    <mergeCell ref="D2:K2"/>
    <mergeCell ref="P2:W2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T26"/>
  <sheetViews>
    <sheetView workbookViewId="0">
      <selection activeCell="B17" sqref="B17"/>
    </sheetView>
  </sheetViews>
  <sheetFormatPr defaultRowHeight="15" x14ac:dyDescent="0.25"/>
  <cols>
    <col min="3" max="3" width="10.5703125" bestFit="1" customWidth="1"/>
    <col min="4" max="4" width="9.5703125" bestFit="1" customWidth="1"/>
    <col min="10" max="10" width="10.7109375" customWidth="1"/>
    <col min="15" max="15" width="15.85546875" customWidth="1"/>
  </cols>
  <sheetData>
    <row r="2" spans="1:20" ht="14.45" x14ac:dyDescent="0.3">
      <c r="A2" s="1" t="s">
        <v>907</v>
      </c>
      <c r="F2" s="1" t="s">
        <v>1368</v>
      </c>
      <c r="H2" s="13"/>
      <c r="J2" s="1" t="s">
        <v>1381</v>
      </c>
      <c r="L2" s="13"/>
      <c r="N2" s="1" t="s">
        <v>1370</v>
      </c>
      <c r="R2" s="1" t="s">
        <v>1369</v>
      </c>
      <c r="T2" s="13"/>
    </row>
    <row r="3" spans="1:20" ht="14.45" x14ac:dyDescent="0.3">
      <c r="H3" s="13"/>
      <c r="L3" s="13"/>
      <c r="T3" s="13"/>
    </row>
    <row r="4" spans="1:20" ht="28.9" x14ac:dyDescent="0.3">
      <c r="A4" s="738" t="s">
        <v>1371</v>
      </c>
      <c r="B4" s="738" t="s">
        <v>303</v>
      </c>
      <c r="C4" s="738" t="s">
        <v>1372</v>
      </c>
      <c r="D4" s="738" t="s">
        <v>1373</v>
      </c>
      <c r="E4" s="739"/>
      <c r="F4" s="738" t="s">
        <v>1371</v>
      </c>
      <c r="G4" s="738" t="s">
        <v>303</v>
      </c>
      <c r="H4" s="740" t="s">
        <v>1372</v>
      </c>
      <c r="I4" s="739"/>
      <c r="J4" s="738" t="s">
        <v>1371</v>
      </c>
      <c r="K4" s="738" t="s">
        <v>303</v>
      </c>
      <c r="L4" s="740" t="s">
        <v>1372</v>
      </c>
      <c r="N4" s="738" t="s">
        <v>1371</v>
      </c>
      <c r="O4" s="738" t="s">
        <v>303</v>
      </c>
      <c r="P4" s="740" t="s">
        <v>1374</v>
      </c>
      <c r="R4" s="738" t="s">
        <v>1371</v>
      </c>
      <c r="S4" s="738" t="s">
        <v>303</v>
      </c>
      <c r="T4" s="740" t="s">
        <v>1372</v>
      </c>
    </row>
    <row r="5" spans="1:20" ht="14.45" x14ac:dyDescent="0.3">
      <c r="A5" s="35">
        <v>0</v>
      </c>
      <c r="B5" t="s">
        <v>1375</v>
      </c>
      <c r="F5" s="741">
        <v>0</v>
      </c>
      <c r="G5" s="33" t="str">
        <f>TEXT(F5,"0.00")&amp;"-"&amp;TEXT(F6-0.01,"0.00")</f>
        <v>0.00-0.14</v>
      </c>
      <c r="H5" s="13"/>
      <c r="J5" s="741">
        <v>0</v>
      </c>
      <c r="K5" s="33" t="str">
        <f t="shared" ref="K5:K24" si="0">TEXT(J5,"0.00")&amp;"-"&amp;TEXT(J6-0.01,"0.00")</f>
        <v>0.00-0.14</v>
      </c>
      <c r="L5" s="13"/>
      <c r="N5" s="741">
        <v>0</v>
      </c>
      <c r="O5" s="33" t="str">
        <f t="shared" ref="O5:O25" si="1">TEXT(N5,"0.00")&amp;"-"&amp;TEXT(N6-0.01,"0.00")</f>
        <v>0.00-0.00</v>
      </c>
      <c r="P5">
        <v>12</v>
      </c>
      <c r="R5" s="741">
        <v>0</v>
      </c>
      <c r="S5" s="33" t="str">
        <f t="shared" ref="S5:S24" si="2">TEXT(R5,"0.00")&amp;"-"&amp;TEXT(R6-0.01,"0.00")</f>
        <v>0.00-0.14</v>
      </c>
      <c r="T5" s="13"/>
    </row>
    <row r="6" spans="1:20" ht="14.45" x14ac:dyDescent="0.3">
      <c r="A6" s="35">
        <v>0.15</v>
      </c>
      <c r="B6" t="s">
        <v>1376</v>
      </c>
      <c r="C6">
        <v>30</v>
      </c>
      <c r="D6">
        <v>12</v>
      </c>
      <c r="F6" s="741">
        <v>0.15</v>
      </c>
      <c r="G6" s="33" t="str">
        <f t="shared" ref="G6:G25" si="3">TEXT(F6,"0.00")&amp;"-"&amp;TEXT(F7-0.01,"0.00")</f>
        <v>0.15-0.22</v>
      </c>
      <c r="H6" s="13">
        <v>48</v>
      </c>
      <c r="J6" s="741">
        <v>0.15</v>
      </c>
      <c r="K6" s="33" t="str">
        <f t="shared" si="0"/>
        <v>0.15-0.46</v>
      </c>
      <c r="L6" s="13">
        <v>75</v>
      </c>
      <c r="N6" s="741">
        <v>0.01</v>
      </c>
      <c r="O6" s="33" t="str">
        <f t="shared" si="1"/>
        <v>0.01-0.14</v>
      </c>
      <c r="P6" s="13">
        <v>12</v>
      </c>
      <c r="Q6" s="13"/>
      <c r="R6" s="741">
        <v>0.15</v>
      </c>
      <c r="S6" s="33" t="str">
        <f t="shared" si="2"/>
        <v>0.15-0.29</v>
      </c>
      <c r="T6" s="13">
        <v>140</v>
      </c>
    </row>
    <row r="7" spans="1:20" ht="14.45" x14ac:dyDescent="0.3">
      <c r="A7" s="35">
        <v>0.23</v>
      </c>
      <c r="B7" t="s">
        <v>1377</v>
      </c>
      <c r="C7">
        <v>32</v>
      </c>
      <c r="D7">
        <v>12</v>
      </c>
      <c r="F7" s="741">
        <v>0.23</v>
      </c>
      <c r="G7" s="33" t="str">
        <f t="shared" si="3"/>
        <v>0.23-0.46</v>
      </c>
      <c r="H7" s="13">
        <v>59</v>
      </c>
      <c r="J7" s="741">
        <v>0.47</v>
      </c>
      <c r="K7" s="33" t="str">
        <f t="shared" si="0"/>
        <v>0.47-0.69</v>
      </c>
      <c r="L7" s="13">
        <v>85</v>
      </c>
      <c r="N7" s="741">
        <v>0.15</v>
      </c>
      <c r="O7" s="33" t="str">
        <f t="shared" si="1"/>
        <v>0.15-0.22</v>
      </c>
      <c r="P7" s="13">
        <v>12</v>
      </c>
      <c r="Q7" s="13"/>
      <c r="R7" s="741">
        <v>0.3</v>
      </c>
      <c r="S7" s="33" t="str">
        <f t="shared" si="2"/>
        <v>0.30-0.49</v>
      </c>
      <c r="T7" s="13">
        <v>143</v>
      </c>
    </row>
    <row r="8" spans="1:20" ht="14.45" x14ac:dyDescent="0.3">
      <c r="A8" s="35">
        <v>0.3</v>
      </c>
      <c r="B8" t="s">
        <v>308</v>
      </c>
      <c r="C8">
        <v>39</v>
      </c>
      <c r="D8">
        <v>12</v>
      </c>
      <c r="F8" s="741">
        <v>0.47</v>
      </c>
      <c r="G8" s="33" t="str">
        <f t="shared" si="3"/>
        <v>0.47-0.69</v>
      </c>
      <c r="H8" s="13">
        <v>64</v>
      </c>
      <c r="J8" s="741">
        <v>0.7</v>
      </c>
      <c r="K8" s="33" t="str">
        <f t="shared" si="0"/>
        <v>0.70-0.99</v>
      </c>
      <c r="L8" s="13">
        <v>100</v>
      </c>
      <c r="N8" s="741">
        <v>0.23</v>
      </c>
      <c r="O8" s="33" t="str">
        <f t="shared" si="1"/>
        <v>0.23-0.46</v>
      </c>
      <c r="P8" s="13">
        <v>12</v>
      </c>
      <c r="Q8" s="13"/>
      <c r="R8" s="741">
        <v>0.5</v>
      </c>
      <c r="S8" s="33" t="str">
        <f t="shared" si="2"/>
        <v>0.50-0.99</v>
      </c>
      <c r="T8" s="13">
        <v>145</v>
      </c>
    </row>
    <row r="9" spans="1:20" ht="14.45" x14ac:dyDescent="0.3">
      <c r="A9" s="35">
        <v>0.4</v>
      </c>
      <c r="B9" t="s">
        <v>1378</v>
      </c>
      <c r="C9">
        <v>41</v>
      </c>
      <c r="D9">
        <v>12</v>
      </c>
      <c r="F9" s="741">
        <v>0.7</v>
      </c>
      <c r="G9" s="33" t="str">
        <f t="shared" si="3"/>
        <v>0.70-0.99</v>
      </c>
      <c r="H9" s="13">
        <v>78</v>
      </c>
      <c r="J9" s="741">
        <v>1</v>
      </c>
      <c r="K9" s="33" t="str">
        <f t="shared" si="0"/>
        <v>1.00-1.19</v>
      </c>
      <c r="L9" s="13">
        <v>142</v>
      </c>
      <c r="N9" s="741">
        <v>0.47</v>
      </c>
      <c r="O9" s="33" t="str">
        <f t="shared" si="1"/>
        <v>0.47-0.69</v>
      </c>
      <c r="P9" s="13">
        <v>12</v>
      </c>
      <c r="Q9" s="13"/>
      <c r="R9" s="741">
        <v>1</v>
      </c>
      <c r="S9" s="33" t="str">
        <f t="shared" si="2"/>
        <v>1.00-1.19</v>
      </c>
      <c r="T9" s="13">
        <v>170</v>
      </c>
    </row>
    <row r="10" spans="1:20" ht="14.45" x14ac:dyDescent="0.3">
      <c r="A10" s="35">
        <v>0.5</v>
      </c>
      <c r="B10" t="s">
        <v>1379</v>
      </c>
      <c r="C10">
        <v>42</v>
      </c>
      <c r="D10">
        <v>12</v>
      </c>
      <c r="F10" s="741">
        <v>1</v>
      </c>
      <c r="G10" s="33" t="str">
        <f>TEXT(F10,"0.00")&amp;"-"&amp;TEXT(F11-0.01,"0.00")</f>
        <v>1.00-1.19</v>
      </c>
      <c r="H10" s="13">
        <v>113</v>
      </c>
      <c r="J10" s="741">
        <v>1.2</v>
      </c>
      <c r="K10" s="33" t="str">
        <f t="shared" si="0"/>
        <v>1.20-1.49</v>
      </c>
      <c r="L10" s="13">
        <v>155</v>
      </c>
      <c r="N10" s="741">
        <v>0.7</v>
      </c>
      <c r="O10" s="33" t="str">
        <f t="shared" si="1"/>
        <v>0.70-0.99</v>
      </c>
      <c r="P10" s="13">
        <v>12</v>
      </c>
      <c r="Q10" s="13"/>
      <c r="R10" s="741">
        <v>1.2</v>
      </c>
      <c r="S10" s="33" t="str">
        <f t="shared" si="2"/>
        <v>1.20-1.49</v>
      </c>
      <c r="T10" s="13">
        <v>175</v>
      </c>
    </row>
    <row r="11" spans="1:20" ht="14.45" x14ac:dyDescent="0.3">
      <c r="A11" s="35">
        <v>0.7</v>
      </c>
      <c r="B11" t="s">
        <v>1380</v>
      </c>
      <c r="C11">
        <v>51</v>
      </c>
      <c r="D11">
        <v>12</v>
      </c>
      <c r="F11" s="741">
        <v>1.2</v>
      </c>
      <c r="G11" s="33" t="str">
        <f>TEXT(F11,"0.00")&amp;"-"&amp;TEXT(F12-0.01,"0.00")</f>
        <v>1.20-1.49</v>
      </c>
      <c r="H11" s="13">
        <v>118</v>
      </c>
      <c r="J11" s="741">
        <v>1.5</v>
      </c>
      <c r="K11" s="33" t="str">
        <f t="shared" si="0"/>
        <v>1.50-1.99</v>
      </c>
      <c r="L11" s="13">
        <v>182</v>
      </c>
      <c r="N11" s="741">
        <v>1</v>
      </c>
      <c r="O11" s="33" t="str">
        <f t="shared" si="1"/>
        <v>1.00-1.49</v>
      </c>
      <c r="P11" s="13">
        <v>15</v>
      </c>
      <c r="Q11" s="13"/>
      <c r="R11" s="741">
        <v>1.5</v>
      </c>
      <c r="S11" s="33" t="str">
        <f t="shared" si="2"/>
        <v>1.50-1.99</v>
      </c>
      <c r="T11" s="13">
        <v>203</v>
      </c>
    </row>
    <row r="12" spans="1:20" ht="14.45" x14ac:dyDescent="0.3">
      <c r="A12" s="35">
        <v>1</v>
      </c>
      <c r="B12" t="s">
        <v>1086</v>
      </c>
      <c r="C12">
        <v>85</v>
      </c>
      <c r="D12">
        <v>15</v>
      </c>
      <c r="F12" s="741">
        <v>1.5</v>
      </c>
      <c r="G12" s="33" t="str">
        <f t="shared" si="3"/>
        <v>1.50-1.99</v>
      </c>
      <c r="H12" s="13">
        <v>135</v>
      </c>
      <c r="J12" s="741">
        <v>2</v>
      </c>
      <c r="K12" s="33" t="str">
        <f t="shared" si="0"/>
        <v>2.00-2.99</v>
      </c>
      <c r="L12" s="13">
        <v>289</v>
      </c>
      <c r="N12" s="741">
        <v>1.5</v>
      </c>
      <c r="O12" s="33" t="str">
        <f t="shared" si="1"/>
        <v>1.50-1.99</v>
      </c>
      <c r="P12" s="13">
        <v>16</v>
      </c>
      <c r="Q12" s="13"/>
      <c r="R12" s="741">
        <v>2</v>
      </c>
      <c r="S12" s="33" t="str">
        <f t="shared" si="2"/>
        <v>2.00-2.99</v>
      </c>
      <c r="T12" s="13">
        <v>284</v>
      </c>
    </row>
    <row r="13" spans="1:20" ht="14.45" x14ac:dyDescent="0.3">
      <c r="A13" s="35">
        <v>1.5</v>
      </c>
      <c r="B13" t="s">
        <v>314</v>
      </c>
      <c r="C13">
        <v>110</v>
      </c>
      <c r="D13">
        <v>16</v>
      </c>
      <c r="F13" s="741">
        <v>2</v>
      </c>
      <c r="G13" s="33" t="str">
        <f t="shared" si="3"/>
        <v>2.00-2.99</v>
      </c>
      <c r="H13" s="13">
        <v>189</v>
      </c>
      <c r="J13" s="741">
        <v>3</v>
      </c>
      <c r="K13" s="33" t="str">
        <f t="shared" si="0"/>
        <v>3.00-3.99</v>
      </c>
      <c r="L13" s="13">
        <v>438</v>
      </c>
      <c r="N13" s="741">
        <v>2</v>
      </c>
      <c r="O13" s="33" t="str">
        <f t="shared" si="1"/>
        <v>2.00-2.99</v>
      </c>
      <c r="P13" s="13">
        <v>24</v>
      </c>
      <c r="Q13" s="13"/>
      <c r="R13" s="741">
        <v>3</v>
      </c>
      <c r="S13" s="33" t="str">
        <f t="shared" si="2"/>
        <v>3.00-3.99</v>
      </c>
      <c r="T13" s="13">
        <v>415</v>
      </c>
    </row>
    <row r="14" spans="1:20" ht="14.45" x14ac:dyDescent="0.3">
      <c r="A14" s="35">
        <v>2</v>
      </c>
      <c r="F14" s="741">
        <v>3</v>
      </c>
      <c r="G14" s="33" t="str">
        <f t="shared" si="3"/>
        <v>3.00-3.99</v>
      </c>
      <c r="H14" s="13">
        <v>278</v>
      </c>
      <c r="J14" s="741">
        <v>4</v>
      </c>
      <c r="K14" s="33" t="str">
        <f t="shared" si="0"/>
        <v>4.00-4.99</v>
      </c>
      <c r="L14" s="13">
        <v>608</v>
      </c>
      <c r="N14" s="741">
        <v>3</v>
      </c>
      <c r="O14" s="33" t="str">
        <f t="shared" si="1"/>
        <v>3.00-3.99</v>
      </c>
      <c r="P14" s="13">
        <v>33</v>
      </c>
      <c r="Q14" s="13"/>
      <c r="R14" s="741">
        <v>4</v>
      </c>
      <c r="S14" s="33" t="str">
        <f t="shared" si="2"/>
        <v>4.00-4.99</v>
      </c>
      <c r="T14" s="13">
        <v>557</v>
      </c>
    </row>
    <row r="15" spans="1:20" ht="14.45" x14ac:dyDescent="0.3">
      <c r="F15" s="741">
        <v>4</v>
      </c>
      <c r="G15" s="33" t="str">
        <f t="shared" si="3"/>
        <v>4.00-4.99</v>
      </c>
      <c r="H15" s="13">
        <v>373</v>
      </c>
      <c r="J15" s="741">
        <v>5</v>
      </c>
      <c r="K15" s="33" t="str">
        <f t="shared" si="0"/>
        <v>5.00-5.99</v>
      </c>
      <c r="L15" s="13">
        <v>902</v>
      </c>
      <c r="N15" s="741">
        <v>4</v>
      </c>
      <c r="O15" s="33" t="str">
        <f t="shared" si="1"/>
        <v>4.00-4.99</v>
      </c>
      <c r="P15" s="13">
        <v>44</v>
      </c>
      <c r="Q15" s="13"/>
      <c r="R15" s="741">
        <v>5</v>
      </c>
      <c r="S15" s="33" t="str">
        <f t="shared" si="2"/>
        <v>5.00-5.99</v>
      </c>
      <c r="T15" s="13">
        <v>795</v>
      </c>
    </row>
    <row r="16" spans="1:20" ht="14.45" x14ac:dyDescent="0.3">
      <c r="F16" s="741">
        <v>5</v>
      </c>
      <c r="G16" s="33" t="str">
        <f t="shared" si="3"/>
        <v>5.00-5.99</v>
      </c>
      <c r="H16" s="13">
        <v>535</v>
      </c>
      <c r="J16" s="741">
        <v>6</v>
      </c>
      <c r="K16" s="33" t="str">
        <f t="shared" si="0"/>
        <v>6.00-7.99</v>
      </c>
      <c r="L16" s="13">
        <v>947</v>
      </c>
      <c r="N16" s="741">
        <v>5</v>
      </c>
      <c r="O16" s="33" t="str">
        <f t="shared" si="1"/>
        <v>5.00-5.99</v>
      </c>
      <c r="P16" s="13">
        <v>62</v>
      </c>
      <c r="Q16" s="13"/>
      <c r="R16" s="741">
        <v>6</v>
      </c>
      <c r="S16" s="33" t="str">
        <f t="shared" si="2"/>
        <v>6.00-7.99</v>
      </c>
      <c r="T16" s="13">
        <v>928</v>
      </c>
    </row>
    <row r="17" spans="6:20" ht="14.45" x14ac:dyDescent="0.3">
      <c r="F17" s="741">
        <v>6</v>
      </c>
      <c r="G17" s="33" t="str">
        <f t="shared" si="3"/>
        <v>6.00-7.99</v>
      </c>
      <c r="H17" s="13">
        <v>631</v>
      </c>
      <c r="J17" s="741">
        <v>8</v>
      </c>
      <c r="K17" s="33" t="str">
        <f t="shared" si="0"/>
        <v>8.00-9.99</v>
      </c>
      <c r="L17" s="13">
        <v>1121</v>
      </c>
      <c r="N17" s="741">
        <v>6</v>
      </c>
      <c r="O17" s="33" t="str">
        <f t="shared" si="1"/>
        <v>6.00-7.99</v>
      </c>
      <c r="P17" s="13">
        <v>73</v>
      </c>
      <c r="Q17" s="13"/>
      <c r="R17" s="741">
        <v>8</v>
      </c>
      <c r="S17" s="33" t="str">
        <f t="shared" si="2"/>
        <v>8.00-9.99</v>
      </c>
      <c r="T17" s="13">
        <v>1102</v>
      </c>
    </row>
    <row r="18" spans="6:20" ht="14.45" x14ac:dyDescent="0.3">
      <c r="F18" s="741">
        <v>8</v>
      </c>
      <c r="G18" s="33" t="str">
        <f t="shared" si="3"/>
        <v>8.00-9.99</v>
      </c>
      <c r="H18" s="13">
        <v>747</v>
      </c>
      <c r="J18" s="741">
        <v>10</v>
      </c>
      <c r="K18" s="33" t="str">
        <f t="shared" si="0"/>
        <v>10.00-11.99</v>
      </c>
      <c r="L18" s="13">
        <v>1551</v>
      </c>
      <c r="N18" s="741">
        <v>8</v>
      </c>
      <c r="O18" s="33" t="str">
        <f t="shared" si="1"/>
        <v>8.00-9.99</v>
      </c>
      <c r="P18" s="13">
        <v>86</v>
      </c>
      <c r="Q18" s="13"/>
      <c r="R18" s="741">
        <v>10</v>
      </c>
      <c r="S18" s="33" t="str">
        <f t="shared" si="2"/>
        <v>10.00-11.99</v>
      </c>
      <c r="T18" s="13">
        <v>1537</v>
      </c>
    </row>
    <row r="19" spans="6:20" ht="14.45" x14ac:dyDescent="0.3">
      <c r="F19" s="741">
        <v>10</v>
      </c>
      <c r="G19" s="33" t="str">
        <f t="shared" si="3"/>
        <v>10.00-11.99</v>
      </c>
      <c r="H19" s="13">
        <v>1034</v>
      </c>
      <c r="J19" s="741">
        <v>12</v>
      </c>
      <c r="K19" s="33" t="str">
        <f t="shared" si="0"/>
        <v>12.00-14.99</v>
      </c>
      <c r="L19" s="13">
        <v>1829</v>
      </c>
      <c r="N19" s="741">
        <v>10</v>
      </c>
      <c r="O19" s="33" t="str">
        <f t="shared" si="1"/>
        <v>10.00-11.99</v>
      </c>
      <c r="P19" s="13">
        <v>119</v>
      </c>
      <c r="Q19" s="13"/>
      <c r="R19" s="741">
        <v>12</v>
      </c>
      <c r="S19" s="33" t="str">
        <f t="shared" si="2"/>
        <v>12.00-14.99</v>
      </c>
      <c r="T19" s="13">
        <v>1802</v>
      </c>
    </row>
    <row r="20" spans="6:20" ht="14.45" x14ac:dyDescent="0.3">
      <c r="F20" s="741">
        <v>12</v>
      </c>
      <c r="G20" s="33" t="str">
        <f t="shared" si="3"/>
        <v>12.00-14.99</v>
      </c>
      <c r="H20" s="13">
        <v>1219</v>
      </c>
      <c r="J20" s="741">
        <v>15</v>
      </c>
      <c r="K20" s="33" t="str">
        <f t="shared" si="0"/>
        <v>15.00-19.99</v>
      </c>
      <c r="L20" s="13">
        <v>2226</v>
      </c>
      <c r="N20" s="741">
        <v>12</v>
      </c>
      <c r="O20" s="33" t="str">
        <f t="shared" si="1"/>
        <v>12.00-14.99</v>
      </c>
      <c r="P20" s="13">
        <v>140</v>
      </c>
      <c r="Q20" s="13"/>
      <c r="R20" s="741">
        <v>15</v>
      </c>
      <c r="S20" s="33" t="str">
        <f t="shared" si="2"/>
        <v>15.00-19.99</v>
      </c>
      <c r="T20" s="13">
        <v>2226</v>
      </c>
    </row>
    <row r="21" spans="6:20" ht="14.45" x14ac:dyDescent="0.3">
      <c r="F21" s="741">
        <v>15</v>
      </c>
      <c r="G21" s="33" t="str">
        <f t="shared" si="3"/>
        <v>15.00-19.99</v>
      </c>
      <c r="H21" s="13">
        <v>1484</v>
      </c>
      <c r="J21" s="741">
        <v>20</v>
      </c>
      <c r="K21" s="33" t="str">
        <f t="shared" si="0"/>
        <v>20.00-24.99</v>
      </c>
      <c r="L21" s="13">
        <v>2902</v>
      </c>
      <c r="N21" s="741">
        <v>15</v>
      </c>
      <c r="O21" s="33" t="str">
        <f t="shared" si="1"/>
        <v>15.00-19.99</v>
      </c>
      <c r="P21" s="13">
        <v>172</v>
      </c>
      <c r="Q21" s="13"/>
      <c r="R21" s="741">
        <v>20</v>
      </c>
      <c r="S21" s="33" t="str">
        <f t="shared" si="2"/>
        <v>20.00-24.99</v>
      </c>
      <c r="T21" s="13">
        <v>2915</v>
      </c>
    </row>
    <row r="22" spans="6:20" ht="14.45" x14ac:dyDescent="0.3">
      <c r="F22" s="741">
        <v>20</v>
      </c>
      <c r="G22" s="33" t="str">
        <f t="shared" si="3"/>
        <v>20.00-24.99</v>
      </c>
      <c r="H22" s="13">
        <v>1935</v>
      </c>
      <c r="J22" s="741">
        <v>25</v>
      </c>
      <c r="K22" s="33" t="str">
        <f t="shared" si="0"/>
        <v>25.00-29.99</v>
      </c>
      <c r="L22" s="13">
        <v>3379</v>
      </c>
      <c r="N22" s="741">
        <v>20</v>
      </c>
      <c r="O22" s="33" t="str">
        <f t="shared" si="1"/>
        <v>20.00-24.99</v>
      </c>
      <c r="P22" s="13">
        <v>223</v>
      </c>
      <c r="Q22" s="13"/>
      <c r="R22" s="741">
        <v>25</v>
      </c>
      <c r="S22" s="33" t="str">
        <f t="shared" si="2"/>
        <v>25.00-29.99</v>
      </c>
      <c r="T22" s="13">
        <v>3419</v>
      </c>
    </row>
    <row r="23" spans="6:20" ht="14.45" x14ac:dyDescent="0.3">
      <c r="F23" s="741">
        <v>25</v>
      </c>
      <c r="G23" s="33" t="str">
        <f t="shared" si="3"/>
        <v>25.00-29.99</v>
      </c>
      <c r="H23" s="13">
        <v>2253</v>
      </c>
      <c r="J23" s="741">
        <v>30</v>
      </c>
      <c r="K23" s="33" t="str">
        <f t="shared" si="0"/>
        <v>30.00-39.99</v>
      </c>
      <c r="L23" s="13">
        <v>4095</v>
      </c>
      <c r="N23" s="741">
        <v>25</v>
      </c>
      <c r="O23" s="33" t="str">
        <f t="shared" si="1"/>
        <v>25.00-29.99</v>
      </c>
      <c r="P23" s="13">
        <v>261</v>
      </c>
      <c r="Q23" s="13"/>
      <c r="R23" s="741">
        <v>30</v>
      </c>
      <c r="S23" s="33" t="str">
        <f t="shared" si="2"/>
        <v>30.00-39.99</v>
      </c>
      <c r="T23" s="13">
        <v>4134</v>
      </c>
    </row>
    <row r="24" spans="6:20" ht="14.45" x14ac:dyDescent="0.3">
      <c r="F24" s="741">
        <v>30</v>
      </c>
      <c r="G24" s="33" t="str">
        <f t="shared" si="3"/>
        <v>30.00-39.99</v>
      </c>
      <c r="H24" s="13">
        <v>2730</v>
      </c>
      <c r="J24" s="741">
        <v>40</v>
      </c>
      <c r="K24" s="33" t="str">
        <f t="shared" si="0"/>
        <v>40.00-49.99</v>
      </c>
      <c r="L24" s="13">
        <v>4850</v>
      </c>
      <c r="N24" s="741">
        <v>30</v>
      </c>
      <c r="O24" s="33" t="str">
        <f t="shared" si="1"/>
        <v>30.00-39.99</v>
      </c>
      <c r="P24" s="13">
        <v>316</v>
      </c>
      <c r="Q24" s="13"/>
      <c r="R24" s="741">
        <v>40</v>
      </c>
      <c r="S24" s="33" t="str">
        <f t="shared" si="2"/>
        <v>40.00-49.99</v>
      </c>
      <c r="T24" s="13">
        <v>4876</v>
      </c>
    </row>
    <row r="25" spans="6:20" ht="14.45" x14ac:dyDescent="0.3">
      <c r="F25" s="741">
        <v>40</v>
      </c>
      <c r="G25" s="33" t="str">
        <f t="shared" si="3"/>
        <v>40.00-49.99</v>
      </c>
      <c r="H25" s="13">
        <v>3233</v>
      </c>
      <c r="J25" s="741">
        <v>50</v>
      </c>
      <c r="K25" s="33"/>
      <c r="L25" s="13"/>
      <c r="N25" s="741">
        <v>40</v>
      </c>
      <c r="O25" s="33" t="str">
        <f t="shared" si="1"/>
        <v>40.00-49.99</v>
      </c>
      <c r="P25" s="13">
        <v>372</v>
      </c>
      <c r="Q25" s="13"/>
      <c r="R25" s="741">
        <v>50</v>
      </c>
      <c r="S25" s="33"/>
      <c r="T25" s="13"/>
    </row>
    <row r="26" spans="6:20" ht="14.45" x14ac:dyDescent="0.3">
      <c r="F26" s="741">
        <v>50</v>
      </c>
      <c r="G26" s="33"/>
      <c r="H26" s="13"/>
      <c r="N26" s="741">
        <v>50</v>
      </c>
      <c r="O26" s="33"/>
      <c r="P26" s="13"/>
      <c r="Q26" s="13"/>
      <c r="T26" s="13"/>
    </row>
  </sheetData>
  <sheetProtection algorithmName="SHA-512" hashValue="bw54QnO8r1u7+OCnTsDFcn5ExnFROMeK/alBpQeLpf8JxqWermiYE36bsWYYCOtjIEGV+d5F6zpZkFvqUNu+6w==" saltValue="bUUcuQw2QIuBlVMGw1Qipw==" spinCount="100000" sheet="1" objects="1" scenarios="1" autoFilter="0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27"/>
  <sheetViews>
    <sheetView workbookViewId="0">
      <selection activeCell="C29" sqref="C29"/>
    </sheetView>
  </sheetViews>
  <sheetFormatPr defaultRowHeight="15" x14ac:dyDescent="0.25"/>
  <cols>
    <col min="1" max="1" width="1.85546875" customWidth="1"/>
    <col min="2" max="3" width="9.140625" customWidth="1"/>
    <col min="4" max="4" width="9.28515625" customWidth="1"/>
    <col min="5" max="5" width="59.7109375" customWidth="1"/>
    <col min="6" max="6" width="10.28515625" customWidth="1"/>
    <col min="7" max="7" width="9.140625" customWidth="1"/>
    <col min="10" max="10" width="60.5703125" customWidth="1"/>
  </cols>
  <sheetData>
    <row r="1" spans="2:10" thickBot="1" x14ac:dyDescent="0.35"/>
    <row r="2" spans="2:10" ht="18.600000000000001" thickBot="1" x14ac:dyDescent="0.4">
      <c r="B2" s="799" t="s">
        <v>1460</v>
      </c>
      <c r="C2" s="800"/>
      <c r="D2" s="801"/>
      <c r="E2" s="801"/>
      <c r="G2" s="910" t="s">
        <v>1461</v>
      </c>
      <c r="H2" s="911"/>
      <c r="I2" s="911"/>
      <c r="J2" s="912"/>
    </row>
    <row r="4" spans="2:10" ht="14.45" x14ac:dyDescent="0.3">
      <c r="B4" s="802" t="s">
        <v>345</v>
      </c>
      <c r="C4" s="802" t="s">
        <v>890</v>
      </c>
      <c r="D4" s="802" t="s">
        <v>891</v>
      </c>
      <c r="E4" s="804" t="s">
        <v>1439</v>
      </c>
      <c r="G4" s="802" t="s">
        <v>345</v>
      </c>
      <c r="H4" s="802" t="s">
        <v>890</v>
      </c>
      <c r="I4" s="802" t="s">
        <v>891</v>
      </c>
      <c r="J4" s="804" t="s">
        <v>1439</v>
      </c>
    </row>
    <row r="5" spans="2:10" ht="14.45" x14ac:dyDescent="0.3">
      <c r="B5" s="805" t="s">
        <v>188</v>
      </c>
      <c r="C5" s="805" t="s">
        <v>188</v>
      </c>
      <c r="D5" s="806" t="s">
        <v>1440</v>
      </c>
      <c r="E5" s="300" t="s">
        <v>1441</v>
      </c>
      <c r="G5" s="805" t="s">
        <v>188</v>
      </c>
      <c r="H5" s="805" t="s">
        <v>188</v>
      </c>
      <c r="I5" s="806" t="s">
        <v>1440</v>
      </c>
      <c r="J5" s="300" t="s">
        <v>1458</v>
      </c>
    </row>
    <row r="6" spans="2:10" ht="14.45" x14ac:dyDescent="0.3">
      <c r="B6" s="805" t="s">
        <v>188</v>
      </c>
      <c r="C6" s="806" t="s">
        <v>1440</v>
      </c>
      <c r="D6" s="805" t="s">
        <v>188</v>
      </c>
      <c r="E6" s="300" t="s">
        <v>1441</v>
      </c>
      <c r="G6" s="805" t="s">
        <v>188</v>
      </c>
      <c r="H6" s="806" t="s">
        <v>1440</v>
      </c>
      <c r="I6" s="805" t="s">
        <v>188</v>
      </c>
      <c r="J6" s="300" t="s">
        <v>1458</v>
      </c>
    </row>
    <row r="7" spans="2:10" ht="14.25" customHeight="1" x14ac:dyDescent="0.3">
      <c r="B7" s="805" t="s">
        <v>188</v>
      </c>
      <c r="C7" s="805" t="s">
        <v>202</v>
      </c>
      <c r="D7" s="806" t="s">
        <v>1440</v>
      </c>
      <c r="E7" s="300" t="s">
        <v>1441</v>
      </c>
      <c r="G7" s="805" t="s">
        <v>188</v>
      </c>
      <c r="H7" s="805" t="s">
        <v>202</v>
      </c>
      <c r="I7" s="806" t="s">
        <v>1440</v>
      </c>
      <c r="J7" s="300" t="s">
        <v>1458</v>
      </c>
    </row>
    <row r="8" spans="2:10" ht="14.25" customHeight="1" x14ac:dyDescent="0.3">
      <c r="B8" s="805" t="s">
        <v>188</v>
      </c>
      <c r="C8" s="806" t="s">
        <v>1440</v>
      </c>
      <c r="D8" s="805" t="s">
        <v>202</v>
      </c>
      <c r="E8" s="300" t="s">
        <v>1441</v>
      </c>
      <c r="G8" s="805" t="s">
        <v>188</v>
      </c>
      <c r="H8" s="806" t="s">
        <v>1440</v>
      </c>
      <c r="I8" s="805" t="s">
        <v>202</v>
      </c>
      <c r="J8" s="300" t="s">
        <v>1458</v>
      </c>
    </row>
    <row r="9" spans="2:10" ht="14.25" customHeight="1" x14ac:dyDescent="0.3">
      <c r="B9" s="805" t="s">
        <v>188</v>
      </c>
      <c r="C9" s="806" t="s">
        <v>1440</v>
      </c>
      <c r="D9" s="806" t="s">
        <v>1440</v>
      </c>
      <c r="E9" s="300" t="s">
        <v>1441</v>
      </c>
      <c r="G9" s="805" t="s">
        <v>188</v>
      </c>
      <c r="H9" s="806" t="s">
        <v>1440</v>
      </c>
      <c r="I9" s="806" t="s">
        <v>1440</v>
      </c>
      <c r="J9" s="300" t="s">
        <v>1458</v>
      </c>
    </row>
    <row r="10" spans="2:10" ht="14.25" customHeight="1" x14ac:dyDescent="0.3">
      <c r="B10" s="805" t="s">
        <v>202</v>
      </c>
      <c r="C10" s="806" t="s">
        <v>1440</v>
      </c>
      <c r="D10" s="805" t="s">
        <v>202</v>
      </c>
      <c r="E10" s="300" t="s">
        <v>1442</v>
      </c>
      <c r="G10" s="805" t="s">
        <v>202</v>
      </c>
      <c r="H10" s="806" t="s">
        <v>1440</v>
      </c>
      <c r="I10" s="805" t="s">
        <v>202</v>
      </c>
      <c r="J10" s="300" t="s">
        <v>1459</v>
      </c>
    </row>
    <row r="11" spans="2:10" ht="14.25" customHeight="1" x14ac:dyDescent="0.3">
      <c r="B11" s="805" t="s">
        <v>202</v>
      </c>
      <c r="C11" s="805" t="s">
        <v>202</v>
      </c>
      <c r="D11" s="806" t="s">
        <v>1440</v>
      </c>
      <c r="E11" s="300" t="s">
        <v>1442</v>
      </c>
      <c r="G11" s="805" t="s">
        <v>202</v>
      </c>
      <c r="H11" s="805" t="s">
        <v>202</v>
      </c>
      <c r="I11" s="806" t="s">
        <v>1440</v>
      </c>
      <c r="J11" s="300" t="s">
        <v>1459</v>
      </c>
    </row>
    <row r="12" spans="2:10" ht="14.25" customHeight="1" x14ac:dyDescent="0.3">
      <c r="B12" s="805" t="s">
        <v>202</v>
      </c>
      <c r="C12" s="806" t="s">
        <v>1440</v>
      </c>
      <c r="D12" s="806" t="s">
        <v>1440</v>
      </c>
      <c r="E12" s="300" t="s">
        <v>1442</v>
      </c>
      <c r="G12" s="805" t="s">
        <v>202</v>
      </c>
      <c r="H12" s="806" t="s">
        <v>1440</v>
      </c>
      <c r="I12" s="806" t="s">
        <v>1440</v>
      </c>
      <c r="J12" s="300" t="s">
        <v>1459</v>
      </c>
    </row>
    <row r="13" spans="2:10" ht="14.25" customHeight="1" x14ac:dyDescent="0.3">
      <c r="B13" s="805" t="s">
        <v>202</v>
      </c>
      <c r="C13" s="806" t="s">
        <v>1440</v>
      </c>
      <c r="D13" s="805" t="s">
        <v>188</v>
      </c>
      <c r="E13" s="300" t="s">
        <v>1442</v>
      </c>
      <c r="G13" s="805" t="s">
        <v>202</v>
      </c>
      <c r="H13" s="806" t="s">
        <v>1440</v>
      </c>
      <c r="I13" s="805" t="s">
        <v>188</v>
      </c>
      <c r="J13" s="300" t="s">
        <v>1459</v>
      </c>
    </row>
    <row r="14" spans="2:10" ht="14.25" customHeight="1" x14ac:dyDescent="0.3">
      <c r="B14" s="805" t="s">
        <v>202</v>
      </c>
      <c r="C14" s="805" t="s">
        <v>188</v>
      </c>
      <c r="D14" s="806" t="s">
        <v>1440</v>
      </c>
      <c r="E14" s="300" t="s">
        <v>1442</v>
      </c>
      <c r="G14" s="805" t="s">
        <v>202</v>
      </c>
      <c r="H14" s="805" t="s">
        <v>188</v>
      </c>
      <c r="I14" s="806" t="s">
        <v>1440</v>
      </c>
      <c r="J14" s="300" t="s">
        <v>1459</v>
      </c>
    </row>
    <row r="16" spans="2:10" ht="14.45" x14ac:dyDescent="0.3">
      <c r="B16" s="1" t="s">
        <v>1443</v>
      </c>
    </row>
    <row r="17" spans="2:7" ht="14.45" x14ac:dyDescent="0.3">
      <c r="B17" s="807" t="s">
        <v>1444</v>
      </c>
      <c r="C17" s="807"/>
      <c r="D17" s="807"/>
      <c r="E17" s="807"/>
    </row>
    <row r="18" spans="2:7" ht="14.45" x14ac:dyDescent="0.3">
      <c r="B18" s="814" t="s">
        <v>1445</v>
      </c>
      <c r="C18" s="814"/>
      <c r="D18" s="814"/>
      <c r="E18" s="814"/>
    </row>
    <row r="19" spans="2:7" ht="14.45" x14ac:dyDescent="0.3">
      <c r="B19" s="814" t="s">
        <v>1446</v>
      </c>
      <c r="C19" s="814"/>
      <c r="D19" s="814"/>
      <c r="E19" s="814"/>
    </row>
    <row r="20" spans="2:7" ht="14.45" x14ac:dyDescent="0.3">
      <c r="B20" s="904" t="s">
        <v>1447</v>
      </c>
      <c r="C20" s="905"/>
      <c r="D20" s="905"/>
      <c r="E20" s="906"/>
    </row>
    <row r="21" spans="2:7" ht="30.6" customHeight="1" x14ac:dyDescent="0.3">
      <c r="B21" s="907" t="s">
        <v>1448</v>
      </c>
      <c r="C21" s="908"/>
      <c r="D21" s="908"/>
      <c r="E21" s="909"/>
    </row>
    <row r="22" spans="2:7" ht="14.45" customHeight="1" x14ac:dyDescent="0.3">
      <c r="B22" s="813"/>
      <c r="C22" s="813"/>
      <c r="D22" s="813"/>
      <c r="E22" s="813"/>
    </row>
    <row r="24" spans="2:7" ht="14.45" x14ac:dyDescent="0.3">
      <c r="B24" s="803" t="s">
        <v>1449</v>
      </c>
      <c r="C24" s="808"/>
      <c r="D24" s="809"/>
      <c r="E24" s="803" t="s">
        <v>1450</v>
      </c>
      <c r="F24" s="808"/>
      <c r="G24" s="809"/>
    </row>
    <row r="25" spans="2:7" ht="14.45" x14ac:dyDescent="0.3">
      <c r="B25" s="671" t="s">
        <v>1451</v>
      </c>
      <c r="C25" s="671"/>
      <c r="D25" s="671" t="s">
        <v>1452</v>
      </c>
      <c r="E25" s="810" t="s">
        <v>1453</v>
      </c>
      <c r="F25" s="811"/>
      <c r="G25" s="812"/>
    </row>
    <row r="26" spans="2:7" x14ac:dyDescent="0.25">
      <c r="B26" s="671" t="s">
        <v>1454</v>
      </c>
      <c r="C26" s="671"/>
      <c r="D26" s="671" t="s">
        <v>1455</v>
      </c>
      <c r="E26" s="810" t="s">
        <v>1456</v>
      </c>
      <c r="F26" s="811"/>
      <c r="G26" s="812"/>
    </row>
    <row r="27" spans="2:7" x14ac:dyDescent="0.25">
      <c r="B27" s="671" t="s">
        <v>1457</v>
      </c>
      <c r="C27" s="671"/>
      <c r="D27" s="671" t="s">
        <v>1455</v>
      </c>
      <c r="E27" s="810" t="s">
        <v>1456</v>
      </c>
      <c r="F27" s="811"/>
      <c r="G27" s="812"/>
    </row>
  </sheetData>
  <sheetProtection algorithmName="SHA-512" hashValue="USockEyBOwp3GGOT5N/w1As5lNcfMZDemSbe3TZbNkUVP3TGU+asNjkKI9lRQbp1glTSS9IMzsCQY2yxQNC3aw==" saltValue="YyeEmyFGUvJS0GERH2TNZg==" spinCount="100000" sheet="1" objects="1" scenarios="1" autoFilter="0"/>
  <mergeCells count="3">
    <mergeCell ref="B20:E20"/>
    <mergeCell ref="B21:E21"/>
    <mergeCell ref="G2:J2"/>
  </mergeCells>
  <phoneticPr fontId="4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7</vt:i4>
      </vt:variant>
    </vt:vector>
  </HeadingPairs>
  <TitlesOfParts>
    <vt:vector size="55" baseType="lpstr">
      <vt:lpstr>AM Template</vt:lpstr>
      <vt:lpstr>GIA Parameters</vt:lpstr>
      <vt:lpstr>Field Validations</vt:lpstr>
      <vt:lpstr>Grading Sheet</vt:lpstr>
      <vt:lpstr>DME Grading Sheet</vt:lpstr>
      <vt:lpstr>Parameters</vt:lpstr>
      <vt:lpstr>Central</vt:lpstr>
      <vt:lpstr>Parameters Fancy</vt:lpstr>
      <vt:lpstr>1.01-1.09</vt:lpstr>
      <vt:lpstr>1.50-1.69</vt:lpstr>
      <vt:lpstr>2.01-2.09</vt:lpstr>
      <vt:lpstr>Parameters Dossiers</vt:lpstr>
      <vt:lpstr>Prices Below 30Pts</vt:lpstr>
      <vt:lpstr>PriceSheet -1Ct Uncertified</vt:lpstr>
      <vt:lpstr>Mixing Groups -1Ct Uncertified</vt:lpstr>
      <vt:lpstr>3.01-3.09</vt:lpstr>
      <vt:lpstr>4.01-4.09</vt:lpstr>
      <vt:lpstr>5.01-5.09</vt:lpstr>
      <vt:lpstr>Fancy Shapes</vt:lpstr>
      <vt:lpstr>Size Premiums</vt:lpstr>
      <vt:lpstr>Diameter Premiums</vt:lpstr>
      <vt:lpstr>Depth</vt:lpstr>
      <vt:lpstr>KtoS Premiums</vt:lpstr>
      <vt:lpstr>Discounts N Colors</vt:lpstr>
      <vt:lpstr>+1Ct SI3- Loose</vt:lpstr>
      <vt:lpstr>RapNet</vt:lpstr>
      <vt:lpstr>0.30-0.34</vt:lpstr>
      <vt:lpstr>0.35-0.39</vt:lpstr>
      <vt:lpstr>0.40-0.44</vt:lpstr>
      <vt:lpstr>0.45-0.49</vt:lpstr>
      <vt:lpstr>0.50-0.59</vt:lpstr>
      <vt:lpstr>0.60-0.69</vt:lpstr>
      <vt:lpstr>0.70-0.74</vt:lpstr>
      <vt:lpstr>0.75-0.79</vt:lpstr>
      <vt:lpstr>0.80-0.89</vt:lpstr>
      <vt:lpstr>0.90-0.94</vt:lpstr>
      <vt:lpstr>0.95-0.99</vt:lpstr>
      <vt:lpstr>Black</vt:lpstr>
      <vt:lpstr>BGM</vt:lpstr>
      <vt:lpstr>Cut &amp; MFG Rules</vt:lpstr>
      <vt:lpstr>Cut</vt:lpstr>
      <vt:lpstr>Inclusion Grading</vt:lpstr>
      <vt:lpstr>Finishing</vt:lpstr>
      <vt:lpstr>Internal Grading</vt:lpstr>
      <vt:lpstr>Graining</vt:lpstr>
      <vt:lpstr>Extras</vt:lpstr>
      <vt:lpstr>Certificate Costs</vt:lpstr>
      <vt:lpstr>Polish-Symmetry</vt:lpstr>
      <vt:lpstr>'Mixing Groups -1Ct Uncertified'!Print_Area</vt:lpstr>
      <vt:lpstr>RapClarity</vt:lpstr>
      <vt:lpstr>RapColor</vt:lpstr>
      <vt:lpstr>RapPrice</vt:lpstr>
      <vt:lpstr>RapShape</vt:lpstr>
      <vt:lpstr>RapSizeFrom</vt:lpstr>
      <vt:lpstr>RapSizeTo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Cuypers</dc:creator>
  <cp:lastModifiedBy>Shraddha Pednekar</cp:lastModifiedBy>
  <cp:lastPrinted>2022-10-14T08:08:49Z</cp:lastPrinted>
  <dcterms:created xsi:type="dcterms:W3CDTF">2017-05-12T13:34:16Z</dcterms:created>
  <dcterms:modified xsi:type="dcterms:W3CDTF">2022-11-03T06:40:21Z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